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loydna/Desktop/UP/6°semestre/AutoExam/"/>
    </mc:Choice>
  </mc:AlternateContent>
  <xr:revisionPtr revIDLastSave="0" documentId="13_ncr:1_{15217262-4A38-664F-94C3-0FE0EA72E87E}" xr6:coauthVersionLast="47" xr6:coauthVersionMax="47" xr10:uidLastSave="{00000000-0000-0000-0000-000000000000}"/>
  <bookViews>
    <workbookView xWindow="0" yWindow="500" windowWidth="19420" windowHeight="10420" firstSheet="2" activeTab="3" xr2:uid="{E3E5A306-474F-4D96-B142-64C3D8D24DA1}"/>
  </bookViews>
  <sheets>
    <sheet name="Horario profesor" sheetId="46" r:id="rId1"/>
    <sheet name="Horario grupo" sheetId="45" r:id="rId2"/>
    <sheet name="Horario aula" sheetId="56" r:id="rId3"/>
    <sheet name="Base de datos" sheetId="33" r:id="rId4"/>
    <sheet name="Índices" sheetId="57" r:id="rId5"/>
    <sheet name="Pronostico" sheetId="48" r:id="rId6"/>
    <sheet name="Planes de estudio" sheetId="47" r:id="rId7"/>
    <sheet name="Pares" sheetId="59" r:id="rId8"/>
    <sheet name="1224" sheetId="60" r:id="rId9"/>
    <sheet name="1224 PUBLICAR" sheetId="63" r:id="rId10"/>
    <sheet name="INTERCAMBIOS 1224" sheetId="61" r:id="rId11"/>
    <sheet name="Extraordinario" sheetId="62" r:id="rId12"/>
  </sheets>
  <definedNames>
    <definedName name="_xlnm._FilterDatabase" localSheetId="8" hidden="1">'1224'!$B$3:$Q$28</definedName>
    <definedName name="_xlnm._FilterDatabase" localSheetId="9" hidden="1">'1224 PUBLICAR'!$A$3:$F$28</definedName>
    <definedName name="_xlnm._FilterDatabase" localSheetId="7" hidden="1">Pares!$A$1:$Y$1</definedName>
    <definedName name="Aula">'Horario aula'!$D$2</definedName>
    <definedName name="Aulas">#REF!</definedName>
    <definedName name="Aulas_capacidad" localSheetId="9">#REF!</definedName>
    <definedName name="Aulas_capacidad">#REF!</definedName>
    <definedName name="Bioelectrónica">'Planes de estudio'!$J$3:$J$227</definedName>
    <definedName name="Cantidad_de_materias">#REF!</definedName>
    <definedName name="Capacidad">#REF!</definedName>
    <definedName name="Carrera">'Horario grupo'!$D$2</definedName>
    <definedName name="Carreras">'Planes de estudio'!$D$2:$J$2</definedName>
    <definedName name="Civil_y_Administración">'Planes de estudio'!$I$3:$I$227</definedName>
    <definedName name="Clases_Presenciales">#REF!</definedName>
    <definedName name="Columna" localSheetId="2">'Horario aula'!$H$2</definedName>
    <definedName name="Columna" localSheetId="0">'Horario profesor'!$J$2</definedName>
    <definedName name="Concepto" localSheetId="2">'Horario aula'!$H$2</definedName>
    <definedName name="Concepto" localSheetId="0">'Horario profesor'!$J$2</definedName>
    <definedName name="Equipo">#REF!</definedName>
    <definedName name="Gdo">#REF!</definedName>
    <definedName name="Grado">#REF!</definedName>
    <definedName name="Hora_de_fin">'Planes de estudio'!$AE$3:$AE$32</definedName>
    <definedName name="Hora_de_inicio">'Planes de estudio'!$AD$3:$AD$32</definedName>
    <definedName name="Horas">'Planes de estudio'!$K$3:$K$227</definedName>
    <definedName name="ICA">#REF!</definedName>
    <definedName name="Industrial">'Planes de estudio'!$D$3:$D$227</definedName>
    <definedName name="Innovación_y_Diseño">'Planes de estudio'!$F$3:$F$227</definedName>
    <definedName name="Inteligencia_Artificial">'Planes de estudio'!$G$3:$G$227</definedName>
    <definedName name="Materia_programada" localSheetId="9">base_de_datos[Materia]</definedName>
    <definedName name="Materia_programada">base_de_datos[Materia]</definedName>
    <definedName name="Materias">'Planes de estudio'!$B$3:$B$227</definedName>
    <definedName name="Mecatrónica">'Planes de estudio'!$E$3:$E$227</definedName>
    <definedName name="Metales">#REF!</definedName>
    <definedName name="Nombre">#REF!</definedName>
    <definedName name="Num">#REF!</definedName>
    <definedName name="Optativa">'Planes de estudio'!$L$3:$L$227</definedName>
    <definedName name="PHíbrido">#REF!</definedName>
    <definedName name="Profesor" localSheetId="2">'Horario aula'!$D$2</definedName>
    <definedName name="Profesor" localSheetId="0">'Horario profesor'!$D$2</definedName>
    <definedName name="Sana_distancia">#REF!</definedName>
    <definedName name="Semestre">'Horario grupo'!$G$2</definedName>
    <definedName name="Semestres">'Planes de estudio'!$AB$3:$AB$12</definedName>
    <definedName name="Tecnologías_Energéticas">'Planes de estudio'!$H$3:$H$227</definedName>
    <definedName name="Tipo">#REF!</definedName>
    <definedName name="Tipo_de_profesor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56" i="33" l="1"/>
  <c r="Y256" i="33"/>
  <c r="AA256" i="33"/>
  <c r="AC256" i="33"/>
  <c r="AL256" i="33" s="1"/>
  <c r="AD256" i="33"/>
  <c r="AE256" i="33"/>
  <c r="AF256" i="33"/>
  <c r="AG256" i="33"/>
  <c r="AH256" i="33"/>
  <c r="AI256" i="33"/>
  <c r="AJ256" i="33"/>
  <c r="AK256" i="33"/>
  <c r="AO256" i="33"/>
  <c r="I255" i="33"/>
  <c r="K255" i="33"/>
  <c r="L255" i="33" s="1"/>
  <c r="M255" i="33"/>
  <c r="N255" i="33" s="1"/>
  <c r="X255" i="33"/>
  <c r="Y255" i="33"/>
  <c r="AA255" i="33"/>
  <c r="AC255" i="33"/>
  <c r="AL255" i="33" s="1"/>
  <c r="AD255" i="33"/>
  <c r="AE255" i="33"/>
  <c r="AF255" i="33"/>
  <c r="AG255" i="33"/>
  <c r="AH255" i="33"/>
  <c r="AI255" i="33"/>
  <c r="AJ255" i="33"/>
  <c r="AK255" i="33"/>
  <c r="AO255" i="33"/>
  <c r="I253" i="33"/>
  <c r="K253" i="33"/>
  <c r="L253" i="33" s="1"/>
  <c r="M253" i="33"/>
  <c r="N253" i="33" s="1"/>
  <c r="X253" i="33"/>
  <c r="Y253" i="33"/>
  <c r="AA253" i="33"/>
  <c r="AC253" i="33"/>
  <c r="AL253" i="33" s="1"/>
  <c r="AD253" i="33"/>
  <c r="AE253" i="33"/>
  <c r="AF253" i="33"/>
  <c r="AG253" i="33"/>
  <c r="AH253" i="33"/>
  <c r="AI253" i="33"/>
  <c r="AJ253" i="33"/>
  <c r="AK253" i="33"/>
  <c r="AO253" i="33"/>
  <c r="I246" i="33"/>
  <c r="K246" i="33"/>
  <c r="L246" i="33" s="1"/>
  <c r="M246" i="33"/>
  <c r="N246" i="33" s="1"/>
  <c r="X246" i="33"/>
  <c r="Y246" i="33"/>
  <c r="AA246" i="33"/>
  <c r="AC246" i="33"/>
  <c r="AL246" i="33" s="1"/>
  <c r="AD246" i="33"/>
  <c r="AE246" i="33"/>
  <c r="AF246" i="33"/>
  <c r="AG246" i="33"/>
  <c r="AH246" i="33"/>
  <c r="AI246" i="33"/>
  <c r="AJ246" i="33"/>
  <c r="AK246" i="33"/>
  <c r="AO246" i="33"/>
  <c r="I245" i="33"/>
  <c r="K245" i="33"/>
  <c r="L245" i="33" s="1"/>
  <c r="M245" i="33"/>
  <c r="N245" i="33" s="1"/>
  <c r="X245" i="33"/>
  <c r="Y245" i="33"/>
  <c r="AA245" i="33"/>
  <c r="AC245" i="33"/>
  <c r="AL245" i="33" s="1"/>
  <c r="AD245" i="33"/>
  <c r="AE245" i="33"/>
  <c r="AF245" i="33"/>
  <c r="AG245" i="33"/>
  <c r="AH245" i="33"/>
  <c r="AI245" i="33"/>
  <c r="AJ245" i="33"/>
  <c r="AK245" i="33"/>
  <c r="AO245" i="33"/>
  <c r="I254" i="33"/>
  <c r="K254" i="33"/>
  <c r="L254" i="33" s="1"/>
  <c r="M254" i="33"/>
  <c r="N254" i="33" s="1"/>
  <c r="X254" i="33"/>
  <c r="Y254" i="33"/>
  <c r="AA254" i="33"/>
  <c r="AC254" i="33"/>
  <c r="AL254" i="33" s="1"/>
  <c r="AD254" i="33"/>
  <c r="AE254" i="33"/>
  <c r="AF254" i="33"/>
  <c r="AG254" i="33"/>
  <c r="AH254" i="33"/>
  <c r="AI254" i="33"/>
  <c r="AJ254" i="33"/>
  <c r="AK254" i="33"/>
  <c r="AO254" i="33"/>
  <c r="I234" i="33"/>
  <c r="K234" i="33"/>
  <c r="L234" i="33" s="1"/>
  <c r="M234" i="33"/>
  <c r="N234" i="33" s="1"/>
  <c r="X234" i="33"/>
  <c r="Y234" i="33"/>
  <c r="AA234" i="33"/>
  <c r="AC234" i="33"/>
  <c r="AL234" i="33" s="1"/>
  <c r="AD234" i="33"/>
  <c r="AE234" i="33"/>
  <c r="AF234" i="33"/>
  <c r="AG234" i="33"/>
  <c r="AH234" i="33"/>
  <c r="AI234" i="33"/>
  <c r="AJ234" i="33"/>
  <c r="AK234" i="33"/>
  <c r="AO234" i="33"/>
  <c r="I178" i="33"/>
  <c r="K178" i="33"/>
  <c r="L178" i="33" s="1"/>
  <c r="M178" i="33"/>
  <c r="N178" i="33" s="1"/>
  <c r="X178" i="33"/>
  <c r="Y178" i="33"/>
  <c r="AA178" i="33"/>
  <c r="AC178" i="33"/>
  <c r="AL178" i="33" s="1"/>
  <c r="AD178" i="33"/>
  <c r="AE178" i="33"/>
  <c r="AF178" i="33"/>
  <c r="AG178" i="33"/>
  <c r="AH178" i="33"/>
  <c r="AI178" i="33"/>
  <c r="AJ178" i="33"/>
  <c r="AK178" i="33"/>
  <c r="AO178" i="33"/>
  <c r="K227" i="33"/>
  <c r="K228" i="33"/>
  <c r="M97" i="33"/>
  <c r="M130" i="33"/>
  <c r="M131" i="33"/>
  <c r="I252" i="33"/>
  <c r="K252" i="33"/>
  <c r="L252" i="33" s="1"/>
  <c r="M252" i="33"/>
  <c r="N252" i="33" s="1"/>
  <c r="X252" i="33"/>
  <c r="Y252" i="33"/>
  <c r="AA252" i="33"/>
  <c r="AC252" i="33"/>
  <c r="AL252" i="33" s="1"/>
  <c r="AD252" i="33"/>
  <c r="AE252" i="33"/>
  <c r="AF252" i="33"/>
  <c r="AG252" i="33"/>
  <c r="AH252" i="33"/>
  <c r="AI252" i="33"/>
  <c r="AJ252" i="33"/>
  <c r="AK252" i="33"/>
  <c r="AO252" i="33"/>
  <c r="AP256" i="33" l="1"/>
  <c r="AM256" i="33"/>
  <c r="AN256" i="33" s="1"/>
  <c r="AT256" i="33"/>
  <c r="AU256" i="33"/>
  <c r="Z256" i="33"/>
  <c r="AB256" i="33" s="1"/>
  <c r="AS256" i="33"/>
  <c r="AV256" i="33"/>
  <c r="AR256" i="33"/>
  <c r="AQ256" i="33"/>
  <c r="AM255" i="33"/>
  <c r="AN255" i="33" s="1"/>
  <c r="AQ255" i="33"/>
  <c r="AP255" i="33"/>
  <c r="AS255" i="33"/>
  <c r="AU255" i="33"/>
  <c r="AT255" i="33"/>
  <c r="Z255" i="33"/>
  <c r="AB255" i="33" s="1"/>
  <c r="AV255" i="33"/>
  <c r="AR255" i="33"/>
  <c r="AM253" i="33"/>
  <c r="AN253" i="33" s="1"/>
  <c r="AT253" i="33"/>
  <c r="AP253" i="33"/>
  <c r="AV253" i="33"/>
  <c r="AU253" i="33"/>
  <c r="Z253" i="33"/>
  <c r="AB253" i="33" s="1"/>
  <c r="AR253" i="33"/>
  <c r="AQ253" i="33"/>
  <c r="AS253" i="33"/>
  <c r="AM246" i="33"/>
  <c r="AN246" i="33" s="1"/>
  <c r="AV246" i="33"/>
  <c r="AP246" i="33"/>
  <c r="AU246" i="33"/>
  <c r="AT246" i="33"/>
  <c r="AS246" i="33"/>
  <c r="AR246" i="33"/>
  <c r="AM245" i="33"/>
  <c r="AN245" i="33" s="1"/>
  <c r="AQ246" i="33"/>
  <c r="AT245" i="33"/>
  <c r="AP245" i="33"/>
  <c r="AU245" i="33"/>
  <c r="AR245" i="33"/>
  <c r="AV245" i="33"/>
  <c r="AQ245" i="33"/>
  <c r="AS245" i="33"/>
  <c r="AM254" i="33"/>
  <c r="AN254" i="33" s="1"/>
  <c r="AT254" i="33"/>
  <c r="AP254" i="33"/>
  <c r="AU254" i="33"/>
  <c r="AS254" i="33"/>
  <c r="Z254" i="33"/>
  <c r="AB254" i="33" s="1"/>
  <c r="AV254" i="33"/>
  <c r="AR254" i="33"/>
  <c r="AQ254" i="33"/>
  <c r="AM234" i="33"/>
  <c r="AN234" i="33" s="1"/>
  <c r="AM178" i="33"/>
  <c r="AN178" i="33" s="1"/>
  <c r="AM252" i="33"/>
  <c r="AN252" i="33" s="1"/>
  <c r="Z252" i="33"/>
  <c r="AB252" i="33" s="1"/>
  <c r="AU252" i="33"/>
  <c r="AT252" i="33"/>
  <c r="AP252" i="33"/>
  <c r="AS252" i="33"/>
  <c r="AV252" i="33"/>
  <c r="AR252" i="33"/>
  <c r="AQ252" i="33"/>
  <c r="I248" i="33"/>
  <c r="K248" i="33"/>
  <c r="L248" i="33" s="1"/>
  <c r="M248" i="33"/>
  <c r="N248" i="33" s="1"/>
  <c r="X248" i="33"/>
  <c r="Y248" i="33"/>
  <c r="AA248" i="33"/>
  <c r="AC248" i="33"/>
  <c r="AL248" i="33" s="1"/>
  <c r="AD248" i="33"/>
  <c r="AE248" i="33"/>
  <c r="AF248" i="33"/>
  <c r="AG248" i="33"/>
  <c r="AH248" i="33"/>
  <c r="AI248" i="33"/>
  <c r="AJ248" i="33"/>
  <c r="AK248" i="33"/>
  <c r="AO248" i="33"/>
  <c r="AO251" i="33"/>
  <c r="AK251" i="33"/>
  <c r="AJ251" i="33"/>
  <c r="AI251" i="33"/>
  <c r="AH251" i="33"/>
  <c r="AG251" i="33"/>
  <c r="AF251" i="33"/>
  <c r="AE251" i="33"/>
  <c r="AD251" i="33"/>
  <c r="AC251" i="33"/>
  <c r="AL251" i="33" s="1"/>
  <c r="AA251" i="33"/>
  <c r="Y251" i="33"/>
  <c r="X251" i="33"/>
  <c r="M251" i="33"/>
  <c r="N251" i="33" s="1"/>
  <c r="K251" i="33"/>
  <c r="L251" i="33" s="1"/>
  <c r="I251" i="33"/>
  <c r="K181" i="33"/>
  <c r="AQ248" i="33" l="1"/>
  <c r="AU248" i="33"/>
  <c r="AV248" i="33"/>
  <c r="AR248" i="33"/>
  <c r="AS248" i="33"/>
  <c r="AT248" i="33"/>
  <c r="AP248" i="33"/>
  <c r="AM248" i="33"/>
  <c r="AN248" i="33" s="1"/>
  <c r="AS251" i="33"/>
  <c r="AM251" i="33"/>
  <c r="AN251" i="33" s="1"/>
  <c r="AQ251" i="33"/>
  <c r="AU251" i="33"/>
  <c r="AR251" i="33"/>
  <c r="AV251" i="33"/>
  <c r="Z251" i="33"/>
  <c r="AB251" i="33" s="1"/>
  <c r="AT251" i="33"/>
  <c r="AP251" i="33"/>
  <c r="I63" i="33"/>
  <c r="K63" i="33"/>
  <c r="L63" i="33" s="1"/>
  <c r="M63" i="33"/>
  <c r="N63" i="33" s="1"/>
  <c r="X63" i="33"/>
  <c r="Y63" i="33"/>
  <c r="AA63" i="33"/>
  <c r="AC63" i="33"/>
  <c r="AL63" i="33" s="1"/>
  <c r="AD63" i="33"/>
  <c r="AE63" i="33"/>
  <c r="AF63" i="33"/>
  <c r="AG63" i="33"/>
  <c r="AH63" i="33"/>
  <c r="AI63" i="33"/>
  <c r="AJ63" i="33"/>
  <c r="AK63" i="33"/>
  <c r="AO63" i="33"/>
  <c r="I242" i="33"/>
  <c r="K242" i="33"/>
  <c r="L242" i="33" s="1"/>
  <c r="M242" i="33"/>
  <c r="N242" i="33" s="1"/>
  <c r="X242" i="33"/>
  <c r="Y242" i="33"/>
  <c r="AA242" i="33"/>
  <c r="AC242" i="33"/>
  <c r="AL242" i="33" s="1"/>
  <c r="AD242" i="33"/>
  <c r="AE242" i="33"/>
  <c r="AF242" i="33"/>
  <c r="AG242" i="33"/>
  <c r="AH242" i="33"/>
  <c r="AI242" i="33"/>
  <c r="AJ242" i="33"/>
  <c r="AK242" i="33"/>
  <c r="AO242" i="33"/>
  <c r="I243" i="33"/>
  <c r="K243" i="33"/>
  <c r="L243" i="33" s="1"/>
  <c r="M243" i="33"/>
  <c r="N243" i="33" s="1"/>
  <c r="X243" i="33"/>
  <c r="Y243" i="33"/>
  <c r="AA243" i="33"/>
  <c r="AC243" i="33"/>
  <c r="AL243" i="33" s="1"/>
  <c r="AD243" i="33"/>
  <c r="AE243" i="33"/>
  <c r="AF243" i="33"/>
  <c r="AG243" i="33"/>
  <c r="AH243" i="33"/>
  <c r="AI243" i="33"/>
  <c r="AJ243" i="33"/>
  <c r="AK243" i="33"/>
  <c r="AO243" i="33"/>
  <c r="I244" i="33"/>
  <c r="K244" i="33"/>
  <c r="L244" i="33" s="1"/>
  <c r="M244" i="33"/>
  <c r="N244" i="33" s="1"/>
  <c r="X244" i="33"/>
  <c r="Y244" i="33"/>
  <c r="AA244" i="33"/>
  <c r="AC244" i="33"/>
  <c r="AL244" i="33" s="1"/>
  <c r="AD244" i="33"/>
  <c r="AE244" i="33"/>
  <c r="AF244" i="33"/>
  <c r="AG244" i="33"/>
  <c r="AH244" i="33"/>
  <c r="AI244" i="33"/>
  <c r="AJ244" i="33"/>
  <c r="AK244" i="33"/>
  <c r="AO244" i="33"/>
  <c r="I241" i="33"/>
  <c r="K241" i="33"/>
  <c r="L241" i="33" s="1"/>
  <c r="M241" i="33"/>
  <c r="N241" i="33" s="1"/>
  <c r="X241" i="33"/>
  <c r="Y241" i="33"/>
  <c r="AA241" i="33"/>
  <c r="AC241" i="33"/>
  <c r="AL241" i="33" s="1"/>
  <c r="AD241" i="33"/>
  <c r="AE241" i="33"/>
  <c r="AF241" i="33"/>
  <c r="AG241" i="33"/>
  <c r="AH241" i="33"/>
  <c r="AI241" i="33"/>
  <c r="AJ241" i="33"/>
  <c r="AK241" i="33"/>
  <c r="AO241" i="33"/>
  <c r="I240" i="33"/>
  <c r="K240" i="33"/>
  <c r="L240" i="33" s="1"/>
  <c r="M240" i="33"/>
  <c r="N240" i="33" s="1"/>
  <c r="X240" i="33"/>
  <c r="Y240" i="33"/>
  <c r="AA240" i="33"/>
  <c r="AC240" i="33"/>
  <c r="AL240" i="33" s="1"/>
  <c r="AD240" i="33"/>
  <c r="AE240" i="33"/>
  <c r="AF240" i="33"/>
  <c r="AG240" i="33"/>
  <c r="AH240" i="33"/>
  <c r="AI240" i="33"/>
  <c r="AJ240" i="33"/>
  <c r="AK240" i="33"/>
  <c r="AO240" i="33"/>
  <c r="AM63" i="33" l="1"/>
  <c r="AN63" i="33" s="1"/>
  <c r="AP242" i="33"/>
  <c r="AM242" i="33"/>
  <c r="AN242" i="33" s="1"/>
  <c r="AV243" i="33"/>
  <c r="AT242" i="33"/>
  <c r="AP244" i="33"/>
  <c r="AQ243" i="33"/>
  <c r="AP243" i="33"/>
  <c r="AU243" i="33"/>
  <c r="AU242" i="33"/>
  <c r="AR242" i="33"/>
  <c r="AU244" i="33"/>
  <c r="AQ244" i="33"/>
  <c r="AR244" i="33"/>
  <c r="AP241" i="33"/>
  <c r="AV242" i="33"/>
  <c r="AQ242" i="33"/>
  <c r="AU241" i="33"/>
  <c r="AV244" i="33"/>
  <c r="AT243" i="33"/>
  <c r="AS242" i="33"/>
  <c r="AR243" i="33"/>
  <c r="AM243" i="33"/>
  <c r="AN243" i="33" s="1"/>
  <c r="Z242" i="33"/>
  <c r="AB242" i="33" s="1"/>
  <c r="AT244" i="33"/>
  <c r="AS243" i="33"/>
  <c r="Z243" i="33"/>
  <c r="AB243" i="33" s="1"/>
  <c r="AM244" i="33"/>
  <c r="AN244" i="33" s="1"/>
  <c r="AS244" i="33"/>
  <c r="AM241" i="33"/>
  <c r="AN241" i="33" s="1"/>
  <c r="AQ241" i="33"/>
  <c r="AM240" i="33"/>
  <c r="AN240" i="33" s="1"/>
  <c r="AV241" i="33"/>
  <c r="AT241" i="33"/>
  <c r="AR241" i="33"/>
  <c r="AS241" i="33"/>
  <c r="AR240" i="33"/>
  <c r="AQ240" i="33"/>
  <c r="AT240" i="33"/>
  <c r="AP240" i="33"/>
  <c r="AU240" i="33"/>
  <c r="AS240" i="33"/>
  <c r="AV240" i="33"/>
  <c r="I250" i="33" l="1"/>
  <c r="K250" i="33"/>
  <c r="L250" i="33" s="1"/>
  <c r="M250" i="33"/>
  <c r="N250" i="33" s="1"/>
  <c r="X250" i="33"/>
  <c r="Y250" i="33"/>
  <c r="AA250" i="33"/>
  <c r="AC250" i="33"/>
  <c r="AL250" i="33" s="1"/>
  <c r="AD250" i="33"/>
  <c r="AE250" i="33"/>
  <c r="AF250" i="33"/>
  <c r="AG250" i="33"/>
  <c r="AH250" i="33"/>
  <c r="AI250" i="33"/>
  <c r="AJ250" i="33"/>
  <c r="AK250" i="33"/>
  <c r="AO250" i="33"/>
  <c r="AQ250" i="33" l="1"/>
  <c r="AM250" i="33"/>
  <c r="AN250" i="33" s="1"/>
  <c r="AS250" i="33"/>
  <c r="AU250" i="33"/>
  <c r="AV250" i="33"/>
  <c r="AR250" i="33"/>
  <c r="AT250" i="33"/>
  <c r="AP250" i="33"/>
  <c r="I249" i="33" l="1"/>
  <c r="K249" i="33"/>
  <c r="L249" i="33" s="1"/>
  <c r="M249" i="33"/>
  <c r="N249" i="33" s="1"/>
  <c r="X249" i="33"/>
  <c r="Y249" i="33"/>
  <c r="AA249" i="33"/>
  <c r="Z248" i="33" s="1"/>
  <c r="AB248" i="33" s="1"/>
  <c r="AC249" i="33"/>
  <c r="AL249" i="33" s="1"/>
  <c r="AD249" i="33"/>
  <c r="AE249" i="33"/>
  <c r="AF249" i="33"/>
  <c r="AG249" i="33"/>
  <c r="AH249" i="33"/>
  <c r="AI249" i="33"/>
  <c r="AJ249" i="33"/>
  <c r="AK249" i="33"/>
  <c r="AO249" i="33"/>
  <c r="I73" i="33"/>
  <c r="K73" i="33"/>
  <c r="L73" i="33" s="1"/>
  <c r="M73" i="33"/>
  <c r="N73" i="33" s="1"/>
  <c r="X73" i="33"/>
  <c r="Y73" i="33"/>
  <c r="AA73" i="33"/>
  <c r="AC73" i="33"/>
  <c r="AL73" i="33" s="1"/>
  <c r="AD73" i="33"/>
  <c r="AE73" i="33"/>
  <c r="AF73" i="33"/>
  <c r="AG73" i="33"/>
  <c r="AH73" i="33"/>
  <c r="AI73" i="33"/>
  <c r="AJ73" i="33"/>
  <c r="AK73" i="33"/>
  <c r="AO73" i="33"/>
  <c r="I247" i="33"/>
  <c r="K247" i="33"/>
  <c r="L247" i="33" s="1"/>
  <c r="M247" i="33"/>
  <c r="N247" i="33" s="1"/>
  <c r="X247" i="33"/>
  <c r="Y247" i="33"/>
  <c r="AA247" i="33"/>
  <c r="Z246" i="33" s="1"/>
  <c r="AB246" i="33" s="1"/>
  <c r="AC247" i="33"/>
  <c r="AL247" i="33" s="1"/>
  <c r="AD247" i="33"/>
  <c r="AE247" i="33"/>
  <c r="AF247" i="33"/>
  <c r="AG247" i="33"/>
  <c r="AH247" i="33"/>
  <c r="AI247" i="33"/>
  <c r="AJ247" i="33"/>
  <c r="AK247" i="33"/>
  <c r="AO247" i="33"/>
  <c r="I239" i="33"/>
  <c r="K239" i="33"/>
  <c r="L239" i="33" s="1"/>
  <c r="M239" i="33"/>
  <c r="N239" i="33" s="1"/>
  <c r="X239" i="33"/>
  <c r="Y239" i="33"/>
  <c r="AA239" i="33"/>
  <c r="AC239" i="33"/>
  <c r="AL239" i="33" s="1"/>
  <c r="AD239" i="33"/>
  <c r="AE239" i="33"/>
  <c r="AF239" i="33"/>
  <c r="AG239" i="33"/>
  <c r="AH239" i="33"/>
  <c r="AI239" i="33"/>
  <c r="AJ239" i="33"/>
  <c r="AK239" i="33"/>
  <c r="AO239" i="33"/>
  <c r="I238" i="33"/>
  <c r="K238" i="33"/>
  <c r="L238" i="33" s="1"/>
  <c r="M238" i="33"/>
  <c r="N238" i="33" s="1"/>
  <c r="X238" i="33"/>
  <c r="Y238" i="33"/>
  <c r="AA238" i="33"/>
  <c r="AC238" i="33"/>
  <c r="AL238" i="33" s="1"/>
  <c r="AD238" i="33"/>
  <c r="AE238" i="33"/>
  <c r="AF238" i="33"/>
  <c r="AG238" i="33"/>
  <c r="AH238" i="33"/>
  <c r="AI238" i="33"/>
  <c r="AJ238" i="33"/>
  <c r="AK238" i="33"/>
  <c r="AO238" i="33"/>
  <c r="I22" i="33"/>
  <c r="K22" i="33"/>
  <c r="L22" i="33" s="1"/>
  <c r="M22" i="33"/>
  <c r="N22" i="33" s="1"/>
  <c r="X22" i="33"/>
  <c r="Y22" i="33"/>
  <c r="AA22" i="33"/>
  <c r="AC22" i="33"/>
  <c r="AL22" i="33" s="1"/>
  <c r="AD22" i="33"/>
  <c r="AE22" i="33"/>
  <c r="AF22" i="33"/>
  <c r="AG22" i="33"/>
  <c r="AH22" i="33"/>
  <c r="AI22" i="33"/>
  <c r="AJ22" i="33"/>
  <c r="AK22" i="33"/>
  <c r="AO22" i="33"/>
  <c r="AO95" i="33"/>
  <c r="AK95" i="33"/>
  <c r="AJ95" i="33"/>
  <c r="AI95" i="33"/>
  <c r="AH95" i="33"/>
  <c r="AG95" i="33"/>
  <c r="AF95" i="33"/>
  <c r="AE95" i="33"/>
  <c r="AD95" i="33"/>
  <c r="AC95" i="33"/>
  <c r="AL95" i="33" s="1"/>
  <c r="AA95" i="33"/>
  <c r="Y95" i="33"/>
  <c r="X95" i="33"/>
  <c r="M95" i="33"/>
  <c r="N95" i="33" s="1"/>
  <c r="K95" i="33"/>
  <c r="L95" i="33" s="1"/>
  <c r="I95" i="33"/>
  <c r="Z244" i="33" l="1"/>
  <c r="AB244" i="33" s="1"/>
  <c r="Z245" i="33"/>
  <c r="AB245" i="33" s="1"/>
  <c r="Z240" i="33"/>
  <c r="AB240" i="33" s="1"/>
  <c r="Z241" i="33"/>
  <c r="AB241" i="33" s="1"/>
  <c r="AM249" i="33"/>
  <c r="AN249" i="33" s="1"/>
  <c r="AR249" i="33"/>
  <c r="AQ249" i="33"/>
  <c r="AT249" i="33"/>
  <c r="AP249" i="33"/>
  <c r="AU249" i="33"/>
  <c r="AS249" i="33"/>
  <c r="AV249" i="33"/>
  <c r="AM247" i="33"/>
  <c r="AN247" i="33" s="1"/>
  <c r="AR239" i="33"/>
  <c r="AT247" i="33"/>
  <c r="AU247" i="33"/>
  <c r="AR247" i="33"/>
  <c r="AP247" i="33"/>
  <c r="AV247" i="33"/>
  <c r="AQ247" i="33"/>
  <c r="AS247" i="33"/>
  <c r="AM239" i="33"/>
  <c r="AN239" i="33" s="1"/>
  <c r="AU239" i="33"/>
  <c r="AT239" i="33"/>
  <c r="AP239" i="33"/>
  <c r="AQ239" i="33"/>
  <c r="AS239" i="33"/>
  <c r="AV239" i="33"/>
  <c r="AP238" i="33"/>
  <c r="AM238" i="33"/>
  <c r="AN238" i="33" s="1"/>
  <c r="AT238" i="33"/>
  <c r="AR238" i="33"/>
  <c r="AV238" i="33"/>
  <c r="AQ238" i="33"/>
  <c r="AU238" i="33"/>
  <c r="AS238" i="33"/>
  <c r="AM22" i="33"/>
  <c r="AN22" i="33" s="1"/>
  <c r="AM95" i="33"/>
  <c r="AN95" i="33" s="1"/>
  <c r="AO68" i="33" l="1"/>
  <c r="AK68" i="33"/>
  <c r="AJ68" i="33"/>
  <c r="AI68" i="33"/>
  <c r="AH68" i="33"/>
  <c r="AG68" i="33"/>
  <c r="AF68" i="33"/>
  <c r="AE68" i="33"/>
  <c r="AD68" i="33"/>
  <c r="AC68" i="33"/>
  <c r="AL68" i="33" s="1"/>
  <c r="AA68" i="33"/>
  <c r="Y68" i="33"/>
  <c r="X68" i="33"/>
  <c r="M68" i="33"/>
  <c r="N68" i="33" s="1"/>
  <c r="K68" i="33"/>
  <c r="L68" i="33" s="1"/>
  <c r="I68" i="33"/>
  <c r="I111" i="33"/>
  <c r="K111" i="33"/>
  <c r="L111" i="33" s="1"/>
  <c r="M111" i="33"/>
  <c r="N111" i="33" s="1"/>
  <c r="X111" i="33"/>
  <c r="Y111" i="33"/>
  <c r="AA111" i="33"/>
  <c r="AC111" i="33"/>
  <c r="AL111" i="33" s="1"/>
  <c r="AD111" i="33"/>
  <c r="AE111" i="33"/>
  <c r="AF111" i="33"/>
  <c r="AG111" i="33"/>
  <c r="AH111" i="33"/>
  <c r="AI111" i="33"/>
  <c r="AJ111" i="33"/>
  <c r="AK111" i="33"/>
  <c r="AO111" i="33"/>
  <c r="I43" i="33"/>
  <c r="K43" i="33"/>
  <c r="L43" i="33" s="1"/>
  <c r="M43" i="33"/>
  <c r="N43" i="33" s="1"/>
  <c r="X43" i="33"/>
  <c r="Y43" i="33"/>
  <c r="AA43" i="33"/>
  <c r="AC43" i="33"/>
  <c r="AL43" i="33" s="1"/>
  <c r="AD43" i="33"/>
  <c r="AE43" i="33"/>
  <c r="AF43" i="33"/>
  <c r="AG43" i="33"/>
  <c r="AH43" i="33"/>
  <c r="AI43" i="33"/>
  <c r="AJ43" i="33"/>
  <c r="AK43" i="33"/>
  <c r="AO43" i="33"/>
  <c r="I39" i="33"/>
  <c r="K39" i="33"/>
  <c r="L39" i="33" s="1"/>
  <c r="M39" i="33"/>
  <c r="N39" i="33" s="1"/>
  <c r="X39" i="33"/>
  <c r="Y39" i="33"/>
  <c r="AA39" i="33"/>
  <c r="AC39" i="33"/>
  <c r="AL39" i="33" s="1"/>
  <c r="AD39" i="33"/>
  <c r="AE39" i="33"/>
  <c r="AF39" i="33"/>
  <c r="AG39" i="33"/>
  <c r="AH39" i="33"/>
  <c r="AI39" i="33"/>
  <c r="AJ39" i="33"/>
  <c r="AK39" i="33"/>
  <c r="AO39" i="33"/>
  <c r="I41" i="33"/>
  <c r="K41" i="33"/>
  <c r="L41" i="33" s="1"/>
  <c r="M41" i="33"/>
  <c r="N41" i="33" s="1"/>
  <c r="X41" i="33"/>
  <c r="Y41" i="33"/>
  <c r="AA41" i="33"/>
  <c r="AC41" i="33"/>
  <c r="AL41" i="33" s="1"/>
  <c r="AD41" i="33"/>
  <c r="AE41" i="33"/>
  <c r="AF41" i="33"/>
  <c r="AG41" i="33"/>
  <c r="AH41" i="33"/>
  <c r="AI41" i="33"/>
  <c r="AJ41" i="33"/>
  <c r="AK41" i="33"/>
  <c r="AO41" i="33"/>
  <c r="I37" i="33"/>
  <c r="K37" i="33"/>
  <c r="L37" i="33" s="1"/>
  <c r="M37" i="33"/>
  <c r="N37" i="33" s="1"/>
  <c r="X37" i="33"/>
  <c r="Y37" i="33"/>
  <c r="AA37" i="33"/>
  <c r="AC37" i="33"/>
  <c r="AL37" i="33" s="1"/>
  <c r="AD37" i="33"/>
  <c r="AE37" i="33"/>
  <c r="AF37" i="33"/>
  <c r="AG37" i="33"/>
  <c r="AH37" i="33"/>
  <c r="AI37" i="33"/>
  <c r="AJ37" i="33"/>
  <c r="AK37" i="33"/>
  <c r="AO37" i="33"/>
  <c r="I35" i="33"/>
  <c r="K35" i="33"/>
  <c r="L35" i="33" s="1"/>
  <c r="M35" i="33"/>
  <c r="N35" i="33" s="1"/>
  <c r="X35" i="33"/>
  <c r="Y35" i="33"/>
  <c r="AA35" i="33"/>
  <c r="AC35" i="33"/>
  <c r="AL35" i="33" s="1"/>
  <c r="AD35" i="33"/>
  <c r="AE35" i="33"/>
  <c r="AF35" i="33"/>
  <c r="AG35" i="33"/>
  <c r="AH35" i="33"/>
  <c r="AI35" i="33"/>
  <c r="AJ35" i="33"/>
  <c r="AK35" i="33"/>
  <c r="AO35" i="33"/>
  <c r="I49" i="33"/>
  <c r="K49" i="33"/>
  <c r="L49" i="33" s="1"/>
  <c r="M49" i="33"/>
  <c r="N49" i="33" s="1"/>
  <c r="X49" i="33"/>
  <c r="Y49" i="33"/>
  <c r="AA49" i="33"/>
  <c r="AC49" i="33"/>
  <c r="AL49" i="33" s="1"/>
  <c r="AD49" i="33"/>
  <c r="AE49" i="33"/>
  <c r="AF49" i="33"/>
  <c r="AG49" i="33"/>
  <c r="AH49" i="33"/>
  <c r="AI49" i="33"/>
  <c r="AJ49" i="33"/>
  <c r="AK49" i="33"/>
  <c r="AO49" i="33"/>
  <c r="I46" i="33"/>
  <c r="K46" i="33"/>
  <c r="L46" i="33" s="1"/>
  <c r="M46" i="33"/>
  <c r="N46" i="33" s="1"/>
  <c r="X46" i="33"/>
  <c r="Y46" i="33"/>
  <c r="AA46" i="33"/>
  <c r="AC46" i="33"/>
  <c r="AL46" i="33" s="1"/>
  <c r="AD46" i="33"/>
  <c r="AE46" i="33"/>
  <c r="AF46" i="33"/>
  <c r="AG46" i="33"/>
  <c r="AH46" i="33"/>
  <c r="AI46" i="33"/>
  <c r="AJ46" i="33"/>
  <c r="AK46" i="33"/>
  <c r="AO46" i="33"/>
  <c r="I172" i="33"/>
  <c r="K172" i="33"/>
  <c r="L172" i="33" s="1"/>
  <c r="M172" i="33"/>
  <c r="N172" i="33" s="1"/>
  <c r="X172" i="33"/>
  <c r="Y172" i="33"/>
  <c r="AA172" i="33"/>
  <c r="AC172" i="33"/>
  <c r="AL172" i="33" s="1"/>
  <c r="AD172" i="33"/>
  <c r="AE172" i="33"/>
  <c r="AF172" i="33"/>
  <c r="AG172" i="33"/>
  <c r="AH172" i="33"/>
  <c r="AI172" i="33"/>
  <c r="AJ172" i="33"/>
  <c r="AK172" i="33"/>
  <c r="AO172" i="33"/>
  <c r="I205" i="33"/>
  <c r="K205" i="33"/>
  <c r="L205" i="33" s="1"/>
  <c r="M205" i="33"/>
  <c r="N205" i="33" s="1"/>
  <c r="X205" i="33"/>
  <c r="Y205" i="33"/>
  <c r="AA205" i="33"/>
  <c r="AC205" i="33"/>
  <c r="AL205" i="33" s="1"/>
  <c r="AD205" i="33"/>
  <c r="AE205" i="33"/>
  <c r="AF205" i="33"/>
  <c r="AG205" i="33"/>
  <c r="AH205" i="33"/>
  <c r="AI205" i="33"/>
  <c r="AJ205" i="33"/>
  <c r="AK205" i="33"/>
  <c r="AO205" i="33"/>
  <c r="I64" i="33"/>
  <c r="K64" i="33"/>
  <c r="L64" i="33" s="1"/>
  <c r="M64" i="33"/>
  <c r="N64" i="33" s="1"/>
  <c r="X64" i="33"/>
  <c r="Y64" i="33"/>
  <c r="AA64" i="33"/>
  <c r="Z63" i="33" s="1"/>
  <c r="AB63" i="33" s="1"/>
  <c r="AC64" i="33"/>
  <c r="AL64" i="33" s="1"/>
  <c r="AD64" i="33"/>
  <c r="AE64" i="33"/>
  <c r="AF64" i="33"/>
  <c r="AG64" i="33"/>
  <c r="AH64" i="33"/>
  <c r="AI64" i="33"/>
  <c r="AJ64" i="33"/>
  <c r="AK64" i="33"/>
  <c r="AO64" i="33"/>
  <c r="I216" i="33"/>
  <c r="K216" i="33"/>
  <c r="L216" i="33" s="1"/>
  <c r="M216" i="33"/>
  <c r="N216" i="33" s="1"/>
  <c r="X216" i="33"/>
  <c r="Y216" i="33"/>
  <c r="AA216" i="33"/>
  <c r="AC216" i="33"/>
  <c r="AL216" i="33" s="1"/>
  <c r="AD216" i="33"/>
  <c r="AE216" i="33"/>
  <c r="AF216" i="33"/>
  <c r="AG216" i="33"/>
  <c r="AH216" i="33"/>
  <c r="AI216" i="33"/>
  <c r="AJ216" i="33"/>
  <c r="AK216" i="33"/>
  <c r="AO216" i="33"/>
  <c r="I138" i="33"/>
  <c r="K138" i="33"/>
  <c r="L138" i="33" s="1"/>
  <c r="M138" i="33"/>
  <c r="N138" i="33" s="1"/>
  <c r="X138" i="33"/>
  <c r="Y138" i="33"/>
  <c r="AA138" i="33"/>
  <c r="AC138" i="33"/>
  <c r="AL138" i="33" s="1"/>
  <c r="AD138" i="33"/>
  <c r="AE138" i="33"/>
  <c r="AF138" i="33"/>
  <c r="AG138" i="33"/>
  <c r="AH138" i="33"/>
  <c r="AI138" i="33"/>
  <c r="AJ138" i="33"/>
  <c r="AK138" i="33"/>
  <c r="AO138" i="33"/>
  <c r="I137" i="33"/>
  <c r="K137" i="33"/>
  <c r="L137" i="33" s="1"/>
  <c r="M137" i="33"/>
  <c r="N137" i="33" s="1"/>
  <c r="X137" i="33"/>
  <c r="Y137" i="33"/>
  <c r="AA137" i="33"/>
  <c r="AC137" i="33"/>
  <c r="AL137" i="33" s="1"/>
  <c r="AD137" i="33"/>
  <c r="AE137" i="33"/>
  <c r="AF137" i="33"/>
  <c r="AG137" i="33"/>
  <c r="AH137" i="33"/>
  <c r="AI137" i="33"/>
  <c r="AJ137" i="33"/>
  <c r="AK137" i="33"/>
  <c r="AO137" i="33"/>
  <c r="I207" i="33"/>
  <c r="K207" i="33"/>
  <c r="L207" i="33" s="1"/>
  <c r="M207" i="33"/>
  <c r="N207" i="33" s="1"/>
  <c r="X207" i="33"/>
  <c r="Y207" i="33"/>
  <c r="AA207" i="33"/>
  <c r="AC207" i="33"/>
  <c r="AL207" i="33" s="1"/>
  <c r="AD207" i="33"/>
  <c r="AE207" i="33"/>
  <c r="AF207" i="33"/>
  <c r="AG207" i="33"/>
  <c r="AH207" i="33"/>
  <c r="AI207" i="33"/>
  <c r="AJ207" i="33"/>
  <c r="AK207" i="33"/>
  <c r="AO207" i="33"/>
  <c r="I82" i="33"/>
  <c r="K82" i="33"/>
  <c r="L82" i="33" s="1"/>
  <c r="M82" i="33"/>
  <c r="N82" i="33" s="1"/>
  <c r="X82" i="33"/>
  <c r="Y82" i="33"/>
  <c r="AA82" i="33"/>
  <c r="AC82" i="33"/>
  <c r="AL82" i="33" s="1"/>
  <c r="AD82" i="33"/>
  <c r="AE82" i="33"/>
  <c r="AF82" i="33"/>
  <c r="AG82" i="33"/>
  <c r="AH82" i="33"/>
  <c r="AI82" i="33"/>
  <c r="AJ82" i="33"/>
  <c r="AK82" i="33"/>
  <c r="AO82" i="33"/>
  <c r="I209" i="33"/>
  <c r="K209" i="33"/>
  <c r="L209" i="33" s="1"/>
  <c r="M209" i="33"/>
  <c r="N209" i="33" s="1"/>
  <c r="X209" i="33"/>
  <c r="Y209" i="33"/>
  <c r="AA209" i="33"/>
  <c r="AC209" i="33"/>
  <c r="AL209" i="33" s="1"/>
  <c r="AD209" i="33"/>
  <c r="AE209" i="33"/>
  <c r="AF209" i="33"/>
  <c r="AG209" i="33"/>
  <c r="AH209" i="33"/>
  <c r="AI209" i="33"/>
  <c r="AJ209" i="33"/>
  <c r="AK209" i="33"/>
  <c r="AO209" i="33"/>
  <c r="I59" i="33"/>
  <c r="K59" i="33"/>
  <c r="L59" i="33" s="1"/>
  <c r="M59" i="33"/>
  <c r="N59" i="33" s="1"/>
  <c r="X59" i="33"/>
  <c r="Y59" i="33"/>
  <c r="AA59" i="33"/>
  <c r="AC59" i="33"/>
  <c r="AL59" i="33" s="1"/>
  <c r="AD59" i="33"/>
  <c r="AE59" i="33"/>
  <c r="AF59" i="33"/>
  <c r="AG59" i="33"/>
  <c r="AH59" i="33"/>
  <c r="AI59" i="33"/>
  <c r="AJ59" i="33"/>
  <c r="AK59" i="33"/>
  <c r="AO59" i="33"/>
  <c r="I198" i="33"/>
  <c r="K198" i="33"/>
  <c r="L198" i="33" s="1"/>
  <c r="M198" i="33"/>
  <c r="N198" i="33" s="1"/>
  <c r="X198" i="33"/>
  <c r="Y198" i="33"/>
  <c r="AA198" i="33"/>
  <c r="AC198" i="33"/>
  <c r="AL198" i="33" s="1"/>
  <c r="AD198" i="33"/>
  <c r="AE198" i="33"/>
  <c r="AF198" i="33"/>
  <c r="AG198" i="33"/>
  <c r="AH198" i="33"/>
  <c r="AI198" i="33"/>
  <c r="AJ198" i="33"/>
  <c r="AK198" i="33"/>
  <c r="AO198" i="33"/>
  <c r="I84" i="33"/>
  <c r="K84" i="33"/>
  <c r="L84" i="33" s="1"/>
  <c r="M84" i="33"/>
  <c r="N84" i="33" s="1"/>
  <c r="X84" i="33"/>
  <c r="Y84" i="33"/>
  <c r="AA84" i="33"/>
  <c r="AC84" i="33"/>
  <c r="AL84" i="33" s="1"/>
  <c r="AD84" i="33"/>
  <c r="AE84" i="33"/>
  <c r="AF84" i="33"/>
  <c r="AG84" i="33"/>
  <c r="AH84" i="33"/>
  <c r="AI84" i="33"/>
  <c r="AJ84" i="33"/>
  <c r="AK84" i="33"/>
  <c r="AO84" i="33"/>
  <c r="I170" i="33"/>
  <c r="K170" i="33"/>
  <c r="L170" i="33" s="1"/>
  <c r="M170" i="33"/>
  <c r="N170" i="33" s="1"/>
  <c r="X170" i="33"/>
  <c r="Y170" i="33"/>
  <c r="AA170" i="33"/>
  <c r="AC170" i="33"/>
  <c r="AL170" i="33" s="1"/>
  <c r="AD170" i="33"/>
  <c r="AE170" i="33"/>
  <c r="AF170" i="33"/>
  <c r="AG170" i="33"/>
  <c r="AH170" i="33"/>
  <c r="AI170" i="33"/>
  <c r="AJ170" i="33"/>
  <c r="AK170" i="33"/>
  <c r="AO170" i="33"/>
  <c r="I166" i="33"/>
  <c r="K166" i="33"/>
  <c r="L166" i="33" s="1"/>
  <c r="M166" i="33"/>
  <c r="N166" i="33" s="1"/>
  <c r="X166" i="33"/>
  <c r="Y166" i="33"/>
  <c r="AA166" i="33"/>
  <c r="AC166" i="33"/>
  <c r="AL166" i="33" s="1"/>
  <c r="AD166" i="33"/>
  <c r="AE166" i="33"/>
  <c r="AF166" i="33"/>
  <c r="AG166" i="33"/>
  <c r="AH166" i="33"/>
  <c r="AI166" i="33"/>
  <c r="AJ166" i="33"/>
  <c r="AK166" i="33"/>
  <c r="AO166" i="33"/>
  <c r="I92" i="33"/>
  <c r="K92" i="33"/>
  <c r="L92" i="33" s="1"/>
  <c r="M92" i="33"/>
  <c r="N92" i="33" s="1"/>
  <c r="X92" i="33"/>
  <c r="Y92" i="33"/>
  <c r="AA92" i="33"/>
  <c r="AC92" i="33"/>
  <c r="AL92" i="33" s="1"/>
  <c r="AD92" i="33"/>
  <c r="AE92" i="33"/>
  <c r="AF92" i="33"/>
  <c r="AG92" i="33"/>
  <c r="AH92" i="33"/>
  <c r="AI92" i="33"/>
  <c r="AJ92" i="33"/>
  <c r="AK92" i="33"/>
  <c r="AO92" i="33"/>
  <c r="I75" i="33"/>
  <c r="K75" i="33"/>
  <c r="L75" i="33" s="1"/>
  <c r="M75" i="33"/>
  <c r="N75" i="33" s="1"/>
  <c r="X75" i="33"/>
  <c r="Y75" i="33"/>
  <c r="AA75" i="33"/>
  <c r="AC75" i="33"/>
  <c r="AL75" i="33" s="1"/>
  <c r="AD75" i="33"/>
  <c r="AE75" i="33"/>
  <c r="AF75" i="33"/>
  <c r="AG75" i="33"/>
  <c r="AH75" i="33"/>
  <c r="AI75" i="33"/>
  <c r="AJ75" i="33"/>
  <c r="AK75" i="33"/>
  <c r="AO75" i="33"/>
  <c r="I32" i="33"/>
  <c r="K32" i="33"/>
  <c r="L32" i="33" s="1"/>
  <c r="M32" i="33"/>
  <c r="N32" i="33" s="1"/>
  <c r="X32" i="33"/>
  <c r="Y32" i="33"/>
  <c r="AA32" i="33"/>
  <c r="AC32" i="33"/>
  <c r="AL32" i="33" s="1"/>
  <c r="AD32" i="33"/>
  <c r="AE32" i="33"/>
  <c r="AF32" i="33"/>
  <c r="AG32" i="33"/>
  <c r="AH32" i="33"/>
  <c r="AI32" i="33"/>
  <c r="AJ32" i="33"/>
  <c r="AK32" i="33"/>
  <c r="AO32" i="33"/>
  <c r="I191" i="33"/>
  <c r="K191" i="33"/>
  <c r="L191" i="33" s="1"/>
  <c r="M191" i="33"/>
  <c r="N191" i="33" s="1"/>
  <c r="X191" i="33"/>
  <c r="Y191" i="33"/>
  <c r="AA191" i="33"/>
  <c r="AC191" i="33"/>
  <c r="AL191" i="33" s="1"/>
  <c r="AD191" i="33"/>
  <c r="AE191" i="33"/>
  <c r="AF191" i="33"/>
  <c r="AG191" i="33"/>
  <c r="AH191" i="33"/>
  <c r="AI191" i="33"/>
  <c r="AJ191" i="33"/>
  <c r="AK191" i="33"/>
  <c r="AO191" i="33"/>
  <c r="I5" i="33"/>
  <c r="K5" i="33"/>
  <c r="L5" i="33" s="1"/>
  <c r="M5" i="33"/>
  <c r="N5" i="33" s="1"/>
  <c r="X5" i="33"/>
  <c r="Y5" i="33"/>
  <c r="AA5" i="33"/>
  <c r="AC5" i="33"/>
  <c r="AL5" i="33" s="1"/>
  <c r="AD5" i="33"/>
  <c r="AE5" i="33"/>
  <c r="AF5" i="33"/>
  <c r="AG5" i="33"/>
  <c r="AH5" i="33"/>
  <c r="AI5" i="33"/>
  <c r="AJ5" i="33"/>
  <c r="AK5" i="33"/>
  <c r="AO5" i="33"/>
  <c r="I27" i="33"/>
  <c r="K27" i="33"/>
  <c r="L27" i="33" s="1"/>
  <c r="M27" i="33"/>
  <c r="N27" i="33" s="1"/>
  <c r="X27" i="33"/>
  <c r="Y27" i="33"/>
  <c r="AA27" i="33"/>
  <c r="AC27" i="33"/>
  <c r="AL27" i="33" s="1"/>
  <c r="AD27" i="33"/>
  <c r="AE27" i="33"/>
  <c r="AF27" i="33"/>
  <c r="AG27" i="33"/>
  <c r="AH27" i="33"/>
  <c r="AI27" i="33"/>
  <c r="AJ27" i="33"/>
  <c r="AK27" i="33"/>
  <c r="AO27" i="33"/>
  <c r="I163" i="33"/>
  <c r="K163" i="33"/>
  <c r="L163" i="33" s="1"/>
  <c r="M163" i="33"/>
  <c r="N163" i="33" s="1"/>
  <c r="X163" i="33"/>
  <c r="Y163" i="33"/>
  <c r="AA163" i="33"/>
  <c r="AC163" i="33"/>
  <c r="AL163" i="33" s="1"/>
  <c r="AD163" i="33"/>
  <c r="AE163" i="33"/>
  <c r="AF163" i="33"/>
  <c r="AG163" i="33"/>
  <c r="AH163" i="33"/>
  <c r="AI163" i="33"/>
  <c r="AJ163" i="33"/>
  <c r="AK163" i="33"/>
  <c r="AO163" i="33"/>
  <c r="I151" i="33"/>
  <c r="K151" i="33"/>
  <c r="L151" i="33" s="1"/>
  <c r="M151" i="33"/>
  <c r="N151" i="33" s="1"/>
  <c r="X151" i="33"/>
  <c r="Y151" i="33"/>
  <c r="AA151" i="33"/>
  <c r="AC151" i="33"/>
  <c r="AL151" i="33" s="1"/>
  <c r="AD151" i="33"/>
  <c r="AE151" i="33"/>
  <c r="AF151" i="33"/>
  <c r="AG151" i="33"/>
  <c r="AH151" i="33"/>
  <c r="AI151" i="33"/>
  <c r="AJ151" i="33"/>
  <c r="AK151" i="33"/>
  <c r="AO151" i="33"/>
  <c r="I130" i="33"/>
  <c r="K130" i="33"/>
  <c r="L130" i="33" s="1"/>
  <c r="N130" i="33"/>
  <c r="X130" i="33"/>
  <c r="Y130" i="33"/>
  <c r="AA130" i="33"/>
  <c r="AC130" i="33"/>
  <c r="AL130" i="33" s="1"/>
  <c r="AD130" i="33"/>
  <c r="AE130" i="33"/>
  <c r="AF130" i="33"/>
  <c r="AG130" i="33"/>
  <c r="AH130" i="33"/>
  <c r="AI130" i="33"/>
  <c r="AJ130" i="33"/>
  <c r="AK130" i="33"/>
  <c r="AO130" i="33"/>
  <c r="I144" i="33"/>
  <c r="K144" i="33"/>
  <c r="L144" i="33" s="1"/>
  <c r="M144" i="33"/>
  <c r="N144" i="33" s="1"/>
  <c r="X144" i="33"/>
  <c r="Y144" i="33"/>
  <c r="AA144" i="33"/>
  <c r="AC144" i="33"/>
  <c r="AL144" i="33" s="1"/>
  <c r="AD144" i="33"/>
  <c r="AE144" i="33"/>
  <c r="AF144" i="33"/>
  <c r="AG144" i="33"/>
  <c r="AH144" i="33"/>
  <c r="AI144" i="33"/>
  <c r="AJ144" i="33"/>
  <c r="AK144" i="33"/>
  <c r="AO144" i="33"/>
  <c r="I106" i="33"/>
  <c r="K106" i="33"/>
  <c r="L106" i="33" s="1"/>
  <c r="M106" i="33"/>
  <c r="N106" i="33" s="1"/>
  <c r="X106" i="33"/>
  <c r="Y106" i="33"/>
  <c r="AA106" i="33"/>
  <c r="AC106" i="33"/>
  <c r="AL106" i="33" s="1"/>
  <c r="AD106" i="33"/>
  <c r="AE106" i="33"/>
  <c r="AF106" i="33"/>
  <c r="AG106" i="33"/>
  <c r="AH106" i="33"/>
  <c r="AI106" i="33"/>
  <c r="AJ106" i="33"/>
  <c r="AK106" i="33"/>
  <c r="AO106" i="33"/>
  <c r="I195" i="33"/>
  <c r="K195" i="33"/>
  <c r="L195" i="33" s="1"/>
  <c r="M195" i="33"/>
  <c r="N195" i="33" s="1"/>
  <c r="X195" i="33"/>
  <c r="Y195" i="33"/>
  <c r="AA195" i="33"/>
  <c r="AC195" i="33"/>
  <c r="AL195" i="33" s="1"/>
  <c r="AD195" i="33"/>
  <c r="AE195" i="33"/>
  <c r="AF195" i="33"/>
  <c r="AG195" i="33"/>
  <c r="AH195" i="33"/>
  <c r="AI195" i="33"/>
  <c r="AJ195" i="33"/>
  <c r="AK195" i="33"/>
  <c r="AO195" i="33"/>
  <c r="I196" i="33"/>
  <c r="K196" i="33"/>
  <c r="L196" i="33" s="1"/>
  <c r="M196" i="33"/>
  <c r="N196" i="33" s="1"/>
  <c r="X196" i="33"/>
  <c r="Y196" i="33"/>
  <c r="AA196" i="33"/>
  <c r="AC196" i="33"/>
  <c r="AL196" i="33" s="1"/>
  <c r="AD196" i="33"/>
  <c r="AE196" i="33"/>
  <c r="AF196" i="33"/>
  <c r="AG196" i="33"/>
  <c r="AH196" i="33"/>
  <c r="AI196" i="33"/>
  <c r="AJ196" i="33"/>
  <c r="AK196" i="33"/>
  <c r="AO196" i="33"/>
  <c r="I117" i="33"/>
  <c r="K117" i="33"/>
  <c r="L117" i="33" s="1"/>
  <c r="M117" i="33"/>
  <c r="N117" i="33" s="1"/>
  <c r="X117" i="33"/>
  <c r="Y117" i="33"/>
  <c r="AA117" i="33"/>
  <c r="AC117" i="33"/>
  <c r="AL117" i="33" s="1"/>
  <c r="AD117" i="33"/>
  <c r="AE117" i="33"/>
  <c r="AF117" i="33"/>
  <c r="AG117" i="33"/>
  <c r="AH117" i="33"/>
  <c r="AI117" i="33"/>
  <c r="AJ117" i="33"/>
  <c r="AK117" i="33"/>
  <c r="AO117" i="33"/>
  <c r="I102" i="33"/>
  <c r="K102" i="33"/>
  <c r="L102" i="33" s="1"/>
  <c r="M102" i="33"/>
  <c r="N102" i="33" s="1"/>
  <c r="X102" i="33"/>
  <c r="Y102" i="33"/>
  <c r="AA102" i="33"/>
  <c r="AC102" i="33"/>
  <c r="AL102" i="33" s="1"/>
  <c r="AD102" i="33"/>
  <c r="AE102" i="33"/>
  <c r="AF102" i="33"/>
  <c r="AG102" i="33"/>
  <c r="AH102" i="33"/>
  <c r="AI102" i="33"/>
  <c r="AJ102" i="33"/>
  <c r="AK102" i="33"/>
  <c r="AO102" i="33"/>
  <c r="I89" i="33"/>
  <c r="K89" i="33"/>
  <c r="L89" i="33" s="1"/>
  <c r="M89" i="33"/>
  <c r="N89" i="33" s="1"/>
  <c r="X89" i="33"/>
  <c r="Y89" i="33"/>
  <c r="AA89" i="33"/>
  <c r="AC89" i="33"/>
  <c r="AL89" i="33" s="1"/>
  <c r="AD89" i="33"/>
  <c r="AE89" i="33"/>
  <c r="AF89" i="33"/>
  <c r="AG89" i="33"/>
  <c r="AH89" i="33"/>
  <c r="AI89" i="33"/>
  <c r="AJ89" i="33"/>
  <c r="AK89" i="33"/>
  <c r="AO89" i="33"/>
  <c r="I90" i="33"/>
  <c r="K90" i="33"/>
  <c r="L90" i="33" s="1"/>
  <c r="M90" i="33"/>
  <c r="N90" i="33" s="1"/>
  <c r="X90" i="33"/>
  <c r="Y90" i="33"/>
  <c r="AA90" i="33"/>
  <c r="AC90" i="33"/>
  <c r="AL90" i="33" s="1"/>
  <c r="AD90" i="33"/>
  <c r="AE90" i="33"/>
  <c r="AF90" i="33"/>
  <c r="AG90" i="33"/>
  <c r="AH90" i="33"/>
  <c r="AI90" i="33"/>
  <c r="AJ90" i="33"/>
  <c r="AK90" i="33"/>
  <c r="AO90" i="33"/>
  <c r="I87" i="33"/>
  <c r="K87" i="33"/>
  <c r="L87" i="33" s="1"/>
  <c r="M87" i="33"/>
  <c r="N87" i="33" s="1"/>
  <c r="X87" i="33"/>
  <c r="Y87" i="33"/>
  <c r="AA87" i="33"/>
  <c r="AC87" i="33"/>
  <c r="AL87" i="33" s="1"/>
  <c r="AD87" i="33"/>
  <c r="AE87" i="33"/>
  <c r="AF87" i="33"/>
  <c r="AG87" i="33"/>
  <c r="AH87" i="33"/>
  <c r="AI87" i="33"/>
  <c r="AJ87" i="33"/>
  <c r="AK87" i="33"/>
  <c r="AO87" i="33"/>
  <c r="I212" i="33"/>
  <c r="K212" i="33"/>
  <c r="L212" i="33" s="1"/>
  <c r="M212" i="33"/>
  <c r="N212" i="33" s="1"/>
  <c r="X212" i="33"/>
  <c r="Y212" i="33"/>
  <c r="AA212" i="33"/>
  <c r="AC212" i="33"/>
  <c r="AL212" i="33" s="1"/>
  <c r="AD212" i="33"/>
  <c r="AE212" i="33"/>
  <c r="AF212" i="33"/>
  <c r="AG212" i="33"/>
  <c r="AH212" i="33"/>
  <c r="AI212" i="33"/>
  <c r="AJ212" i="33"/>
  <c r="AK212" i="33"/>
  <c r="AO212" i="33"/>
  <c r="I134" i="33"/>
  <c r="K134" i="33"/>
  <c r="L134" i="33" s="1"/>
  <c r="M134" i="33"/>
  <c r="N134" i="33" s="1"/>
  <c r="X134" i="33"/>
  <c r="Y134" i="33"/>
  <c r="AA134" i="33"/>
  <c r="AC134" i="33"/>
  <c r="AL134" i="33" s="1"/>
  <c r="AD134" i="33"/>
  <c r="AE134" i="33"/>
  <c r="AF134" i="33"/>
  <c r="AG134" i="33"/>
  <c r="AH134" i="33"/>
  <c r="AI134" i="33"/>
  <c r="AJ134" i="33"/>
  <c r="AK134" i="33"/>
  <c r="AO134" i="33"/>
  <c r="I142" i="33"/>
  <c r="K142" i="33"/>
  <c r="L142" i="33" s="1"/>
  <c r="M142" i="33"/>
  <c r="N142" i="33" s="1"/>
  <c r="X142" i="33"/>
  <c r="Y142" i="33"/>
  <c r="AA142" i="33"/>
  <c r="AC142" i="33"/>
  <c r="AL142" i="33" s="1"/>
  <c r="AD142" i="33"/>
  <c r="AE142" i="33"/>
  <c r="AF142" i="33"/>
  <c r="AG142" i="33"/>
  <c r="AH142" i="33"/>
  <c r="AI142" i="33"/>
  <c r="AJ142" i="33"/>
  <c r="AK142" i="33"/>
  <c r="AO142" i="33"/>
  <c r="AH127" i="33"/>
  <c r="AH126" i="33"/>
  <c r="I116" i="33"/>
  <c r="K116" i="33"/>
  <c r="L116" i="33" s="1"/>
  <c r="M116" i="33"/>
  <c r="N116" i="33" s="1"/>
  <c r="X116" i="33"/>
  <c r="Y116" i="33"/>
  <c r="AA116" i="33"/>
  <c r="AC116" i="33"/>
  <c r="AL116" i="33" s="1"/>
  <c r="AD116" i="33"/>
  <c r="AE116" i="33"/>
  <c r="AF116" i="33"/>
  <c r="AG116" i="33"/>
  <c r="AH116" i="33"/>
  <c r="AI116" i="33"/>
  <c r="AJ116" i="33"/>
  <c r="AK116" i="33"/>
  <c r="AO116" i="33"/>
  <c r="I236" i="33"/>
  <c r="K236" i="33"/>
  <c r="L236" i="33" s="1"/>
  <c r="M236" i="33"/>
  <c r="N236" i="33" s="1"/>
  <c r="X236" i="33"/>
  <c r="Y236" i="33"/>
  <c r="AA236" i="33"/>
  <c r="AC236" i="33"/>
  <c r="AL236" i="33" s="1"/>
  <c r="AD236" i="33"/>
  <c r="AE236" i="33"/>
  <c r="AF236" i="33"/>
  <c r="AG236" i="33"/>
  <c r="AH236" i="33"/>
  <c r="AI236" i="33"/>
  <c r="AJ236" i="33"/>
  <c r="AK236" i="33"/>
  <c r="AO236" i="33"/>
  <c r="I237" i="33"/>
  <c r="K237" i="33"/>
  <c r="L237" i="33" s="1"/>
  <c r="M237" i="33"/>
  <c r="N237" i="33" s="1"/>
  <c r="X237" i="33"/>
  <c r="Y237" i="33"/>
  <c r="AA237" i="33"/>
  <c r="AC237" i="33"/>
  <c r="AL237" i="33" s="1"/>
  <c r="AD237" i="33"/>
  <c r="AE237" i="33"/>
  <c r="AF237" i="33"/>
  <c r="AG237" i="33"/>
  <c r="AH237" i="33"/>
  <c r="AI237" i="33"/>
  <c r="AJ237" i="33"/>
  <c r="AK237" i="33"/>
  <c r="AO237" i="33"/>
  <c r="I235" i="33"/>
  <c r="K235" i="33"/>
  <c r="L235" i="33" s="1"/>
  <c r="M235" i="33"/>
  <c r="N235" i="33" s="1"/>
  <c r="X235" i="33"/>
  <c r="Y235" i="33"/>
  <c r="AA235" i="33"/>
  <c r="Z234" i="33" s="1"/>
  <c r="AB234" i="33" s="1"/>
  <c r="AC235" i="33"/>
  <c r="AL235" i="33" s="1"/>
  <c r="AD235" i="33"/>
  <c r="AE235" i="33"/>
  <c r="AF235" i="33"/>
  <c r="AG235" i="33"/>
  <c r="AH235" i="33"/>
  <c r="AI235" i="33"/>
  <c r="AJ235" i="33"/>
  <c r="AK235" i="33"/>
  <c r="AO235" i="33"/>
  <c r="I160" i="33"/>
  <c r="K160" i="33"/>
  <c r="L160" i="33" s="1"/>
  <c r="M160" i="33"/>
  <c r="N160" i="33" s="1"/>
  <c r="X160" i="33"/>
  <c r="Y160" i="33"/>
  <c r="AA160" i="33"/>
  <c r="AC160" i="33"/>
  <c r="AL160" i="33" s="1"/>
  <c r="AD160" i="33"/>
  <c r="AE160" i="33"/>
  <c r="AF160" i="33"/>
  <c r="AG160" i="33"/>
  <c r="AH160" i="33"/>
  <c r="AI160" i="33"/>
  <c r="AJ160" i="33"/>
  <c r="AK160" i="33"/>
  <c r="AO160" i="33"/>
  <c r="H3" i="48"/>
  <c r="F3" i="48"/>
  <c r="J3" i="48"/>
  <c r="I3" i="48"/>
  <c r="G3" i="48"/>
  <c r="E3" i="48"/>
  <c r="D3" i="48"/>
  <c r="R22" i="60"/>
  <c r="Q22" i="60"/>
  <c r="S22" i="60" s="1"/>
  <c r="R27" i="60"/>
  <c r="Q27" i="60"/>
  <c r="S27" i="60" s="1"/>
  <c r="P19" i="60"/>
  <c r="AM151" i="33" l="1"/>
  <c r="AM73" i="33"/>
  <c r="AN73" i="33" s="1"/>
  <c r="AM68" i="33"/>
  <c r="AN68" i="33" s="1"/>
  <c r="AM111" i="33"/>
  <c r="AN111" i="33" s="1"/>
  <c r="AM43" i="33"/>
  <c r="AN43" i="33" s="1"/>
  <c r="AM39" i="33"/>
  <c r="AN39" i="33" s="1"/>
  <c r="AM41" i="33"/>
  <c r="AN41" i="33" s="1"/>
  <c r="AM37" i="33"/>
  <c r="AN37" i="33" s="1"/>
  <c r="AM35" i="33"/>
  <c r="AN35" i="33" s="1"/>
  <c r="AM49" i="33"/>
  <c r="AN49" i="33" s="1"/>
  <c r="AM46" i="33"/>
  <c r="AN46" i="33" s="1"/>
  <c r="AM172" i="33"/>
  <c r="AN172" i="33" s="1"/>
  <c r="AM205" i="33"/>
  <c r="AN205" i="33" s="1"/>
  <c r="AM64" i="33"/>
  <c r="AN64" i="33" s="1"/>
  <c r="AM216" i="33"/>
  <c r="AN216" i="33" s="1"/>
  <c r="AM138" i="33"/>
  <c r="AN138" i="33" s="1"/>
  <c r="AM137" i="33"/>
  <c r="AN137" i="33" s="1"/>
  <c r="AM207" i="33"/>
  <c r="AN207" i="33" s="1"/>
  <c r="AM82" i="33"/>
  <c r="AN82" i="33" s="1"/>
  <c r="AM209" i="33"/>
  <c r="AN209" i="33" s="1"/>
  <c r="AM59" i="33"/>
  <c r="AN59" i="33" s="1"/>
  <c r="AM198" i="33"/>
  <c r="AN198" i="33" s="1"/>
  <c r="AM84" i="33"/>
  <c r="AN84" i="33" s="1"/>
  <c r="AM170" i="33"/>
  <c r="AN170" i="33" s="1"/>
  <c r="AM166" i="33"/>
  <c r="AN166" i="33" s="1"/>
  <c r="AM92" i="33"/>
  <c r="AN92" i="33" s="1"/>
  <c r="AM75" i="33"/>
  <c r="AN75" i="33" s="1"/>
  <c r="AM32" i="33"/>
  <c r="AN32" i="33" s="1"/>
  <c r="AM191" i="33"/>
  <c r="AN191" i="33" s="1"/>
  <c r="AM5" i="33"/>
  <c r="AN5" i="33" s="1"/>
  <c r="AM27" i="33"/>
  <c r="AN27" i="33" s="1"/>
  <c r="AM163" i="33"/>
  <c r="AN163" i="33" s="1"/>
  <c r="AN151" i="33"/>
  <c r="AM130" i="33"/>
  <c r="AN130" i="33" s="1"/>
  <c r="AM144" i="33"/>
  <c r="AN144" i="33" s="1"/>
  <c r="AM106" i="33"/>
  <c r="AN106" i="33" s="1"/>
  <c r="AM195" i="33"/>
  <c r="AN195" i="33" s="1"/>
  <c r="Z195" i="33"/>
  <c r="AB195" i="33" s="1"/>
  <c r="AM196" i="33"/>
  <c r="AN196" i="33" s="1"/>
  <c r="AM117" i="33"/>
  <c r="AN117" i="33" s="1"/>
  <c r="AM102" i="33"/>
  <c r="AN102" i="33" s="1"/>
  <c r="AM89" i="33"/>
  <c r="AN89" i="33" s="1"/>
  <c r="Z89" i="33"/>
  <c r="AB89" i="33" s="1"/>
  <c r="AM90" i="33"/>
  <c r="AN90" i="33" s="1"/>
  <c r="AM87" i="33"/>
  <c r="AN87" i="33" s="1"/>
  <c r="AM212" i="33"/>
  <c r="AN212" i="33" s="1"/>
  <c r="AM134" i="33"/>
  <c r="AN134" i="33" s="1"/>
  <c r="AM142" i="33"/>
  <c r="AN142" i="33" s="1"/>
  <c r="AM116" i="33"/>
  <c r="AN116" i="33" s="1"/>
  <c r="AR236" i="33"/>
  <c r="AM236" i="33"/>
  <c r="AN236" i="33" s="1"/>
  <c r="AU237" i="33"/>
  <c r="AP236" i="33"/>
  <c r="AQ236" i="33"/>
  <c r="AQ237" i="33"/>
  <c r="AT237" i="33"/>
  <c r="Z236" i="33"/>
  <c r="AB236" i="33" s="1"/>
  <c r="AU236" i="33"/>
  <c r="AP237" i="33"/>
  <c r="AT236" i="33"/>
  <c r="AS237" i="33"/>
  <c r="AS236" i="33"/>
  <c r="AV237" i="33"/>
  <c r="AM237" i="33"/>
  <c r="AN237" i="33" s="1"/>
  <c r="AV236" i="33"/>
  <c r="AQ235" i="33"/>
  <c r="AM235" i="33"/>
  <c r="AN235" i="33" s="1"/>
  <c r="AR237" i="33"/>
  <c r="AU235" i="33"/>
  <c r="AP235" i="33"/>
  <c r="AT235" i="33"/>
  <c r="AR235" i="33"/>
  <c r="AV235" i="33"/>
  <c r="AS235" i="33"/>
  <c r="AM160" i="33"/>
  <c r="AN160" i="33" s="1"/>
  <c r="I233" i="33" l="1"/>
  <c r="K233" i="33"/>
  <c r="L233" i="33" s="1"/>
  <c r="M233" i="33"/>
  <c r="N233" i="33" s="1"/>
  <c r="X233" i="33"/>
  <c r="Y233" i="33"/>
  <c r="AA233" i="33"/>
  <c r="AC233" i="33"/>
  <c r="AL233" i="33" s="1"/>
  <c r="AD233" i="33"/>
  <c r="AE233" i="33"/>
  <c r="AF233" i="33"/>
  <c r="AG233" i="33"/>
  <c r="AH233" i="33"/>
  <c r="AI233" i="33"/>
  <c r="AJ233" i="33"/>
  <c r="AK233" i="33"/>
  <c r="AO233" i="33"/>
  <c r="I232" i="33"/>
  <c r="K232" i="33"/>
  <c r="L232" i="33" s="1"/>
  <c r="M232" i="33"/>
  <c r="N232" i="33" s="1"/>
  <c r="X232" i="33"/>
  <c r="Y232" i="33"/>
  <c r="AA232" i="33"/>
  <c r="AC232" i="33"/>
  <c r="AL232" i="33" s="1"/>
  <c r="AD232" i="33"/>
  <c r="AE232" i="33"/>
  <c r="AF232" i="33"/>
  <c r="AG232" i="33"/>
  <c r="AH232" i="33"/>
  <c r="AI232" i="33"/>
  <c r="AJ232" i="33"/>
  <c r="AK232" i="33"/>
  <c r="AO232" i="33"/>
  <c r="AM233" i="33" l="1"/>
  <c r="AN233" i="33" s="1"/>
  <c r="AM232" i="33"/>
  <c r="AN232" i="33" s="1"/>
  <c r="I224" i="33"/>
  <c r="K224" i="33"/>
  <c r="L224" i="33" s="1"/>
  <c r="M224" i="33"/>
  <c r="N224" i="33" s="1"/>
  <c r="X224" i="33"/>
  <c r="Y224" i="33"/>
  <c r="AA224" i="33"/>
  <c r="AC224" i="33"/>
  <c r="AL224" i="33" s="1"/>
  <c r="AD224" i="33"/>
  <c r="AE224" i="33"/>
  <c r="AF224" i="33"/>
  <c r="AG224" i="33"/>
  <c r="AH224" i="33"/>
  <c r="AI224" i="33"/>
  <c r="AJ224" i="33"/>
  <c r="AK224" i="33"/>
  <c r="AO224" i="33"/>
  <c r="I183" i="33"/>
  <c r="K183" i="33"/>
  <c r="L183" i="33" s="1"/>
  <c r="M183" i="33"/>
  <c r="N183" i="33" s="1"/>
  <c r="X183" i="33"/>
  <c r="Y183" i="33"/>
  <c r="AA183" i="33"/>
  <c r="AC183" i="33"/>
  <c r="AL183" i="33" s="1"/>
  <c r="AD183" i="33"/>
  <c r="AE183" i="33"/>
  <c r="AF183" i="33"/>
  <c r="AG183" i="33"/>
  <c r="AH183" i="33"/>
  <c r="AI183" i="33"/>
  <c r="AJ183" i="33"/>
  <c r="AK183" i="33"/>
  <c r="AO183" i="33"/>
  <c r="I141" i="33"/>
  <c r="K141" i="33"/>
  <c r="L141" i="33" s="1"/>
  <c r="M141" i="33"/>
  <c r="N141" i="33" s="1"/>
  <c r="X141" i="33"/>
  <c r="Y141" i="33"/>
  <c r="AA141" i="33"/>
  <c r="AC141" i="33"/>
  <c r="AL141" i="33" s="1"/>
  <c r="AD141" i="33"/>
  <c r="AE141" i="33"/>
  <c r="AF141" i="33"/>
  <c r="AG141" i="33"/>
  <c r="AH141" i="33"/>
  <c r="AI141" i="33"/>
  <c r="AJ141" i="33"/>
  <c r="AK141" i="33"/>
  <c r="AO141" i="33"/>
  <c r="I62" i="33"/>
  <c r="K62" i="33"/>
  <c r="L62" i="33" s="1"/>
  <c r="M62" i="33"/>
  <c r="N62" i="33" s="1"/>
  <c r="X62" i="33"/>
  <c r="Y62" i="33"/>
  <c r="AA62" i="33"/>
  <c r="AC62" i="33"/>
  <c r="AL62" i="33" s="1"/>
  <c r="AD62" i="33"/>
  <c r="AE62" i="33"/>
  <c r="AF62" i="33"/>
  <c r="AG62" i="33"/>
  <c r="AH62" i="33"/>
  <c r="AI62" i="33"/>
  <c r="AJ62" i="33"/>
  <c r="AK62" i="33"/>
  <c r="AO62" i="33"/>
  <c r="I12" i="33"/>
  <c r="K12" i="33"/>
  <c r="L12" i="33" s="1"/>
  <c r="M12" i="33"/>
  <c r="N12" i="33" s="1"/>
  <c r="X12" i="33"/>
  <c r="Y12" i="33"/>
  <c r="AA12" i="33"/>
  <c r="AC12" i="33"/>
  <c r="AL12" i="33" s="1"/>
  <c r="AD12" i="33"/>
  <c r="AE12" i="33"/>
  <c r="AF12" i="33"/>
  <c r="AG12" i="33"/>
  <c r="AH12" i="33"/>
  <c r="AI12" i="33"/>
  <c r="AJ12" i="33"/>
  <c r="AK12" i="33"/>
  <c r="AO12" i="33"/>
  <c r="AM224" i="33" l="1"/>
  <c r="AN224" i="33" s="1"/>
  <c r="AM183" i="33"/>
  <c r="AN183" i="33" s="1"/>
  <c r="AM141" i="33"/>
  <c r="AN141" i="33" s="1"/>
  <c r="AM62" i="33"/>
  <c r="AN62" i="33" s="1"/>
  <c r="AM12" i="33"/>
  <c r="AN12" i="33" s="1"/>
  <c r="I231" i="33" l="1"/>
  <c r="K231" i="33"/>
  <c r="L231" i="33" s="1"/>
  <c r="M231" i="33"/>
  <c r="N231" i="33" s="1"/>
  <c r="X231" i="33"/>
  <c r="Y231" i="33"/>
  <c r="AA231" i="33"/>
  <c r="AC231" i="33"/>
  <c r="AL231" i="33" s="1"/>
  <c r="AD231" i="33"/>
  <c r="AE231" i="33"/>
  <c r="AF231" i="33"/>
  <c r="AG231" i="33"/>
  <c r="AH231" i="33"/>
  <c r="AI231" i="33"/>
  <c r="AJ231" i="33"/>
  <c r="AK231" i="33"/>
  <c r="AO231" i="33"/>
  <c r="AM231" i="33" l="1"/>
  <c r="AN231" i="33" s="1"/>
  <c r="I230" i="33" l="1"/>
  <c r="K230" i="33"/>
  <c r="L230" i="33" s="1"/>
  <c r="M230" i="33"/>
  <c r="N230" i="33" s="1"/>
  <c r="X230" i="33"/>
  <c r="Y230" i="33"/>
  <c r="AA230" i="33"/>
  <c r="AC230" i="33"/>
  <c r="AL230" i="33" s="1"/>
  <c r="AD230" i="33"/>
  <c r="AE230" i="33"/>
  <c r="AF230" i="33"/>
  <c r="AG230" i="33"/>
  <c r="AH230" i="33"/>
  <c r="AI230" i="33"/>
  <c r="AJ230" i="33"/>
  <c r="AK230" i="33"/>
  <c r="AO230" i="33"/>
  <c r="I229" i="33"/>
  <c r="K229" i="33"/>
  <c r="L229" i="33" s="1"/>
  <c r="M229" i="33"/>
  <c r="N229" i="33" s="1"/>
  <c r="X229" i="33"/>
  <c r="Y229" i="33"/>
  <c r="AA229" i="33"/>
  <c r="AC229" i="33"/>
  <c r="AL229" i="33" s="1"/>
  <c r="AD229" i="33"/>
  <c r="AE229" i="33"/>
  <c r="AF229" i="33"/>
  <c r="AG229" i="33"/>
  <c r="AH229" i="33"/>
  <c r="AI229" i="33"/>
  <c r="AJ229" i="33"/>
  <c r="AK229" i="33"/>
  <c r="AO229" i="33"/>
  <c r="I100" i="33"/>
  <c r="K100" i="33"/>
  <c r="L100" i="33" s="1"/>
  <c r="M100" i="33"/>
  <c r="N100" i="33" s="1"/>
  <c r="X100" i="33"/>
  <c r="Y100" i="33"/>
  <c r="AA100" i="33"/>
  <c r="AC100" i="33"/>
  <c r="AL100" i="33" s="1"/>
  <c r="AD100" i="33"/>
  <c r="AE100" i="33"/>
  <c r="AF100" i="33"/>
  <c r="AG100" i="33"/>
  <c r="AH100" i="33"/>
  <c r="AI100" i="33"/>
  <c r="AJ100" i="33"/>
  <c r="AK100" i="33"/>
  <c r="AO100" i="33"/>
  <c r="I146" i="33"/>
  <c r="K146" i="33"/>
  <c r="L146" i="33" s="1"/>
  <c r="M146" i="33"/>
  <c r="N146" i="33" s="1"/>
  <c r="X146" i="33"/>
  <c r="Y146" i="33"/>
  <c r="AA146" i="33"/>
  <c r="AC146" i="33"/>
  <c r="AL146" i="33" s="1"/>
  <c r="AD146" i="33"/>
  <c r="AE146" i="33"/>
  <c r="AF146" i="33"/>
  <c r="AG146" i="33"/>
  <c r="AH146" i="33"/>
  <c r="AI146" i="33"/>
  <c r="AJ146" i="33"/>
  <c r="AK146" i="33"/>
  <c r="AO146" i="33"/>
  <c r="I226" i="33"/>
  <c r="K226" i="33"/>
  <c r="L226" i="33" s="1"/>
  <c r="M226" i="33"/>
  <c r="N226" i="33" s="1"/>
  <c r="X226" i="33"/>
  <c r="Y226" i="33"/>
  <c r="AA226" i="33"/>
  <c r="AC226" i="33"/>
  <c r="AL226" i="33" s="1"/>
  <c r="AD226" i="33"/>
  <c r="AE226" i="33"/>
  <c r="AF226" i="33"/>
  <c r="AG226" i="33"/>
  <c r="AH226" i="33"/>
  <c r="AI226" i="33"/>
  <c r="AJ226" i="33"/>
  <c r="AK226" i="33"/>
  <c r="AO226" i="33"/>
  <c r="I225" i="33"/>
  <c r="K225" i="33"/>
  <c r="L225" i="33" s="1"/>
  <c r="M225" i="33"/>
  <c r="N225" i="33" s="1"/>
  <c r="X225" i="33"/>
  <c r="Y225" i="33"/>
  <c r="AA225" i="33"/>
  <c r="Z224" i="33" s="1"/>
  <c r="AB224" i="33" s="1"/>
  <c r="AC225" i="33"/>
  <c r="AL225" i="33" s="1"/>
  <c r="AD225" i="33"/>
  <c r="AE225" i="33"/>
  <c r="AF225" i="33"/>
  <c r="AG225" i="33"/>
  <c r="AH225" i="33"/>
  <c r="AI225" i="33"/>
  <c r="AJ225" i="33"/>
  <c r="AK225" i="33"/>
  <c r="AO225" i="33"/>
  <c r="AM226" i="33" l="1"/>
  <c r="AN226" i="33" s="1"/>
  <c r="AM225" i="33"/>
  <c r="AN225" i="33" s="1"/>
  <c r="AM100" i="33"/>
  <c r="AN100" i="33" s="1"/>
  <c r="AM146" i="33"/>
  <c r="AN146" i="33" s="1"/>
  <c r="AM230" i="33"/>
  <c r="AN230" i="33" s="1"/>
  <c r="AM229" i="33"/>
  <c r="AN229" i="33" s="1"/>
  <c r="I219" i="33" l="1"/>
  <c r="K219" i="33"/>
  <c r="L219" i="33" s="1"/>
  <c r="M219" i="33"/>
  <c r="N219" i="33" s="1"/>
  <c r="X219" i="33"/>
  <c r="Y219" i="33"/>
  <c r="AA219" i="33"/>
  <c r="AC219" i="33"/>
  <c r="AL219" i="33" s="1"/>
  <c r="AD219" i="33"/>
  <c r="AE219" i="33"/>
  <c r="AF219" i="33"/>
  <c r="AG219" i="33"/>
  <c r="AH219" i="33"/>
  <c r="AI219" i="33"/>
  <c r="AJ219" i="33"/>
  <c r="AK219" i="33"/>
  <c r="AO219" i="33"/>
  <c r="AO132" i="33"/>
  <c r="AK132" i="33"/>
  <c r="AJ132" i="33"/>
  <c r="AI132" i="33"/>
  <c r="AH132" i="33"/>
  <c r="AG132" i="33"/>
  <c r="AF132" i="33"/>
  <c r="AE132" i="33"/>
  <c r="AD132" i="33"/>
  <c r="AC132" i="33"/>
  <c r="AL132" i="33" s="1"/>
  <c r="AA132" i="33"/>
  <c r="Y132" i="33"/>
  <c r="X132" i="33"/>
  <c r="M132" i="33"/>
  <c r="N132" i="33" s="1"/>
  <c r="K132" i="33"/>
  <c r="L132" i="33" s="1"/>
  <c r="I132" i="33"/>
  <c r="I190" i="33"/>
  <c r="K190" i="33"/>
  <c r="L190" i="33" s="1"/>
  <c r="M190" i="33"/>
  <c r="N190" i="33" s="1"/>
  <c r="X190" i="33"/>
  <c r="Y190" i="33"/>
  <c r="AA190" i="33"/>
  <c r="AC190" i="33"/>
  <c r="AL190" i="33" s="1"/>
  <c r="AD190" i="33"/>
  <c r="AE190" i="33"/>
  <c r="AF190" i="33"/>
  <c r="AG190" i="33"/>
  <c r="AH190" i="33"/>
  <c r="AI190" i="33"/>
  <c r="AJ190" i="33"/>
  <c r="AK190" i="33"/>
  <c r="AO190" i="33"/>
  <c r="I223" i="33"/>
  <c r="K223" i="33"/>
  <c r="L223" i="33" s="1"/>
  <c r="M223" i="33"/>
  <c r="N223" i="33" s="1"/>
  <c r="X223" i="33"/>
  <c r="Y223" i="33"/>
  <c r="AA223" i="33"/>
  <c r="AC223" i="33"/>
  <c r="AL223" i="33" s="1"/>
  <c r="AD223" i="33"/>
  <c r="AE223" i="33"/>
  <c r="AF223" i="33"/>
  <c r="AG223" i="33"/>
  <c r="AH223" i="33"/>
  <c r="AI223" i="33"/>
  <c r="AJ223" i="33"/>
  <c r="AK223" i="33"/>
  <c r="AO223" i="33"/>
  <c r="I16" i="33"/>
  <c r="K16" i="33"/>
  <c r="L16" i="33" s="1"/>
  <c r="M16" i="33"/>
  <c r="N16" i="33" s="1"/>
  <c r="X16" i="33"/>
  <c r="Y16" i="33"/>
  <c r="AA16" i="33"/>
  <c r="AC16" i="33"/>
  <c r="AL16" i="33" s="1"/>
  <c r="AD16" i="33"/>
  <c r="AE16" i="33"/>
  <c r="AF16" i="33"/>
  <c r="AG16" i="33"/>
  <c r="AH16" i="33"/>
  <c r="AI16" i="33"/>
  <c r="AJ16" i="33"/>
  <c r="AK16" i="33"/>
  <c r="AO16" i="33"/>
  <c r="I105" i="33"/>
  <c r="K105" i="33"/>
  <c r="L105" i="33" s="1"/>
  <c r="M105" i="33"/>
  <c r="N105" i="33" s="1"/>
  <c r="X105" i="33"/>
  <c r="Y105" i="33"/>
  <c r="AA105" i="33"/>
  <c r="AC105" i="33"/>
  <c r="AL105" i="33" s="1"/>
  <c r="AD105" i="33"/>
  <c r="AE105" i="33"/>
  <c r="AF105" i="33"/>
  <c r="AG105" i="33"/>
  <c r="AH105" i="33"/>
  <c r="AI105" i="33"/>
  <c r="AJ105" i="33"/>
  <c r="AK105" i="33"/>
  <c r="AO105" i="33"/>
  <c r="I107" i="33"/>
  <c r="K107" i="33"/>
  <c r="L107" i="33" s="1"/>
  <c r="M107" i="33"/>
  <c r="N107" i="33" s="1"/>
  <c r="X107" i="33"/>
  <c r="Y107" i="33"/>
  <c r="AA107" i="33"/>
  <c r="AC107" i="33"/>
  <c r="AL107" i="33" s="1"/>
  <c r="AD107" i="33"/>
  <c r="AE107" i="33"/>
  <c r="AF107" i="33"/>
  <c r="AG107" i="33"/>
  <c r="AH107" i="33"/>
  <c r="AI107" i="33"/>
  <c r="AJ107" i="33"/>
  <c r="AK107" i="33"/>
  <c r="AO107" i="33"/>
  <c r="I201" i="33"/>
  <c r="K201" i="33"/>
  <c r="L201" i="33" s="1"/>
  <c r="M201" i="33"/>
  <c r="N201" i="33" s="1"/>
  <c r="X201" i="33"/>
  <c r="Y201" i="33"/>
  <c r="AA201" i="33"/>
  <c r="AC201" i="33"/>
  <c r="AL201" i="33" s="1"/>
  <c r="AD201" i="33"/>
  <c r="AE201" i="33"/>
  <c r="AF201" i="33"/>
  <c r="AG201" i="33"/>
  <c r="AH201" i="33"/>
  <c r="AI201" i="33"/>
  <c r="AJ201" i="33"/>
  <c r="AK201" i="33"/>
  <c r="AO201" i="33"/>
  <c r="I121" i="33"/>
  <c r="K121" i="33"/>
  <c r="L121" i="33" s="1"/>
  <c r="M121" i="33"/>
  <c r="N121" i="33" s="1"/>
  <c r="X121" i="33"/>
  <c r="Y121" i="33"/>
  <c r="AA121" i="33"/>
  <c r="AC121" i="33"/>
  <c r="AL121" i="33" s="1"/>
  <c r="AD121" i="33"/>
  <c r="AE121" i="33"/>
  <c r="AF121" i="33"/>
  <c r="AG121" i="33"/>
  <c r="AH121" i="33"/>
  <c r="AI121" i="33"/>
  <c r="AJ121" i="33"/>
  <c r="AK121" i="33"/>
  <c r="AO121" i="33"/>
  <c r="Z106" i="33" l="1"/>
  <c r="AB106" i="33" s="1"/>
  <c r="AM219" i="33"/>
  <c r="AN219" i="33" s="1"/>
  <c r="AM132" i="33"/>
  <c r="AN132" i="33" s="1"/>
  <c r="AM190" i="33"/>
  <c r="AN190" i="33" s="1"/>
  <c r="AM223" i="33"/>
  <c r="AN223" i="33" s="1"/>
  <c r="AM16" i="33"/>
  <c r="AN16" i="33" s="1"/>
  <c r="AM105" i="33"/>
  <c r="AN105" i="33" s="1"/>
  <c r="Z105" i="33"/>
  <c r="AB105" i="33" s="1"/>
  <c r="AM107" i="33"/>
  <c r="AN107" i="33" s="1"/>
  <c r="AM201" i="33"/>
  <c r="AN201" i="33" s="1"/>
  <c r="AM121" i="33"/>
  <c r="AN121" i="33" s="1"/>
  <c r="I222" i="33"/>
  <c r="K222" i="33"/>
  <c r="L222" i="33" s="1"/>
  <c r="M222" i="33"/>
  <c r="N222" i="33" s="1"/>
  <c r="X222" i="33"/>
  <c r="Y222" i="33"/>
  <c r="AA222" i="33"/>
  <c r="AC222" i="33"/>
  <c r="AL222" i="33" s="1"/>
  <c r="AD222" i="33"/>
  <c r="AE222" i="33"/>
  <c r="AF222" i="33"/>
  <c r="AG222" i="33"/>
  <c r="AH222" i="33"/>
  <c r="AI222" i="33"/>
  <c r="AJ222" i="33"/>
  <c r="AK222" i="33"/>
  <c r="AO222" i="33"/>
  <c r="I221" i="33"/>
  <c r="K221" i="33"/>
  <c r="L221" i="33" s="1"/>
  <c r="M221" i="33"/>
  <c r="N221" i="33" s="1"/>
  <c r="X221" i="33"/>
  <c r="Y221" i="33"/>
  <c r="AA221" i="33"/>
  <c r="AC221" i="33"/>
  <c r="AL221" i="33" s="1"/>
  <c r="AD221" i="33"/>
  <c r="AE221" i="33"/>
  <c r="AF221" i="33"/>
  <c r="AG221" i="33"/>
  <c r="AH221" i="33"/>
  <c r="AI221" i="33"/>
  <c r="AJ221" i="33"/>
  <c r="AK221" i="33"/>
  <c r="AO221" i="33"/>
  <c r="I220" i="33"/>
  <c r="K220" i="33"/>
  <c r="L220" i="33" s="1"/>
  <c r="M220" i="33"/>
  <c r="N220" i="33" s="1"/>
  <c r="X220" i="33"/>
  <c r="Y220" i="33"/>
  <c r="AA220" i="33"/>
  <c r="Z219" i="33" s="1"/>
  <c r="AB219" i="33" s="1"/>
  <c r="AC220" i="33"/>
  <c r="AL220" i="33" s="1"/>
  <c r="AD220" i="33"/>
  <c r="AE220" i="33"/>
  <c r="AF220" i="33"/>
  <c r="AG220" i="33"/>
  <c r="AH220" i="33"/>
  <c r="AI220" i="33"/>
  <c r="AJ220" i="33"/>
  <c r="AK220" i="33"/>
  <c r="AO220" i="33"/>
  <c r="I185" i="33"/>
  <c r="K185" i="33"/>
  <c r="L185" i="33" s="1"/>
  <c r="M185" i="33"/>
  <c r="N185" i="33" s="1"/>
  <c r="X185" i="33"/>
  <c r="Y185" i="33"/>
  <c r="AA185" i="33"/>
  <c r="AC185" i="33"/>
  <c r="AL185" i="33" s="1"/>
  <c r="AD185" i="33"/>
  <c r="AE185" i="33"/>
  <c r="AF185" i="33"/>
  <c r="AG185" i="33"/>
  <c r="AH185" i="33"/>
  <c r="AI185" i="33"/>
  <c r="AJ185" i="33"/>
  <c r="AK185" i="33"/>
  <c r="AO185" i="33"/>
  <c r="I218" i="33"/>
  <c r="K218" i="33"/>
  <c r="L218" i="33" s="1"/>
  <c r="M218" i="33"/>
  <c r="N218" i="33" s="1"/>
  <c r="X218" i="33"/>
  <c r="Y218" i="33"/>
  <c r="AA218" i="33"/>
  <c r="AC218" i="33"/>
  <c r="AL218" i="33" s="1"/>
  <c r="AD218" i="33"/>
  <c r="AE218" i="33"/>
  <c r="AF218" i="33"/>
  <c r="AG218" i="33"/>
  <c r="AH218" i="33"/>
  <c r="AI218" i="33"/>
  <c r="AJ218" i="33"/>
  <c r="AK218" i="33"/>
  <c r="AO218" i="33"/>
  <c r="I217" i="33"/>
  <c r="K217" i="33"/>
  <c r="L217" i="33" s="1"/>
  <c r="M217" i="33"/>
  <c r="N217" i="33" s="1"/>
  <c r="X217" i="33"/>
  <c r="Y217" i="33"/>
  <c r="AA217" i="33"/>
  <c r="AC217" i="33"/>
  <c r="AL217" i="33" s="1"/>
  <c r="AD217" i="33"/>
  <c r="AE217" i="33"/>
  <c r="AF217" i="33"/>
  <c r="AG217" i="33"/>
  <c r="AH217" i="33"/>
  <c r="AI217" i="33"/>
  <c r="AJ217" i="33"/>
  <c r="AK217" i="33"/>
  <c r="AO217" i="33"/>
  <c r="I215" i="33"/>
  <c r="K215" i="33"/>
  <c r="L215" i="33" s="1"/>
  <c r="M215" i="33"/>
  <c r="N215" i="33" s="1"/>
  <c r="X215" i="33"/>
  <c r="Y215" i="33"/>
  <c r="AA215" i="33"/>
  <c r="AC215" i="33"/>
  <c r="AL215" i="33" s="1"/>
  <c r="AD215" i="33"/>
  <c r="AE215" i="33"/>
  <c r="AF215" i="33"/>
  <c r="AG215" i="33"/>
  <c r="AH215" i="33"/>
  <c r="AI215" i="33"/>
  <c r="AJ215" i="33"/>
  <c r="AK215" i="33"/>
  <c r="AO215" i="33"/>
  <c r="I214" i="33"/>
  <c r="K214" i="33"/>
  <c r="L214" i="33" s="1"/>
  <c r="M214" i="33"/>
  <c r="N214" i="33" s="1"/>
  <c r="X214" i="33"/>
  <c r="Y214" i="33"/>
  <c r="AA214" i="33"/>
  <c r="AC214" i="33"/>
  <c r="AL214" i="33" s="1"/>
  <c r="AD214" i="33"/>
  <c r="AE214" i="33"/>
  <c r="AF214" i="33"/>
  <c r="AG214" i="33"/>
  <c r="AH214" i="33"/>
  <c r="AI214" i="33"/>
  <c r="AJ214" i="33"/>
  <c r="AK214" i="33"/>
  <c r="AO214" i="33"/>
  <c r="I213" i="33"/>
  <c r="K213" i="33"/>
  <c r="L213" i="33" s="1"/>
  <c r="M213" i="33"/>
  <c r="N213" i="33" s="1"/>
  <c r="X213" i="33"/>
  <c r="Y213" i="33"/>
  <c r="AA213" i="33"/>
  <c r="Z212" i="33" s="1"/>
  <c r="AB212" i="33" s="1"/>
  <c r="AC213" i="33"/>
  <c r="AL213" i="33" s="1"/>
  <c r="AD213" i="33"/>
  <c r="AE213" i="33"/>
  <c r="AF213" i="33"/>
  <c r="AG213" i="33"/>
  <c r="AH213" i="33"/>
  <c r="AI213" i="33"/>
  <c r="AJ213" i="33"/>
  <c r="AK213" i="33"/>
  <c r="AO213" i="33"/>
  <c r="I80" i="33"/>
  <c r="K80" i="33"/>
  <c r="L80" i="33" s="1"/>
  <c r="M80" i="33"/>
  <c r="N80" i="33" s="1"/>
  <c r="X80" i="33"/>
  <c r="Y80" i="33"/>
  <c r="AA80" i="33"/>
  <c r="AC80" i="33"/>
  <c r="AL80" i="33" s="1"/>
  <c r="AD80" i="33"/>
  <c r="AE80" i="33"/>
  <c r="AF80" i="33"/>
  <c r="AG80" i="33"/>
  <c r="AH80" i="33"/>
  <c r="AI80" i="33"/>
  <c r="AJ80" i="33"/>
  <c r="AK80" i="33"/>
  <c r="AO80" i="33"/>
  <c r="I211" i="33"/>
  <c r="K211" i="33"/>
  <c r="L211" i="33" s="1"/>
  <c r="M211" i="33"/>
  <c r="N211" i="33" s="1"/>
  <c r="X211" i="33"/>
  <c r="Y211" i="33"/>
  <c r="AA211" i="33"/>
  <c r="AC211" i="33"/>
  <c r="AL211" i="33" s="1"/>
  <c r="AD211" i="33"/>
  <c r="AE211" i="33"/>
  <c r="AF211" i="33"/>
  <c r="AG211" i="33"/>
  <c r="AH211" i="33"/>
  <c r="AI211" i="33"/>
  <c r="AJ211" i="33"/>
  <c r="AK211" i="33"/>
  <c r="AO211" i="33"/>
  <c r="I210" i="33"/>
  <c r="K210" i="33"/>
  <c r="L210" i="33" s="1"/>
  <c r="M210" i="33"/>
  <c r="N210" i="33" s="1"/>
  <c r="X210" i="33"/>
  <c r="Y210" i="33"/>
  <c r="AA210" i="33"/>
  <c r="AC210" i="33"/>
  <c r="AL210" i="33" s="1"/>
  <c r="AD210" i="33"/>
  <c r="AE210" i="33"/>
  <c r="AF210" i="33"/>
  <c r="AG210" i="33"/>
  <c r="AH210" i="33"/>
  <c r="AI210" i="33"/>
  <c r="AJ210" i="33"/>
  <c r="AK210" i="33"/>
  <c r="AO210" i="33"/>
  <c r="I208" i="33"/>
  <c r="K208" i="33"/>
  <c r="L208" i="33" s="1"/>
  <c r="M208" i="33"/>
  <c r="N208" i="33" s="1"/>
  <c r="X208" i="33"/>
  <c r="Y208" i="33"/>
  <c r="AA208" i="33"/>
  <c r="AC208" i="33"/>
  <c r="AL208" i="33" s="1"/>
  <c r="AD208" i="33"/>
  <c r="AE208" i="33"/>
  <c r="AF208" i="33"/>
  <c r="AG208" i="33"/>
  <c r="AH208" i="33"/>
  <c r="AI208" i="33"/>
  <c r="AJ208" i="33"/>
  <c r="AK208" i="33"/>
  <c r="AO208" i="33"/>
  <c r="I206" i="33"/>
  <c r="K206" i="33"/>
  <c r="L206" i="33" s="1"/>
  <c r="M206" i="33"/>
  <c r="N206" i="33" s="1"/>
  <c r="X206" i="33"/>
  <c r="Y206" i="33"/>
  <c r="AA206" i="33"/>
  <c r="AC206" i="33"/>
  <c r="AL206" i="33" s="1"/>
  <c r="AD206" i="33"/>
  <c r="AE206" i="33"/>
  <c r="AF206" i="33"/>
  <c r="AG206" i="33"/>
  <c r="AH206" i="33"/>
  <c r="AI206" i="33"/>
  <c r="AJ206" i="33"/>
  <c r="AK206" i="33"/>
  <c r="AO206" i="33"/>
  <c r="I182" i="33"/>
  <c r="K182" i="33"/>
  <c r="L182" i="33" s="1"/>
  <c r="M182" i="33"/>
  <c r="N182" i="33" s="1"/>
  <c r="X182" i="33"/>
  <c r="Y182" i="33"/>
  <c r="AA182" i="33"/>
  <c r="AC182" i="33"/>
  <c r="AL182" i="33" s="1"/>
  <c r="AD182" i="33"/>
  <c r="AE182" i="33"/>
  <c r="AF182" i="33"/>
  <c r="AG182" i="33"/>
  <c r="AH182" i="33"/>
  <c r="AI182" i="33"/>
  <c r="AJ182" i="33"/>
  <c r="AK182" i="33"/>
  <c r="AO182" i="33"/>
  <c r="AK158" i="33"/>
  <c r="AJ158" i="33"/>
  <c r="AI158" i="33"/>
  <c r="AH158" i="33"/>
  <c r="AG158" i="33"/>
  <c r="AF158" i="33"/>
  <c r="AE158" i="33"/>
  <c r="AD158" i="33"/>
  <c r="AC158" i="33"/>
  <c r="AL158" i="33" s="1"/>
  <c r="AA158" i="33"/>
  <c r="Y158" i="33"/>
  <c r="X158" i="33"/>
  <c r="M158" i="33"/>
  <c r="N158" i="33" s="1"/>
  <c r="K158" i="33"/>
  <c r="L158" i="33" s="1"/>
  <c r="I158" i="33"/>
  <c r="AO203" i="33"/>
  <c r="AK203" i="33"/>
  <c r="AJ203" i="33"/>
  <c r="AI203" i="33"/>
  <c r="AH203" i="33"/>
  <c r="AG203" i="33"/>
  <c r="AF203" i="33"/>
  <c r="AE203" i="33"/>
  <c r="AD203" i="33"/>
  <c r="AC203" i="33"/>
  <c r="AL203" i="33" s="1"/>
  <c r="AA203" i="33"/>
  <c r="Y203" i="33"/>
  <c r="X203" i="33"/>
  <c r="M203" i="33"/>
  <c r="N203" i="33" s="1"/>
  <c r="K203" i="33"/>
  <c r="L203" i="33" s="1"/>
  <c r="I203" i="33"/>
  <c r="AO202" i="33"/>
  <c r="AK202" i="33"/>
  <c r="AJ202" i="33"/>
  <c r="AI202" i="33"/>
  <c r="AH202" i="33"/>
  <c r="AG202" i="33"/>
  <c r="AF202" i="33"/>
  <c r="AE202" i="33"/>
  <c r="AD202" i="33"/>
  <c r="AC202" i="33"/>
  <c r="AL202" i="33" s="1"/>
  <c r="AA202" i="33"/>
  <c r="Z201" i="33" s="1"/>
  <c r="AB201" i="33" s="1"/>
  <c r="Y202" i="33"/>
  <c r="X202" i="33"/>
  <c r="M202" i="33"/>
  <c r="N202" i="33" s="1"/>
  <c r="K202" i="33"/>
  <c r="L202" i="33" s="1"/>
  <c r="I202" i="33"/>
  <c r="AO200" i="33"/>
  <c r="AK200" i="33"/>
  <c r="AJ200" i="33"/>
  <c r="AI200" i="33"/>
  <c r="AH200" i="33"/>
  <c r="AG200" i="33"/>
  <c r="AF200" i="33"/>
  <c r="AE200" i="33"/>
  <c r="AD200" i="33"/>
  <c r="AC200" i="33"/>
  <c r="AL200" i="33" s="1"/>
  <c r="AA200" i="33"/>
  <c r="Y200" i="33"/>
  <c r="X200" i="33"/>
  <c r="M200" i="33"/>
  <c r="N200" i="33" s="1"/>
  <c r="K200" i="33"/>
  <c r="L200" i="33" s="1"/>
  <c r="I200" i="33"/>
  <c r="AO199" i="33"/>
  <c r="AK199" i="33"/>
  <c r="AJ199" i="33"/>
  <c r="AI199" i="33"/>
  <c r="AH199" i="33"/>
  <c r="AG199" i="33"/>
  <c r="AF199" i="33"/>
  <c r="AE199" i="33"/>
  <c r="AD199" i="33"/>
  <c r="AC199" i="33"/>
  <c r="AL199" i="33" s="1"/>
  <c r="AA199" i="33"/>
  <c r="Y199" i="33"/>
  <c r="X199" i="33"/>
  <c r="M199" i="33"/>
  <c r="N199" i="33" s="1"/>
  <c r="K199" i="33"/>
  <c r="L199" i="33" s="1"/>
  <c r="I199" i="33"/>
  <c r="AO197" i="33"/>
  <c r="AK197" i="33"/>
  <c r="AJ197" i="33"/>
  <c r="AI197" i="33"/>
  <c r="AH197" i="33"/>
  <c r="AG197" i="33"/>
  <c r="AF197" i="33"/>
  <c r="AE197" i="33"/>
  <c r="AD197" i="33"/>
  <c r="AC197" i="33"/>
  <c r="AL197" i="33" s="1"/>
  <c r="AA197" i="33"/>
  <c r="Z196" i="33" s="1"/>
  <c r="AB196" i="33" s="1"/>
  <c r="Y197" i="33"/>
  <c r="X197" i="33"/>
  <c r="M197" i="33"/>
  <c r="N197" i="33" s="1"/>
  <c r="K197" i="33"/>
  <c r="L197" i="33" s="1"/>
  <c r="I197" i="33"/>
  <c r="I194" i="33"/>
  <c r="K194" i="33"/>
  <c r="L194" i="33" s="1"/>
  <c r="M194" i="33"/>
  <c r="N194" i="33" s="1"/>
  <c r="X194" i="33"/>
  <c r="Y194" i="33"/>
  <c r="AA194" i="33"/>
  <c r="AC194" i="33"/>
  <c r="AL194" i="33" s="1"/>
  <c r="AD194" i="33"/>
  <c r="AE194" i="33"/>
  <c r="AF194" i="33"/>
  <c r="AG194" i="33"/>
  <c r="AH194" i="33"/>
  <c r="AI194" i="33"/>
  <c r="AJ194" i="33"/>
  <c r="AK194" i="33"/>
  <c r="AO194" i="33"/>
  <c r="I104" i="33"/>
  <c r="K104" i="33"/>
  <c r="L104" i="33" s="1"/>
  <c r="M104" i="33"/>
  <c r="N104" i="33" s="1"/>
  <c r="X104" i="33"/>
  <c r="Y104" i="33"/>
  <c r="AA104" i="33"/>
  <c r="AC104" i="33"/>
  <c r="AL104" i="33" s="1"/>
  <c r="AD104" i="33"/>
  <c r="AE104" i="33"/>
  <c r="AF104" i="33"/>
  <c r="AG104" i="33"/>
  <c r="AH104" i="33"/>
  <c r="AI104" i="33"/>
  <c r="AJ104" i="33"/>
  <c r="AK104" i="33"/>
  <c r="AO104" i="33"/>
  <c r="I112" i="33"/>
  <c r="K112" i="33"/>
  <c r="L112" i="33" s="1"/>
  <c r="M112" i="33"/>
  <c r="N112" i="33" s="1"/>
  <c r="X112" i="33"/>
  <c r="Y112" i="33"/>
  <c r="AA112" i="33"/>
  <c r="AC112" i="33"/>
  <c r="AL112" i="33" s="1"/>
  <c r="AD112" i="33"/>
  <c r="AE112" i="33"/>
  <c r="AF112" i="33"/>
  <c r="AG112" i="33"/>
  <c r="AH112" i="33"/>
  <c r="AI112" i="33"/>
  <c r="AJ112" i="33"/>
  <c r="AK112" i="33"/>
  <c r="AO112" i="33"/>
  <c r="I88" i="33"/>
  <c r="K88" i="33"/>
  <c r="L88" i="33" s="1"/>
  <c r="M88" i="33"/>
  <c r="N88" i="33" s="1"/>
  <c r="X88" i="33"/>
  <c r="Y88" i="33"/>
  <c r="AA88" i="33"/>
  <c r="Z87" i="33" s="1"/>
  <c r="AB87" i="33" s="1"/>
  <c r="AC88" i="33"/>
  <c r="AL88" i="33" s="1"/>
  <c r="AD88" i="33"/>
  <c r="AE88" i="33"/>
  <c r="AF88" i="33"/>
  <c r="AG88" i="33"/>
  <c r="AH88" i="33"/>
  <c r="AI88" i="33"/>
  <c r="AJ88" i="33"/>
  <c r="AK88" i="33"/>
  <c r="AO88" i="33"/>
  <c r="I86" i="33"/>
  <c r="K86" i="33"/>
  <c r="L86" i="33" s="1"/>
  <c r="M86" i="33"/>
  <c r="N86" i="33" s="1"/>
  <c r="X86" i="33"/>
  <c r="Y86" i="33"/>
  <c r="AA86" i="33"/>
  <c r="AC86" i="33"/>
  <c r="AL86" i="33" s="1"/>
  <c r="AD86" i="33"/>
  <c r="AE86" i="33"/>
  <c r="AF86" i="33"/>
  <c r="AG86" i="33"/>
  <c r="AH86" i="33"/>
  <c r="AI86" i="33"/>
  <c r="AJ86" i="33"/>
  <c r="AK86" i="33"/>
  <c r="AO86" i="33"/>
  <c r="I193" i="33"/>
  <c r="K193" i="33"/>
  <c r="L193" i="33" s="1"/>
  <c r="M193" i="33"/>
  <c r="N193" i="33" s="1"/>
  <c r="X193" i="33"/>
  <c r="Y193" i="33"/>
  <c r="AA193" i="33"/>
  <c r="AC193" i="33"/>
  <c r="AL193" i="33" s="1"/>
  <c r="AD193" i="33"/>
  <c r="AE193" i="33"/>
  <c r="AF193" i="33"/>
  <c r="AG193" i="33"/>
  <c r="AH193" i="33"/>
  <c r="AI193" i="33"/>
  <c r="AJ193" i="33"/>
  <c r="AK193" i="33"/>
  <c r="AO193" i="33"/>
  <c r="I180" i="33"/>
  <c r="K180" i="33"/>
  <c r="L180" i="33" s="1"/>
  <c r="M180" i="33"/>
  <c r="N180" i="33" s="1"/>
  <c r="X180" i="33"/>
  <c r="Y180" i="33"/>
  <c r="AA180" i="33"/>
  <c r="AC180" i="33"/>
  <c r="AL180" i="33" s="1"/>
  <c r="AD180" i="33"/>
  <c r="AE180" i="33"/>
  <c r="AF180" i="33"/>
  <c r="AG180" i="33"/>
  <c r="AH180" i="33"/>
  <c r="AI180" i="33"/>
  <c r="AJ180" i="33"/>
  <c r="AK180" i="33"/>
  <c r="AO180" i="33"/>
  <c r="I192" i="33"/>
  <c r="K192" i="33"/>
  <c r="L192" i="33" s="1"/>
  <c r="M192" i="33"/>
  <c r="N192" i="33" s="1"/>
  <c r="X192" i="33"/>
  <c r="Y192" i="33"/>
  <c r="AA192" i="33"/>
  <c r="AC192" i="33"/>
  <c r="AL192" i="33" s="1"/>
  <c r="AD192" i="33"/>
  <c r="AE192" i="33"/>
  <c r="AF192" i="33"/>
  <c r="AG192" i="33"/>
  <c r="AH192" i="33"/>
  <c r="AI192" i="33"/>
  <c r="AJ192" i="33"/>
  <c r="AK192" i="33"/>
  <c r="AO192" i="33"/>
  <c r="I189" i="33"/>
  <c r="K189" i="33"/>
  <c r="L189" i="33" s="1"/>
  <c r="M189" i="33"/>
  <c r="N189" i="33" s="1"/>
  <c r="X189" i="33"/>
  <c r="Y189" i="33"/>
  <c r="AA189" i="33"/>
  <c r="AC189" i="33"/>
  <c r="AL189" i="33" s="1"/>
  <c r="AD189" i="33"/>
  <c r="AE189" i="33"/>
  <c r="AF189" i="33"/>
  <c r="AG189" i="33"/>
  <c r="AH189" i="33"/>
  <c r="AI189" i="33"/>
  <c r="AJ189" i="33"/>
  <c r="AK189" i="33"/>
  <c r="AO189" i="33"/>
  <c r="I188" i="33"/>
  <c r="K188" i="33"/>
  <c r="L188" i="33" s="1"/>
  <c r="M188" i="33"/>
  <c r="N188" i="33" s="1"/>
  <c r="X188" i="33"/>
  <c r="Y188" i="33"/>
  <c r="AA188" i="33"/>
  <c r="AC188" i="33"/>
  <c r="AL188" i="33" s="1"/>
  <c r="AD188" i="33"/>
  <c r="AE188" i="33"/>
  <c r="AF188" i="33"/>
  <c r="AG188" i="33"/>
  <c r="AH188" i="33"/>
  <c r="AI188" i="33"/>
  <c r="AJ188" i="33"/>
  <c r="AK188" i="33"/>
  <c r="AO188" i="33"/>
  <c r="I187" i="33"/>
  <c r="K187" i="33"/>
  <c r="L187" i="33" s="1"/>
  <c r="M187" i="33"/>
  <c r="N187" i="33" s="1"/>
  <c r="X187" i="33"/>
  <c r="Y187" i="33"/>
  <c r="AA187" i="33"/>
  <c r="AC187" i="33"/>
  <c r="AL187" i="33" s="1"/>
  <c r="AD187" i="33"/>
  <c r="AE187" i="33"/>
  <c r="AF187" i="33"/>
  <c r="AG187" i="33"/>
  <c r="AH187" i="33"/>
  <c r="AI187" i="33"/>
  <c r="AJ187" i="33"/>
  <c r="AK187" i="33"/>
  <c r="AO187" i="33"/>
  <c r="I186" i="33"/>
  <c r="K186" i="33"/>
  <c r="L186" i="33" s="1"/>
  <c r="M186" i="33"/>
  <c r="N186" i="33" s="1"/>
  <c r="X186" i="33"/>
  <c r="Y186" i="33"/>
  <c r="AA186" i="33"/>
  <c r="AC186" i="33"/>
  <c r="AL186" i="33" s="1"/>
  <c r="AD186" i="33"/>
  <c r="AE186" i="33"/>
  <c r="AF186" i="33"/>
  <c r="AG186" i="33"/>
  <c r="AH186" i="33"/>
  <c r="AI186" i="33"/>
  <c r="AJ186" i="33"/>
  <c r="AK186" i="33"/>
  <c r="AO186" i="33"/>
  <c r="I176" i="33"/>
  <c r="K176" i="33"/>
  <c r="L176" i="33" s="1"/>
  <c r="M176" i="33"/>
  <c r="N176" i="33" s="1"/>
  <c r="X176" i="33"/>
  <c r="Y176" i="33"/>
  <c r="AA176" i="33"/>
  <c r="AC176" i="33"/>
  <c r="AL176" i="33" s="1"/>
  <c r="AD176" i="33"/>
  <c r="AE176" i="33"/>
  <c r="AF176" i="33"/>
  <c r="AG176" i="33"/>
  <c r="AH176" i="33"/>
  <c r="AI176" i="33"/>
  <c r="AJ176" i="33"/>
  <c r="AK176" i="33"/>
  <c r="AO176" i="33"/>
  <c r="I184" i="33"/>
  <c r="K184" i="33"/>
  <c r="L184" i="33" s="1"/>
  <c r="M184" i="33"/>
  <c r="N184" i="33" s="1"/>
  <c r="X184" i="33"/>
  <c r="Y184" i="33"/>
  <c r="AA184" i="33"/>
  <c r="AC184" i="33"/>
  <c r="AL184" i="33" s="1"/>
  <c r="AD184" i="33"/>
  <c r="AE184" i="33"/>
  <c r="AF184" i="33"/>
  <c r="AG184" i="33"/>
  <c r="AH184" i="33"/>
  <c r="AI184" i="33"/>
  <c r="AJ184" i="33"/>
  <c r="AK184" i="33"/>
  <c r="AO184" i="33"/>
  <c r="I228" i="33"/>
  <c r="L228" i="33"/>
  <c r="M228" i="33"/>
  <c r="N228" i="33" s="1"/>
  <c r="X228" i="33"/>
  <c r="Y228" i="33"/>
  <c r="AA228" i="33"/>
  <c r="AC228" i="33"/>
  <c r="AL228" i="33" s="1"/>
  <c r="AD228" i="33"/>
  <c r="AE228" i="33"/>
  <c r="AF228" i="33"/>
  <c r="AG228" i="33"/>
  <c r="AH228" i="33"/>
  <c r="AI228" i="33"/>
  <c r="AJ228" i="33"/>
  <c r="AK228" i="33"/>
  <c r="AO228" i="33"/>
  <c r="I227" i="33"/>
  <c r="L227" i="33"/>
  <c r="M227" i="33"/>
  <c r="N227" i="33" s="1"/>
  <c r="X227" i="33"/>
  <c r="Y227" i="33"/>
  <c r="AA227" i="33"/>
  <c r="AC227" i="33"/>
  <c r="AL227" i="33" s="1"/>
  <c r="AD227" i="33"/>
  <c r="AE227" i="33"/>
  <c r="AF227" i="33"/>
  <c r="AG227" i="33"/>
  <c r="AH227" i="33"/>
  <c r="AI227" i="33"/>
  <c r="AJ227" i="33"/>
  <c r="AK227" i="33"/>
  <c r="AO227" i="33"/>
  <c r="I149" i="33"/>
  <c r="K149" i="33"/>
  <c r="L149" i="33" s="1"/>
  <c r="M149" i="33"/>
  <c r="N149" i="33" s="1"/>
  <c r="X149" i="33"/>
  <c r="Y149" i="33"/>
  <c r="AA149" i="33"/>
  <c r="AC149" i="33"/>
  <c r="AL149" i="33" s="1"/>
  <c r="AD149" i="33"/>
  <c r="AE149" i="33"/>
  <c r="AF149" i="33"/>
  <c r="AG149" i="33"/>
  <c r="AH149" i="33"/>
  <c r="AI149" i="33"/>
  <c r="AJ149" i="33"/>
  <c r="AK149" i="33"/>
  <c r="I179" i="33"/>
  <c r="K179" i="33"/>
  <c r="L179" i="33" s="1"/>
  <c r="M179" i="33"/>
  <c r="N179" i="33" s="1"/>
  <c r="X179" i="33"/>
  <c r="Y179" i="33"/>
  <c r="AA179" i="33"/>
  <c r="AC179" i="33"/>
  <c r="AL179" i="33" s="1"/>
  <c r="AD179" i="33"/>
  <c r="AE179" i="33"/>
  <c r="AF179" i="33"/>
  <c r="AG179" i="33"/>
  <c r="AH179" i="33"/>
  <c r="AI179" i="33"/>
  <c r="AJ179" i="33"/>
  <c r="AK179" i="33"/>
  <c r="AO179" i="33"/>
  <c r="I177" i="33"/>
  <c r="K177" i="33"/>
  <c r="L177" i="33" s="1"/>
  <c r="M177" i="33"/>
  <c r="N177" i="33" s="1"/>
  <c r="X177" i="33"/>
  <c r="Y177" i="33"/>
  <c r="AA177" i="33"/>
  <c r="AC177" i="33"/>
  <c r="AL177" i="33" s="1"/>
  <c r="AD177" i="33"/>
  <c r="AE177" i="33"/>
  <c r="AF177" i="33"/>
  <c r="AG177" i="33"/>
  <c r="AH177" i="33"/>
  <c r="AI177" i="33"/>
  <c r="AJ177" i="33"/>
  <c r="AK177" i="33"/>
  <c r="AO177" i="33"/>
  <c r="I175" i="33"/>
  <c r="K175" i="33"/>
  <c r="L175" i="33" s="1"/>
  <c r="M175" i="33"/>
  <c r="N175" i="33" s="1"/>
  <c r="X175" i="33"/>
  <c r="Y175" i="33"/>
  <c r="AA175" i="33"/>
  <c r="AC175" i="33"/>
  <c r="AL175" i="33" s="1"/>
  <c r="AD175" i="33"/>
  <c r="AE175" i="33"/>
  <c r="AF175" i="33"/>
  <c r="AG175" i="33"/>
  <c r="AH175" i="33"/>
  <c r="AI175" i="33"/>
  <c r="AJ175" i="33"/>
  <c r="AK175" i="33"/>
  <c r="AO175" i="33"/>
  <c r="I174" i="33"/>
  <c r="K174" i="33"/>
  <c r="L174" i="33" s="1"/>
  <c r="M174" i="33"/>
  <c r="N174" i="33" s="1"/>
  <c r="X174" i="33"/>
  <c r="Y174" i="33"/>
  <c r="AA174" i="33"/>
  <c r="AC174" i="33"/>
  <c r="AL174" i="33" s="1"/>
  <c r="AD174" i="33"/>
  <c r="AE174" i="33"/>
  <c r="AF174" i="33"/>
  <c r="AG174" i="33"/>
  <c r="AH174" i="33"/>
  <c r="AI174" i="33"/>
  <c r="AJ174" i="33"/>
  <c r="AK174" i="33"/>
  <c r="AO174" i="33"/>
  <c r="I173" i="33"/>
  <c r="K173" i="33"/>
  <c r="L173" i="33" s="1"/>
  <c r="M173" i="33"/>
  <c r="N173" i="33" s="1"/>
  <c r="X173" i="33"/>
  <c r="Y173" i="33"/>
  <c r="AA173" i="33"/>
  <c r="AC173" i="33"/>
  <c r="AL173" i="33" s="1"/>
  <c r="AD173" i="33"/>
  <c r="AE173" i="33"/>
  <c r="AF173" i="33"/>
  <c r="AG173" i="33"/>
  <c r="AH173" i="33"/>
  <c r="AI173" i="33"/>
  <c r="AJ173" i="33"/>
  <c r="AK173" i="33"/>
  <c r="AO173" i="33"/>
  <c r="I171" i="33"/>
  <c r="K171" i="33"/>
  <c r="L171" i="33" s="1"/>
  <c r="M171" i="33"/>
  <c r="N171" i="33" s="1"/>
  <c r="X171" i="33"/>
  <c r="Y171" i="33"/>
  <c r="AA171" i="33"/>
  <c r="AC171" i="33"/>
  <c r="AL171" i="33" s="1"/>
  <c r="AD171" i="33"/>
  <c r="AE171" i="33"/>
  <c r="AF171" i="33"/>
  <c r="AG171" i="33"/>
  <c r="AH171" i="33"/>
  <c r="AI171" i="33"/>
  <c r="AJ171" i="33"/>
  <c r="AK171" i="33"/>
  <c r="AO171" i="33"/>
  <c r="I169" i="33"/>
  <c r="K169" i="33"/>
  <c r="L169" i="33" s="1"/>
  <c r="M169" i="33"/>
  <c r="N169" i="33" s="1"/>
  <c r="X169" i="33"/>
  <c r="Y169" i="33"/>
  <c r="AA169" i="33"/>
  <c r="AC169" i="33"/>
  <c r="AL169" i="33" s="1"/>
  <c r="AD169" i="33"/>
  <c r="AE169" i="33"/>
  <c r="AF169" i="33"/>
  <c r="AG169" i="33"/>
  <c r="AH169" i="33"/>
  <c r="AI169" i="33"/>
  <c r="AJ169" i="33"/>
  <c r="AK169" i="33"/>
  <c r="AO169" i="33"/>
  <c r="I167" i="33"/>
  <c r="K167" i="33"/>
  <c r="L167" i="33" s="1"/>
  <c r="M167" i="33"/>
  <c r="N167" i="33" s="1"/>
  <c r="X167" i="33"/>
  <c r="Y167" i="33"/>
  <c r="AA167" i="33"/>
  <c r="Z166" i="33" s="1"/>
  <c r="AB166" i="33" s="1"/>
  <c r="AC167" i="33"/>
  <c r="AL167" i="33" s="1"/>
  <c r="AD167" i="33"/>
  <c r="AE167" i="33"/>
  <c r="AF167" i="33"/>
  <c r="AG167" i="33"/>
  <c r="AH167" i="33"/>
  <c r="AI167" i="33"/>
  <c r="AJ167" i="33"/>
  <c r="AK167" i="33"/>
  <c r="AO167" i="33"/>
  <c r="Z178" i="33" l="1"/>
  <c r="AB178" i="33" s="1"/>
  <c r="Z111" i="33"/>
  <c r="AB111" i="33" s="1"/>
  <c r="Z209" i="33"/>
  <c r="AB209" i="33" s="1"/>
  <c r="Z172" i="33"/>
  <c r="AB172" i="33" s="1"/>
  <c r="Z205" i="33"/>
  <c r="AB205" i="33" s="1"/>
  <c r="Z216" i="33"/>
  <c r="AB216" i="33" s="1"/>
  <c r="Z207" i="33"/>
  <c r="AB207" i="33" s="1"/>
  <c r="Z198" i="33"/>
  <c r="AB198" i="33" s="1"/>
  <c r="Z170" i="33"/>
  <c r="AB170" i="33" s="1"/>
  <c r="Z191" i="33"/>
  <c r="AB191" i="33" s="1"/>
  <c r="Z190" i="33"/>
  <c r="AB190" i="33" s="1"/>
  <c r="AM222" i="33"/>
  <c r="AN222" i="33" s="1"/>
  <c r="AM221" i="33"/>
  <c r="AN221" i="33" s="1"/>
  <c r="Z86" i="33"/>
  <c r="AB86" i="33" s="1"/>
  <c r="AM220" i="33"/>
  <c r="AN220" i="33" s="1"/>
  <c r="AM185" i="33"/>
  <c r="AN185" i="33" s="1"/>
  <c r="Z185" i="33"/>
  <c r="AB185" i="33" s="1"/>
  <c r="AM217" i="33"/>
  <c r="AN217" i="33" s="1"/>
  <c r="AM218" i="33"/>
  <c r="AN218" i="33" s="1"/>
  <c r="AM215" i="33"/>
  <c r="AN215" i="33" s="1"/>
  <c r="AM214" i="33"/>
  <c r="AN214" i="33" s="1"/>
  <c r="AM213" i="33"/>
  <c r="AN213" i="33" s="1"/>
  <c r="AM80" i="33"/>
  <c r="AN80" i="33" s="1"/>
  <c r="AM211" i="33"/>
  <c r="AN211" i="33" s="1"/>
  <c r="Z202" i="33"/>
  <c r="AB202" i="33" s="1"/>
  <c r="Z200" i="33"/>
  <c r="AB200" i="33" s="1"/>
  <c r="Z208" i="33"/>
  <c r="AB208" i="33" s="1"/>
  <c r="AM210" i="33"/>
  <c r="AN210" i="33" s="1"/>
  <c r="AM208" i="33"/>
  <c r="AN208" i="33" s="1"/>
  <c r="AM206" i="33"/>
  <c r="AN206" i="33" s="1"/>
  <c r="Z206" i="33"/>
  <c r="AB206" i="33" s="1"/>
  <c r="AM182" i="33"/>
  <c r="AN182" i="33" s="1"/>
  <c r="AM200" i="33"/>
  <c r="AN200" i="33" s="1"/>
  <c r="AM158" i="33"/>
  <c r="AN158" i="33" s="1"/>
  <c r="AM203" i="33"/>
  <c r="AN203" i="33" s="1"/>
  <c r="Z203" i="33"/>
  <c r="AB203" i="33" s="1"/>
  <c r="AM202" i="33"/>
  <c r="AN202" i="33" s="1"/>
  <c r="AM197" i="33"/>
  <c r="AN197" i="33" s="1"/>
  <c r="AM199" i="33"/>
  <c r="AN199" i="33" s="1"/>
  <c r="Z197" i="33"/>
  <c r="AB197" i="33" s="1"/>
  <c r="Z199" i="33"/>
  <c r="AB199" i="33" s="1"/>
  <c r="AM194" i="33"/>
  <c r="AN194" i="33" s="1"/>
  <c r="AM104" i="33"/>
  <c r="AN104" i="33" s="1"/>
  <c r="AM112" i="33"/>
  <c r="AN112" i="33" s="1"/>
  <c r="AM88" i="33"/>
  <c r="AN88" i="33" s="1"/>
  <c r="AM86" i="33"/>
  <c r="AN86" i="33" s="1"/>
  <c r="AM193" i="33"/>
  <c r="AN193" i="33" s="1"/>
  <c r="Z186" i="33"/>
  <c r="AB186" i="33" s="1"/>
  <c r="AM180" i="33"/>
  <c r="AN180" i="33" s="1"/>
  <c r="AM192" i="33"/>
  <c r="AN192" i="33" s="1"/>
  <c r="AM189" i="33"/>
  <c r="AN189" i="33" s="1"/>
  <c r="AM188" i="33"/>
  <c r="AN188" i="33" s="1"/>
  <c r="AM187" i="33"/>
  <c r="AN187" i="33" s="1"/>
  <c r="AM186" i="33"/>
  <c r="AN186" i="33" s="1"/>
  <c r="Z176" i="33"/>
  <c r="AB176" i="33" s="1"/>
  <c r="AM176" i="33"/>
  <c r="AN176" i="33" s="1"/>
  <c r="Z227" i="33"/>
  <c r="AB227" i="33" s="1"/>
  <c r="AM184" i="33"/>
  <c r="AN184" i="33" s="1"/>
  <c r="AM228" i="33"/>
  <c r="AN228" i="33" s="1"/>
  <c r="AM227" i="33"/>
  <c r="AN227" i="33" s="1"/>
  <c r="AM149" i="33"/>
  <c r="AN149" i="33" s="1"/>
  <c r="AM179" i="33"/>
  <c r="AN179" i="33" s="1"/>
  <c r="AM177" i="33"/>
  <c r="AN177" i="33" s="1"/>
  <c r="AM175" i="33"/>
  <c r="AN175" i="33" s="1"/>
  <c r="AM174" i="33"/>
  <c r="AN174" i="33" s="1"/>
  <c r="AM173" i="33"/>
  <c r="AN173" i="33" s="1"/>
  <c r="Z173" i="33"/>
  <c r="AB173" i="33" s="1"/>
  <c r="AM171" i="33"/>
  <c r="AN171" i="33" s="1"/>
  <c r="AM169" i="33"/>
  <c r="AN169" i="33" s="1"/>
  <c r="AM167" i="33"/>
  <c r="AN167" i="33" s="1"/>
  <c r="I165" i="33" l="1"/>
  <c r="K165" i="33"/>
  <c r="L165" i="33" s="1"/>
  <c r="M165" i="33"/>
  <c r="N165" i="33" s="1"/>
  <c r="X165" i="33"/>
  <c r="Y165" i="33"/>
  <c r="AA165" i="33"/>
  <c r="AC165" i="33"/>
  <c r="AL165" i="33" s="1"/>
  <c r="AD165" i="33"/>
  <c r="AE165" i="33"/>
  <c r="AF165" i="33"/>
  <c r="AG165" i="33"/>
  <c r="AH165" i="33"/>
  <c r="AI165" i="33"/>
  <c r="AJ165" i="33"/>
  <c r="AK165" i="33"/>
  <c r="AO165" i="33"/>
  <c r="I164" i="33"/>
  <c r="K164" i="33"/>
  <c r="L164" i="33" s="1"/>
  <c r="M164" i="33"/>
  <c r="N164" i="33" s="1"/>
  <c r="X164" i="33"/>
  <c r="Y164" i="33"/>
  <c r="AA164" i="33"/>
  <c r="AC164" i="33"/>
  <c r="AL164" i="33" s="1"/>
  <c r="AD164" i="33"/>
  <c r="AE164" i="33"/>
  <c r="AF164" i="33"/>
  <c r="AG164" i="33"/>
  <c r="AH164" i="33"/>
  <c r="AI164" i="33"/>
  <c r="AJ164" i="33"/>
  <c r="AK164" i="33"/>
  <c r="AO164" i="33"/>
  <c r="I162" i="33"/>
  <c r="K162" i="33"/>
  <c r="L162" i="33" s="1"/>
  <c r="M162" i="33"/>
  <c r="N162" i="33" s="1"/>
  <c r="X162" i="33"/>
  <c r="Y162" i="33"/>
  <c r="AA162" i="33"/>
  <c r="AC162" i="33"/>
  <c r="AL162" i="33" s="1"/>
  <c r="AD162" i="33"/>
  <c r="AE162" i="33"/>
  <c r="AF162" i="33"/>
  <c r="AG162" i="33"/>
  <c r="AH162" i="33"/>
  <c r="AI162" i="33"/>
  <c r="AJ162" i="33"/>
  <c r="AK162" i="33"/>
  <c r="AO162" i="33"/>
  <c r="I161" i="33"/>
  <c r="K161" i="33"/>
  <c r="L161" i="33" s="1"/>
  <c r="M161" i="33"/>
  <c r="N161" i="33" s="1"/>
  <c r="X161" i="33"/>
  <c r="Y161" i="33"/>
  <c r="AA161" i="33"/>
  <c r="Z160" i="33" s="1"/>
  <c r="AB160" i="33" s="1"/>
  <c r="AC161" i="33"/>
  <c r="AL161" i="33" s="1"/>
  <c r="AD161" i="33"/>
  <c r="AE161" i="33"/>
  <c r="AF161" i="33"/>
  <c r="AG161" i="33"/>
  <c r="AH161" i="33"/>
  <c r="AI161" i="33"/>
  <c r="AJ161" i="33"/>
  <c r="AK161" i="33"/>
  <c r="AO161" i="33"/>
  <c r="I159" i="33"/>
  <c r="K159" i="33"/>
  <c r="L159" i="33" s="1"/>
  <c r="M159" i="33"/>
  <c r="N159" i="33" s="1"/>
  <c r="X159" i="33"/>
  <c r="Y159" i="33"/>
  <c r="AA159" i="33"/>
  <c r="Z158" i="33" s="1"/>
  <c r="AB158" i="33" s="1"/>
  <c r="AC159" i="33"/>
  <c r="AL159" i="33" s="1"/>
  <c r="AD159" i="33"/>
  <c r="AE159" i="33"/>
  <c r="AF159" i="33"/>
  <c r="AG159" i="33"/>
  <c r="AH159" i="33"/>
  <c r="AI159" i="33"/>
  <c r="AJ159" i="33"/>
  <c r="AK159" i="33"/>
  <c r="AO159" i="33"/>
  <c r="I108" i="33"/>
  <c r="K108" i="33"/>
  <c r="L108" i="33" s="1"/>
  <c r="M108" i="33"/>
  <c r="N108" i="33" s="1"/>
  <c r="X108" i="33"/>
  <c r="Y108" i="33"/>
  <c r="AA108" i="33"/>
  <c r="AC108" i="33"/>
  <c r="AL108" i="33" s="1"/>
  <c r="AD108" i="33"/>
  <c r="AE108" i="33"/>
  <c r="AF108" i="33"/>
  <c r="AG108" i="33"/>
  <c r="AH108" i="33"/>
  <c r="AI108" i="33"/>
  <c r="AJ108" i="33"/>
  <c r="AK108" i="33"/>
  <c r="AO108" i="33"/>
  <c r="I157" i="33"/>
  <c r="K157" i="33"/>
  <c r="L157" i="33" s="1"/>
  <c r="M157" i="33"/>
  <c r="N157" i="33" s="1"/>
  <c r="X157" i="33"/>
  <c r="Y157" i="33"/>
  <c r="AA157" i="33"/>
  <c r="AC157" i="33"/>
  <c r="AL157" i="33" s="1"/>
  <c r="AD157" i="33"/>
  <c r="AE157" i="33"/>
  <c r="AF157" i="33"/>
  <c r="AG157" i="33"/>
  <c r="AH157" i="33"/>
  <c r="AI157" i="33"/>
  <c r="AJ157" i="33"/>
  <c r="AK157" i="33"/>
  <c r="AO157" i="33"/>
  <c r="I156" i="33"/>
  <c r="K156" i="33"/>
  <c r="L156" i="33" s="1"/>
  <c r="M156" i="33"/>
  <c r="N156" i="33" s="1"/>
  <c r="X156" i="33"/>
  <c r="Y156" i="33"/>
  <c r="AA156" i="33"/>
  <c r="AC156" i="33"/>
  <c r="AL156" i="33" s="1"/>
  <c r="AD156" i="33"/>
  <c r="AE156" i="33"/>
  <c r="AF156" i="33"/>
  <c r="AG156" i="33"/>
  <c r="AH156" i="33"/>
  <c r="AI156" i="33"/>
  <c r="AJ156" i="33"/>
  <c r="AK156" i="33"/>
  <c r="AO156" i="33"/>
  <c r="I155" i="33"/>
  <c r="K155" i="33"/>
  <c r="L155" i="33" s="1"/>
  <c r="M155" i="33"/>
  <c r="N155" i="33" s="1"/>
  <c r="X155" i="33"/>
  <c r="Y155" i="33"/>
  <c r="AA155" i="33"/>
  <c r="AC155" i="33"/>
  <c r="AL155" i="33" s="1"/>
  <c r="AD155" i="33"/>
  <c r="AE155" i="33"/>
  <c r="AF155" i="33"/>
  <c r="AG155" i="33"/>
  <c r="AH155" i="33"/>
  <c r="AI155" i="33"/>
  <c r="AJ155" i="33"/>
  <c r="AK155" i="33"/>
  <c r="AO155" i="33"/>
  <c r="I154" i="33"/>
  <c r="K154" i="33"/>
  <c r="L154" i="33" s="1"/>
  <c r="M154" i="33"/>
  <c r="N154" i="33" s="1"/>
  <c r="X154" i="33"/>
  <c r="Y154" i="33"/>
  <c r="AA154" i="33"/>
  <c r="Z154" i="33" s="1"/>
  <c r="AC154" i="33"/>
  <c r="AL154" i="33" s="1"/>
  <c r="AD154" i="33"/>
  <c r="AE154" i="33"/>
  <c r="AF154" i="33"/>
  <c r="AG154" i="33"/>
  <c r="AH154" i="33"/>
  <c r="AI154" i="33"/>
  <c r="AJ154" i="33"/>
  <c r="AK154" i="33"/>
  <c r="AO154" i="33"/>
  <c r="I153" i="33"/>
  <c r="K153" i="33"/>
  <c r="L153" i="33" s="1"/>
  <c r="M153" i="33"/>
  <c r="N153" i="33" s="1"/>
  <c r="X153" i="33"/>
  <c r="Y153" i="33"/>
  <c r="AA153" i="33"/>
  <c r="AC153" i="33"/>
  <c r="AL153" i="33" s="1"/>
  <c r="AD153" i="33"/>
  <c r="AE153" i="33"/>
  <c r="AF153" i="33"/>
  <c r="AG153" i="33"/>
  <c r="AH153" i="33"/>
  <c r="AI153" i="33"/>
  <c r="AJ153" i="33"/>
  <c r="AK153" i="33"/>
  <c r="AO153" i="33"/>
  <c r="I152" i="33"/>
  <c r="K152" i="33"/>
  <c r="L152" i="33" s="1"/>
  <c r="M152" i="33"/>
  <c r="N152" i="33" s="1"/>
  <c r="X152" i="33"/>
  <c r="Y152" i="33"/>
  <c r="AA152" i="33"/>
  <c r="AC152" i="33"/>
  <c r="AL152" i="33" s="1"/>
  <c r="AD152" i="33"/>
  <c r="AE152" i="33"/>
  <c r="AF152" i="33"/>
  <c r="AG152" i="33"/>
  <c r="AH152" i="33"/>
  <c r="AI152" i="33"/>
  <c r="AJ152" i="33"/>
  <c r="AK152" i="33"/>
  <c r="AO152" i="33"/>
  <c r="I150" i="33"/>
  <c r="K150" i="33"/>
  <c r="L150" i="33" s="1"/>
  <c r="M150" i="33"/>
  <c r="N150" i="33" s="1"/>
  <c r="X150" i="33"/>
  <c r="Y150" i="33"/>
  <c r="AA150" i="33"/>
  <c r="AC150" i="33"/>
  <c r="AL150" i="33" s="1"/>
  <c r="AD150" i="33"/>
  <c r="AE150" i="33"/>
  <c r="AF150" i="33"/>
  <c r="AG150" i="33"/>
  <c r="AH150" i="33"/>
  <c r="AI150" i="33"/>
  <c r="AJ150" i="33"/>
  <c r="AK150" i="33"/>
  <c r="AO150" i="33"/>
  <c r="I109" i="33"/>
  <c r="K109" i="33"/>
  <c r="L109" i="33" s="1"/>
  <c r="M109" i="33"/>
  <c r="N109" i="33" s="1"/>
  <c r="X109" i="33"/>
  <c r="Y109" i="33"/>
  <c r="AA109" i="33"/>
  <c r="AC109" i="33"/>
  <c r="AL109" i="33" s="1"/>
  <c r="AD109" i="33"/>
  <c r="AE109" i="33"/>
  <c r="AF109" i="33"/>
  <c r="AG109" i="33"/>
  <c r="AH109" i="33"/>
  <c r="AI109" i="33"/>
  <c r="AJ109" i="33"/>
  <c r="AK109" i="33"/>
  <c r="AO109" i="33"/>
  <c r="I148" i="33"/>
  <c r="K148" i="33"/>
  <c r="L148" i="33" s="1"/>
  <c r="M148" i="33"/>
  <c r="N148" i="33" s="1"/>
  <c r="X148" i="33"/>
  <c r="Y148" i="33"/>
  <c r="AA148" i="33"/>
  <c r="AC148" i="33"/>
  <c r="AL148" i="33" s="1"/>
  <c r="AD148" i="33"/>
  <c r="AE148" i="33"/>
  <c r="AF148" i="33"/>
  <c r="AG148" i="33"/>
  <c r="AH148" i="33"/>
  <c r="AI148" i="33"/>
  <c r="AJ148" i="33"/>
  <c r="AK148" i="33"/>
  <c r="AO148" i="33"/>
  <c r="AW15" i="45"/>
  <c r="AW16" i="45"/>
  <c r="AW17" i="45"/>
  <c r="AW18" i="45"/>
  <c r="AW19" i="45"/>
  <c r="AW20" i="45"/>
  <c r="AW21" i="45"/>
  <c r="AW22" i="45"/>
  <c r="AM108" i="33" l="1"/>
  <c r="AM109" i="33"/>
  <c r="AN109" i="33" s="1"/>
  <c r="AM157" i="33"/>
  <c r="AN157" i="33" s="1"/>
  <c r="AM162" i="33"/>
  <c r="AN162" i="33" s="1"/>
  <c r="AM152" i="33"/>
  <c r="Z163" i="33"/>
  <c r="AB163" i="33" s="1"/>
  <c r="Z151" i="33"/>
  <c r="AB151" i="33" s="1"/>
  <c r="AM165" i="33"/>
  <c r="AN165" i="33" s="1"/>
  <c r="AM164" i="33"/>
  <c r="AN164" i="33" s="1"/>
  <c r="AM161" i="33"/>
  <c r="AN161" i="33" s="1"/>
  <c r="AM159" i="33"/>
  <c r="AN159" i="33" s="1"/>
  <c r="AN108" i="33"/>
  <c r="AM156" i="33"/>
  <c r="AN156" i="33" s="1"/>
  <c r="Z156" i="33"/>
  <c r="AB156" i="33" s="1"/>
  <c r="AM155" i="33"/>
  <c r="AN155" i="33" s="1"/>
  <c r="AB154" i="33"/>
  <c r="Z153" i="33"/>
  <c r="AB153" i="33" s="1"/>
  <c r="AM154" i="33"/>
  <c r="AN154" i="33" s="1"/>
  <c r="AM153" i="33"/>
  <c r="AN153" i="33" s="1"/>
  <c r="AN152" i="33"/>
  <c r="Z150" i="33"/>
  <c r="AB150" i="33" s="1"/>
  <c r="AM150" i="33"/>
  <c r="AN150" i="33" s="1"/>
  <c r="AM148" i="33"/>
  <c r="AN148" i="33" s="1"/>
  <c r="W2" i="45"/>
  <c r="I147" i="33"/>
  <c r="K147" i="33"/>
  <c r="L147" i="33" s="1"/>
  <c r="M147" i="33"/>
  <c r="N147" i="33" s="1"/>
  <c r="X147" i="33"/>
  <c r="Y147" i="33"/>
  <c r="AA147" i="33"/>
  <c r="AC147" i="33"/>
  <c r="AL147" i="33" s="1"/>
  <c r="AD147" i="33"/>
  <c r="AE147" i="33"/>
  <c r="AF147" i="33"/>
  <c r="AG147" i="33"/>
  <c r="AH147" i="33"/>
  <c r="AI147" i="33"/>
  <c r="AJ147" i="33"/>
  <c r="AK147" i="33"/>
  <c r="AO147" i="33"/>
  <c r="I110" i="33"/>
  <c r="K110" i="33"/>
  <c r="L110" i="33" s="1"/>
  <c r="M110" i="33"/>
  <c r="N110" i="33" s="1"/>
  <c r="X110" i="33"/>
  <c r="Y110" i="33"/>
  <c r="AA110" i="33"/>
  <c r="AC110" i="33"/>
  <c r="AL110" i="33" s="1"/>
  <c r="AD110" i="33"/>
  <c r="AE110" i="33"/>
  <c r="AF110" i="33"/>
  <c r="AG110" i="33"/>
  <c r="AH110" i="33"/>
  <c r="AI110" i="33"/>
  <c r="AJ110" i="33"/>
  <c r="AK110" i="33"/>
  <c r="AO110" i="33"/>
  <c r="I145" i="33"/>
  <c r="K145" i="33"/>
  <c r="L145" i="33" s="1"/>
  <c r="M145" i="33"/>
  <c r="N145" i="33" s="1"/>
  <c r="X145" i="33"/>
  <c r="Y145" i="33"/>
  <c r="AA145" i="33"/>
  <c r="AC145" i="33"/>
  <c r="AL145" i="33" s="1"/>
  <c r="AD145" i="33"/>
  <c r="AE145" i="33"/>
  <c r="AF145" i="33"/>
  <c r="AG145" i="33"/>
  <c r="AH145" i="33"/>
  <c r="AI145" i="33"/>
  <c r="AJ145" i="33"/>
  <c r="AK145" i="33"/>
  <c r="AO145" i="33"/>
  <c r="W5" i="45" a="1"/>
  <c r="Z144" i="33" l="1"/>
  <c r="AB144" i="33" s="1"/>
  <c r="AW14" i="45"/>
  <c r="AW13" i="45"/>
  <c r="AW12" i="45"/>
  <c r="AW6" i="45"/>
  <c r="AW7" i="45"/>
  <c r="AW8" i="45"/>
  <c r="AW9" i="45"/>
  <c r="AW10" i="45"/>
  <c r="AW11" i="45"/>
  <c r="W5" i="45"/>
  <c r="AW5" i="45" s="1"/>
  <c r="AM147" i="33"/>
  <c r="AN147" i="33" s="1"/>
  <c r="AM145" i="33"/>
  <c r="AN145" i="33" s="1"/>
  <c r="AM110" i="33"/>
  <c r="AN110" i="33" s="1"/>
  <c r="I143" i="33"/>
  <c r="K143" i="33"/>
  <c r="L143" i="33" s="1"/>
  <c r="M143" i="33"/>
  <c r="N143" i="33" s="1"/>
  <c r="X143" i="33"/>
  <c r="Y143" i="33"/>
  <c r="AA143" i="33"/>
  <c r="AC143" i="33"/>
  <c r="AL143" i="33" s="1"/>
  <c r="AD143" i="33"/>
  <c r="AE143" i="33"/>
  <c r="AF143" i="33"/>
  <c r="AG143" i="33"/>
  <c r="AH143" i="33"/>
  <c r="AI143" i="33"/>
  <c r="AJ143" i="33"/>
  <c r="AK143" i="33"/>
  <c r="AO143" i="33"/>
  <c r="I140" i="33"/>
  <c r="K140" i="33"/>
  <c r="L140" i="33" s="1"/>
  <c r="M140" i="33"/>
  <c r="N140" i="33" s="1"/>
  <c r="X140" i="33"/>
  <c r="Y140" i="33"/>
  <c r="AA140" i="33"/>
  <c r="AC140" i="33"/>
  <c r="AL140" i="33" s="1"/>
  <c r="AD140" i="33"/>
  <c r="AE140" i="33"/>
  <c r="AF140" i="33"/>
  <c r="AG140" i="33"/>
  <c r="AH140" i="33"/>
  <c r="AI140" i="33"/>
  <c r="AJ140" i="33"/>
  <c r="AK140" i="33"/>
  <c r="AO140" i="33"/>
  <c r="I139" i="33"/>
  <c r="K139" i="33"/>
  <c r="L139" i="33" s="1"/>
  <c r="M139" i="33"/>
  <c r="N139" i="33" s="1"/>
  <c r="X139" i="33"/>
  <c r="Y139" i="33"/>
  <c r="AA139" i="33"/>
  <c r="AC139" i="33"/>
  <c r="AL139" i="33" s="1"/>
  <c r="AD139" i="33"/>
  <c r="AE139" i="33"/>
  <c r="AF139" i="33"/>
  <c r="AG139" i="33"/>
  <c r="AH139" i="33"/>
  <c r="AI139" i="33"/>
  <c r="AJ139" i="33"/>
  <c r="AK139" i="33"/>
  <c r="AO139" i="33"/>
  <c r="I79" i="33"/>
  <c r="K79" i="33"/>
  <c r="L79" i="33" s="1"/>
  <c r="M79" i="33"/>
  <c r="N79" i="33" s="1"/>
  <c r="X79" i="33"/>
  <c r="Y79" i="33"/>
  <c r="AA79" i="33"/>
  <c r="AC79" i="33"/>
  <c r="AL79" i="33" s="1"/>
  <c r="AD79" i="33"/>
  <c r="AE79" i="33"/>
  <c r="AF79" i="33"/>
  <c r="AG79" i="33"/>
  <c r="AH79" i="33"/>
  <c r="AI79" i="33"/>
  <c r="AJ79" i="33"/>
  <c r="AK79" i="33"/>
  <c r="AO79" i="33"/>
  <c r="I83" i="33"/>
  <c r="K83" i="33"/>
  <c r="L83" i="33" s="1"/>
  <c r="M83" i="33"/>
  <c r="N83" i="33" s="1"/>
  <c r="X83" i="33"/>
  <c r="Y83" i="33"/>
  <c r="AA83" i="33"/>
  <c r="Z82" i="33" s="1"/>
  <c r="AB82" i="33" s="1"/>
  <c r="AC83" i="33"/>
  <c r="AL83" i="33" s="1"/>
  <c r="AD83" i="33"/>
  <c r="AE83" i="33"/>
  <c r="AF83" i="33"/>
  <c r="AG83" i="33"/>
  <c r="AH83" i="33"/>
  <c r="AI83" i="33"/>
  <c r="AJ83" i="33"/>
  <c r="AK83" i="33"/>
  <c r="AO83" i="33"/>
  <c r="I66" i="33"/>
  <c r="K66" i="33"/>
  <c r="L66" i="33" s="1"/>
  <c r="M66" i="33"/>
  <c r="N66" i="33" s="1"/>
  <c r="X66" i="33"/>
  <c r="Y66" i="33"/>
  <c r="AA66" i="33"/>
  <c r="AC66" i="33"/>
  <c r="AL66" i="33" s="1"/>
  <c r="AD66" i="33"/>
  <c r="AE66" i="33"/>
  <c r="AF66" i="33"/>
  <c r="AG66" i="33"/>
  <c r="AH66" i="33"/>
  <c r="AI66" i="33"/>
  <c r="AJ66" i="33"/>
  <c r="AK66" i="33"/>
  <c r="AO66" i="33"/>
  <c r="AO135" i="33"/>
  <c r="AK135" i="33"/>
  <c r="AJ135" i="33"/>
  <c r="AI135" i="33"/>
  <c r="AH135" i="33"/>
  <c r="AG135" i="33"/>
  <c r="AF135" i="33"/>
  <c r="AE135" i="33"/>
  <c r="AD135" i="33"/>
  <c r="AC135" i="33"/>
  <c r="AL135" i="33" s="1"/>
  <c r="AA135" i="33"/>
  <c r="Z134" i="33" s="1"/>
  <c r="AB134" i="33" s="1"/>
  <c r="Y135" i="33"/>
  <c r="X135" i="33"/>
  <c r="M135" i="33"/>
  <c r="N135" i="33" s="1"/>
  <c r="K135" i="33"/>
  <c r="L135" i="33" s="1"/>
  <c r="I135" i="33"/>
  <c r="Z137" i="33" l="1"/>
  <c r="AB137" i="33" s="1"/>
  <c r="Z138" i="33"/>
  <c r="AB138" i="33" s="1"/>
  <c r="Z141" i="33"/>
  <c r="AB141" i="33" s="1"/>
  <c r="Z142" i="33"/>
  <c r="AB142" i="33" s="1"/>
  <c r="AM143" i="33"/>
  <c r="AN143" i="33" s="1"/>
  <c r="AM140" i="33"/>
  <c r="AN140" i="33" s="1"/>
  <c r="AM139" i="33"/>
  <c r="AN139" i="33" s="1"/>
  <c r="AM79" i="33"/>
  <c r="AN79" i="33" s="1"/>
  <c r="AM83" i="33"/>
  <c r="AN83" i="33" s="1"/>
  <c r="AM66" i="33"/>
  <c r="AN66" i="33" s="1"/>
  <c r="AM135" i="33"/>
  <c r="AN135" i="33" s="1"/>
  <c r="I136" i="33" l="1"/>
  <c r="K136" i="33"/>
  <c r="L136" i="33" s="1"/>
  <c r="M136" i="33"/>
  <c r="N136" i="33" s="1"/>
  <c r="X136" i="33"/>
  <c r="Y136" i="33"/>
  <c r="AA136" i="33"/>
  <c r="Z135" i="33" s="1"/>
  <c r="AB135" i="33" s="1"/>
  <c r="AC136" i="33"/>
  <c r="AL136" i="33" s="1"/>
  <c r="AD136" i="33"/>
  <c r="AE136" i="33"/>
  <c r="AF136" i="33"/>
  <c r="AG136" i="33"/>
  <c r="AH136" i="33"/>
  <c r="AI136" i="33"/>
  <c r="AJ136" i="33"/>
  <c r="AK136" i="33"/>
  <c r="AO136" i="33"/>
  <c r="I133" i="33"/>
  <c r="K133" i="33"/>
  <c r="L133" i="33" s="1"/>
  <c r="M133" i="33"/>
  <c r="N133" i="33" s="1"/>
  <c r="X133" i="33"/>
  <c r="Y133" i="33"/>
  <c r="AA133" i="33"/>
  <c r="Z132" i="33" s="1"/>
  <c r="AB132" i="33" s="1"/>
  <c r="AC133" i="33"/>
  <c r="AL133" i="33" s="1"/>
  <c r="AD133" i="33"/>
  <c r="AE133" i="33"/>
  <c r="AF133" i="33"/>
  <c r="AG133" i="33"/>
  <c r="AH133" i="33"/>
  <c r="AI133" i="33"/>
  <c r="AJ133" i="33"/>
  <c r="AK133" i="33"/>
  <c r="AO133" i="33"/>
  <c r="I204" i="33"/>
  <c r="K204" i="33"/>
  <c r="L204" i="33" s="1"/>
  <c r="M204" i="33"/>
  <c r="N204" i="33" s="1"/>
  <c r="X204" i="33"/>
  <c r="Y204" i="33"/>
  <c r="AA204" i="33"/>
  <c r="AC204" i="33"/>
  <c r="AL204" i="33" s="1"/>
  <c r="AD204" i="33"/>
  <c r="AE204" i="33"/>
  <c r="AF204" i="33"/>
  <c r="AG204" i="33"/>
  <c r="AH204" i="33"/>
  <c r="AI204" i="33"/>
  <c r="AJ204" i="33"/>
  <c r="AK204" i="33"/>
  <c r="AO204" i="33"/>
  <c r="I131" i="33"/>
  <c r="K131" i="33"/>
  <c r="L131" i="33" s="1"/>
  <c r="N131" i="33"/>
  <c r="X131" i="33"/>
  <c r="Y131" i="33"/>
  <c r="AA131" i="33"/>
  <c r="AC131" i="33"/>
  <c r="AL131" i="33" s="1"/>
  <c r="AD131" i="33"/>
  <c r="AE131" i="33"/>
  <c r="AF131" i="33"/>
  <c r="AG131" i="33"/>
  <c r="AH131" i="33"/>
  <c r="AI131" i="33"/>
  <c r="AJ131" i="33"/>
  <c r="AK131" i="33"/>
  <c r="AO131" i="33"/>
  <c r="I129" i="33"/>
  <c r="K129" i="33"/>
  <c r="L129" i="33" s="1"/>
  <c r="M129" i="33"/>
  <c r="N129" i="33" s="1"/>
  <c r="X129" i="33"/>
  <c r="Y129" i="33"/>
  <c r="AA129" i="33"/>
  <c r="AC129" i="33"/>
  <c r="AL129" i="33" s="1"/>
  <c r="AD129" i="33"/>
  <c r="AE129" i="33"/>
  <c r="AF129" i="33"/>
  <c r="AG129" i="33"/>
  <c r="AH129" i="33"/>
  <c r="AI129" i="33"/>
  <c r="AJ129" i="33"/>
  <c r="AK129" i="33"/>
  <c r="AO129" i="33"/>
  <c r="I128" i="33"/>
  <c r="K128" i="33"/>
  <c r="L128" i="33" s="1"/>
  <c r="M128" i="33"/>
  <c r="N128" i="33" s="1"/>
  <c r="X128" i="33"/>
  <c r="Y128" i="33"/>
  <c r="AA128" i="33"/>
  <c r="AC128" i="33"/>
  <c r="AL128" i="33" s="1"/>
  <c r="AD128" i="33"/>
  <c r="AE128" i="33"/>
  <c r="AF128" i="33"/>
  <c r="AG128" i="33"/>
  <c r="AH128" i="33"/>
  <c r="AI128" i="33"/>
  <c r="AJ128" i="33"/>
  <c r="AK128" i="33"/>
  <c r="AO128" i="33"/>
  <c r="I127" i="33"/>
  <c r="K127" i="33"/>
  <c r="L127" i="33" s="1"/>
  <c r="M127" i="33"/>
  <c r="N127" i="33" s="1"/>
  <c r="X127" i="33"/>
  <c r="Y127" i="33"/>
  <c r="AA127" i="33"/>
  <c r="AC127" i="33"/>
  <c r="AL127" i="33" s="1"/>
  <c r="AD127" i="33"/>
  <c r="AE127" i="33"/>
  <c r="AF127" i="33"/>
  <c r="AG127" i="33"/>
  <c r="AI127" i="33"/>
  <c r="AJ127" i="33"/>
  <c r="AK127" i="33"/>
  <c r="AO127" i="33"/>
  <c r="I126" i="33"/>
  <c r="K126" i="33"/>
  <c r="L126" i="33" s="1"/>
  <c r="M126" i="33"/>
  <c r="N126" i="33" s="1"/>
  <c r="X126" i="33"/>
  <c r="Y126" i="33"/>
  <c r="AA126" i="33"/>
  <c r="AC126" i="33"/>
  <c r="AL126" i="33" s="1"/>
  <c r="AD126" i="33"/>
  <c r="AE126" i="33"/>
  <c r="AF126" i="33"/>
  <c r="AG126" i="33"/>
  <c r="AI126" i="33"/>
  <c r="AJ126" i="33"/>
  <c r="AK126" i="33"/>
  <c r="AO126" i="33"/>
  <c r="I125" i="33"/>
  <c r="K125" i="33"/>
  <c r="L125" i="33" s="1"/>
  <c r="M125" i="33"/>
  <c r="N125" i="33" s="1"/>
  <c r="X125" i="33"/>
  <c r="Y125" i="33"/>
  <c r="AA125" i="33"/>
  <c r="AC125" i="33"/>
  <c r="AL125" i="33" s="1"/>
  <c r="AD125" i="33"/>
  <c r="AE125" i="33"/>
  <c r="AF125" i="33"/>
  <c r="AG125" i="33"/>
  <c r="AH125" i="33"/>
  <c r="AI125" i="33"/>
  <c r="AJ125" i="33"/>
  <c r="AK125" i="33"/>
  <c r="AO125" i="33"/>
  <c r="I124" i="33"/>
  <c r="K124" i="33"/>
  <c r="L124" i="33" s="1"/>
  <c r="M124" i="33"/>
  <c r="N124" i="33" s="1"/>
  <c r="X124" i="33"/>
  <c r="Y124" i="33"/>
  <c r="AA124" i="33"/>
  <c r="AC124" i="33"/>
  <c r="AL124" i="33" s="1"/>
  <c r="AD124" i="33"/>
  <c r="AE124" i="33"/>
  <c r="AF124" i="33"/>
  <c r="AG124" i="33"/>
  <c r="AH124" i="33"/>
  <c r="AI124" i="33"/>
  <c r="AJ124" i="33"/>
  <c r="AK124" i="33"/>
  <c r="AO124" i="33"/>
  <c r="I123" i="33"/>
  <c r="K123" i="33"/>
  <c r="L123" i="33" s="1"/>
  <c r="M123" i="33"/>
  <c r="N123" i="33" s="1"/>
  <c r="X123" i="33"/>
  <c r="Y123" i="33"/>
  <c r="AA123" i="33"/>
  <c r="AC123" i="33"/>
  <c r="AL123" i="33" s="1"/>
  <c r="AD123" i="33"/>
  <c r="AE123" i="33"/>
  <c r="AF123" i="33"/>
  <c r="AG123" i="33"/>
  <c r="AH123" i="33"/>
  <c r="AI123" i="33"/>
  <c r="AJ123" i="33"/>
  <c r="AK123" i="33"/>
  <c r="AO123" i="33"/>
  <c r="K21" i="48"/>
  <c r="K19" i="48"/>
  <c r="I21" i="33"/>
  <c r="K21" i="33"/>
  <c r="L21" i="33" s="1"/>
  <c r="M21" i="33"/>
  <c r="N21" i="33" s="1"/>
  <c r="X21" i="33"/>
  <c r="Y21" i="33"/>
  <c r="AA21" i="33"/>
  <c r="AC21" i="33"/>
  <c r="AL21" i="33" s="1"/>
  <c r="AD21" i="33"/>
  <c r="AE21" i="33"/>
  <c r="AF21" i="33"/>
  <c r="AG21" i="33"/>
  <c r="AH21" i="33"/>
  <c r="AI21" i="33"/>
  <c r="AJ21" i="33"/>
  <c r="AK21" i="33"/>
  <c r="AO21" i="33"/>
  <c r="I122" i="33"/>
  <c r="K122" i="33"/>
  <c r="L122" i="33" s="1"/>
  <c r="M122" i="33"/>
  <c r="N122" i="33" s="1"/>
  <c r="X122" i="33"/>
  <c r="Y122" i="33"/>
  <c r="AA122" i="33"/>
  <c r="Z121" i="33" s="1"/>
  <c r="AB121" i="33" s="1"/>
  <c r="AC122" i="33"/>
  <c r="AL122" i="33" s="1"/>
  <c r="AD122" i="33"/>
  <c r="AE122" i="33"/>
  <c r="AF122" i="33"/>
  <c r="AG122" i="33"/>
  <c r="AH122" i="33"/>
  <c r="AI122" i="33"/>
  <c r="AJ122" i="33"/>
  <c r="AK122" i="33"/>
  <c r="AO122" i="33"/>
  <c r="D37" i="60"/>
  <c r="C37" i="60"/>
  <c r="D36" i="60"/>
  <c r="C36" i="60"/>
  <c r="D35" i="60"/>
  <c r="C35" i="60"/>
  <c r="Z130" i="33" l="1"/>
  <c r="AB130" i="33" s="1"/>
  <c r="AM136" i="33"/>
  <c r="AN136" i="33" s="1"/>
  <c r="AM133" i="33"/>
  <c r="AN133" i="33" s="1"/>
  <c r="AM204" i="33"/>
  <c r="AN204" i="33" s="1"/>
  <c r="AM131" i="33"/>
  <c r="AN131" i="33" s="1"/>
  <c r="AM129" i="33"/>
  <c r="AN129" i="33" s="1"/>
  <c r="AM128" i="33"/>
  <c r="AN128" i="33" s="1"/>
  <c r="AM127" i="33"/>
  <c r="AN127" i="33" s="1"/>
  <c r="AM126" i="33"/>
  <c r="AN126" i="33" s="1"/>
  <c r="AM125" i="33"/>
  <c r="AN125" i="33" s="1"/>
  <c r="AM124" i="33"/>
  <c r="AN124" i="33" s="1"/>
  <c r="AM123" i="33"/>
  <c r="AN123" i="33" s="1"/>
  <c r="AM21" i="33"/>
  <c r="AN21" i="33" s="1"/>
  <c r="AM122" i="33"/>
  <c r="AN122" i="33" s="1"/>
  <c r="I120" i="33"/>
  <c r="K120" i="33"/>
  <c r="L120" i="33" s="1"/>
  <c r="M120" i="33"/>
  <c r="N120" i="33" s="1"/>
  <c r="X120" i="33"/>
  <c r="Y120" i="33"/>
  <c r="AA120" i="33"/>
  <c r="AC120" i="33"/>
  <c r="AL120" i="33" s="1"/>
  <c r="AD120" i="33"/>
  <c r="AE120" i="33"/>
  <c r="AF120" i="33"/>
  <c r="AG120" i="33"/>
  <c r="AH120" i="33"/>
  <c r="AI120" i="33"/>
  <c r="AJ120" i="33"/>
  <c r="AK120" i="33"/>
  <c r="AO120" i="33"/>
  <c r="Z62" i="33"/>
  <c r="AB62" i="33" s="1"/>
  <c r="I119" i="33"/>
  <c r="K119" i="33"/>
  <c r="L119" i="33" s="1"/>
  <c r="M119" i="33"/>
  <c r="N119" i="33" s="1"/>
  <c r="X119" i="33"/>
  <c r="Y119" i="33"/>
  <c r="AA119" i="33"/>
  <c r="AC119" i="33"/>
  <c r="AL119" i="33" s="1"/>
  <c r="AD119" i="33"/>
  <c r="AE119" i="33"/>
  <c r="AF119" i="33"/>
  <c r="AG119" i="33"/>
  <c r="AH119" i="33"/>
  <c r="AI119" i="33"/>
  <c r="AJ119" i="33"/>
  <c r="AK119" i="33"/>
  <c r="AO119" i="33"/>
  <c r="I18" i="33"/>
  <c r="K18" i="33"/>
  <c r="L18" i="33" s="1"/>
  <c r="M18" i="33"/>
  <c r="N18" i="33" s="1"/>
  <c r="X18" i="33"/>
  <c r="Y18" i="33"/>
  <c r="AA18" i="33"/>
  <c r="Z183" i="33" s="1"/>
  <c r="AB183" i="33" s="1"/>
  <c r="AC18" i="33"/>
  <c r="AL18" i="33" s="1"/>
  <c r="AD18" i="33"/>
  <c r="AE18" i="33"/>
  <c r="AF18" i="33"/>
  <c r="AG18" i="33"/>
  <c r="AH18" i="33"/>
  <c r="AI18" i="33"/>
  <c r="AJ18" i="33"/>
  <c r="AK18" i="33"/>
  <c r="AO18" i="33"/>
  <c r="I33" i="33"/>
  <c r="K33" i="33"/>
  <c r="L33" i="33" s="1"/>
  <c r="M33" i="33"/>
  <c r="N33" i="33" s="1"/>
  <c r="X33" i="33"/>
  <c r="Y33" i="33"/>
  <c r="AA33" i="33"/>
  <c r="AC33" i="33"/>
  <c r="AL33" i="33" s="1"/>
  <c r="AD33" i="33"/>
  <c r="AE33" i="33"/>
  <c r="AF33" i="33"/>
  <c r="AG33" i="33"/>
  <c r="AH33" i="33"/>
  <c r="AI33" i="33"/>
  <c r="AJ33" i="33"/>
  <c r="AK33" i="33"/>
  <c r="AO33" i="33"/>
  <c r="I72" i="33"/>
  <c r="K72" i="33"/>
  <c r="L72" i="33" s="1"/>
  <c r="M72" i="33"/>
  <c r="N72" i="33" s="1"/>
  <c r="X72" i="33"/>
  <c r="Y72" i="33"/>
  <c r="AA72" i="33"/>
  <c r="AC72" i="33"/>
  <c r="AL72" i="33" s="1"/>
  <c r="AD72" i="33"/>
  <c r="AE72" i="33"/>
  <c r="AF72" i="33"/>
  <c r="AG72" i="33"/>
  <c r="AH72" i="33"/>
  <c r="AI72" i="33"/>
  <c r="AJ72" i="33"/>
  <c r="AK72" i="33"/>
  <c r="AO72" i="33"/>
  <c r="I15" i="33"/>
  <c r="K15" i="33"/>
  <c r="L15" i="33" s="1"/>
  <c r="M15" i="33"/>
  <c r="N15" i="33" s="1"/>
  <c r="X15" i="33"/>
  <c r="Y15" i="33"/>
  <c r="AA15" i="33"/>
  <c r="AC15" i="33"/>
  <c r="AL15" i="33" s="1"/>
  <c r="AD15" i="33"/>
  <c r="AE15" i="33"/>
  <c r="AF15" i="33"/>
  <c r="AG15" i="33"/>
  <c r="AH15" i="33"/>
  <c r="AI15" i="33"/>
  <c r="AJ15" i="33"/>
  <c r="AK15" i="33"/>
  <c r="AO15" i="33"/>
  <c r="Z182" i="33" l="1"/>
  <c r="AB182" i="33" s="1"/>
  <c r="AM120" i="33"/>
  <c r="AN120" i="33" s="1"/>
  <c r="AM119" i="33"/>
  <c r="AN119" i="33" s="1"/>
  <c r="AM18" i="33"/>
  <c r="AN18" i="33" s="1"/>
  <c r="AM33" i="33"/>
  <c r="AN33" i="33" s="1"/>
  <c r="AM72" i="33"/>
  <c r="AN72" i="33" s="1"/>
  <c r="AM15" i="33"/>
  <c r="AN15" i="33" s="1"/>
  <c r="K23" i="48" l="1"/>
  <c r="K17" i="48"/>
  <c r="K15" i="48"/>
  <c r="K13" i="48"/>
  <c r="K11" i="48"/>
  <c r="K8" i="48"/>
  <c r="K6" i="48"/>
  <c r="K3" i="48"/>
  <c r="I118" i="33"/>
  <c r="K118" i="33"/>
  <c r="L118" i="33" s="1"/>
  <c r="M118" i="33"/>
  <c r="N118" i="33" s="1"/>
  <c r="X118" i="33"/>
  <c r="Y118" i="33"/>
  <c r="AA118" i="33"/>
  <c r="AC118" i="33"/>
  <c r="AL118" i="33" s="1"/>
  <c r="AD118" i="33"/>
  <c r="AE118" i="33"/>
  <c r="AF118" i="33"/>
  <c r="AG118" i="33"/>
  <c r="AH118" i="33"/>
  <c r="AI118" i="33"/>
  <c r="AJ118" i="33"/>
  <c r="AK118" i="33"/>
  <c r="AO118" i="33"/>
  <c r="I115" i="33"/>
  <c r="K115" i="33"/>
  <c r="L115" i="33" s="1"/>
  <c r="M115" i="33"/>
  <c r="N115" i="33" s="1"/>
  <c r="X115" i="33"/>
  <c r="Y115" i="33"/>
  <c r="AA115" i="33"/>
  <c r="AC115" i="33"/>
  <c r="AL115" i="33" s="1"/>
  <c r="AD115" i="33"/>
  <c r="AE115" i="33"/>
  <c r="AF115" i="33"/>
  <c r="AG115" i="33"/>
  <c r="AH115" i="33"/>
  <c r="AI115" i="33"/>
  <c r="AJ115" i="33"/>
  <c r="AK115" i="33"/>
  <c r="AO115" i="33"/>
  <c r="I114" i="33"/>
  <c r="K114" i="33"/>
  <c r="L114" i="33" s="1"/>
  <c r="M114" i="33"/>
  <c r="N114" i="33" s="1"/>
  <c r="X114" i="33"/>
  <c r="Y114" i="33"/>
  <c r="AA114" i="33"/>
  <c r="AC114" i="33"/>
  <c r="AL114" i="33" s="1"/>
  <c r="AD114" i="33"/>
  <c r="AE114" i="33"/>
  <c r="AF114" i="33"/>
  <c r="AG114" i="33"/>
  <c r="AH114" i="33"/>
  <c r="AI114" i="33"/>
  <c r="AJ114" i="33"/>
  <c r="AK114" i="33"/>
  <c r="AO114" i="33"/>
  <c r="I103" i="33"/>
  <c r="K103" i="33"/>
  <c r="L103" i="33" s="1"/>
  <c r="M103" i="33"/>
  <c r="N103" i="33" s="1"/>
  <c r="X103" i="33"/>
  <c r="Y103" i="33"/>
  <c r="AA103" i="33"/>
  <c r="AC103" i="33"/>
  <c r="AL103" i="33" s="1"/>
  <c r="AD103" i="33"/>
  <c r="AE103" i="33"/>
  <c r="AF103" i="33"/>
  <c r="AG103" i="33"/>
  <c r="AH103" i="33"/>
  <c r="AI103" i="33"/>
  <c r="AJ103" i="33"/>
  <c r="AK103" i="33"/>
  <c r="AO103" i="33"/>
  <c r="I113" i="33"/>
  <c r="K113" i="33"/>
  <c r="L113" i="33" s="1"/>
  <c r="M113" i="33"/>
  <c r="N113" i="33" s="1"/>
  <c r="X113" i="33"/>
  <c r="Y113" i="33"/>
  <c r="AA113" i="33"/>
  <c r="Z112" i="33" s="1"/>
  <c r="AB112" i="33" s="1"/>
  <c r="AC113" i="33"/>
  <c r="AL113" i="33" s="1"/>
  <c r="AD113" i="33"/>
  <c r="AE113" i="33"/>
  <c r="AF113" i="33"/>
  <c r="AG113" i="33"/>
  <c r="AH113" i="33"/>
  <c r="AI113" i="33"/>
  <c r="AJ113" i="33"/>
  <c r="AK113" i="33"/>
  <c r="AO113" i="33"/>
  <c r="I101" i="33"/>
  <c r="K101" i="33"/>
  <c r="L101" i="33" s="1"/>
  <c r="M101" i="33"/>
  <c r="N101" i="33" s="1"/>
  <c r="X101" i="33"/>
  <c r="Y101" i="33"/>
  <c r="AA101" i="33"/>
  <c r="AC101" i="33"/>
  <c r="AL101" i="33" s="1"/>
  <c r="AD101" i="33"/>
  <c r="AE101" i="33"/>
  <c r="AF101" i="33"/>
  <c r="AG101" i="33"/>
  <c r="AH101" i="33"/>
  <c r="AI101" i="33"/>
  <c r="AJ101" i="33"/>
  <c r="AK101" i="33"/>
  <c r="AO101" i="33"/>
  <c r="Z116" i="33" l="1"/>
  <c r="AB116" i="33" s="1"/>
  <c r="Z117" i="33"/>
  <c r="AB117" i="33" s="1"/>
  <c r="Z102" i="33"/>
  <c r="AB102" i="33" s="1"/>
  <c r="AM118" i="33"/>
  <c r="AN118" i="33" s="1"/>
  <c r="AM115" i="33"/>
  <c r="AN115" i="33" s="1"/>
  <c r="AM114" i="33"/>
  <c r="AN114" i="33" s="1"/>
  <c r="AM103" i="33"/>
  <c r="AN103" i="33" s="1"/>
  <c r="AM113" i="33"/>
  <c r="AN113" i="33" s="1"/>
  <c r="AM101" i="33"/>
  <c r="AN101" i="33" s="1"/>
  <c r="Z101" i="33"/>
  <c r="AB101" i="33" s="1"/>
  <c r="AG181" i="33" l="1"/>
  <c r="Y4" i="33"/>
  <c r="Y6" i="33"/>
  <c r="Y7" i="33"/>
  <c r="Y8" i="33"/>
  <c r="Y9" i="33"/>
  <c r="Y10" i="33"/>
  <c r="Y11" i="33"/>
  <c r="Y13" i="33"/>
  <c r="Y14" i="33"/>
  <c r="Y181" i="33"/>
  <c r="Y19" i="33"/>
  <c r="Y20" i="33"/>
  <c r="Y23" i="33"/>
  <c r="Y24" i="33"/>
  <c r="Y25" i="33"/>
  <c r="Y26" i="33"/>
  <c r="Y28" i="33"/>
  <c r="Y29" i="33"/>
  <c r="Y30" i="33"/>
  <c r="Y31" i="33"/>
  <c r="Y34" i="33"/>
  <c r="Y36" i="33"/>
  <c r="Y38" i="33"/>
  <c r="Y40" i="33"/>
  <c r="Y42" i="33"/>
  <c r="Y44" i="33"/>
  <c r="Y45" i="33"/>
  <c r="Y47" i="33"/>
  <c r="Y48" i="33"/>
  <c r="Y50" i="33"/>
  <c r="Y51" i="33"/>
  <c r="Y52" i="33"/>
  <c r="Y53" i="33"/>
  <c r="Y54" i="33"/>
  <c r="Y55" i="33"/>
  <c r="Y56" i="33"/>
  <c r="Y57" i="33"/>
  <c r="Y58" i="33"/>
  <c r="Y60" i="33"/>
  <c r="Y61" i="33"/>
  <c r="Y96" i="33"/>
  <c r="Y65" i="33"/>
  <c r="Y67" i="33"/>
  <c r="Y69" i="33"/>
  <c r="Y70" i="33"/>
  <c r="Y71" i="33"/>
  <c r="Y74" i="33"/>
  <c r="Y76" i="33"/>
  <c r="Y77" i="33"/>
  <c r="Y78" i="33"/>
  <c r="Y81" i="33"/>
  <c r="Y85" i="33"/>
  <c r="Y97" i="33"/>
  <c r="Y93" i="33"/>
  <c r="Y94" i="33"/>
  <c r="Y98" i="33"/>
  <c r="Y99" i="33"/>
  <c r="Y168" i="33"/>
  <c r="Y17" i="33"/>
  <c r="Y91" i="33"/>
  <c r="X4" i="33"/>
  <c r="X6" i="33"/>
  <c r="X7" i="33"/>
  <c r="X8" i="33"/>
  <c r="X9" i="33"/>
  <c r="X10" i="33"/>
  <c r="X11" i="33"/>
  <c r="X13" i="33"/>
  <c r="X14" i="33"/>
  <c r="X181" i="33"/>
  <c r="X19" i="33"/>
  <c r="X20" i="33"/>
  <c r="X23" i="33"/>
  <c r="X24" i="33"/>
  <c r="X25" i="33"/>
  <c r="X26" i="33"/>
  <c r="X28" i="33"/>
  <c r="X29" i="33"/>
  <c r="X30" i="33"/>
  <c r="X31" i="33"/>
  <c r="X34" i="33"/>
  <c r="X36" i="33"/>
  <c r="X38" i="33"/>
  <c r="X40" i="33"/>
  <c r="X42" i="33"/>
  <c r="X44" i="33"/>
  <c r="X45" i="33"/>
  <c r="X47" i="33"/>
  <c r="X48" i="33"/>
  <c r="X50" i="33"/>
  <c r="X51" i="33"/>
  <c r="X52" i="33"/>
  <c r="X53" i="33"/>
  <c r="X54" i="33"/>
  <c r="X55" i="33"/>
  <c r="X56" i="33"/>
  <c r="X57" i="33"/>
  <c r="X58" i="33"/>
  <c r="X60" i="33"/>
  <c r="X61" i="33"/>
  <c r="X96" i="33"/>
  <c r="X65" i="33"/>
  <c r="X67" i="33"/>
  <c r="X69" i="33"/>
  <c r="X70" i="33"/>
  <c r="X71" i="33"/>
  <c r="X74" i="33"/>
  <c r="X76" i="33"/>
  <c r="X77" i="33"/>
  <c r="X78" i="33"/>
  <c r="X81" i="33"/>
  <c r="X85" i="33"/>
  <c r="X97" i="33"/>
  <c r="X93" i="33"/>
  <c r="X94" i="33"/>
  <c r="X98" i="33"/>
  <c r="X99" i="33"/>
  <c r="X168" i="33"/>
  <c r="X17" i="33"/>
  <c r="X91" i="33"/>
  <c r="I30" i="33" l="1"/>
  <c r="K30" i="33"/>
  <c r="L30" i="33" s="1"/>
  <c r="M30" i="33"/>
  <c r="N30" i="33" s="1"/>
  <c r="AA30" i="33"/>
  <c r="AC30" i="33"/>
  <c r="AL30" i="33" s="1"/>
  <c r="AD30" i="33"/>
  <c r="AE30" i="33"/>
  <c r="AF30" i="33"/>
  <c r="AG30" i="33"/>
  <c r="AH30" i="33"/>
  <c r="AI30" i="33"/>
  <c r="AJ30" i="33"/>
  <c r="AK30" i="33"/>
  <c r="AO30" i="33"/>
  <c r="I26" i="33"/>
  <c r="K26" i="33"/>
  <c r="L26" i="33" s="1"/>
  <c r="M26" i="33"/>
  <c r="N26" i="33" s="1"/>
  <c r="AA26" i="33"/>
  <c r="AC26" i="33"/>
  <c r="AL26" i="33" s="1"/>
  <c r="AD26" i="33"/>
  <c r="AE26" i="33"/>
  <c r="AF26" i="33"/>
  <c r="AG26" i="33"/>
  <c r="AH26" i="33"/>
  <c r="AI26" i="33"/>
  <c r="AJ26" i="33"/>
  <c r="AK26" i="33"/>
  <c r="AO26" i="33"/>
  <c r="I42" i="33"/>
  <c r="K42" i="33"/>
  <c r="L42" i="33" s="1"/>
  <c r="M42" i="33"/>
  <c r="N42" i="33" s="1"/>
  <c r="AA42" i="33"/>
  <c r="Z41" i="33" s="1"/>
  <c r="AB41" i="33" s="1"/>
  <c r="AC42" i="33"/>
  <c r="AL42" i="33" s="1"/>
  <c r="AD42" i="33"/>
  <c r="AE42" i="33"/>
  <c r="AF42" i="33"/>
  <c r="AG42" i="33"/>
  <c r="AH42" i="33"/>
  <c r="AI42" i="33"/>
  <c r="AJ42" i="33"/>
  <c r="AK42" i="33"/>
  <c r="AO42" i="33"/>
  <c r="AO98" i="33"/>
  <c r="AK98" i="33"/>
  <c r="AJ98" i="33"/>
  <c r="AI98" i="33"/>
  <c r="AH98" i="33"/>
  <c r="AG98" i="33"/>
  <c r="AF98" i="33"/>
  <c r="AE98" i="33"/>
  <c r="AD98" i="33"/>
  <c r="AC98" i="33"/>
  <c r="AL98" i="33" s="1"/>
  <c r="AA98" i="33"/>
  <c r="M98" i="33"/>
  <c r="N98" i="33" s="1"/>
  <c r="K98" i="33"/>
  <c r="L98" i="33" s="1"/>
  <c r="I98" i="33"/>
  <c r="AO70" i="33"/>
  <c r="AK70" i="33"/>
  <c r="AJ70" i="33"/>
  <c r="AI70" i="33"/>
  <c r="AH70" i="33"/>
  <c r="AG70" i="33"/>
  <c r="AF70" i="33"/>
  <c r="AE70" i="33"/>
  <c r="AD70" i="33"/>
  <c r="AC70" i="33"/>
  <c r="AL70" i="33" s="1"/>
  <c r="AA70" i="33"/>
  <c r="M70" i="33"/>
  <c r="N70" i="33" s="1"/>
  <c r="K70" i="33"/>
  <c r="L70" i="33" s="1"/>
  <c r="I70" i="33"/>
  <c r="AO17" i="33"/>
  <c r="AK17" i="33"/>
  <c r="AJ17" i="33"/>
  <c r="AI17" i="33"/>
  <c r="AH17" i="33"/>
  <c r="AG17" i="33"/>
  <c r="AF17" i="33"/>
  <c r="AE17" i="33"/>
  <c r="AD17" i="33"/>
  <c r="AC17" i="33"/>
  <c r="AL17" i="33" s="1"/>
  <c r="AA17" i="33"/>
  <c r="Z16" i="33" s="1"/>
  <c r="AB16" i="33" s="1"/>
  <c r="M17" i="33"/>
  <c r="N17" i="33" s="1"/>
  <c r="K17" i="33"/>
  <c r="L17" i="33" s="1"/>
  <c r="I17" i="33"/>
  <c r="AO94" i="33"/>
  <c r="AK94" i="33"/>
  <c r="AJ94" i="33"/>
  <c r="AI94" i="33"/>
  <c r="AH94" i="33"/>
  <c r="AG94" i="33"/>
  <c r="AF94" i="33"/>
  <c r="AE94" i="33"/>
  <c r="AD94" i="33"/>
  <c r="AC94" i="33"/>
  <c r="AL94" i="33" s="1"/>
  <c r="AA94" i="33"/>
  <c r="M94" i="33"/>
  <c r="N94" i="33" s="1"/>
  <c r="K94" i="33"/>
  <c r="L94" i="33" s="1"/>
  <c r="I94" i="33"/>
  <c r="AO7" i="33"/>
  <c r="AK7" i="33"/>
  <c r="AJ7" i="33"/>
  <c r="AI7" i="33"/>
  <c r="AH7" i="33"/>
  <c r="AG7" i="33"/>
  <c r="AF7" i="33"/>
  <c r="AE7" i="33"/>
  <c r="AD7" i="33"/>
  <c r="AC7" i="33"/>
  <c r="AL7" i="33" s="1"/>
  <c r="AA7" i="33"/>
  <c r="M7" i="33"/>
  <c r="N7" i="33" s="1"/>
  <c r="K7" i="33"/>
  <c r="L7" i="33" s="1"/>
  <c r="I7" i="33"/>
  <c r="Z107" i="33" l="1"/>
  <c r="AB107" i="33" s="1"/>
  <c r="Z103" i="33"/>
  <c r="AB103" i="33" s="1"/>
  <c r="Z104" i="33"/>
  <c r="AB104" i="33" s="1"/>
  <c r="AM30" i="33"/>
  <c r="AN30" i="33" s="1"/>
  <c r="AM26" i="33"/>
  <c r="AN26" i="33" s="1"/>
  <c r="AM42" i="33"/>
  <c r="AN42" i="33" s="1"/>
  <c r="AM98" i="33"/>
  <c r="AN98" i="33" s="1"/>
  <c r="AM70" i="33"/>
  <c r="AN70" i="33" s="1"/>
  <c r="AM17" i="33"/>
  <c r="AN17" i="33" s="1"/>
  <c r="AM94" i="33"/>
  <c r="AN94" i="33" s="1"/>
  <c r="AM7" i="33"/>
  <c r="AN7" i="33" s="1"/>
  <c r="AO28" i="33" l="1"/>
  <c r="AK28" i="33"/>
  <c r="AJ28" i="33"/>
  <c r="AI28" i="33"/>
  <c r="AH28" i="33"/>
  <c r="AG28" i="33"/>
  <c r="AF28" i="33"/>
  <c r="AE28" i="33"/>
  <c r="AD28" i="33"/>
  <c r="AC28" i="33"/>
  <c r="AL28" i="33" s="1"/>
  <c r="AA28" i="33"/>
  <c r="Z27" i="33" s="1"/>
  <c r="AB27" i="33" s="1"/>
  <c r="M28" i="33"/>
  <c r="N28" i="33" s="1"/>
  <c r="K28" i="33"/>
  <c r="L28" i="33" s="1"/>
  <c r="I28" i="33"/>
  <c r="I3" i="33"/>
  <c r="Z26" i="33" l="1"/>
  <c r="AB26" i="33" s="1"/>
  <c r="AM28" i="33"/>
  <c r="AN28" i="33" s="1"/>
  <c r="I34" i="33"/>
  <c r="I36" i="33"/>
  <c r="I38" i="33"/>
  <c r="I40" i="33"/>
  <c r="I44" i="33"/>
  <c r="I45" i="33"/>
  <c r="I47" i="33"/>
  <c r="I48" i="33"/>
  <c r="I50" i="33"/>
  <c r="I51" i="33"/>
  <c r="I52" i="33"/>
  <c r="K34" i="33"/>
  <c r="L34" i="33" s="1"/>
  <c r="K36" i="33"/>
  <c r="L36" i="33" s="1"/>
  <c r="K38" i="33"/>
  <c r="L38" i="33" s="1"/>
  <c r="K40" i="33"/>
  <c r="L40" i="33" s="1"/>
  <c r="K44" i="33"/>
  <c r="L44" i="33" s="1"/>
  <c r="K45" i="33"/>
  <c r="L45" i="33" s="1"/>
  <c r="K47" i="33"/>
  <c r="L47" i="33" s="1"/>
  <c r="K48" i="33"/>
  <c r="L48" i="33" s="1"/>
  <c r="K50" i="33"/>
  <c r="L50" i="33" s="1"/>
  <c r="K51" i="33"/>
  <c r="L51" i="33" s="1"/>
  <c r="K52" i="33"/>
  <c r="L52" i="33" s="1"/>
  <c r="M34" i="33"/>
  <c r="N34" i="33" s="1"/>
  <c r="M36" i="33"/>
  <c r="N36" i="33" s="1"/>
  <c r="M38" i="33"/>
  <c r="N38" i="33" s="1"/>
  <c r="M40" i="33"/>
  <c r="N40" i="33" s="1"/>
  <c r="M44" i="33"/>
  <c r="N44" i="33" s="1"/>
  <c r="M45" i="33"/>
  <c r="N45" i="33" s="1"/>
  <c r="M47" i="33"/>
  <c r="N47" i="33" s="1"/>
  <c r="M48" i="33"/>
  <c r="N48" i="33" s="1"/>
  <c r="M50" i="33"/>
  <c r="N50" i="33" s="1"/>
  <c r="M51" i="33"/>
  <c r="N51" i="33" s="1"/>
  <c r="M52" i="33"/>
  <c r="N52" i="33" s="1"/>
  <c r="AA34" i="33"/>
  <c r="AA36" i="33"/>
  <c r="Z35" i="33" s="1"/>
  <c r="AB35" i="33" s="1"/>
  <c r="AA38" i="33"/>
  <c r="Z37" i="33" s="1"/>
  <c r="AB37" i="33" s="1"/>
  <c r="AA40" i="33"/>
  <c r="AA44" i="33"/>
  <c r="Z43" i="33" s="1"/>
  <c r="AB43" i="33" s="1"/>
  <c r="AA45" i="33"/>
  <c r="AA47" i="33"/>
  <c r="Z46" i="33" s="1"/>
  <c r="AB46" i="33" s="1"/>
  <c r="AA48" i="33"/>
  <c r="AA50" i="33"/>
  <c r="Z49" i="33" s="1"/>
  <c r="AB49" i="33" s="1"/>
  <c r="AA51" i="33"/>
  <c r="AA52" i="33"/>
  <c r="AC34" i="33"/>
  <c r="AL34" i="33" s="1"/>
  <c r="AC36" i="33"/>
  <c r="AL36" i="33" s="1"/>
  <c r="AC38" i="33"/>
  <c r="AL38" i="33" s="1"/>
  <c r="AC40" i="33"/>
  <c r="AL40" i="33" s="1"/>
  <c r="AC44" i="33"/>
  <c r="AL44" i="33" s="1"/>
  <c r="AC45" i="33"/>
  <c r="AL45" i="33" s="1"/>
  <c r="AC47" i="33"/>
  <c r="AL47" i="33" s="1"/>
  <c r="AC48" i="33"/>
  <c r="AL48" i="33" s="1"/>
  <c r="AC50" i="33"/>
  <c r="AL50" i="33" s="1"/>
  <c r="AC51" i="33"/>
  <c r="AL51" i="33" s="1"/>
  <c r="AC52" i="33"/>
  <c r="AL52" i="33" s="1"/>
  <c r="AD34" i="33"/>
  <c r="AD36" i="33"/>
  <c r="AD38" i="33"/>
  <c r="AD40" i="33"/>
  <c r="AD44" i="33"/>
  <c r="AD45" i="33"/>
  <c r="AD47" i="33"/>
  <c r="AD48" i="33"/>
  <c r="AD50" i="33"/>
  <c r="AD51" i="33"/>
  <c r="AD52" i="33"/>
  <c r="AE34" i="33"/>
  <c r="AE36" i="33"/>
  <c r="AE38" i="33"/>
  <c r="AE40" i="33"/>
  <c r="AE44" i="33"/>
  <c r="AE45" i="33"/>
  <c r="AE47" i="33"/>
  <c r="AE48" i="33"/>
  <c r="AE50" i="33"/>
  <c r="AE51" i="33"/>
  <c r="AE52" i="33"/>
  <c r="AF34" i="33"/>
  <c r="AF36" i="33"/>
  <c r="AF38" i="33"/>
  <c r="AF40" i="33"/>
  <c r="AF44" i="33"/>
  <c r="AF45" i="33"/>
  <c r="AF47" i="33"/>
  <c r="AF48" i="33"/>
  <c r="AF50" i="33"/>
  <c r="AF51" i="33"/>
  <c r="AF52" i="33"/>
  <c r="AG34" i="33"/>
  <c r="AG36" i="33"/>
  <c r="AG38" i="33"/>
  <c r="AG40" i="33"/>
  <c r="AG44" i="33"/>
  <c r="AG45" i="33"/>
  <c r="AG47" i="33"/>
  <c r="AG48" i="33"/>
  <c r="AG50" i="33"/>
  <c r="AG51" i="33"/>
  <c r="AG52" i="33"/>
  <c r="AH34" i="33"/>
  <c r="AH36" i="33"/>
  <c r="AH38" i="33"/>
  <c r="AH40" i="33"/>
  <c r="AH44" i="33"/>
  <c r="AH45" i="33"/>
  <c r="AH47" i="33"/>
  <c r="AH48" i="33"/>
  <c r="AH50" i="33"/>
  <c r="AH51" i="33"/>
  <c r="AH52" i="33"/>
  <c r="AI34" i="33"/>
  <c r="AI36" i="33"/>
  <c r="AI38" i="33"/>
  <c r="AI40" i="33"/>
  <c r="AI44" i="33"/>
  <c r="AI45" i="33"/>
  <c r="AI47" i="33"/>
  <c r="AI48" i="33"/>
  <c r="AI50" i="33"/>
  <c r="AI51" i="33"/>
  <c r="AI52" i="33"/>
  <c r="AJ34" i="33"/>
  <c r="AJ36" i="33"/>
  <c r="AJ38" i="33"/>
  <c r="AJ40" i="33"/>
  <c r="AJ44" i="33"/>
  <c r="AJ45" i="33"/>
  <c r="AJ47" i="33"/>
  <c r="AJ48" i="33"/>
  <c r="AJ50" i="33"/>
  <c r="AJ51" i="33"/>
  <c r="AJ52" i="33"/>
  <c r="AK34" i="33"/>
  <c r="AK36" i="33"/>
  <c r="AK38" i="33"/>
  <c r="AK40" i="33"/>
  <c r="AK44" i="33"/>
  <c r="AK45" i="33"/>
  <c r="AK47" i="33"/>
  <c r="AK48" i="33"/>
  <c r="AK50" i="33"/>
  <c r="AK51" i="33"/>
  <c r="AK52" i="33"/>
  <c r="AO34" i="33"/>
  <c r="AO36" i="33"/>
  <c r="AO38" i="33"/>
  <c r="AO40" i="33"/>
  <c r="AO44" i="33"/>
  <c r="AO45" i="33"/>
  <c r="AO47" i="33"/>
  <c r="AO48" i="33"/>
  <c r="AO50" i="33"/>
  <c r="AO51" i="33"/>
  <c r="AO52" i="33"/>
  <c r="I9" i="33"/>
  <c r="K9" i="33"/>
  <c r="L9" i="33" s="1"/>
  <c r="M9" i="33"/>
  <c r="N9" i="33" s="1"/>
  <c r="AA9" i="33"/>
  <c r="AC9" i="33"/>
  <c r="AL9" i="33" s="1"/>
  <c r="AD9" i="33"/>
  <c r="AE9" i="33"/>
  <c r="AF9" i="33"/>
  <c r="AG9" i="33"/>
  <c r="AH9" i="33"/>
  <c r="AI9" i="33"/>
  <c r="AJ9" i="33"/>
  <c r="AK9" i="33"/>
  <c r="AO9" i="33"/>
  <c r="I71" i="33"/>
  <c r="K71" i="33"/>
  <c r="L71" i="33" s="1"/>
  <c r="M71" i="33"/>
  <c r="N71" i="33" s="1"/>
  <c r="AA71" i="33"/>
  <c r="AC71" i="33"/>
  <c r="AL71" i="33" s="1"/>
  <c r="AD71" i="33"/>
  <c r="AE71" i="33"/>
  <c r="AF71" i="33"/>
  <c r="AG71" i="33"/>
  <c r="AH71" i="33"/>
  <c r="AI71" i="33"/>
  <c r="AJ71" i="33"/>
  <c r="AK71" i="33"/>
  <c r="AO71" i="33"/>
  <c r="I168" i="33"/>
  <c r="K168" i="33"/>
  <c r="L168" i="33" s="1"/>
  <c r="M168" i="33"/>
  <c r="N168" i="33" s="1"/>
  <c r="AA168" i="33"/>
  <c r="AC168" i="33"/>
  <c r="AL168" i="33" s="1"/>
  <c r="AD168" i="33"/>
  <c r="AE168" i="33"/>
  <c r="AF168" i="33"/>
  <c r="AG168" i="33"/>
  <c r="AH168" i="33"/>
  <c r="AI168" i="33"/>
  <c r="AJ168" i="33"/>
  <c r="AK168" i="33"/>
  <c r="AO168" i="33"/>
  <c r="Z40" i="33" l="1"/>
  <c r="AB40" i="33" s="1"/>
  <c r="Z39" i="33"/>
  <c r="AB39" i="33" s="1"/>
  <c r="Z70" i="33"/>
  <c r="AB70" i="33" s="1"/>
  <c r="Z48" i="33"/>
  <c r="AB48" i="33" s="1"/>
  <c r="Z34" i="33"/>
  <c r="AB34" i="33" s="1"/>
  <c r="Z51" i="33"/>
  <c r="AB51" i="33" s="1"/>
  <c r="Z47" i="33"/>
  <c r="AB47" i="33" s="1"/>
  <c r="Z45" i="33"/>
  <c r="AB45" i="33" s="1"/>
  <c r="Z44" i="33"/>
  <c r="AB44" i="33" s="1"/>
  <c r="Z42" i="33"/>
  <c r="AB42" i="33" s="1"/>
  <c r="Z38" i="33"/>
  <c r="AB38" i="33" s="1"/>
  <c r="Z36" i="33"/>
  <c r="AB36" i="33" s="1"/>
  <c r="AM51" i="33"/>
  <c r="AN51" i="33" s="1"/>
  <c r="AM45" i="33"/>
  <c r="AN45" i="33" s="1"/>
  <c r="AM38" i="33"/>
  <c r="AN38" i="33" s="1"/>
  <c r="AM47" i="33"/>
  <c r="AN47" i="33" s="1"/>
  <c r="AM50" i="33"/>
  <c r="AN50" i="33" s="1"/>
  <c r="AM36" i="33"/>
  <c r="AN36" i="33" s="1"/>
  <c r="AM52" i="33"/>
  <c r="AN52" i="33" s="1"/>
  <c r="AM40" i="33"/>
  <c r="AN40" i="33" s="1"/>
  <c r="AM48" i="33"/>
  <c r="AN48" i="33" s="1"/>
  <c r="AM34" i="33"/>
  <c r="AN34" i="33" s="1"/>
  <c r="AM44" i="33"/>
  <c r="AN44" i="33" s="1"/>
  <c r="AM9" i="33"/>
  <c r="AN9" i="33" s="1"/>
  <c r="AM71" i="33"/>
  <c r="AN71" i="33" s="1"/>
  <c r="AM168" i="33"/>
  <c r="AN168" i="33" s="1"/>
  <c r="I81" i="33"/>
  <c r="K81" i="33"/>
  <c r="L81" i="33" s="1"/>
  <c r="M81" i="33"/>
  <c r="N81" i="33" s="1"/>
  <c r="AA81" i="33"/>
  <c r="Z80" i="33" s="1"/>
  <c r="AB80" i="33" s="1"/>
  <c r="AC81" i="33"/>
  <c r="AL81" i="33" s="1"/>
  <c r="AD81" i="33"/>
  <c r="AE81" i="33"/>
  <c r="AF81" i="33"/>
  <c r="AG81" i="33"/>
  <c r="AH81" i="33"/>
  <c r="AI81" i="33"/>
  <c r="AJ81" i="33"/>
  <c r="AK81" i="33"/>
  <c r="AO81" i="33"/>
  <c r="I10" i="33"/>
  <c r="I11" i="33"/>
  <c r="I8" i="33"/>
  <c r="I60" i="33"/>
  <c r="I20" i="33"/>
  <c r="I23" i="33"/>
  <c r="I24" i="33"/>
  <c r="I65" i="33"/>
  <c r="I29" i="33"/>
  <c r="I4" i="33"/>
  <c r="I93" i="33"/>
  <c r="I67" i="33"/>
  <c r="I69" i="33"/>
  <c r="I99" i="33"/>
  <c r="I6" i="33"/>
  <c r="I61" i="33"/>
  <c r="I25" i="33"/>
  <c r="I31" i="33"/>
  <c r="I74" i="33"/>
  <c r="I76" i="33"/>
  <c r="I85" i="33"/>
  <c r="I97" i="33"/>
  <c r="K10" i="33"/>
  <c r="L10" i="33" s="1"/>
  <c r="K11" i="33"/>
  <c r="L11" i="33" s="1"/>
  <c r="K8" i="33"/>
  <c r="L8" i="33" s="1"/>
  <c r="K60" i="33"/>
  <c r="L60" i="33" s="1"/>
  <c r="K20" i="33"/>
  <c r="L20" i="33" s="1"/>
  <c r="K23" i="33"/>
  <c r="L23" i="33" s="1"/>
  <c r="K24" i="33"/>
  <c r="L24" i="33" s="1"/>
  <c r="K65" i="33"/>
  <c r="L65" i="33" s="1"/>
  <c r="K29" i="33"/>
  <c r="L29" i="33" s="1"/>
  <c r="K4" i="33"/>
  <c r="L4" i="33" s="1"/>
  <c r="K93" i="33"/>
  <c r="L93" i="33" s="1"/>
  <c r="K67" i="33"/>
  <c r="L67" i="33" s="1"/>
  <c r="K69" i="33"/>
  <c r="L69" i="33" s="1"/>
  <c r="K99" i="33"/>
  <c r="L99" i="33" s="1"/>
  <c r="K6" i="33"/>
  <c r="L6" i="33" s="1"/>
  <c r="K61" i="33"/>
  <c r="L61" i="33" s="1"/>
  <c r="K25" i="33"/>
  <c r="L25" i="33" s="1"/>
  <c r="K31" i="33"/>
  <c r="L31" i="33" s="1"/>
  <c r="K74" i="33"/>
  <c r="L74" i="33" s="1"/>
  <c r="K76" i="33"/>
  <c r="L76" i="33" s="1"/>
  <c r="K85" i="33"/>
  <c r="L85" i="33" s="1"/>
  <c r="K97" i="33"/>
  <c r="L97" i="33" s="1"/>
  <c r="M10" i="33"/>
  <c r="N10" i="33" s="1"/>
  <c r="M11" i="33"/>
  <c r="N11" i="33" s="1"/>
  <c r="M8" i="33"/>
  <c r="N8" i="33" s="1"/>
  <c r="M60" i="33"/>
  <c r="N60" i="33" s="1"/>
  <c r="M20" i="33"/>
  <c r="N20" i="33" s="1"/>
  <c r="M23" i="33"/>
  <c r="N23" i="33" s="1"/>
  <c r="M24" i="33"/>
  <c r="N24" i="33" s="1"/>
  <c r="M65" i="33"/>
  <c r="N65" i="33" s="1"/>
  <c r="M29" i="33"/>
  <c r="N29" i="33" s="1"/>
  <c r="M4" i="33"/>
  <c r="N4" i="33" s="1"/>
  <c r="M93" i="33"/>
  <c r="N93" i="33" s="1"/>
  <c r="M67" i="33"/>
  <c r="N67" i="33" s="1"/>
  <c r="M69" i="33"/>
  <c r="N69" i="33" s="1"/>
  <c r="M99" i="33"/>
  <c r="N99" i="33" s="1"/>
  <c r="M6" i="33"/>
  <c r="N6" i="33" s="1"/>
  <c r="M61" i="33"/>
  <c r="N61" i="33" s="1"/>
  <c r="M25" i="33"/>
  <c r="N25" i="33" s="1"/>
  <c r="M31" i="33"/>
  <c r="N31" i="33" s="1"/>
  <c r="M74" i="33"/>
  <c r="N74" i="33" s="1"/>
  <c r="M76" i="33"/>
  <c r="N76" i="33" s="1"/>
  <c r="M85" i="33"/>
  <c r="N85" i="33" s="1"/>
  <c r="N97" i="33"/>
  <c r="AA10" i="33"/>
  <c r="AA11" i="33"/>
  <c r="AA8" i="33"/>
  <c r="AA60" i="33"/>
  <c r="Z59" i="33" s="1"/>
  <c r="AB59" i="33" s="1"/>
  <c r="AA20" i="33"/>
  <c r="AA23" i="33"/>
  <c r="AA24" i="33"/>
  <c r="AA65" i="33"/>
  <c r="Z64" i="33" s="1"/>
  <c r="AB64" i="33" s="1"/>
  <c r="AA29" i="33"/>
  <c r="AA4" i="33"/>
  <c r="AA93" i="33"/>
  <c r="AA67" i="33"/>
  <c r="Z66" i="33" s="1"/>
  <c r="AB66" i="33" s="1"/>
  <c r="AA69" i="33"/>
  <c r="AA99" i="33"/>
  <c r="AA6" i="33"/>
  <c r="AA61" i="33"/>
  <c r="AA25" i="33"/>
  <c r="Z25" i="33" s="1"/>
  <c r="AA31" i="33"/>
  <c r="AA74" i="33"/>
  <c r="Z73" i="33" s="1"/>
  <c r="AB73" i="33" s="1"/>
  <c r="AA76" i="33"/>
  <c r="Z75" i="33" s="1"/>
  <c r="AB75" i="33" s="1"/>
  <c r="AA85" i="33"/>
  <c r="AA97" i="33"/>
  <c r="AC10" i="33"/>
  <c r="AL10" i="33" s="1"/>
  <c r="AC11" i="33"/>
  <c r="AL11" i="33" s="1"/>
  <c r="AC8" i="33"/>
  <c r="AL8" i="33" s="1"/>
  <c r="AC60" i="33"/>
  <c r="AL60" i="33" s="1"/>
  <c r="AC20" i="33"/>
  <c r="AL20" i="33" s="1"/>
  <c r="AC23" i="33"/>
  <c r="AL23" i="33" s="1"/>
  <c r="AC24" i="33"/>
  <c r="AL24" i="33" s="1"/>
  <c r="AC65" i="33"/>
  <c r="AL65" i="33" s="1"/>
  <c r="AC29" i="33"/>
  <c r="AL29" i="33" s="1"/>
  <c r="AC4" i="33"/>
  <c r="AL4" i="33" s="1"/>
  <c r="AC93" i="33"/>
  <c r="AL93" i="33" s="1"/>
  <c r="AC67" i="33"/>
  <c r="AL67" i="33" s="1"/>
  <c r="AC69" i="33"/>
  <c r="AL69" i="33" s="1"/>
  <c r="AC99" i="33"/>
  <c r="AL99" i="33" s="1"/>
  <c r="AC6" i="33"/>
  <c r="AL6" i="33" s="1"/>
  <c r="AC61" i="33"/>
  <c r="AL61" i="33" s="1"/>
  <c r="AC25" i="33"/>
  <c r="AL25" i="33" s="1"/>
  <c r="AC31" i="33"/>
  <c r="AL31" i="33" s="1"/>
  <c r="AC74" i="33"/>
  <c r="AL74" i="33" s="1"/>
  <c r="AC76" i="33"/>
  <c r="AL76" i="33" s="1"/>
  <c r="AC85" i="33"/>
  <c r="AL85" i="33" s="1"/>
  <c r="AC97" i="33"/>
  <c r="AL97" i="33" s="1"/>
  <c r="AD10" i="33"/>
  <c r="AD11" i="33"/>
  <c r="AD8" i="33"/>
  <c r="AD60" i="33"/>
  <c r="AD20" i="33"/>
  <c r="AD23" i="33"/>
  <c r="AD24" i="33"/>
  <c r="AD65" i="33"/>
  <c r="AD29" i="33"/>
  <c r="AD4" i="33"/>
  <c r="AD93" i="33"/>
  <c r="AD67" i="33"/>
  <c r="AD69" i="33"/>
  <c r="AD99" i="33"/>
  <c r="AD6" i="33"/>
  <c r="AD61" i="33"/>
  <c r="AD25" i="33"/>
  <c r="AD31" i="33"/>
  <c r="AD74" i="33"/>
  <c r="AD76" i="33"/>
  <c r="AD85" i="33"/>
  <c r="AD97" i="33"/>
  <c r="AE10" i="33"/>
  <c r="AE11" i="33"/>
  <c r="AE8" i="33"/>
  <c r="AE60" i="33"/>
  <c r="AE20" i="33"/>
  <c r="AE23" i="33"/>
  <c r="AE24" i="33"/>
  <c r="AE65" i="33"/>
  <c r="AE29" i="33"/>
  <c r="AE4" i="33"/>
  <c r="AE93" i="33"/>
  <c r="AE67" i="33"/>
  <c r="AE69" i="33"/>
  <c r="AE99" i="33"/>
  <c r="AE6" i="33"/>
  <c r="AE61" i="33"/>
  <c r="AE25" i="33"/>
  <c r="AE31" i="33"/>
  <c r="AE74" i="33"/>
  <c r="AE76" i="33"/>
  <c r="AE85" i="33"/>
  <c r="AE97" i="33"/>
  <c r="AF10" i="33"/>
  <c r="AF11" i="33"/>
  <c r="AF8" i="33"/>
  <c r="AF60" i="33"/>
  <c r="AF20" i="33"/>
  <c r="AF23" i="33"/>
  <c r="AF24" i="33"/>
  <c r="AF65" i="33"/>
  <c r="AF29" i="33"/>
  <c r="AF4" i="33"/>
  <c r="AF93" i="33"/>
  <c r="AF67" i="33"/>
  <c r="AF69" i="33"/>
  <c r="AF99" i="33"/>
  <c r="AF6" i="33"/>
  <c r="AF61" i="33"/>
  <c r="AF25" i="33"/>
  <c r="AF31" i="33"/>
  <c r="AF74" i="33"/>
  <c r="AF76" i="33"/>
  <c r="AF85" i="33"/>
  <c r="AF97" i="33"/>
  <c r="AG10" i="33"/>
  <c r="AG11" i="33"/>
  <c r="AG8" i="33"/>
  <c r="AG60" i="33"/>
  <c r="AG20" i="33"/>
  <c r="AG23" i="33"/>
  <c r="AG24" i="33"/>
  <c r="AG65" i="33"/>
  <c r="AG29" i="33"/>
  <c r="AG4" i="33"/>
  <c r="AG93" i="33"/>
  <c r="AG67" i="33"/>
  <c r="AG69" i="33"/>
  <c r="AG99" i="33"/>
  <c r="AG6" i="33"/>
  <c r="AG61" i="33"/>
  <c r="AG25" i="33"/>
  <c r="AG31" i="33"/>
  <c r="AG74" i="33"/>
  <c r="AG76" i="33"/>
  <c r="AG85" i="33"/>
  <c r="AG97" i="33"/>
  <c r="AH10" i="33"/>
  <c r="AH11" i="33"/>
  <c r="AH8" i="33"/>
  <c r="AH60" i="33"/>
  <c r="AH20" i="33"/>
  <c r="AH23" i="33"/>
  <c r="AH24" i="33"/>
  <c r="AH65" i="33"/>
  <c r="AH29" i="33"/>
  <c r="AH4" i="33"/>
  <c r="AH93" i="33"/>
  <c r="AH67" i="33"/>
  <c r="AH69" i="33"/>
  <c r="AH99" i="33"/>
  <c r="AH6" i="33"/>
  <c r="AH61" i="33"/>
  <c r="AH25" i="33"/>
  <c r="AH31" i="33"/>
  <c r="AH74" i="33"/>
  <c r="AH76" i="33"/>
  <c r="AH85" i="33"/>
  <c r="AH97" i="33"/>
  <c r="AI10" i="33"/>
  <c r="AI11" i="33"/>
  <c r="AI8" i="33"/>
  <c r="AI60" i="33"/>
  <c r="AI20" i="33"/>
  <c r="AI23" i="33"/>
  <c r="AI24" i="33"/>
  <c r="AI65" i="33"/>
  <c r="AI29" i="33"/>
  <c r="AI4" i="33"/>
  <c r="AI93" i="33"/>
  <c r="AI67" i="33"/>
  <c r="AI69" i="33"/>
  <c r="AI99" i="33"/>
  <c r="AI6" i="33"/>
  <c r="AI61" i="33"/>
  <c r="AI25" i="33"/>
  <c r="AI31" i="33"/>
  <c r="AI74" i="33"/>
  <c r="AI76" i="33"/>
  <c r="AI85" i="33"/>
  <c r="AI97" i="33"/>
  <c r="AJ10" i="33"/>
  <c r="AJ11" i="33"/>
  <c r="AJ8" i="33"/>
  <c r="AJ60" i="33"/>
  <c r="AJ20" i="33"/>
  <c r="AJ23" i="33"/>
  <c r="AJ24" i="33"/>
  <c r="AJ65" i="33"/>
  <c r="AJ29" i="33"/>
  <c r="AJ4" i="33"/>
  <c r="AJ93" i="33"/>
  <c r="AJ67" i="33"/>
  <c r="AJ69" i="33"/>
  <c r="AJ99" i="33"/>
  <c r="AJ6" i="33"/>
  <c r="AJ61" i="33"/>
  <c r="AJ25" i="33"/>
  <c r="AJ31" i="33"/>
  <c r="AJ74" i="33"/>
  <c r="AJ76" i="33"/>
  <c r="AJ85" i="33"/>
  <c r="AJ97" i="33"/>
  <c r="AK10" i="33"/>
  <c r="AK11" i="33"/>
  <c r="AK8" i="33"/>
  <c r="AK60" i="33"/>
  <c r="AK20" i="33"/>
  <c r="AK23" i="33"/>
  <c r="AK24" i="33"/>
  <c r="AK65" i="33"/>
  <c r="AK29" i="33"/>
  <c r="AK4" i="33"/>
  <c r="AK93" i="33"/>
  <c r="AK67" i="33"/>
  <c r="AK69" i="33"/>
  <c r="AK99" i="33"/>
  <c r="AK6" i="33"/>
  <c r="AK61" i="33"/>
  <c r="AK25" i="33"/>
  <c r="AK31" i="33"/>
  <c r="AK74" i="33"/>
  <c r="AK76" i="33"/>
  <c r="AK85" i="33"/>
  <c r="AK97" i="33"/>
  <c r="AO10" i="33"/>
  <c r="AO11" i="33"/>
  <c r="AO8" i="33"/>
  <c r="AO60" i="33"/>
  <c r="AO20" i="33"/>
  <c r="AO23" i="33"/>
  <c r="AO24" i="33"/>
  <c r="AO65" i="33"/>
  <c r="AO29" i="33"/>
  <c r="AO4" i="33"/>
  <c r="AO93" i="33"/>
  <c r="AO67" i="33"/>
  <c r="AO69" i="33"/>
  <c r="AO99" i="33"/>
  <c r="AO6" i="33"/>
  <c r="AO61" i="33"/>
  <c r="AO25" i="33"/>
  <c r="AO31" i="33"/>
  <c r="AO74" i="33"/>
  <c r="AO76" i="33"/>
  <c r="AO85" i="33"/>
  <c r="AO97" i="33"/>
  <c r="I96" i="33"/>
  <c r="I181" i="33"/>
  <c r="I19" i="33"/>
  <c r="I13" i="33"/>
  <c r="I14" i="33"/>
  <c r="I77" i="33"/>
  <c r="I78" i="33"/>
  <c r="K3" i="33"/>
  <c r="L3" i="33" s="1"/>
  <c r="K96" i="33"/>
  <c r="L96" i="33" s="1"/>
  <c r="L181" i="33"/>
  <c r="K19" i="33"/>
  <c r="L19" i="33" s="1"/>
  <c r="K13" i="33"/>
  <c r="L13" i="33" s="1"/>
  <c r="K14" i="33"/>
  <c r="L14" i="33" s="1"/>
  <c r="K77" i="33"/>
  <c r="L77" i="33" s="1"/>
  <c r="K78" i="33"/>
  <c r="L78" i="33" s="1"/>
  <c r="M3" i="33"/>
  <c r="N3" i="33" s="1"/>
  <c r="M96" i="33"/>
  <c r="N96" i="33" s="1"/>
  <c r="M181" i="33"/>
  <c r="N181" i="33" s="1"/>
  <c r="M19" i="33"/>
  <c r="N19" i="33" s="1"/>
  <c r="M13" i="33"/>
  <c r="N13" i="33" s="1"/>
  <c r="M14" i="33"/>
  <c r="N14" i="33" s="1"/>
  <c r="M77" i="33"/>
  <c r="N77" i="33" s="1"/>
  <c r="M78" i="33"/>
  <c r="N78" i="33" s="1"/>
  <c r="X3" i="33"/>
  <c r="Y3" i="33"/>
  <c r="AA3" i="33"/>
  <c r="AA96" i="33"/>
  <c r="AA181" i="33"/>
  <c r="Z180" i="33" s="1"/>
  <c r="AB180" i="33" s="1"/>
  <c r="AA19" i="33"/>
  <c r="Z32" i="33"/>
  <c r="AB32" i="33" s="1"/>
  <c r="AA13" i="33"/>
  <c r="Z12" i="33" s="1"/>
  <c r="AB12" i="33" s="1"/>
  <c r="AA14" i="33"/>
  <c r="AA77" i="33"/>
  <c r="AA78" i="33"/>
  <c r="AC3" i="33"/>
  <c r="AL3" i="33" s="1"/>
  <c r="AC96" i="33"/>
  <c r="AL96" i="33" s="1"/>
  <c r="AC181" i="33"/>
  <c r="AL181" i="33" s="1"/>
  <c r="AC19" i="33"/>
  <c r="AL19" i="33" s="1"/>
  <c r="AC13" i="33"/>
  <c r="AL13" i="33" s="1"/>
  <c r="AC14" i="33"/>
  <c r="AL14" i="33" s="1"/>
  <c r="AC77" i="33"/>
  <c r="AL77" i="33" s="1"/>
  <c r="AC78" i="33"/>
  <c r="AL78" i="33" s="1"/>
  <c r="AD3" i="33"/>
  <c r="AD96" i="33"/>
  <c r="AD181" i="33"/>
  <c r="AD19" i="33"/>
  <c r="AD13" i="33"/>
  <c r="AD14" i="33"/>
  <c r="AD77" i="33"/>
  <c r="AD78" i="33"/>
  <c r="AE3" i="33"/>
  <c r="AE96" i="33"/>
  <c r="AE181" i="33"/>
  <c r="AE19" i="33"/>
  <c r="AE13" i="33"/>
  <c r="AE14" i="33"/>
  <c r="AE77" i="33"/>
  <c r="AE78" i="33"/>
  <c r="AF3" i="33"/>
  <c r="AF96" i="33"/>
  <c r="AF181" i="33"/>
  <c r="AF19" i="33"/>
  <c r="AF13" i="33"/>
  <c r="AF14" i="33"/>
  <c r="AF77" i="33"/>
  <c r="AF78" i="33"/>
  <c r="AG3" i="33"/>
  <c r="AG96" i="33"/>
  <c r="AG19" i="33"/>
  <c r="AG13" i="33"/>
  <c r="AG14" i="33"/>
  <c r="AG77" i="33"/>
  <c r="AG78" i="33"/>
  <c r="AH3" i="33"/>
  <c r="AH96" i="33"/>
  <c r="AH181" i="33"/>
  <c r="AH19" i="33"/>
  <c r="AH13" i="33"/>
  <c r="AH14" i="33"/>
  <c r="AH77" i="33"/>
  <c r="AH78" i="33"/>
  <c r="AI3" i="33"/>
  <c r="AI96" i="33"/>
  <c r="AI181" i="33"/>
  <c r="AI19" i="33"/>
  <c r="AI13" i="33"/>
  <c r="AI14" i="33"/>
  <c r="AI77" i="33"/>
  <c r="AI78" i="33"/>
  <c r="AJ3" i="33"/>
  <c r="AJ96" i="33"/>
  <c r="AJ181" i="33"/>
  <c r="AJ19" i="33"/>
  <c r="AJ13" i="33"/>
  <c r="AJ14" i="33"/>
  <c r="AJ77" i="33"/>
  <c r="AJ78" i="33"/>
  <c r="AK3" i="33"/>
  <c r="AK96" i="33"/>
  <c r="AK181" i="33"/>
  <c r="AK19" i="33"/>
  <c r="AK13" i="33"/>
  <c r="AK14" i="33"/>
  <c r="AK77" i="33"/>
  <c r="AK78" i="33"/>
  <c r="AO3" i="33"/>
  <c r="AO96" i="33"/>
  <c r="AO181" i="33"/>
  <c r="AO19" i="33"/>
  <c r="AO13" i="33"/>
  <c r="AO14" i="33"/>
  <c r="AO77" i="33"/>
  <c r="AO78" i="33"/>
  <c r="I53" i="33"/>
  <c r="I54" i="33"/>
  <c r="I55" i="33"/>
  <c r="I56" i="33"/>
  <c r="K53" i="33"/>
  <c r="L53" i="33" s="1"/>
  <c r="K54" i="33"/>
  <c r="L54" i="33" s="1"/>
  <c r="K55" i="33"/>
  <c r="L55" i="33" s="1"/>
  <c r="K56" i="33"/>
  <c r="L56" i="33" s="1"/>
  <c r="M53" i="33"/>
  <c r="N53" i="33" s="1"/>
  <c r="M54" i="33"/>
  <c r="N54" i="33" s="1"/>
  <c r="M55" i="33"/>
  <c r="N55" i="33" s="1"/>
  <c r="M56" i="33"/>
  <c r="N56" i="33" s="1"/>
  <c r="AA53" i="33"/>
  <c r="AA54" i="33"/>
  <c r="AA55" i="33"/>
  <c r="AA56" i="33"/>
  <c r="AC53" i="33"/>
  <c r="AL53" i="33" s="1"/>
  <c r="AC54" i="33"/>
  <c r="AL54" i="33" s="1"/>
  <c r="AC55" i="33"/>
  <c r="AL55" i="33" s="1"/>
  <c r="AC56" i="33"/>
  <c r="AL56" i="33" s="1"/>
  <c r="AD53" i="33"/>
  <c r="AD54" i="33"/>
  <c r="AD55" i="33"/>
  <c r="AD56" i="33"/>
  <c r="AE53" i="33"/>
  <c r="AE54" i="33"/>
  <c r="AE55" i="33"/>
  <c r="AE56" i="33"/>
  <c r="AF53" i="33"/>
  <c r="AF54" i="33"/>
  <c r="AF55" i="33"/>
  <c r="AF56" i="33"/>
  <c r="AG53" i="33"/>
  <c r="AG54" i="33"/>
  <c r="AG55" i="33"/>
  <c r="AG56" i="33"/>
  <c r="AH53" i="33"/>
  <c r="AH54" i="33"/>
  <c r="AH55" i="33"/>
  <c r="AH56" i="33"/>
  <c r="AI53" i="33"/>
  <c r="AI54" i="33"/>
  <c r="AI55" i="33"/>
  <c r="AI56" i="33"/>
  <c r="AJ53" i="33"/>
  <c r="AJ54" i="33"/>
  <c r="AJ55" i="33"/>
  <c r="AJ56" i="33"/>
  <c r="AK53" i="33"/>
  <c r="AK54" i="33"/>
  <c r="AK55" i="33"/>
  <c r="AK56" i="33"/>
  <c r="AO53" i="33"/>
  <c r="AO54" i="33"/>
  <c r="AO55" i="33"/>
  <c r="AO56" i="33"/>
  <c r="I57" i="33"/>
  <c r="I58" i="33"/>
  <c r="K57" i="33"/>
  <c r="L57" i="33" s="1"/>
  <c r="K58" i="33"/>
  <c r="L58" i="33" s="1"/>
  <c r="M57" i="33"/>
  <c r="N57" i="33" s="1"/>
  <c r="M58" i="33"/>
  <c r="N58" i="33" s="1"/>
  <c r="AA57" i="33"/>
  <c r="AA58" i="33"/>
  <c r="AC57" i="33"/>
  <c r="AL57" i="33" s="1"/>
  <c r="AC58" i="33"/>
  <c r="AL58" i="33" s="1"/>
  <c r="AD57" i="33"/>
  <c r="AD58" i="33"/>
  <c r="AE57" i="33"/>
  <c r="AE58" i="33"/>
  <c r="AF57" i="33"/>
  <c r="AF58" i="33"/>
  <c r="AG57" i="33"/>
  <c r="AG58" i="33"/>
  <c r="AH57" i="33"/>
  <c r="AH58" i="33"/>
  <c r="AI57" i="33"/>
  <c r="AI58" i="33"/>
  <c r="AJ57" i="33"/>
  <c r="AJ58" i="33"/>
  <c r="AK57" i="33"/>
  <c r="AK58" i="33"/>
  <c r="AO57" i="33"/>
  <c r="AO58" i="33"/>
  <c r="I91" i="33"/>
  <c r="K91" i="33"/>
  <c r="L91" i="33" s="1"/>
  <c r="M91" i="33"/>
  <c r="N91" i="33" s="1"/>
  <c r="Z168" i="33"/>
  <c r="AB168" i="33" s="1"/>
  <c r="AA91" i="33"/>
  <c r="Z90" i="33" s="1"/>
  <c r="AB90" i="33" s="1"/>
  <c r="AC91" i="33"/>
  <c r="AL91" i="33" s="1"/>
  <c r="AD91" i="33"/>
  <c r="AE91" i="33"/>
  <c r="AF91" i="33"/>
  <c r="AG91" i="33"/>
  <c r="AH91" i="33"/>
  <c r="AI91" i="33"/>
  <c r="AJ91" i="33"/>
  <c r="AK91" i="33"/>
  <c r="AO91" i="33"/>
  <c r="A2" i="59" a="1"/>
  <c r="E17" i="56" a="1"/>
  <c r="E17" i="56" s="1"/>
  <c r="F6" i="56" a="1"/>
  <c r="F6" i="56" s="1"/>
  <c r="G6" i="56" a="1"/>
  <c r="G6" i="56" s="1"/>
  <c r="H6" i="56" a="1"/>
  <c r="H6" i="56" s="1"/>
  <c r="I6" i="56" a="1"/>
  <c r="I6" i="56" s="1"/>
  <c r="J6" i="56" a="1"/>
  <c r="J6" i="56" s="1"/>
  <c r="K6" i="56" a="1"/>
  <c r="K6" i="56" s="1"/>
  <c r="L6" i="56" a="1"/>
  <c r="L6" i="56" s="1"/>
  <c r="M6" i="56" a="1"/>
  <c r="M6" i="56" s="1"/>
  <c r="N6" i="56" a="1"/>
  <c r="N6" i="56" s="1"/>
  <c r="O6" i="56" a="1"/>
  <c r="O6" i="56" s="1"/>
  <c r="F7" i="56" a="1"/>
  <c r="F7" i="56" s="1"/>
  <c r="G7" i="56" a="1"/>
  <c r="G7" i="56" s="1"/>
  <c r="H7" i="56" a="1"/>
  <c r="H7" i="56" s="1"/>
  <c r="I7" i="56" a="1"/>
  <c r="I7" i="56" s="1"/>
  <c r="J7" i="56" a="1"/>
  <c r="J7" i="56" s="1"/>
  <c r="K7" i="56" a="1"/>
  <c r="K7" i="56" s="1"/>
  <c r="L7" i="56" a="1"/>
  <c r="L7" i="56" s="1"/>
  <c r="M7" i="56" a="1"/>
  <c r="M7" i="56" s="1"/>
  <c r="N7" i="56" a="1"/>
  <c r="N7" i="56" s="1"/>
  <c r="O7" i="56" a="1"/>
  <c r="O7" i="56" s="1"/>
  <c r="F8" i="56" a="1"/>
  <c r="F8" i="56" s="1"/>
  <c r="G8" i="56" a="1"/>
  <c r="G8" i="56" s="1"/>
  <c r="H8" i="56" a="1"/>
  <c r="H8" i="56" s="1"/>
  <c r="I8" i="56" a="1"/>
  <c r="I8" i="56" s="1"/>
  <c r="J8" i="56" a="1"/>
  <c r="J8" i="56" s="1"/>
  <c r="K8" i="56" a="1"/>
  <c r="K8" i="56" s="1"/>
  <c r="L8" i="56" a="1"/>
  <c r="L8" i="56" s="1"/>
  <c r="M8" i="56" a="1"/>
  <c r="M8" i="56" s="1"/>
  <c r="N8" i="56" a="1"/>
  <c r="N8" i="56" s="1"/>
  <c r="O8" i="56" a="1"/>
  <c r="O8" i="56" s="1"/>
  <c r="F9" i="56" a="1"/>
  <c r="F9" i="56" s="1"/>
  <c r="G9" i="56" a="1"/>
  <c r="G9" i="56" s="1"/>
  <c r="H9" i="56" a="1"/>
  <c r="H9" i="56" s="1"/>
  <c r="I9" i="56" a="1"/>
  <c r="I9" i="56" s="1"/>
  <c r="J9" i="56" a="1"/>
  <c r="J9" i="56" s="1"/>
  <c r="K9" i="56" a="1"/>
  <c r="K9" i="56" s="1"/>
  <c r="L9" i="56" a="1"/>
  <c r="L9" i="56" s="1"/>
  <c r="M9" i="56" a="1"/>
  <c r="M9" i="56" s="1"/>
  <c r="N9" i="56" a="1"/>
  <c r="N9" i="56" s="1"/>
  <c r="O9" i="56" a="1"/>
  <c r="O9" i="56" s="1"/>
  <c r="F10" i="56" a="1"/>
  <c r="F10" i="56" s="1"/>
  <c r="G10" i="56" a="1"/>
  <c r="G10" i="56" s="1"/>
  <c r="H10" i="56" a="1"/>
  <c r="H10" i="56" s="1"/>
  <c r="I10" i="56" a="1"/>
  <c r="I10" i="56" s="1"/>
  <c r="J10" i="56" a="1"/>
  <c r="J10" i="56" s="1"/>
  <c r="K10" i="56" a="1"/>
  <c r="K10" i="56" s="1"/>
  <c r="L10" i="56" a="1"/>
  <c r="L10" i="56" s="1"/>
  <c r="M10" i="56" a="1"/>
  <c r="M10" i="56" s="1"/>
  <c r="N10" i="56" a="1"/>
  <c r="N10" i="56" s="1"/>
  <c r="O10" i="56" a="1"/>
  <c r="O10" i="56" s="1"/>
  <c r="F11" i="56" a="1"/>
  <c r="F11" i="56" s="1"/>
  <c r="G11" i="56" a="1"/>
  <c r="G11" i="56" s="1"/>
  <c r="H11" i="56" a="1"/>
  <c r="H11" i="56" s="1"/>
  <c r="I11" i="56" a="1"/>
  <c r="I11" i="56" s="1"/>
  <c r="J11" i="56" a="1"/>
  <c r="J11" i="56" s="1"/>
  <c r="K11" i="56" a="1"/>
  <c r="K11" i="56" s="1"/>
  <c r="L11" i="56" a="1"/>
  <c r="L11" i="56" s="1"/>
  <c r="M11" i="56" a="1"/>
  <c r="M11" i="56" s="1"/>
  <c r="N11" i="56" a="1"/>
  <c r="N11" i="56" s="1"/>
  <c r="O11" i="56" a="1"/>
  <c r="O11" i="56" s="1"/>
  <c r="F12" i="56" a="1"/>
  <c r="F12" i="56" s="1"/>
  <c r="G12" i="56" a="1"/>
  <c r="G12" i="56" s="1"/>
  <c r="H12" i="56" a="1"/>
  <c r="H12" i="56" s="1"/>
  <c r="I12" i="56" a="1"/>
  <c r="I12" i="56" s="1"/>
  <c r="J12" i="56" a="1"/>
  <c r="J12" i="56" s="1"/>
  <c r="K12" i="56" a="1"/>
  <c r="K12" i="56" s="1"/>
  <c r="L12" i="56" a="1"/>
  <c r="L12" i="56" s="1"/>
  <c r="M12" i="56" a="1"/>
  <c r="M12" i="56" s="1"/>
  <c r="N12" i="56" a="1"/>
  <c r="N12" i="56" s="1"/>
  <c r="O12" i="56" a="1"/>
  <c r="O12" i="56" s="1"/>
  <c r="F13" i="56" a="1"/>
  <c r="F13" i="56" s="1"/>
  <c r="G13" i="56" a="1"/>
  <c r="G13" i="56" s="1"/>
  <c r="H13" i="56" a="1"/>
  <c r="H13" i="56" s="1"/>
  <c r="I13" i="56" a="1"/>
  <c r="I13" i="56" s="1"/>
  <c r="J13" i="56" a="1"/>
  <c r="J13" i="56" s="1"/>
  <c r="K13" i="56" a="1"/>
  <c r="K13" i="56" s="1"/>
  <c r="L13" i="56" a="1"/>
  <c r="L13" i="56" s="1"/>
  <c r="M13" i="56" a="1"/>
  <c r="M13" i="56" s="1"/>
  <c r="N13" i="56" a="1"/>
  <c r="N13" i="56" s="1"/>
  <c r="O13" i="56" a="1"/>
  <c r="O13" i="56" s="1"/>
  <c r="F14" i="56" a="1"/>
  <c r="F14" i="56" s="1"/>
  <c r="G14" i="56" a="1"/>
  <c r="G14" i="56" s="1"/>
  <c r="H14" i="56" a="1"/>
  <c r="H14" i="56" s="1"/>
  <c r="I14" i="56" a="1"/>
  <c r="I14" i="56" s="1"/>
  <c r="J14" i="56" a="1"/>
  <c r="J14" i="56" s="1"/>
  <c r="K14" i="56" a="1"/>
  <c r="K14" i="56" s="1"/>
  <c r="L14" i="56" a="1"/>
  <c r="L14" i="56" s="1"/>
  <c r="M14" i="56" a="1"/>
  <c r="M14" i="56" s="1"/>
  <c r="N14" i="56" a="1"/>
  <c r="N14" i="56" s="1"/>
  <c r="O14" i="56" a="1"/>
  <c r="O14" i="56" s="1"/>
  <c r="F15" i="56" a="1"/>
  <c r="F15" i="56" s="1"/>
  <c r="G15" i="56" a="1"/>
  <c r="G15" i="56" s="1"/>
  <c r="H15" i="56" a="1"/>
  <c r="H15" i="56" s="1"/>
  <c r="I15" i="56" a="1"/>
  <c r="I15" i="56" s="1"/>
  <c r="J15" i="56" a="1"/>
  <c r="J15" i="56" s="1"/>
  <c r="K15" i="56" a="1"/>
  <c r="K15" i="56" s="1"/>
  <c r="L15" i="56" a="1"/>
  <c r="L15" i="56" s="1"/>
  <c r="M15" i="56" a="1"/>
  <c r="M15" i="56" s="1"/>
  <c r="N15" i="56" a="1"/>
  <c r="N15" i="56" s="1"/>
  <c r="O15" i="56" a="1"/>
  <c r="O15" i="56" s="1"/>
  <c r="F16" i="56" a="1"/>
  <c r="F16" i="56" s="1"/>
  <c r="G16" i="56" a="1"/>
  <c r="G16" i="56" s="1"/>
  <c r="H16" i="56" a="1"/>
  <c r="H16" i="56" s="1"/>
  <c r="I16" i="56" a="1"/>
  <c r="I16" i="56" s="1"/>
  <c r="J16" i="56" a="1"/>
  <c r="J16" i="56" s="1"/>
  <c r="K16" i="56" a="1"/>
  <c r="K16" i="56" s="1"/>
  <c r="L16" i="56" a="1"/>
  <c r="L16" i="56" s="1"/>
  <c r="M16" i="56" a="1"/>
  <c r="M16" i="56" s="1"/>
  <c r="N16" i="56" a="1"/>
  <c r="N16" i="56" s="1"/>
  <c r="O16" i="56" a="1"/>
  <c r="O16" i="56" s="1"/>
  <c r="F17" i="56" a="1"/>
  <c r="F17" i="56" s="1"/>
  <c r="G17" i="56" a="1"/>
  <c r="G17" i="56" s="1"/>
  <c r="H17" i="56" a="1"/>
  <c r="H17" i="56" s="1"/>
  <c r="I17" i="56" a="1"/>
  <c r="I17" i="56" s="1"/>
  <c r="J17" i="56" a="1"/>
  <c r="J17" i="56" s="1"/>
  <c r="K17" i="56" a="1"/>
  <c r="K17" i="56" s="1"/>
  <c r="L17" i="56" a="1"/>
  <c r="L17" i="56" s="1"/>
  <c r="M17" i="56" a="1"/>
  <c r="M17" i="56" s="1"/>
  <c r="N17" i="56" a="1"/>
  <c r="N17" i="56" s="1"/>
  <c r="O17" i="56" a="1"/>
  <c r="O17" i="56" s="1"/>
  <c r="F18" i="56" a="1"/>
  <c r="F18" i="56" s="1"/>
  <c r="G18" i="56" a="1"/>
  <c r="G18" i="56" s="1"/>
  <c r="H18" i="56" a="1"/>
  <c r="H18" i="56" s="1"/>
  <c r="I18" i="56" a="1"/>
  <c r="I18" i="56" s="1"/>
  <c r="J18" i="56" a="1"/>
  <c r="J18" i="56" s="1"/>
  <c r="K18" i="56" a="1"/>
  <c r="K18" i="56" s="1"/>
  <c r="L18" i="56" a="1"/>
  <c r="L18" i="56" s="1"/>
  <c r="M18" i="56" a="1"/>
  <c r="M18" i="56" s="1"/>
  <c r="N18" i="56" a="1"/>
  <c r="N18" i="56" s="1"/>
  <c r="O18" i="56" a="1"/>
  <c r="O18" i="56" s="1"/>
  <c r="F19" i="56" a="1"/>
  <c r="F19" i="56" s="1"/>
  <c r="G19" i="56" a="1"/>
  <c r="G19" i="56" s="1"/>
  <c r="H19" i="56" a="1"/>
  <c r="H19" i="56" s="1"/>
  <c r="I19" i="56" a="1"/>
  <c r="I19" i="56" s="1"/>
  <c r="J19" i="56" a="1"/>
  <c r="J19" i="56" s="1"/>
  <c r="K19" i="56" a="1"/>
  <c r="K19" i="56" s="1"/>
  <c r="L19" i="56" a="1"/>
  <c r="L19" i="56" s="1"/>
  <c r="M19" i="56" a="1"/>
  <c r="M19" i="56" s="1"/>
  <c r="N19" i="56" a="1"/>
  <c r="N19" i="56" s="1"/>
  <c r="O19" i="56" a="1"/>
  <c r="O19" i="56" s="1"/>
  <c r="F20" i="56" a="1"/>
  <c r="F20" i="56" s="1"/>
  <c r="G20" i="56" a="1"/>
  <c r="G20" i="56" s="1"/>
  <c r="H20" i="56" a="1"/>
  <c r="H20" i="56" s="1"/>
  <c r="I20" i="56" a="1"/>
  <c r="I20" i="56" s="1"/>
  <c r="J20" i="56" a="1"/>
  <c r="J20" i="56" s="1"/>
  <c r="K20" i="56" a="1"/>
  <c r="K20" i="56" s="1"/>
  <c r="L20" i="56" a="1"/>
  <c r="L20" i="56" s="1"/>
  <c r="M20" i="56" a="1"/>
  <c r="M20" i="56" s="1"/>
  <c r="N20" i="56" a="1"/>
  <c r="N20" i="56" s="1"/>
  <c r="O20" i="56" a="1"/>
  <c r="O20" i="56" s="1"/>
  <c r="F21" i="56" a="1"/>
  <c r="F21" i="56" s="1"/>
  <c r="G21" i="56" a="1"/>
  <c r="G21" i="56" s="1"/>
  <c r="H21" i="56" a="1"/>
  <c r="H21" i="56" s="1"/>
  <c r="I21" i="56" a="1"/>
  <c r="I21" i="56" s="1"/>
  <c r="J21" i="56" a="1"/>
  <c r="J21" i="56" s="1"/>
  <c r="K21" i="56" a="1"/>
  <c r="K21" i="56" s="1"/>
  <c r="L21" i="56" a="1"/>
  <c r="L21" i="56" s="1"/>
  <c r="M21" i="56" a="1"/>
  <c r="M21" i="56" s="1"/>
  <c r="N21" i="56" a="1"/>
  <c r="N21" i="56" s="1"/>
  <c r="O21" i="56" a="1"/>
  <c r="O21" i="56" s="1"/>
  <c r="F22" i="56" a="1"/>
  <c r="F22" i="56" s="1"/>
  <c r="G22" i="56" a="1"/>
  <c r="G22" i="56" s="1"/>
  <c r="H22" i="56" a="1"/>
  <c r="H22" i="56" s="1"/>
  <c r="I22" i="56" a="1"/>
  <c r="I22" i="56" s="1"/>
  <c r="J22" i="56" a="1"/>
  <c r="J22" i="56" s="1"/>
  <c r="K22" i="56" a="1"/>
  <c r="K22" i="56" s="1"/>
  <c r="L22" i="56" a="1"/>
  <c r="L22" i="56" s="1"/>
  <c r="M22" i="56" a="1"/>
  <c r="M22" i="56" s="1"/>
  <c r="N22" i="56" a="1"/>
  <c r="N22" i="56" s="1"/>
  <c r="O22" i="56" a="1"/>
  <c r="O22" i="56" s="1"/>
  <c r="F23" i="56" a="1"/>
  <c r="F23" i="56" s="1"/>
  <c r="G23" i="56" a="1"/>
  <c r="G23" i="56" s="1"/>
  <c r="H23" i="56" a="1"/>
  <c r="H23" i="56" s="1"/>
  <c r="I23" i="56" a="1"/>
  <c r="I23" i="56" s="1"/>
  <c r="J23" i="56" a="1"/>
  <c r="J23" i="56" s="1"/>
  <c r="K23" i="56" a="1"/>
  <c r="K23" i="56" s="1"/>
  <c r="L23" i="56" a="1"/>
  <c r="L23" i="56" s="1"/>
  <c r="M23" i="56" a="1"/>
  <c r="M23" i="56" s="1"/>
  <c r="N23" i="56" a="1"/>
  <c r="N23" i="56" s="1"/>
  <c r="O23" i="56" a="1"/>
  <c r="O23" i="56" s="1"/>
  <c r="F24" i="56" a="1"/>
  <c r="F24" i="56" s="1"/>
  <c r="G24" i="56" a="1"/>
  <c r="G24" i="56" s="1"/>
  <c r="H24" i="56" a="1"/>
  <c r="H24" i="56" s="1"/>
  <c r="I24" i="56" a="1"/>
  <c r="I24" i="56" s="1"/>
  <c r="J24" i="56" a="1"/>
  <c r="J24" i="56" s="1"/>
  <c r="K24" i="56" a="1"/>
  <c r="K24" i="56" s="1"/>
  <c r="L24" i="56" a="1"/>
  <c r="L24" i="56" s="1"/>
  <c r="M24" i="56" a="1"/>
  <c r="M24" i="56" s="1"/>
  <c r="N24" i="56" a="1"/>
  <c r="N24" i="56" s="1"/>
  <c r="O24" i="56" a="1"/>
  <c r="O24" i="56" s="1"/>
  <c r="F25" i="56" a="1"/>
  <c r="F25" i="56" s="1"/>
  <c r="G25" i="56" a="1"/>
  <c r="G25" i="56" s="1"/>
  <c r="H25" i="56" a="1"/>
  <c r="H25" i="56" s="1"/>
  <c r="I25" i="56" a="1"/>
  <c r="I25" i="56" s="1"/>
  <c r="J25" i="56" a="1"/>
  <c r="J25" i="56" s="1"/>
  <c r="K25" i="56" a="1"/>
  <c r="K25" i="56" s="1"/>
  <c r="L25" i="56" a="1"/>
  <c r="L25" i="56" s="1"/>
  <c r="M25" i="56" a="1"/>
  <c r="M25" i="56" s="1"/>
  <c r="N25" i="56" a="1"/>
  <c r="N25" i="56" s="1"/>
  <c r="O25" i="56" a="1"/>
  <c r="O25" i="56" s="1"/>
  <c r="F26" i="56" a="1"/>
  <c r="F26" i="56" s="1"/>
  <c r="G26" i="56" a="1"/>
  <c r="G26" i="56" s="1"/>
  <c r="H26" i="56" a="1"/>
  <c r="H26" i="56" s="1"/>
  <c r="I26" i="56" a="1"/>
  <c r="I26" i="56" s="1"/>
  <c r="J26" i="56" a="1"/>
  <c r="J26" i="56" s="1"/>
  <c r="K26" i="56" a="1"/>
  <c r="K26" i="56" s="1"/>
  <c r="L26" i="56" a="1"/>
  <c r="L26" i="56" s="1"/>
  <c r="M26" i="56" a="1"/>
  <c r="M26" i="56" s="1"/>
  <c r="N26" i="56" a="1"/>
  <c r="N26" i="56" s="1"/>
  <c r="O26" i="56" a="1"/>
  <c r="O26" i="56" s="1"/>
  <c r="F27" i="56" a="1"/>
  <c r="F27" i="56" s="1"/>
  <c r="G27" i="56" a="1"/>
  <c r="G27" i="56" s="1"/>
  <c r="H27" i="56" a="1"/>
  <c r="H27" i="56" s="1"/>
  <c r="I27" i="56" a="1"/>
  <c r="I27" i="56" s="1"/>
  <c r="J27" i="56" a="1"/>
  <c r="J27" i="56" s="1"/>
  <c r="K27" i="56" a="1"/>
  <c r="K27" i="56" s="1"/>
  <c r="L27" i="56" a="1"/>
  <c r="L27" i="56" s="1"/>
  <c r="M27" i="56" a="1"/>
  <c r="M27" i="56" s="1"/>
  <c r="N27" i="56" a="1"/>
  <c r="N27" i="56" s="1"/>
  <c r="O27" i="56" a="1"/>
  <c r="O27" i="56" s="1"/>
  <c r="F28" i="56" a="1"/>
  <c r="F28" i="56" s="1"/>
  <c r="G28" i="56" a="1"/>
  <c r="G28" i="56" s="1"/>
  <c r="H28" i="56" a="1"/>
  <c r="H28" i="56" s="1"/>
  <c r="I28" i="56" a="1"/>
  <c r="I28" i="56" s="1"/>
  <c r="J28" i="56" a="1"/>
  <c r="J28" i="56" s="1"/>
  <c r="K28" i="56" a="1"/>
  <c r="K28" i="56" s="1"/>
  <c r="L28" i="56" a="1"/>
  <c r="L28" i="56" s="1"/>
  <c r="M28" i="56" a="1"/>
  <c r="M28" i="56" s="1"/>
  <c r="N28" i="56" a="1"/>
  <c r="N28" i="56" s="1"/>
  <c r="O28" i="56" a="1"/>
  <c r="O28" i="56" s="1"/>
  <c r="F29" i="56" a="1"/>
  <c r="F29" i="56" s="1"/>
  <c r="G29" i="56" a="1"/>
  <c r="G29" i="56" s="1"/>
  <c r="H29" i="56" a="1"/>
  <c r="H29" i="56" s="1"/>
  <c r="I29" i="56" a="1"/>
  <c r="I29" i="56" s="1"/>
  <c r="J29" i="56" a="1"/>
  <c r="J29" i="56" s="1"/>
  <c r="K29" i="56" a="1"/>
  <c r="K29" i="56" s="1"/>
  <c r="L29" i="56" a="1"/>
  <c r="L29" i="56" s="1"/>
  <c r="M29" i="56" a="1"/>
  <c r="M29" i="56" s="1"/>
  <c r="N29" i="56" a="1"/>
  <c r="N29" i="56" s="1"/>
  <c r="O29" i="56" a="1"/>
  <c r="O29" i="56" s="1"/>
  <c r="F30" i="56" a="1"/>
  <c r="F30" i="56" s="1"/>
  <c r="G30" i="56" a="1"/>
  <c r="G30" i="56" s="1"/>
  <c r="H30" i="56" a="1"/>
  <c r="H30" i="56" s="1"/>
  <c r="I30" i="56" a="1"/>
  <c r="I30" i="56" s="1"/>
  <c r="J30" i="56" a="1"/>
  <c r="J30" i="56" s="1"/>
  <c r="K30" i="56" a="1"/>
  <c r="K30" i="56" s="1"/>
  <c r="L30" i="56" a="1"/>
  <c r="L30" i="56" s="1"/>
  <c r="M30" i="56" a="1"/>
  <c r="M30" i="56" s="1"/>
  <c r="N30" i="56" a="1"/>
  <c r="N30" i="56" s="1"/>
  <c r="O30" i="56" a="1"/>
  <c r="O30" i="56" s="1"/>
  <c r="F31" i="56" a="1"/>
  <c r="F31" i="56" s="1"/>
  <c r="G31" i="56" a="1"/>
  <c r="G31" i="56" s="1"/>
  <c r="H31" i="56" a="1"/>
  <c r="H31" i="56" s="1"/>
  <c r="I31" i="56" a="1"/>
  <c r="I31" i="56" s="1"/>
  <c r="J31" i="56" a="1"/>
  <c r="J31" i="56" s="1"/>
  <c r="K31" i="56" a="1"/>
  <c r="K31" i="56" s="1"/>
  <c r="L31" i="56" a="1"/>
  <c r="L31" i="56" s="1"/>
  <c r="M31" i="56" a="1"/>
  <c r="M31" i="56" s="1"/>
  <c r="N31" i="56" a="1"/>
  <c r="N31" i="56" s="1"/>
  <c r="O31" i="56" a="1"/>
  <c r="O31" i="56" s="1"/>
  <c r="F32" i="56" a="1"/>
  <c r="F32" i="56" s="1"/>
  <c r="G32" i="56" a="1"/>
  <c r="G32" i="56" s="1"/>
  <c r="H32" i="56" a="1"/>
  <c r="H32" i="56" s="1"/>
  <c r="I32" i="56" a="1"/>
  <c r="I32" i="56" s="1"/>
  <c r="J32" i="56" a="1"/>
  <c r="J32" i="56" s="1"/>
  <c r="K32" i="56" a="1"/>
  <c r="K32" i="56" s="1"/>
  <c r="L32" i="56" a="1"/>
  <c r="L32" i="56" s="1"/>
  <c r="M32" i="56" a="1"/>
  <c r="M32" i="56" s="1"/>
  <c r="N32" i="56" a="1"/>
  <c r="N32" i="56" s="1"/>
  <c r="O32" i="56" a="1"/>
  <c r="O32" i="56" s="1"/>
  <c r="F33" i="56" a="1"/>
  <c r="F33" i="56" s="1"/>
  <c r="G33" i="56" a="1"/>
  <c r="G33" i="56" s="1"/>
  <c r="H33" i="56" a="1"/>
  <c r="H33" i="56" s="1"/>
  <c r="I33" i="56" a="1"/>
  <c r="I33" i="56" s="1"/>
  <c r="J33" i="56" a="1"/>
  <c r="J33" i="56" s="1"/>
  <c r="K33" i="56" a="1"/>
  <c r="K33" i="56" s="1"/>
  <c r="L33" i="56" a="1"/>
  <c r="L33" i="56" s="1"/>
  <c r="M33" i="56" a="1"/>
  <c r="M33" i="56" s="1"/>
  <c r="N33" i="56" a="1"/>
  <c r="N33" i="56" s="1"/>
  <c r="O33" i="56" a="1"/>
  <c r="O33" i="56" s="1"/>
  <c r="F34" i="56" a="1"/>
  <c r="F34" i="56" s="1"/>
  <c r="G34" i="56" a="1"/>
  <c r="G34" i="56" s="1"/>
  <c r="H34" i="56" a="1"/>
  <c r="H34" i="56" s="1"/>
  <c r="I34" i="56" a="1"/>
  <c r="I34" i="56" s="1"/>
  <c r="J34" i="56" a="1"/>
  <c r="J34" i="56" s="1"/>
  <c r="K34" i="56" a="1"/>
  <c r="K34" i="56" s="1"/>
  <c r="L34" i="56" a="1"/>
  <c r="L34" i="56" s="1"/>
  <c r="M34" i="56" a="1"/>
  <c r="M34" i="56" s="1"/>
  <c r="N34" i="56" a="1"/>
  <c r="N34" i="56" s="1"/>
  <c r="O34" i="56" a="1"/>
  <c r="O34" i="56" s="1"/>
  <c r="O5" i="56" a="1"/>
  <c r="O5" i="56" s="1"/>
  <c r="N5" i="56" a="1"/>
  <c r="N5" i="56" s="1"/>
  <c r="M5" i="56" a="1"/>
  <c r="M5" i="56" s="1"/>
  <c r="L5" i="56" a="1"/>
  <c r="L5" i="56" s="1"/>
  <c r="K5" i="56" a="1"/>
  <c r="K5" i="56" s="1"/>
  <c r="J5" i="56" a="1"/>
  <c r="J5" i="56" s="1"/>
  <c r="I5" i="56" a="1"/>
  <c r="I5" i="56" s="1"/>
  <c r="H5" i="56" a="1"/>
  <c r="H5" i="56" s="1"/>
  <c r="G5" i="56" a="1"/>
  <c r="G5" i="56" s="1"/>
  <c r="F5" i="56" a="1"/>
  <c r="F5" i="56" s="1"/>
  <c r="E6" i="56" a="1"/>
  <c r="E6" i="56" s="1"/>
  <c r="E7" i="56" a="1"/>
  <c r="E7" i="56" s="1"/>
  <c r="E8" i="56" a="1"/>
  <c r="E8" i="56" s="1"/>
  <c r="E9" i="56" a="1"/>
  <c r="E9" i="56" s="1"/>
  <c r="E10" i="56" a="1"/>
  <c r="E10" i="56" s="1"/>
  <c r="E11" i="56" a="1"/>
  <c r="E11" i="56" s="1"/>
  <c r="E12" i="56" a="1"/>
  <c r="E12" i="56" s="1"/>
  <c r="E13" i="56" a="1"/>
  <c r="E13" i="56" s="1"/>
  <c r="E14" i="56" a="1"/>
  <c r="E14" i="56" s="1"/>
  <c r="E15" i="56" a="1"/>
  <c r="E15" i="56" s="1"/>
  <c r="E16" i="56" a="1"/>
  <c r="E16" i="56" s="1"/>
  <c r="E18" i="56" a="1"/>
  <c r="E18" i="56" s="1"/>
  <c r="E19" i="56" a="1"/>
  <c r="E19" i="56" s="1"/>
  <c r="E20" i="56" a="1"/>
  <c r="E20" i="56" s="1"/>
  <c r="E21" i="56" a="1"/>
  <c r="E21" i="56" s="1"/>
  <c r="E22" i="56" a="1"/>
  <c r="E22" i="56" s="1"/>
  <c r="E23" i="56" a="1"/>
  <c r="E23" i="56" s="1"/>
  <c r="E24" i="56" a="1"/>
  <c r="E24" i="56" s="1"/>
  <c r="E25" i="56" a="1"/>
  <c r="E25" i="56" s="1"/>
  <c r="E26" i="56" a="1"/>
  <c r="E26" i="56" s="1"/>
  <c r="E27" i="56" a="1"/>
  <c r="E27" i="56" s="1"/>
  <c r="E28" i="56" a="1"/>
  <c r="E28" i="56" s="1"/>
  <c r="E29" i="56" a="1"/>
  <c r="E29" i="56" s="1"/>
  <c r="E30" i="56" a="1"/>
  <c r="E30" i="56" s="1"/>
  <c r="E31" i="56" a="1"/>
  <c r="E31" i="56" s="1"/>
  <c r="E32" i="56" a="1"/>
  <c r="E32" i="56" s="1"/>
  <c r="E33" i="56" a="1"/>
  <c r="E33" i="56" s="1"/>
  <c r="E34" i="56" a="1"/>
  <c r="E34" i="56" s="1"/>
  <c r="E5" i="56" a="1"/>
  <c r="E5" i="56" s="1"/>
  <c r="D6" i="56" a="1"/>
  <c r="D6" i="56" s="1"/>
  <c r="D7" i="56" a="1"/>
  <c r="D7" i="56" s="1"/>
  <c r="D8" i="56" a="1"/>
  <c r="D8" i="56" s="1"/>
  <c r="D9" i="56" a="1"/>
  <c r="D9" i="56" s="1"/>
  <c r="D10" i="56" a="1"/>
  <c r="D10" i="56" s="1"/>
  <c r="D11" i="56" a="1"/>
  <c r="D11" i="56" s="1"/>
  <c r="D12" i="56" a="1"/>
  <c r="D12" i="56" s="1"/>
  <c r="D13" i="56" a="1"/>
  <c r="D13" i="56" s="1"/>
  <c r="D14" i="56" a="1"/>
  <c r="D14" i="56" s="1"/>
  <c r="D15" i="56" a="1"/>
  <c r="D15" i="56" s="1"/>
  <c r="D16" i="56" a="1"/>
  <c r="D16" i="56" s="1"/>
  <c r="D17" i="56" a="1"/>
  <c r="D17" i="56" s="1"/>
  <c r="D18" i="56" a="1"/>
  <c r="D18" i="56" s="1"/>
  <c r="D19" i="56" a="1"/>
  <c r="D19" i="56" s="1"/>
  <c r="D20" i="56" a="1"/>
  <c r="D20" i="56" s="1"/>
  <c r="D21" i="56" a="1"/>
  <c r="D21" i="56" s="1"/>
  <c r="D22" i="56" a="1"/>
  <c r="D22" i="56" s="1"/>
  <c r="D23" i="56" a="1"/>
  <c r="D23" i="56" s="1"/>
  <c r="D24" i="56" a="1"/>
  <c r="D24" i="56" s="1"/>
  <c r="D25" i="56" a="1"/>
  <c r="D25" i="56" s="1"/>
  <c r="D26" i="56" a="1"/>
  <c r="D26" i="56" s="1"/>
  <c r="D27" i="56" a="1"/>
  <c r="D27" i="56" s="1"/>
  <c r="D28" i="56" a="1"/>
  <c r="D28" i="56" s="1"/>
  <c r="D29" i="56" a="1"/>
  <c r="D29" i="56" s="1"/>
  <c r="D30" i="56" a="1"/>
  <c r="D30" i="56" s="1"/>
  <c r="D31" i="56" a="1"/>
  <c r="D31" i="56" s="1"/>
  <c r="D32" i="56" a="1"/>
  <c r="D32" i="56" s="1"/>
  <c r="D33" i="56" a="1"/>
  <c r="D33" i="56" s="1"/>
  <c r="D34" i="56" a="1"/>
  <c r="D34" i="56" s="1"/>
  <c r="D5" i="56" a="1"/>
  <c r="D5" i="56" s="1"/>
  <c r="U34" i="46" a="1"/>
  <c r="U34" i="46" s="1"/>
  <c r="S34" i="46" a="1"/>
  <c r="S34" i="46" s="1"/>
  <c r="U33" i="46" a="1"/>
  <c r="U33" i="46" s="1"/>
  <c r="S33" i="46" a="1"/>
  <c r="S33" i="46" s="1"/>
  <c r="U32" i="46" a="1"/>
  <c r="U32" i="46" s="1"/>
  <c r="S32" i="46" a="1"/>
  <c r="S32" i="46" s="1"/>
  <c r="U31" i="46" a="1"/>
  <c r="U31" i="46" s="1"/>
  <c r="S31" i="46" a="1"/>
  <c r="S31" i="46" s="1"/>
  <c r="U30" i="46" a="1"/>
  <c r="U30" i="46" s="1"/>
  <c r="S30" i="46" a="1"/>
  <c r="S30" i="46" s="1"/>
  <c r="U29" i="46" a="1"/>
  <c r="U29" i="46" s="1"/>
  <c r="S29" i="46" a="1"/>
  <c r="S29" i="46" s="1"/>
  <c r="U28" i="46" a="1"/>
  <c r="U28" i="46" s="1"/>
  <c r="S28" i="46" a="1"/>
  <c r="S28" i="46" s="1"/>
  <c r="U27" i="46" a="1"/>
  <c r="U27" i="46" s="1"/>
  <c r="S27" i="46" a="1"/>
  <c r="S27" i="46" s="1"/>
  <c r="U26" i="46" a="1"/>
  <c r="U26" i="46" s="1"/>
  <c r="S26" i="46" a="1"/>
  <c r="S26" i="46" s="1"/>
  <c r="U25" i="46" a="1"/>
  <c r="U25" i="46" s="1"/>
  <c r="S25" i="46" a="1"/>
  <c r="S25" i="46" s="1"/>
  <c r="U24" i="46" a="1"/>
  <c r="U24" i="46" s="1"/>
  <c r="S24" i="46" a="1"/>
  <c r="S24" i="46" s="1"/>
  <c r="U23" i="46" a="1"/>
  <c r="U23" i="46" s="1"/>
  <c r="S23" i="46" a="1"/>
  <c r="S23" i="46" s="1"/>
  <c r="U22" i="46" a="1"/>
  <c r="U22" i="46" s="1"/>
  <c r="S22" i="46" a="1"/>
  <c r="S22" i="46" s="1"/>
  <c r="U21" i="46" a="1"/>
  <c r="U21" i="46" s="1"/>
  <c r="S21" i="46" a="1"/>
  <c r="S21" i="46" s="1"/>
  <c r="U20" i="46" a="1"/>
  <c r="U20" i="46" s="1"/>
  <c r="S20" i="46" a="1"/>
  <c r="S20" i="46" s="1"/>
  <c r="U19" i="46" a="1"/>
  <c r="U19" i="46" s="1"/>
  <c r="S19" i="46" a="1"/>
  <c r="S19" i="46" s="1"/>
  <c r="U18" i="46" a="1"/>
  <c r="U18" i="46" s="1"/>
  <c r="S18" i="46" a="1"/>
  <c r="S18" i="46" s="1"/>
  <c r="U17" i="46" a="1"/>
  <c r="U17" i="46" s="1"/>
  <c r="S17" i="46" a="1"/>
  <c r="S17" i="46" s="1"/>
  <c r="U16" i="46" a="1"/>
  <c r="U16" i="46" s="1"/>
  <c r="S16" i="46" a="1"/>
  <c r="S16" i="46" s="1"/>
  <c r="U15" i="46" a="1"/>
  <c r="U15" i="46" s="1"/>
  <c r="S15" i="46" a="1"/>
  <c r="S15" i="46" s="1"/>
  <c r="U14" i="46" a="1"/>
  <c r="U14" i="46" s="1"/>
  <c r="S14" i="46" a="1"/>
  <c r="S14" i="46" s="1"/>
  <c r="U13" i="46" a="1"/>
  <c r="U13" i="46" s="1"/>
  <c r="S13" i="46" a="1"/>
  <c r="S13" i="46" s="1"/>
  <c r="U12" i="46" a="1"/>
  <c r="U12" i="46" s="1"/>
  <c r="S12" i="46" a="1"/>
  <c r="S12" i="46" s="1"/>
  <c r="U11" i="46" a="1"/>
  <c r="U11" i="46" s="1"/>
  <c r="S11" i="46" a="1"/>
  <c r="S11" i="46" s="1"/>
  <c r="U10" i="46" a="1"/>
  <c r="U10" i="46" s="1"/>
  <c r="S10" i="46" a="1"/>
  <c r="S10" i="46" s="1"/>
  <c r="U9" i="46" a="1"/>
  <c r="U9" i="46" s="1"/>
  <c r="S9" i="46" a="1"/>
  <c r="S9" i="46" s="1"/>
  <c r="U8" i="46" a="1"/>
  <c r="U8" i="46" s="1"/>
  <c r="S8" i="46" a="1"/>
  <c r="S8" i="46" s="1"/>
  <c r="U7" i="46" a="1"/>
  <c r="U7" i="46" s="1"/>
  <c r="S7" i="46" a="1"/>
  <c r="S7" i="46" s="1"/>
  <c r="U6" i="46" a="1"/>
  <c r="U6" i="46" s="1"/>
  <c r="S6" i="46" a="1"/>
  <c r="S6" i="46" s="1"/>
  <c r="U5" i="46" a="1"/>
  <c r="U5" i="46" s="1"/>
  <c r="S5" i="46" a="1"/>
  <c r="S5" i="46" s="1"/>
  <c r="R34" i="46" a="1"/>
  <c r="R34" i="46" s="1"/>
  <c r="P34" i="46" a="1"/>
  <c r="P34" i="46" s="1"/>
  <c r="O34" i="46" a="1"/>
  <c r="O34" i="46" s="1"/>
  <c r="M34" i="46" a="1"/>
  <c r="M34" i="46" s="1"/>
  <c r="L34" i="46" a="1"/>
  <c r="L34" i="46" s="1"/>
  <c r="J34" i="46" a="1"/>
  <c r="J34" i="46" s="1"/>
  <c r="I34" i="46" a="1"/>
  <c r="I34" i="46" s="1"/>
  <c r="G34" i="46" a="1"/>
  <c r="G34" i="46" s="1"/>
  <c r="F34" i="46" a="1"/>
  <c r="F34" i="46" s="1"/>
  <c r="D34" i="46" a="1"/>
  <c r="D34" i="46" s="1"/>
  <c r="R33" i="46" a="1"/>
  <c r="R33" i="46" s="1"/>
  <c r="P33" i="46" a="1"/>
  <c r="P33" i="46" s="1"/>
  <c r="O33" i="46" a="1"/>
  <c r="O33" i="46" s="1"/>
  <c r="M33" i="46" a="1"/>
  <c r="M33" i="46" s="1"/>
  <c r="L33" i="46" a="1"/>
  <c r="L33" i="46" s="1"/>
  <c r="J33" i="46" a="1"/>
  <c r="J33" i="46" s="1"/>
  <c r="I33" i="46" a="1"/>
  <c r="I33" i="46" s="1"/>
  <c r="G33" i="46" a="1"/>
  <c r="G33" i="46" s="1"/>
  <c r="F33" i="46" a="1"/>
  <c r="F33" i="46" s="1"/>
  <c r="D33" i="46" a="1"/>
  <c r="D33" i="46" s="1"/>
  <c r="R32" i="46" a="1"/>
  <c r="R32" i="46" s="1"/>
  <c r="P32" i="46" a="1"/>
  <c r="P32" i="46" s="1"/>
  <c r="O32" i="46" a="1"/>
  <c r="O32" i="46" s="1"/>
  <c r="M32" i="46" a="1"/>
  <c r="M32" i="46" s="1"/>
  <c r="L32" i="46" a="1"/>
  <c r="L32" i="46" s="1"/>
  <c r="J32" i="46" a="1"/>
  <c r="J32" i="46" s="1"/>
  <c r="I32" i="46" a="1"/>
  <c r="I32" i="46" s="1"/>
  <c r="G32" i="46" a="1"/>
  <c r="G32" i="46" s="1"/>
  <c r="F32" i="46" a="1"/>
  <c r="F32" i="46" s="1"/>
  <c r="D32" i="46" a="1"/>
  <c r="D32" i="46" s="1"/>
  <c r="R31" i="46" a="1"/>
  <c r="R31" i="46" s="1"/>
  <c r="P31" i="46" a="1"/>
  <c r="P31" i="46" s="1"/>
  <c r="O31" i="46" a="1"/>
  <c r="O31" i="46" s="1"/>
  <c r="M31" i="46" a="1"/>
  <c r="M31" i="46" s="1"/>
  <c r="L31" i="46" a="1"/>
  <c r="L31" i="46" s="1"/>
  <c r="J31" i="46" a="1"/>
  <c r="J31" i="46" s="1"/>
  <c r="I31" i="46" a="1"/>
  <c r="I31" i="46" s="1"/>
  <c r="G31" i="46" a="1"/>
  <c r="G31" i="46" s="1"/>
  <c r="F31" i="46" a="1"/>
  <c r="F31" i="46" s="1"/>
  <c r="D31" i="46" a="1"/>
  <c r="D31" i="46" s="1"/>
  <c r="R30" i="46" a="1"/>
  <c r="R30" i="46" s="1"/>
  <c r="P30" i="46" a="1"/>
  <c r="P30" i="46" s="1"/>
  <c r="O30" i="46" a="1"/>
  <c r="O30" i="46" s="1"/>
  <c r="M30" i="46" a="1"/>
  <c r="M30" i="46" s="1"/>
  <c r="L30" i="46" a="1"/>
  <c r="L30" i="46" s="1"/>
  <c r="J30" i="46" a="1"/>
  <c r="J30" i="46" s="1"/>
  <c r="I30" i="46" a="1"/>
  <c r="I30" i="46" s="1"/>
  <c r="G30" i="46" a="1"/>
  <c r="G30" i="46" s="1"/>
  <c r="F30" i="46" a="1"/>
  <c r="F30" i="46" s="1"/>
  <c r="D30" i="46" a="1"/>
  <c r="D30" i="46" s="1"/>
  <c r="R29" i="46" a="1"/>
  <c r="R29" i="46" s="1"/>
  <c r="P29" i="46" a="1"/>
  <c r="P29" i="46" s="1"/>
  <c r="O29" i="46" a="1"/>
  <c r="O29" i="46" s="1"/>
  <c r="M29" i="46" a="1"/>
  <c r="M29" i="46" s="1"/>
  <c r="L29" i="46" a="1"/>
  <c r="L29" i="46" s="1"/>
  <c r="J29" i="46" a="1"/>
  <c r="J29" i="46" s="1"/>
  <c r="I29" i="46" a="1"/>
  <c r="I29" i="46" s="1"/>
  <c r="G29" i="46" a="1"/>
  <c r="G29" i="46" s="1"/>
  <c r="F29" i="46" a="1"/>
  <c r="F29" i="46" s="1"/>
  <c r="D29" i="46" a="1"/>
  <c r="D29" i="46" s="1"/>
  <c r="R28" i="46" a="1"/>
  <c r="R28" i="46" s="1"/>
  <c r="P28" i="46" a="1"/>
  <c r="P28" i="46" s="1"/>
  <c r="O28" i="46" a="1"/>
  <c r="O28" i="46" s="1"/>
  <c r="M28" i="46" a="1"/>
  <c r="M28" i="46" s="1"/>
  <c r="L28" i="46" a="1"/>
  <c r="L28" i="46" s="1"/>
  <c r="J28" i="46" a="1"/>
  <c r="J28" i="46" s="1"/>
  <c r="I28" i="46" a="1"/>
  <c r="I28" i="46" s="1"/>
  <c r="G28" i="46" a="1"/>
  <c r="G28" i="46" s="1"/>
  <c r="F28" i="46" a="1"/>
  <c r="F28" i="46" s="1"/>
  <c r="D28" i="46" a="1"/>
  <c r="D28" i="46" s="1"/>
  <c r="R27" i="46" a="1"/>
  <c r="R27" i="46" s="1"/>
  <c r="P27" i="46" a="1"/>
  <c r="P27" i="46" s="1"/>
  <c r="O27" i="46" a="1"/>
  <c r="O27" i="46" s="1"/>
  <c r="M27" i="46" a="1"/>
  <c r="M27" i="46" s="1"/>
  <c r="L27" i="46" a="1"/>
  <c r="L27" i="46" s="1"/>
  <c r="J27" i="46" a="1"/>
  <c r="J27" i="46" s="1"/>
  <c r="I27" i="46" a="1"/>
  <c r="I27" i="46" s="1"/>
  <c r="G27" i="46" a="1"/>
  <c r="G27" i="46" s="1"/>
  <c r="F27" i="46" a="1"/>
  <c r="F27" i="46" s="1"/>
  <c r="D27" i="46" a="1"/>
  <c r="D27" i="46" s="1"/>
  <c r="R26" i="46" a="1"/>
  <c r="R26" i="46" s="1"/>
  <c r="P26" i="46" a="1"/>
  <c r="P26" i="46" s="1"/>
  <c r="O26" i="46" a="1"/>
  <c r="O26" i="46" s="1"/>
  <c r="M26" i="46" a="1"/>
  <c r="M26" i="46" s="1"/>
  <c r="L26" i="46" a="1"/>
  <c r="L26" i="46" s="1"/>
  <c r="J26" i="46" a="1"/>
  <c r="J26" i="46" s="1"/>
  <c r="I26" i="46" a="1"/>
  <c r="I26" i="46" s="1"/>
  <c r="G26" i="46" a="1"/>
  <c r="G26" i="46" s="1"/>
  <c r="F26" i="46" a="1"/>
  <c r="F26" i="46" s="1"/>
  <c r="D26" i="46" a="1"/>
  <c r="D26" i="46" s="1"/>
  <c r="R25" i="46" a="1"/>
  <c r="R25" i="46" s="1"/>
  <c r="P25" i="46" a="1"/>
  <c r="P25" i="46" s="1"/>
  <c r="O25" i="46" a="1"/>
  <c r="O25" i="46" s="1"/>
  <c r="M25" i="46" a="1"/>
  <c r="M25" i="46" s="1"/>
  <c r="L25" i="46" a="1"/>
  <c r="L25" i="46" s="1"/>
  <c r="J25" i="46" a="1"/>
  <c r="J25" i="46" s="1"/>
  <c r="I25" i="46" a="1"/>
  <c r="I25" i="46" s="1"/>
  <c r="G25" i="46" a="1"/>
  <c r="G25" i="46" s="1"/>
  <c r="F25" i="46" a="1"/>
  <c r="F25" i="46" s="1"/>
  <c r="D25" i="46" a="1"/>
  <c r="D25" i="46" s="1"/>
  <c r="R24" i="46" a="1"/>
  <c r="R24" i="46" s="1"/>
  <c r="P24" i="46" a="1"/>
  <c r="P24" i="46" s="1"/>
  <c r="O24" i="46" a="1"/>
  <c r="O24" i="46" s="1"/>
  <c r="M24" i="46" a="1"/>
  <c r="M24" i="46" s="1"/>
  <c r="L24" i="46" a="1"/>
  <c r="L24" i="46" s="1"/>
  <c r="J24" i="46" a="1"/>
  <c r="J24" i="46" s="1"/>
  <c r="I24" i="46" a="1"/>
  <c r="I24" i="46" s="1"/>
  <c r="G24" i="46" a="1"/>
  <c r="G24" i="46" s="1"/>
  <c r="F24" i="46" a="1"/>
  <c r="F24" i="46" s="1"/>
  <c r="D24" i="46" a="1"/>
  <c r="D24" i="46" s="1"/>
  <c r="R23" i="46" a="1"/>
  <c r="R23" i="46" s="1"/>
  <c r="P23" i="46" a="1"/>
  <c r="P23" i="46" s="1"/>
  <c r="O23" i="46" a="1"/>
  <c r="O23" i="46" s="1"/>
  <c r="M23" i="46" a="1"/>
  <c r="M23" i="46" s="1"/>
  <c r="L23" i="46" a="1"/>
  <c r="L23" i="46" s="1"/>
  <c r="J23" i="46" a="1"/>
  <c r="J23" i="46" s="1"/>
  <c r="I23" i="46" a="1"/>
  <c r="I23" i="46" s="1"/>
  <c r="G23" i="46" a="1"/>
  <c r="G23" i="46" s="1"/>
  <c r="F23" i="46" a="1"/>
  <c r="F23" i="46" s="1"/>
  <c r="D23" i="46" a="1"/>
  <c r="D23" i="46" s="1"/>
  <c r="R22" i="46" a="1"/>
  <c r="R22" i="46" s="1"/>
  <c r="P22" i="46" a="1"/>
  <c r="P22" i="46" s="1"/>
  <c r="O22" i="46" a="1"/>
  <c r="O22" i="46" s="1"/>
  <c r="M22" i="46" a="1"/>
  <c r="M22" i="46" s="1"/>
  <c r="L22" i="46" a="1"/>
  <c r="L22" i="46" s="1"/>
  <c r="J22" i="46" a="1"/>
  <c r="J22" i="46" s="1"/>
  <c r="I22" i="46" a="1"/>
  <c r="I22" i="46" s="1"/>
  <c r="G22" i="46" a="1"/>
  <c r="G22" i="46" s="1"/>
  <c r="F22" i="46" a="1"/>
  <c r="F22" i="46" s="1"/>
  <c r="D22" i="46" a="1"/>
  <c r="D22" i="46" s="1"/>
  <c r="R21" i="46" a="1"/>
  <c r="R21" i="46" s="1"/>
  <c r="P21" i="46" a="1"/>
  <c r="P21" i="46" s="1"/>
  <c r="O21" i="46" a="1"/>
  <c r="O21" i="46" s="1"/>
  <c r="M21" i="46" a="1"/>
  <c r="M21" i="46" s="1"/>
  <c r="L21" i="46" a="1"/>
  <c r="L21" i="46" s="1"/>
  <c r="J21" i="46" a="1"/>
  <c r="J21" i="46" s="1"/>
  <c r="I21" i="46" a="1"/>
  <c r="I21" i="46" s="1"/>
  <c r="G21" i="46" a="1"/>
  <c r="G21" i="46" s="1"/>
  <c r="F21" i="46" a="1"/>
  <c r="F21" i="46" s="1"/>
  <c r="D21" i="46" a="1"/>
  <c r="D21" i="46" s="1"/>
  <c r="R20" i="46" a="1"/>
  <c r="R20" i="46" s="1"/>
  <c r="P20" i="46" a="1"/>
  <c r="P20" i="46" s="1"/>
  <c r="O20" i="46" a="1"/>
  <c r="O20" i="46" s="1"/>
  <c r="M20" i="46" a="1"/>
  <c r="M20" i="46" s="1"/>
  <c r="L20" i="46" a="1"/>
  <c r="L20" i="46" s="1"/>
  <c r="J20" i="46" a="1"/>
  <c r="J20" i="46" s="1"/>
  <c r="I20" i="46" a="1"/>
  <c r="I20" i="46" s="1"/>
  <c r="G20" i="46" a="1"/>
  <c r="G20" i="46" s="1"/>
  <c r="F20" i="46" a="1"/>
  <c r="F20" i="46" s="1"/>
  <c r="D20" i="46" a="1"/>
  <c r="D20" i="46" s="1"/>
  <c r="R19" i="46" a="1"/>
  <c r="R19" i="46" s="1"/>
  <c r="P19" i="46" a="1"/>
  <c r="P19" i="46" s="1"/>
  <c r="O19" i="46" a="1"/>
  <c r="O19" i="46" s="1"/>
  <c r="M19" i="46" a="1"/>
  <c r="M19" i="46" s="1"/>
  <c r="L19" i="46" a="1"/>
  <c r="L19" i="46" s="1"/>
  <c r="J19" i="46" a="1"/>
  <c r="J19" i="46" s="1"/>
  <c r="I19" i="46" a="1"/>
  <c r="I19" i="46" s="1"/>
  <c r="G19" i="46" a="1"/>
  <c r="G19" i="46" s="1"/>
  <c r="F19" i="46" a="1"/>
  <c r="F19" i="46" s="1"/>
  <c r="D19" i="46" a="1"/>
  <c r="D19" i="46" s="1"/>
  <c r="R18" i="46" a="1"/>
  <c r="R18" i="46" s="1"/>
  <c r="P18" i="46" a="1"/>
  <c r="P18" i="46" s="1"/>
  <c r="O18" i="46" a="1"/>
  <c r="O18" i="46" s="1"/>
  <c r="M18" i="46" a="1"/>
  <c r="M18" i="46" s="1"/>
  <c r="L18" i="46" a="1"/>
  <c r="L18" i="46" s="1"/>
  <c r="J18" i="46" a="1"/>
  <c r="J18" i="46" s="1"/>
  <c r="I18" i="46" a="1"/>
  <c r="I18" i="46" s="1"/>
  <c r="G18" i="46" a="1"/>
  <c r="G18" i="46" s="1"/>
  <c r="F18" i="46" a="1"/>
  <c r="F18" i="46" s="1"/>
  <c r="D18" i="46" a="1"/>
  <c r="D18" i="46" s="1"/>
  <c r="R17" i="46" a="1"/>
  <c r="R17" i="46" s="1"/>
  <c r="P17" i="46" a="1"/>
  <c r="P17" i="46" s="1"/>
  <c r="O17" i="46" a="1"/>
  <c r="O17" i="46" s="1"/>
  <c r="M17" i="46" a="1"/>
  <c r="M17" i="46" s="1"/>
  <c r="L17" i="46" a="1"/>
  <c r="L17" i="46" s="1"/>
  <c r="J17" i="46" a="1"/>
  <c r="J17" i="46" s="1"/>
  <c r="I17" i="46" a="1"/>
  <c r="I17" i="46" s="1"/>
  <c r="G17" i="46" a="1"/>
  <c r="G17" i="46" s="1"/>
  <c r="F17" i="46" a="1"/>
  <c r="F17" i="46" s="1"/>
  <c r="D17" i="46" a="1"/>
  <c r="D17" i="46" s="1"/>
  <c r="R16" i="46" a="1"/>
  <c r="R16" i="46" s="1"/>
  <c r="P16" i="46" a="1"/>
  <c r="P16" i="46" s="1"/>
  <c r="O16" i="46" a="1"/>
  <c r="O16" i="46" s="1"/>
  <c r="M16" i="46" a="1"/>
  <c r="M16" i="46" s="1"/>
  <c r="L16" i="46" a="1"/>
  <c r="L16" i="46" s="1"/>
  <c r="J16" i="46" a="1"/>
  <c r="J16" i="46" s="1"/>
  <c r="I16" i="46" a="1"/>
  <c r="I16" i="46" s="1"/>
  <c r="G16" i="46" a="1"/>
  <c r="G16" i="46" s="1"/>
  <c r="F16" i="46" a="1"/>
  <c r="F16" i="46" s="1"/>
  <c r="D16" i="46" a="1"/>
  <c r="D16" i="46" s="1"/>
  <c r="R15" i="46" a="1"/>
  <c r="R15" i="46" s="1"/>
  <c r="P15" i="46" a="1"/>
  <c r="P15" i="46" s="1"/>
  <c r="O15" i="46" a="1"/>
  <c r="O15" i="46" s="1"/>
  <c r="M15" i="46" a="1"/>
  <c r="M15" i="46" s="1"/>
  <c r="L15" i="46" a="1"/>
  <c r="L15" i="46" s="1"/>
  <c r="J15" i="46" a="1"/>
  <c r="J15" i="46" s="1"/>
  <c r="I15" i="46" a="1"/>
  <c r="I15" i="46" s="1"/>
  <c r="G15" i="46" a="1"/>
  <c r="G15" i="46" s="1"/>
  <c r="F15" i="46" a="1"/>
  <c r="F15" i="46" s="1"/>
  <c r="D15" i="46" a="1"/>
  <c r="D15" i="46" s="1"/>
  <c r="R14" i="46" a="1"/>
  <c r="R14" i="46" s="1"/>
  <c r="P14" i="46" a="1"/>
  <c r="P14" i="46" s="1"/>
  <c r="O14" i="46" a="1"/>
  <c r="O14" i="46" s="1"/>
  <c r="M14" i="46" a="1"/>
  <c r="M14" i="46" s="1"/>
  <c r="L14" i="46" a="1"/>
  <c r="L14" i="46" s="1"/>
  <c r="J14" i="46" a="1"/>
  <c r="J14" i="46" s="1"/>
  <c r="I14" i="46" a="1"/>
  <c r="I14" i="46" s="1"/>
  <c r="G14" i="46" a="1"/>
  <c r="G14" i="46" s="1"/>
  <c r="F14" i="46" a="1"/>
  <c r="F14" i="46" s="1"/>
  <c r="D14" i="46" a="1"/>
  <c r="D14" i="46" s="1"/>
  <c r="R13" i="46" a="1"/>
  <c r="R13" i="46" s="1"/>
  <c r="P13" i="46" a="1"/>
  <c r="P13" i="46" s="1"/>
  <c r="O13" i="46" a="1"/>
  <c r="O13" i="46" s="1"/>
  <c r="M13" i="46" a="1"/>
  <c r="M13" i="46" s="1"/>
  <c r="L13" i="46" a="1"/>
  <c r="L13" i="46" s="1"/>
  <c r="J13" i="46" a="1"/>
  <c r="J13" i="46" s="1"/>
  <c r="I13" i="46" a="1"/>
  <c r="I13" i="46" s="1"/>
  <c r="G13" i="46" a="1"/>
  <c r="G13" i="46" s="1"/>
  <c r="F13" i="46" a="1"/>
  <c r="F13" i="46" s="1"/>
  <c r="D13" i="46" a="1"/>
  <c r="D13" i="46" s="1"/>
  <c r="R12" i="46" a="1"/>
  <c r="R12" i="46" s="1"/>
  <c r="P12" i="46" a="1"/>
  <c r="P12" i="46" s="1"/>
  <c r="O12" i="46" a="1"/>
  <c r="O12" i="46" s="1"/>
  <c r="M12" i="46" a="1"/>
  <c r="M12" i="46" s="1"/>
  <c r="L12" i="46" a="1"/>
  <c r="L12" i="46" s="1"/>
  <c r="J12" i="46" a="1"/>
  <c r="J12" i="46" s="1"/>
  <c r="I12" i="46" a="1"/>
  <c r="I12" i="46" s="1"/>
  <c r="G12" i="46" a="1"/>
  <c r="G12" i="46" s="1"/>
  <c r="F12" i="46" a="1"/>
  <c r="F12" i="46" s="1"/>
  <c r="D12" i="46" a="1"/>
  <c r="D12" i="46" s="1"/>
  <c r="R11" i="46" a="1"/>
  <c r="R11" i="46" s="1"/>
  <c r="P11" i="46" a="1"/>
  <c r="P11" i="46" s="1"/>
  <c r="O11" i="46" a="1"/>
  <c r="O11" i="46" s="1"/>
  <c r="M11" i="46" a="1"/>
  <c r="M11" i="46" s="1"/>
  <c r="L11" i="46" a="1"/>
  <c r="L11" i="46" s="1"/>
  <c r="J11" i="46" a="1"/>
  <c r="J11" i="46" s="1"/>
  <c r="I11" i="46" a="1"/>
  <c r="I11" i="46" s="1"/>
  <c r="G11" i="46" a="1"/>
  <c r="G11" i="46" s="1"/>
  <c r="F11" i="46" a="1"/>
  <c r="F11" i="46" s="1"/>
  <c r="D11" i="46" a="1"/>
  <c r="D11" i="46" s="1"/>
  <c r="R10" i="46" a="1"/>
  <c r="R10" i="46" s="1"/>
  <c r="P10" i="46" a="1"/>
  <c r="P10" i="46" s="1"/>
  <c r="O10" i="46" a="1"/>
  <c r="O10" i="46" s="1"/>
  <c r="M10" i="46" a="1"/>
  <c r="M10" i="46" s="1"/>
  <c r="L10" i="46" a="1"/>
  <c r="L10" i="46" s="1"/>
  <c r="J10" i="46" a="1"/>
  <c r="J10" i="46" s="1"/>
  <c r="I10" i="46" a="1"/>
  <c r="I10" i="46" s="1"/>
  <c r="G10" i="46" a="1"/>
  <c r="G10" i="46" s="1"/>
  <c r="F10" i="46" a="1"/>
  <c r="F10" i="46" s="1"/>
  <c r="D10" i="46" a="1"/>
  <c r="D10" i="46" s="1"/>
  <c r="R9" i="46" a="1"/>
  <c r="R9" i="46" s="1"/>
  <c r="P9" i="46" a="1"/>
  <c r="P9" i="46" s="1"/>
  <c r="O9" i="46" a="1"/>
  <c r="O9" i="46" s="1"/>
  <c r="M9" i="46" a="1"/>
  <c r="M9" i="46" s="1"/>
  <c r="L9" i="46" a="1"/>
  <c r="L9" i="46" s="1"/>
  <c r="J9" i="46" a="1"/>
  <c r="J9" i="46" s="1"/>
  <c r="I9" i="46" a="1"/>
  <c r="I9" i="46" s="1"/>
  <c r="G9" i="46" a="1"/>
  <c r="G9" i="46" s="1"/>
  <c r="F9" i="46" a="1"/>
  <c r="F9" i="46" s="1"/>
  <c r="D9" i="46" a="1"/>
  <c r="D9" i="46" s="1"/>
  <c r="R8" i="46" a="1"/>
  <c r="R8" i="46" s="1"/>
  <c r="P8" i="46" a="1"/>
  <c r="P8" i="46" s="1"/>
  <c r="O8" i="46" a="1"/>
  <c r="O8" i="46" s="1"/>
  <c r="M8" i="46" a="1"/>
  <c r="M8" i="46" s="1"/>
  <c r="L8" i="46" a="1"/>
  <c r="L8" i="46" s="1"/>
  <c r="J8" i="46" a="1"/>
  <c r="J8" i="46" s="1"/>
  <c r="I8" i="46" a="1"/>
  <c r="I8" i="46" s="1"/>
  <c r="G8" i="46" a="1"/>
  <c r="G8" i="46" s="1"/>
  <c r="F8" i="46" a="1"/>
  <c r="F8" i="46" s="1"/>
  <c r="D8" i="46" a="1"/>
  <c r="D8" i="46" s="1"/>
  <c r="R7" i="46" a="1"/>
  <c r="R7" i="46" s="1"/>
  <c r="P7" i="46" a="1"/>
  <c r="P7" i="46" s="1"/>
  <c r="O7" i="46" a="1"/>
  <c r="O7" i="46" s="1"/>
  <c r="M7" i="46" a="1"/>
  <c r="M7" i="46" s="1"/>
  <c r="L7" i="46" a="1"/>
  <c r="L7" i="46" s="1"/>
  <c r="J7" i="46" a="1"/>
  <c r="J7" i="46" s="1"/>
  <c r="I7" i="46" a="1"/>
  <c r="I7" i="46" s="1"/>
  <c r="G7" i="46" a="1"/>
  <c r="G7" i="46" s="1"/>
  <c r="F7" i="46" a="1"/>
  <c r="F7" i="46" s="1"/>
  <c r="D7" i="46" a="1"/>
  <c r="D7" i="46" s="1"/>
  <c r="R6" i="46" a="1"/>
  <c r="R6" i="46" s="1"/>
  <c r="P6" i="46" a="1"/>
  <c r="P6" i="46" s="1"/>
  <c r="O6" i="46" a="1"/>
  <c r="O6" i="46" s="1"/>
  <c r="M6" i="46" a="1"/>
  <c r="M6" i="46" s="1"/>
  <c r="L6" i="46" a="1"/>
  <c r="L6" i="46" s="1"/>
  <c r="J6" i="46" a="1"/>
  <c r="J6" i="46" s="1"/>
  <c r="I6" i="46" a="1"/>
  <c r="I6" i="46" s="1"/>
  <c r="G6" i="46" a="1"/>
  <c r="G6" i="46" s="1"/>
  <c r="F6" i="46" a="1"/>
  <c r="F6" i="46" s="1"/>
  <c r="D6" i="46" a="1"/>
  <c r="D6" i="46" s="1"/>
  <c r="R5" i="46" a="1"/>
  <c r="R5" i="46" s="1"/>
  <c r="P5" i="46" a="1"/>
  <c r="P5" i="46" s="1"/>
  <c r="O5" i="46" a="1"/>
  <c r="O5" i="46" s="1"/>
  <c r="M5" i="46" a="1"/>
  <c r="M5" i="46" s="1"/>
  <c r="L5" i="46" a="1"/>
  <c r="L5" i="46" s="1"/>
  <c r="J5" i="46" a="1"/>
  <c r="J5" i="46" s="1"/>
  <c r="I5" i="46" a="1"/>
  <c r="I5" i="46" s="1"/>
  <c r="G5" i="46" a="1"/>
  <c r="G5" i="46" s="1"/>
  <c r="F5" i="46" a="1"/>
  <c r="F5" i="46" s="1"/>
  <c r="D5" i="46" a="1"/>
  <c r="D5" i="46" s="1"/>
  <c r="N7" i="46" a="1"/>
  <c r="N7" i="46" s="1"/>
  <c r="K8" i="46" a="1"/>
  <c r="K8" i="46" s="1"/>
  <c r="H5" i="46" a="1"/>
  <c r="H5" i="46" s="1"/>
  <c r="N29" i="46" a="1"/>
  <c r="N29" i="46" s="1"/>
  <c r="T14" i="46" a="1"/>
  <c r="T14" i="46" s="1"/>
  <c r="H15" i="46" a="1"/>
  <c r="H15" i="46" s="1"/>
  <c r="H13" i="46" a="1"/>
  <c r="H13" i="46" s="1"/>
  <c r="Q32" i="46" a="1"/>
  <c r="Q32" i="46" s="1"/>
  <c r="E17" i="46" a="1"/>
  <c r="E17" i="46" s="1"/>
  <c r="N6" i="46" a="1"/>
  <c r="N6" i="46" s="1"/>
  <c r="T28" i="46" a="1"/>
  <c r="T28" i="46" s="1"/>
  <c r="T13" i="46" a="1"/>
  <c r="T13" i="46" s="1"/>
  <c r="T31" i="46" a="1"/>
  <c r="T31" i="46" s="1"/>
  <c r="T30" i="46" a="1"/>
  <c r="T30" i="46" s="1"/>
  <c r="E15" i="46" a="1"/>
  <c r="E15" i="46" s="1"/>
  <c r="K9" i="46" a="1"/>
  <c r="K9" i="46" s="1"/>
  <c r="N32" i="46" a="1"/>
  <c r="N32" i="46" s="1"/>
  <c r="T21" i="46" a="1"/>
  <c r="T21" i="46" s="1"/>
  <c r="H26" i="46" a="1"/>
  <c r="H26" i="46" s="1"/>
  <c r="T23" i="46" a="1"/>
  <c r="T23" i="46" s="1"/>
  <c r="H34" i="46" a="1"/>
  <c r="H34" i="46" s="1"/>
  <c r="K16" i="46" a="1"/>
  <c r="K16" i="46" s="1"/>
  <c r="Q33" i="46" a="1"/>
  <c r="Q33" i="46" s="1"/>
  <c r="T16" i="46" a="1"/>
  <c r="T16" i="46" s="1"/>
  <c r="Q19" i="46" a="1"/>
  <c r="Q19" i="46" s="1"/>
  <c r="Q20" i="46" a="1"/>
  <c r="Q20" i="46" s="1"/>
  <c r="N10" i="46" a="1"/>
  <c r="N10" i="46" s="1"/>
  <c r="T22" i="46" a="1"/>
  <c r="T22" i="46" s="1"/>
  <c r="T26" i="46" a="1"/>
  <c r="T26" i="46" s="1"/>
  <c r="Q6" i="46" a="1"/>
  <c r="Q6" i="46" s="1"/>
  <c r="E14" i="46" a="1"/>
  <c r="E14" i="46" s="1"/>
  <c r="K26" i="46" a="1"/>
  <c r="K26" i="46" s="1"/>
  <c r="H18" i="46" a="1"/>
  <c r="H18" i="46" s="1"/>
  <c r="H17" i="46" a="1"/>
  <c r="H17" i="46" s="1"/>
  <c r="H28" i="46" a="1"/>
  <c r="H28" i="46" s="1"/>
  <c r="K15" i="46" a="1"/>
  <c r="K15" i="46" s="1"/>
  <c r="H29" i="46" a="1"/>
  <c r="H29" i="46" s="1"/>
  <c r="N22" i="46" a="1"/>
  <c r="N22" i="46" s="1"/>
  <c r="H16" i="46" a="1"/>
  <c r="H16" i="46" s="1"/>
  <c r="N20" i="46" a="1"/>
  <c r="N20" i="46" s="1"/>
  <c r="T15" i="46" a="1"/>
  <c r="T15" i="46" s="1"/>
  <c r="N23" i="46" a="1"/>
  <c r="N23" i="46" s="1"/>
  <c r="K13" i="46" a="1"/>
  <c r="K13" i="46" s="1"/>
  <c r="K10" i="46" a="1"/>
  <c r="K10" i="46" s="1"/>
  <c r="T8" i="46" a="1"/>
  <c r="T8" i="46" s="1"/>
  <c r="N18" i="46" a="1"/>
  <c r="N18" i="46" s="1"/>
  <c r="T9" i="46" a="1"/>
  <c r="T9" i="46" s="1"/>
  <c r="K20" i="46" a="1"/>
  <c r="K20" i="46" s="1"/>
  <c r="Q11" i="46" a="1"/>
  <c r="Q11" i="46" s="1"/>
  <c r="N21" i="46" a="1"/>
  <c r="N21" i="46" s="1"/>
  <c r="N17" i="46" a="1"/>
  <c r="N17" i="46" s="1"/>
  <c r="N27" i="46" a="1"/>
  <c r="N27" i="46" s="1"/>
  <c r="Q29" i="46" a="1"/>
  <c r="Q29" i="46" s="1"/>
  <c r="K29" i="46" a="1"/>
  <c r="K29" i="46" s="1"/>
  <c r="T24" i="46" a="1"/>
  <c r="T24" i="46" s="1"/>
  <c r="T7" i="46" a="1"/>
  <c r="T7" i="46" s="1"/>
  <c r="K18" i="46" a="1"/>
  <c r="K18" i="46" s="1"/>
  <c r="K23" i="46" a="1"/>
  <c r="K23" i="46" s="1"/>
  <c r="E28" i="46" a="1"/>
  <c r="E28" i="46" s="1"/>
  <c r="E20" i="46" a="1"/>
  <c r="E20" i="46" s="1"/>
  <c r="K34" i="46" a="1"/>
  <c r="K34" i="46" s="1"/>
  <c r="T11" i="46" a="1"/>
  <c r="T11" i="46" s="1"/>
  <c r="Q9" i="46" a="1"/>
  <c r="Q9" i="46" s="1"/>
  <c r="N12" i="46" a="1"/>
  <c r="N12" i="46" s="1"/>
  <c r="H11" i="46" a="1"/>
  <c r="H11" i="46" s="1"/>
  <c r="N19" i="46" a="1"/>
  <c r="N19" i="46" s="1"/>
  <c r="K30" i="46" a="1"/>
  <c r="K30" i="46" s="1"/>
  <c r="H14" i="46" a="1"/>
  <c r="H14" i="46" s="1"/>
  <c r="Q34" i="46" a="1"/>
  <c r="Q34" i="46" s="1"/>
  <c r="K24" i="46" a="1"/>
  <c r="K24" i="46" s="1"/>
  <c r="H21" i="46" a="1"/>
  <c r="H21" i="46" s="1"/>
  <c r="Q22" i="46" a="1"/>
  <c r="Q22" i="46" s="1"/>
  <c r="N34" i="46" a="1"/>
  <c r="N34" i="46" s="1"/>
  <c r="T34" i="46" a="1"/>
  <c r="T34" i="46" s="1"/>
  <c r="Q18" i="46" a="1"/>
  <c r="Q18" i="46" s="1"/>
  <c r="Q8" i="46" a="1"/>
  <c r="Q8" i="46" s="1"/>
  <c r="Q26" i="46" a="1"/>
  <c r="Q26" i="46" s="1"/>
  <c r="E22" i="46" a="1"/>
  <c r="E22" i="46" s="1"/>
  <c r="H31" i="46" a="1"/>
  <c r="H31" i="46" s="1"/>
  <c r="T12" i="46" a="1"/>
  <c r="T12" i="46" s="1"/>
  <c r="E23" i="46" a="1"/>
  <c r="E23" i="46" s="1"/>
  <c r="K7" i="46" a="1"/>
  <c r="K7" i="46" s="1"/>
  <c r="Q25" i="46" a="1"/>
  <c r="Q25" i="46" s="1"/>
  <c r="N14" i="46" a="1"/>
  <c r="N14" i="46" s="1"/>
  <c r="E13" i="46" a="1"/>
  <c r="E13" i="46" s="1"/>
  <c r="E7" i="46" a="1"/>
  <c r="E7" i="46" s="1"/>
  <c r="N25" i="46" a="1"/>
  <c r="N25" i="46" s="1"/>
  <c r="N9" i="46" a="1"/>
  <c r="N9" i="46" s="1"/>
  <c r="K6" i="46" a="1"/>
  <c r="K6" i="46" s="1"/>
  <c r="K19" i="46" a="1"/>
  <c r="K19" i="46" s="1"/>
  <c r="E25" i="46" a="1"/>
  <c r="E25" i="46" s="1"/>
  <c r="H7" i="46" a="1"/>
  <c r="H7" i="46" s="1"/>
  <c r="H33" i="46" a="1"/>
  <c r="H33" i="46" s="1"/>
  <c r="T29" i="46" a="1"/>
  <c r="T29" i="46" s="1"/>
  <c r="Q21" i="46" a="1"/>
  <c r="Q21" i="46" s="1"/>
  <c r="N24" i="46" a="1"/>
  <c r="N24" i="46" s="1"/>
  <c r="H10" i="46" a="1"/>
  <c r="H10" i="46" s="1"/>
  <c r="K28" i="46" a="1"/>
  <c r="K28" i="46" s="1"/>
  <c r="K14" i="46" a="1"/>
  <c r="K14" i="46" s="1"/>
  <c r="H9" i="46" a="1"/>
  <c r="H9" i="46" s="1"/>
  <c r="E6" i="46" a="1"/>
  <c r="E6" i="46" s="1"/>
  <c r="Q5" i="46" a="1"/>
  <c r="Q5" i="46" s="1"/>
  <c r="E11" i="46" a="1"/>
  <c r="E11" i="46" s="1"/>
  <c r="Q28" i="46" a="1"/>
  <c r="Q28" i="46" s="1"/>
  <c r="E9" i="46" a="1"/>
  <c r="E9" i="46" s="1"/>
  <c r="T20" i="46" a="1"/>
  <c r="T20" i="46" s="1"/>
  <c r="H8" i="46" a="1"/>
  <c r="H8" i="46" s="1"/>
  <c r="K25" i="46" a="1"/>
  <c r="K25" i="46" s="1"/>
  <c r="H12" i="46" a="1"/>
  <c r="H12" i="46" s="1"/>
  <c r="K21" i="46" a="1"/>
  <c r="K21" i="46" s="1"/>
  <c r="N31" i="46" a="1"/>
  <c r="N31" i="46" s="1"/>
  <c r="E8" i="46" a="1"/>
  <c r="E8" i="46" s="1"/>
  <c r="Q24" i="46" a="1"/>
  <c r="Q24" i="46" s="1"/>
  <c r="N13" i="46" a="1"/>
  <c r="N13" i="46" s="1"/>
  <c r="E29" i="46" a="1"/>
  <c r="E29" i="46" s="1"/>
  <c r="N30" i="46" a="1"/>
  <c r="N30" i="46" s="1"/>
  <c r="K32" i="46" a="1"/>
  <c r="K32" i="46" s="1"/>
  <c r="H25" i="46" a="1"/>
  <c r="H25" i="46" s="1"/>
  <c r="H30" i="46" a="1"/>
  <c r="H30" i="46" s="1"/>
  <c r="T5" i="46" a="1"/>
  <c r="T5" i="46" s="1"/>
  <c r="E19" i="46" a="1"/>
  <c r="E19" i="46" s="1"/>
  <c r="Q31" i="46" a="1"/>
  <c r="Q31" i="46" s="1"/>
  <c r="K33" i="46" a="1"/>
  <c r="K33" i="46" s="1"/>
  <c r="H6" i="46" a="1"/>
  <c r="H6" i="46" s="1"/>
  <c r="T18" i="46" a="1"/>
  <c r="T18" i="46" s="1"/>
  <c r="Q30" i="46" a="1"/>
  <c r="Q30" i="46" s="1"/>
  <c r="E5" i="46" a="1"/>
  <c r="E5" i="46" s="1"/>
  <c r="T27" i="46" a="1"/>
  <c r="T27" i="46" s="1"/>
  <c r="Q7" i="46" a="1"/>
  <c r="Q7" i="46" s="1"/>
  <c r="K22" i="46" a="1"/>
  <c r="K22" i="46" s="1"/>
  <c r="Q27" i="46" a="1"/>
  <c r="Q27" i="46" s="1"/>
  <c r="H19" i="46" a="1"/>
  <c r="H19" i="46" s="1"/>
  <c r="N8" i="46" a="1"/>
  <c r="N8" i="46" s="1"/>
  <c r="Q14" i="46" a="1"/>
  <c r="Q14" i="46" s="1"/>
  <c r="Q16" i="46" a="1"/>
  <c r="Q16" i="46" s="1"/>
  <c r="T25" i="46" a="1"/>
  <c r="T25" i="46" s="1"/>
  <c r="T17" i="46" a="1"/>
  <c r="T17" i="46" s="1"/>
  <c r="E18" i="46" a="1"/>
  <c r="E18" i="46" s="1"/>
  <c r="N11" i="46" a="1"/>
  <c r="N11" i="46" s="1"/>
  <c r="T33" i="46" a="1"/>
  <c r="T33" i="46" s="1"/>
  <c r="T19" i="46" a="1"/>
  <c r="T19" i="46" s="1"/>
  <c r="K12" i="46" a="1"/>
  <c r="K12" i="46" s="1"/>
  <c r="E31" i="46" a="1"/>
  <c r="E31" i="46" s="1"/>
  <c r="E34" i="46" a="1"/>
  <c r="E34" i="46" s="1"/>
  <c r="E30" i="46" a="1"/>
  <c r="E30" i="46" s="1"/>
  <c r="E27" i="46" a="1"/>
  <c r="E27" i="46" s="1"/>
  <c r="Q12" i="46" a="1"/>
  <c r="Q12" i="46" s="1"/>
  <c r="H20" i="46" a="1"/>
  <c r="H20" i="46" s="1"/>
  <c r="E21" i="46" a="1"/>
  <c r="E21" i="46" s="1"/>
  <c r="E12" i="46" a="1"/>
  <c r="E12" i="46" s="1"/>
  <c r="E33" i="46" a="1"/>
  <c r="E33" i="46" s="1"/>
  <c r="T32" i="46" a="1"/>
  <c r="T32" i="46" s="1"/>
  <c r="Q13" i="46" a="1"/>
  <c r="Q13" i="46" s="1"/>
  <c r="H32" i="46" a="1"/>
  <c r="H32" i="46" s="1"/>
  <c r="E24" i="46" a="1"/>
  <c r="E24" i="46" s="1"/>
  <c r="Q17" i="46" a="1"/>
  <c r="Q17" i="46" s="1"/>
  <c r="E16" i="46" a="1"/>
  <c r="E16" i="46" s="1"/>
  <c r="Q15" i="46" a="1"/>
  <c r="Q15" i="46" s="1"/>
  <c r="E32" i="46" a="1"/>
  <c r="E32" i="46" s="1"/>
  <c r="K17" i="46" a="1"/>
  <c r="K17" i="46" s="1"/>
  <c r="Q10" i="46" a="1"/>
  <c r="Q10" i="46" s="1"/>
  <c r="N33" i="46" a="1"/>
  <c r="N33" i="46" s="1"/>
  <c r="N15" i="46" a="1"/>
  <c r="N15" i="46" s="1"/>
  <c r="H27" i="46" a="1"/>
  <c r="H27" i="46" s="1"/>
  <c r="H22" i="46" a="1"/>
  <c r="H22" i="46" s="1"/>
  <c r="K27" i="46" a="1"/>
  <c r="K27" i="46" s="1"/>
  <c r="H24" i="46" a="1"/>
  <c r="H24" i="46" s="1"/>
  <c r="T10" i="46" a="1"/>
  <c r="T10" i="46" s="1"/>
  <c r="K11" i="46" a="1"/>
  <c r="K11" i="46" s="1"/>
  <c r="K5" i="46" a="1"/>
  <c r="K5" i="46" s="1"/>
  <c r="Q23" i="46" a="1"/>
  <c r="Q23" i="46" s="1"/>
  <c r="K31" i="46" a="1"/>
  <c r="K31" i="46" s="1"/>
  <c r="N5" i="46" a="1"/>
  <c r="N5" i="46" s="1"/>
  <c r="N16" i="46" a="1"/>
  <c r="N16" i="46" s="1"/>
  <c r="N28" i="46" a="1"/>
  <c r="N28" i="46" s="1"/>
  <c r="H23" i="46" a="1"/>
  <c r="H23" i="46" s="1"/>
  <c r="E26" i="46" a="1"/>
  <c r="E26" i="46" s="1"/>
  <c r="N26" i="46" a="1"/>
  <c r="N26" i="46" s="1"/>
  <c r="T6" i="46" a="1"/>
  <c r="T6" i="46" s="1"/>
  <c r="E10" i="46" a="1"/>
  <c r="E10" i="46" s="1"/>
  <c r="J9" i="45" a="1"/>
  <c r="J31" i="45" a="1"/>
  <c r="J9" i="45" l="1"/>
  <c r="Z21" i="33"/>
  <c r="AB21" i="33" s="1"/>
  <c r="Z22" i="33"/>
  <c r="AB22" i="33" s="1"/>
  <c r="Z94" i="33"/>
  <c r="AB94" i="33" s="1"/>
  <c r="Z95" i="33"/>
  <c r="AB95" i="33" s="1"/>
  <c r="Z69" i="33"/>
  <c r="AB69" i="33" s="1"/>
  <c r="Z68" i="33"/>
  <c r="AB68" i="33" s="1"/>
  <c r="Z83" i="33"/>
  <c r="AB83" i="33" s="1"/>
  <c r="Z84" i="33"/>
  <c r="AB84" i="33" s="1"/>
  <c r="Z93" i="33"/>
  <c r="AB93" i="33" s="1"/>
  <c r="Z92" i="33"/>
  <c r="AB92" i="33" s="1"/>
  <c r="Z6" i="33"/>
  <c r="AB6" i="33" s="1"/>
  <c r="Z5" i="33"/>
  <c r="AB5" i="33" s="1"/>
  <c r="J31" i="45"/>
  <c r="Z88" i="33"/>
  <c r="AB88" i="33" s="1"/>
  <c r="Z18" i="33"/>
  <c r="AB18" i="33" s="1"/>
  <c r="Z78" i="33"/>
  <c r="AB78" i="33" s="1"/>
  <c r="AM57" i="33"/>
  <c r="AN57" i="33" s="1"/>
  <c r="Z81" i="33"/>
  <c r="AB81" i="33" s="1"/>
  <c r="Z79" i="33"/>
  <c r="AB79" i="33" s="1"/>
  <c r="Z9" i="33"/>
  <c r="AB9" i="33" s="1"/>
  <c r="Z85" i="33"/>
  <c r="AB85" i="33" s="1"/>
  <c r="Z50" i="33"/>
  <c r="AB50" i="33" s="1"/>
  <c r="Z97" i="33"/>
  <c r="AB97" i="33" s="1"/>
  <c r="Z72" i="33"/>
  <c r="AB72" i="33" s="1"/>
  <c r="Z33" i="33"/>
  <c r="AB33" i="33" s="1"/>
  <c r="Z91" i="33"/>
  <c r="AB91" i="33" s="1"/>
  <c r="Z17" i="33"/>
  <c r="AB17" i="33" s="1"/>
  <c r="Z19" i="33"/>
  <c r="AB19" i="33" s="1"/>
  <c r="Z96" i="33"/>
  <c r="AB96" i="33" s="1"/>
  <c r="Z58" i="33"/>
  <c r="AB58" i="33" s="1"/>
  <c r="Z71" i="33"/>
  <c r="AB71" i="33" s="1"/>
  <c r="Z67" i="33"/>
  <c r="AB67" i="33" s="1"/>
  <c r="Z31" i="33"/>
  <c r="AB31" i="33" s="1"/>
  <c r="Z29" i="33"/>
  <c r="AB29" i="33" s="1"/>
  <c r="Z28" i="33"/>
  <c r="AB28" i="33" s="1"/>
  <c r="Z24" i="33"/>
  <c r="AB24" i="33" s="1"/>
  <c r="Z181" i="33"/>
  <c r="AB181" i="33" s="1"/>
  <c r="Z14" i="33"/>
  <c r="AB14" i="33" s="1"/>
  <c r="Z13" i="33"/>
  <c r="AB13" i="33" s="1"/>
  <c r="Z8" i="33"/>
  <c r="AB8" i="33" s="1"/>
  <c r="Z7" i="33"/>
  <c r="AB7" i="33" s="1"/>
  <c r="Z57" i="33"/>
  <c r="AB57" i="33" s="1"/>
  <c r="Z74" i="33"/>
  <c r="AB74" i="33" s="1"/>
  <c r="Z61" i="33"/>
  <c r="AB61" i="33" s="1"/>
  <c r="Z4" i="33"/>
  <c r="AB4" i="33" s="1"/>
  <c r="Z60" i="33"/>
  <c r="AB60" i="33" s="1"/>
  <c r="Z54" i="33"/>
  <c r="AB54" i="33" s="1"/>
  <c r="Z56" i="33"/>
  <c r="AB56" i="33" s="1"/>
  <c r="Z30" i="33"/>
  <c r="AB30" i="33" s="1"/>
  <c r="Z99" i="33"/>
  <c r="AB99" i="33" s="1"/>
  <c r="Z98" i="33"/>
  <c r="AB98" i="33" s="1"/>
  <c r="Z65" i="33"/>
  <c r="AB65" i="33" s="1"/>
  <c r="Z23" i="33"/>
  <c r="AB23" i="33" s="1"/>
  <c r="Z11" i="33"/>
  <c r="AB11" i="33" s="1"/>
  <c r="Z55" i="33"/>
  <c r="AB55" i="33" s="1"/>
  <c r="Z53" i="33"/>
  <c r="AB53" i="33" s="1"/>
  <c r="Z77" i="33"/>
  <c r="AB77" i="33" s="1"/>
  <c r="Z76" i="33"/>
  <c r="AB76" i="33" s="1"/>
  <c r="Z20" i="33"/>
  <c r="AB20" i="33" s="1"/>
  <c r="Z10" i="33"/>
  <c r="AB10" i="33" s="1"/>
  <c r="Z52" i="33"/>
  <c r="AB52" i="33" s="1"/>
  <c r="AA3" i="59"/>
  <c r="AA96" i="59"/>
  <c r="AA50" i="59"/>
  <c r="AA82" i="59"/>
  <c r="A2" i="59"/>
  <c r="AA2" i="59" s="1"/>
  <c r="AA30" i="59"/>
  <c r="AM53" i="33"/>
  <c r="AN53" i="33" s="1"/>
  <c r="AM58" i="33"/>
  <c r="AN58" i="33" s="1"/>
  <c r="AM78" i="33"/>
  <c r="AN78" i="33" s="1"/>
  <c r="Z3" i="33"/>
  <c r="AB3" i="33" s="1"/>
  <c r="AM81" i="33"/>
  <c r="AN81" i="33" s="1"/>
  <c r="AM77" i="33"/>
  <c r="AN77" i="33" s="1"/>
  <c r="AM14" i="33"/>
  <c r="AN14" i="33" s="1"/>
  <c r="AM96" i="33"/>
  <c r="AN96" i="33" s="1"/>
  <c r="AM54" i="33"/>
  <c r="AN54" i="33" s="1"/>
  <c r="AM13" i="33"/>
  <c r="AN13" i="33" s="1"/>
  <c r="AM3" i="33"/>
  <c r="AN3" i="33" s="1"/>
  <c r="AM19" i="33"/>
  <c r="AN19" i="33" s="1"/>
  <c r="AM181" i="33"/>
  <c r="AN181" i="33" s="1"/>
  <c r="AB25" i="33"/>
  <c r="AM6" i="33"/>
  <c r="AN6" i="33" s="1"/>
  <c r="AM23" i="33"/>
  <c r="AN23" i="33" s="1"/>
  <c r="AM67" i="33"/>
  <c r="AN67" i="33" s="1"/>
  <c r="AM11" i="33"/>
  <c r="AN11" i="33" s="1"/>
  <c r="AM76" i="33"/>
  <c r="AN76" i="33" s="1"/>
  <c r="AM99" i="33"/>
  <c r="AN99" i="33" s="1"/>
  <c r="AM97" i="33"/>
  <c r="AN97" i="33" s="1"/>
  <c r="AM31" i="33"/>
  <c r="AN31" i="33" s="1"/>
  <c r="AM61" i="33"/>
  <c r="AN61" i="33" s="1"/>
  <c r="AM69" i="33"/>
  <c r="AN69" i="33" s="1"/>
  <c r="AM4" i="33"/>
  <c r="AN4" i="33" s="1"/>
  <c r="AM65" i="33"/>
  <c r="AN65" i="33" s="1"/>
  <c r="AM24" i="33"/>
  <c r="AN24" i="33" s="1"/>
  <c r="AM8" i="33"/>
  <c r="AN8" i="33" s="1"/>
  <c r="AM85" i="33"/>
  <c r="AN85" i="33" s="1"/>
  <c r="AM29" i="33"/>
  <c r="AN29" i="33" s="1"/>
  <c r="AM20" i="33"/>
  <c r="AN20" i="33" s="1"/>
  <c r="AM10" i="33"/>
  <c r="AN10" i="33" s="1"/>
  <c r="AM74" i="33"/>
  <c r="AN74" i="33" s="1"/>
  <c r="AM25" i="33"/>
  <c r="AN25" i="33" s="1"/>
  <c r="AM93" i="33"/>
  <c r="AN93" i="33" s="1"/>
  <c r="AM60" i="33"/>
  <c r="AN60" i="33" s="1"/>
  <c r="AM56" i="33"/>
  <c r="AN56" i="33" s="1"/>
  <c r="AM55" i="33"/>
  <c r="AN55" i="33" s="1"/>
  <c r="AM91" i="33"/>
  <c r="AN91" i="33" s="1"/>
  <c r="O8" i="57"/>
  <c r="P8" i="57" s="1"/>
  <c r="O7" i="57"/>
  <c r="O6" i="57"/>
  <c r="O5" i="57"/>
  <c r="O4" i="57"/>
  <c r="O3" i="57"/>
  <c r="E8" i="57"/>
  <c r="E5" i="57"/>
  <c r="E6" i="57"/>
  <c r="E7" i="57"/>
  <c r="E4" i="57"/>
  <c r="D10" i="57"/>
  <c r="E11" i="57"/>
  <c r="D8" i="57"/>
  <c r="D9" i="57"/>
  <c r="D4" i="57"/>
  <c r="D6" i="57"/>
  <c r="D7" i="57"/>
  <c r="D13" i="57"/>
  <c r="D11" i="57"/>
  <c r="D5" i="57"/>
  <c r="E13" i="57"/>
  <c r="E9" i="57"/>
  <c r="E12" i="57"/>
  <c r="E10" i="57"/>
  <c r="D12" i="57"/>
  <c r="D3" i="57"/>
  <c r="E3" i="57"/>
  <c r="J9" i="57"/>
  <c r="J7" i="57"/>
  <c r="J8" i="57"/>
  <c r="J5" i="57"/>
  <c r="J6" i="57"/>
  <c r="J4" i="57"/>
  <c r="J3" i="57"/>
  <c r="I8" i="57"/>
  <c r="I9" i="57"/>
  <c r="I6" i="57"/>
  <c r="I7" i="57"/>
  <c r="I4" i="57"/>
  <c r="I5" i="57"/>
  <c r="I3" i="57"/>
  <c r="J11" i="57"/>
  <c r="I11" i="57"/>
  <c r="H11" i="57"/>
  <c r="C3" i="57"/>
  <c r="AA36" i="59"/>
  <c r="AA68" i="59"/>
  <c r="AA45" i="59"/>
  <c r="AA10" i="59"/>
  <c r="AA106" i="59"/>
  <c r="AA83" i="59"/>
  <c r="AA59" i="59"/>
  <c r="AA64" i="59"/>
  <c r="AA44" i="59"/>
  <c r="AA16" i="59"/>
  <c r="AA90" i="59"/>
  <c r="AA53" i="59"/>
  <c r="AA67" i="59"/>
  <c r="AA4" i="59"/>
  <c r="AA8" i="59"/>
  <c r="AA38" i="59"/>
  <c r="AA21" i="59"/>
  <c r="AA107" i="59"/>
  <c r="AA79" i="59"/>
  <c r="AA33" i="59"/>
  <c r="AA65" i="59"/>
  <c r="AA37" i="59"/>
  <c r="AA87" i="59"/>
  <c r="AA18" i="59"/>
  <c r="AA91" i="59"/>
  <c r="AA54" i="59"/>
  <c r="AA25" i="59"/>
  <c r="AA46" i="59"/>
  <c r="AA85" i="59"/>
  <c r="AA86" i="59"/>
  <c r="AA104" i="59"/>
  <c r="AA31" i="59"/>
  <c r="AA52" i="59"/>
  <c r="AA76" i="59"/>
  <c r="AA56" i="59"/>
  <c r="AA60" i="59"/>
  <c r="AA62" i="59"/>
  <c r="AA55" i="59"/>
  <c r="AA27" i="59"/>
  <c r="AA32" i="59"/>
  <c r="AA95" i="59"/>
  <c r="AA92" i="59"/>
  <c r="AA9" i="59"/>
  <c r="AA113" i="59"/>
  <c r="AA78" i="59"/>
  <c r="AA73" i="59"/>
  <c r="AA14" i="59"/>
  <c r="AA109" i="59"/>
  <c r="AA7" i="59"/>
  <c r="AA66" i="59"/>
  <c r="Z230" i="33"/>
  <c r="AB230" i="33" s="1"/>
  <c r="AA69" i="59"/>
  <c r="AA20" i="59"/>
  <c r="AA99" i="59"/>
  <c r="AA70" i="59"/>
  <c r="AA89" i="59"/>
  <c r="AA75" i="59"/>
  <c r="AA114" i="59"/>
  <c r="AA94" i="59"/>
  <c r="C11" i="57"/>
  <c r="AA34" i="59"/>
  <c r="AA23" i="59"/>
  <c r="AA49" i="59"/>
  <c r="AA84" i="59"/>
  <c r="AA110" i="59"/>
  <c r="AA6" i="59"/>
  <c r="AA77" i="59"/>
  <c r="AA5" i="59"/>
  <c r="AA28" i="59"/>
  <c r="AA71" i="59"/>
  <c r="AA43" i="59"/>
  <c r="AA22" i="59"/>
  <c r="AA61" i="59"/>
  <c r="AA24" i="59"/>
  <c r="C5" i="57"/>
  <c r="C8" i="57"/>
  <c r="C4" i="57"/>
  <c r="C6" i="57"/>
  <c r="C10" i="57"/>
  <c r="AA72" i="59"/>
  <c r="AA97" i="59"/>
  <c r="AA103" i="59"/>
  <c r="AA115" i="59"/>
  <c r="AA19" i="59"/>
  <c r="C7" i="57"/>
  <c r="C9" i="57"/>
  <c r="AA118" i="59"/>
  <c r="AA63" i="59"/>
  <c r="AA81" i="59"/>
  <c r="AA40" i="59"/>
  <c r="AA105" i="59"/>
  <c r="AA48" i="59"/>
  <c r="AA12" i="59"/>
  <c r="AA57" i="59"/>
  <c r="AA13" i="59"/>
  <c r="AA26" i="59"/>
  <c r="AA58" i="59"/>
  <c r="AA101" i="59"/>
  <c r="C13" i="57"/>
  <c r="AA100" i="59"/>
  <c r="AA80" i="59"/>
  <c r="AA15" i="59"/>
  <c r="AA93" i="59"/>
  <c r="AA117" i="59"/>
  <c r="C12" i="57"/>
  <c r="AA74" i="59"/>
  <c r="AA102" i="59"/>
  <c r="AA35" i="59"/>
  <c r="AA47" i="59"/>
  <c r="AA111" i="59"/>
  <c r="AA116" i="59"/>
  <c r="AA108" i="59"/>
  <c r="AA88" i="59"/>
  <c r="AA112" i="59"/>
  <c r="AA98" i="59"/>
  <c r="AA17" i="59"/>
  <c r="AA119" i="59"/>
  <c r="AA41" i="59"/>
  <c r="AA42" i="59"/>
  <c r="AA29" i="59"/>
  <c r="AA51" i="59"/>
  <c r="AA11" i="59"/>
  <c r="AA39" i="59"/>
  <c r="Z250" i="33" l="1"/>
  <c r="AB250" i="33" s="1"/>
  <c r="Z247" i="33"/>
  <c r="AB247" i="33" s="1"/>
  <c r="Z249" i="33"/>
  <c r="AB249" i="33" s="1"/>
  <c r="Z238" i="33"/>
  <c r="AB238" i="33" s="1"/>
  <c r="Z239" i="33"/>
  <c r="AB239" i="33" s="1"/>
  <c r="Z235" i="33"/>
  <c r="AB235" i="33" s="1"/>
  <c r="Z237" i="33"/>
  <c r="AB237" i="33" s="1"/>
  <c r="Z232" i="33"/>
  <c r="AB232" i="33" s="1"/>
  <c r="Z233" i="33"/>
  <c r="AB233" i="33" s="1"/>
  <c r="Z231" i="33"/>
  <c r="AB231" i="33" s="1"/>
  <c r="Z100" i="33"/>
  <c r="AB100" i="33" s="1"/>
  <c r="Z229" i="33"/>
  <c r="AB229" i="33" s="1"/>
  <c r="Z226" i="33"/>
  <c r="AB226" i="33" s="1"/>
  <c r="Z146" i="33"/>
  <c r="AB146" i="33" s="1"/>
  <c r="Z223" i="33"/>
  <c r="AB223" i="33" s="1"/>
  <c r="Z225" i="33"/>
  <c r="AB225" i="33" s="1"/>
  <c r="Z221" i="33"/>
  <c r="AB221" i="33" s="1"/>
  <c r="Z222" i="33"/>
  <c r="AB222" i="33" s="1"/>
  <c r="Z218" i="33"/>
  <c r="AB218" i="33" s="1"/>
  <c r="Z220" i="33"/>
  <c r="AB220" i="33" s="1"/>
  <c r="Z215" i="33"/>
  <c r="AB215" i="33" s="1"/>
  <c r="Z217" i="33"/>
  <c r="AB217" i="33" s="1"/>
  <c r="Z213" i="33"/>
  <c r="AB213" i="33" s="1"/>
  <c r="Z214" i="33"/>
  <c r="AB214" i="33" s="1"/>
  <c r="Z210" i="33"/>
  <c r="AB210" i="33" s="1"/>
  <c r="Z211" i="33"/>
  <c r="AB211" i="33" s="1"/>
  <c r="Z194" i="33"/>
  <c r="AB194" i="33" s="1"/>
  <c r="Z193" i="33"/>
  <c r="AB193" i="33" s="1"/>
  <c r="Z192" i="33"/>
  <c r="AB192" i="33" s="1"/>
  <c r="Z188" i="33"/>
  <c r="AB188" i="33" s="1"/>
  <c r="Z189" i="33"/>
  <c r="AB189" i="33" s="1"/>
  <c r="Z184" i="33"/>
  <c r="AB184" i="33" s="1"/>
  <c r="Z187" i="33"/>
  <c r="AB187" i="33" s="1"/>
  <c r="Z149" i="33"/>
  <c r="AB149" i="33" s="1"/>
  <c r="Z228" i="33"/>
  <c r="AB228" i="33" s="1"/>
  <c r="Z177" i="33"/>
  <c r="AB177" i="33" s="1"/>
  <c r="Z179" i="33"/>
  <c r="AB179" i="33" s="1"/>
  <c r="Z174" i="33"/>
  <c r="AB174" i="33" s="1"/>
  <c r="Z175" i="33"/>
  <c r="AB175" i="33" s="1"/>
  <c r="Z169" i="33"/>
  <c r="AB169" i="33" s="1"/>
  <c r="Z171" i="33"/>
  <c r="AB171" i="33" s="1"/>
  <c r="Z165" i="33"/>
  <c r="AB165" i="33" s="1"/>
  <c r="Z167" i="33"/>
  <c r="AB167" i="33" s="1"/>
  <c r="Z162" i="33"/>
  <c r="AB162" i="33" s="1"/>
  <c r="Z164" i="33"/>
  <c r="AB164" i="33" s="1"/>
  <c r="Z159" i="33"/>
  <c r="AB159" i="33" s="1"/>
  <c r="Z161" i="33"/>
  <c r="AB161" i="33" s="1"/>
  <c r="Z157" i="33"/>
  <c r="AB157" i="33" s="1"/>
  <c r="Z108" i="33"/>
  <c r="AB108" i="33" s="1"/>
  <c r="Z152" i="33"/>
  <c r="AB152" i="33" s="1"/>
  <c r="Z155" i="33"/>
  <c r="AB155" i="33" s="1"/>
  <c r="Z148" i="33"/>
  <c r="AB148" i="33" s="1"/>
  <c r="Z109" i="33"/>
  <c r="AB109" i="33" s="1"/>
  <c r="Z110" i="33"/>
  <c r="AB110" i="33" s="1"/>
  <c r="Z147" i="33"/>
  <c r="AB147" i="33" s="1"/>
  <c r="Z143" i="33"/>
  <c r="AB143" i="33" s="1"/>
  <c r="Z145" i="33"/>
  <c r="AB145" i="33" s="1"/>
  <c r="Z139" i="33"/>
  <c r="AB139" i="33" s="1"/>
  <c r="Z140" i="33"/>
  <c r="AB140" i="33" s="1"/>
  <c r="Z133" i="33"/>
  <c r="AB133" i="33" s="1"/>
  <c r="Z136" i="33"/>
  <c r="AB136" i="33" s="1"/>
  <c r="Z204" i="33"/>
  <c r="AB204" i="33" s="1"/>
  <c r="Z129" i="33"/>
  <c r="AB129" i="33" s="1"/>
  <c r="Z131" i="33"/>
  <c r="AB131" i="33" s="1"/>
  <c r="Z127" i="33"/>
  <c r="AB127" i="33" s="1"/>
  <c r="Z128" i="33"/>
  <c r="AB128" i="33" s="1"/>
  <c r="Z125" i="33"/>
  <c r="AB125" i="33" s="1"/>
  <c r="Z126" i="33"/>
  <c r="AB126" i="33" s="1"/>
  <c r="Z123" i="33"/>
  <c r="AB123" i="33" s="1"/>
  <c r="Z124" i="33"/>
  <c r="AB124" i="33" s="1"/>
  <c r="Z120" i="33"/>
  <c r="AB120" i="33" s="1"/>
  <c r="Z122" i="33"/>
  <c r="AB122" i="33" s="1"/>
  <c r="Z15" i="33"/>
  <c r="AB15" i="33" s="1"/>
  <c r="Z119" i="33"/>
  <c r="AB119" i="33" s="1"/>
  <c r="Z115" i="33"/>
  <c r="AB115" i="33" s="1"/>
  <c r="Z118" i="33"/>
  <c r="AB118" i="33" s="1"/>
  <c r="Z113" i="33"/>
  <c r="AB113" i="33" s="1"/>
  <c r="Z114" i="33"/>
  <c r="AB114" i="33" s="1"/>
  <c r="P4" i="57"/>
  <c r="P5" i="57"/>
  <c r="P6" i="57"/>
  <c r="P3" i="57"/>
  <c r="P7" i="57"/>
  <c r="M7" i="57"/>
  <c r="M4" i="57" l="1"/>
  <c r="M5" i="57"/>
  <c r="M6" i="57"/>
  <c r="M3" i="57"/>
  <c r="M8" i="57"/>
  <c r="N8" i="57" s="1"/>
  <c r="H4" i="57"/>
  <c r="H9" i="57"/>
  <c r="H6" i="57"/>
  <c r="H8" i="57"/>
  <c r="H3" i="57"/>
  <c r="H7" i="57"/>
  <c r="H5" i="57"/>
  <c r="N17" i="45" a="1"/>
  <c r="N18" i="45" a="1"/>
  <c r="H34" i="45" a="1"/>
  <c r="K5" i="45" a="1"/>
  <c r="E13" i="45" a="1"/>
  <c r="N13" i="45" a="1"/>
  <c r="K29" i="45" a="1"/>
  <c r="Q12" i="45" a="1"/>
  <c r="E25" i="45" a="1"/>
  <c r="E26" i="45" a="1"/>
  <c r="H11" i="45" a="1"/>
  <c r="N9" i="45" a="1"/>
  <c r="E23" i="45" a="1"/>
  <c r="K22" i="45" a="1"/>
  <c r="N14" i="45" a="1"/>
  <c r="N5" i="45" a="1"/>
  <c r="H24" i="45" a="1"/>
  <c r="H27" i="45" a="1"/>
  <c r="Q30" i="45" a="1"/>
  <c r="K21" i="45" a="1"/>
  <c r="K14" i="45" a="1"/>
  <c r="N27" i="45" a="1"/>
  <c r="Q16" i="45" a="1"/>
  <c r="N22" i="45" a="1"/>
  <c r="E7" i="45" a="1"/>
  <c r="K32" i="45" a="1"/>
  <c r="H23" i="45" a="1"/>
  <c r="Q32" i="45" a="1"/>
  <c r="E31" i="45" a="1"/>
  <c r="N8" i="45" a="1"/>
  <c r="N32" i="45" a="1"/>
  <c r="Q5" i="45" a="1"/>
  <c r="Q13" i="45" a="1"/>
  <c r="Q8" i="45" a="1"/>
  <c r="E20" i="45" a="1"/>
  <c r="H26" i="45" a="1"/>
  <c r="H22" i="45" a="1"/>
  <c r="E8" i="45" a="1"/>
  <c r="H15" i="45" a="1"/>
  <c r="N7" i="45" a="1"/>
  <c r="E29" i="45" a="1"/>
  <c r="H29" i="45" a="1"/>
  <c r="H5" i="45" a="1"/>
  <c r="N28" i="45" a="1"/>
  <c r="Q17" i="45" a="1"/>
  <c r="E10" i="45" a="1"/>
  <c r="Q20" i="45" a="1"/>
  <c r="E15" i="45" a="1"/>
  <c r="N11" i="45" a="1"/>
  <c r="N24" i="45" a="1"/>
  <c r="Q27" i="45" a="1"/>
  <c r="Q24" i="45" a="1"/>
  <c r="K34" i="45" a="1"/>
  <c r="N26" i="45" a="1"/>
  <c r="K7" i="45" a="1"/>
  <c r="Q34" i="45" a="1"/>
  <c r="N16" i="45" a="1"/>
  <c r="K9" i="45" a="1"/>
  <c r="K31" i="45" a="1"/>
  <c r="N6" i="45" a="1"/>
  <c r="E14" i="45" a="1"/>
  <c r="E32" i="45" a="1"/>
  <c r="N34" i="45" a="1"/>
  <c r="N30" i="45" a="1"/>
  <c r="Q31" i="45" a="1"/>
  <c r="N23" i="45" a="1"/>
  <c r="H12" i="45" a="1"/>
  <c r="Q33" i="45" a="1"/>
  <c r="Q14" i="45" a="1"/>
  <c r="Q23" i="45" a="1"/>
  <c r="K19" i="45" a="1"/>
  <c r="E17" i="45" a="1"/>
  <c r="E22" i="45" a="1"/>
  <c r="H31" i="45" a="1"/>
  <c r="E27" i="45" a="1"/>
  <c r="K17" i="45" a="1"/>
  <c r="E9" i="45" a="1"/>
  <c r="K12" i="45" a="1"/>
  <c r="N31" i="45" a="1"/>
  <c r="H19" i="45" a="1"/>
  <c r="K28" i="45" a="1"/>
  <c r="K27" i="45" a="1"/>
  <c r="K26" i="45" a="1"/>
  <c r="E12" i="45" a="1"/>
  <c r="E5" i="45" a="1"/>
  <c r="Q29" i="45" a="1"/>
  <c r="H30" i="45" a="1"/>
  <c r="K15" i="45" a="1"/>
  <c r="N10" i="45" a="1"/>
  <c r="Q11" i="45" a="1"/>
  <c r="H13" i="45" a="1"/>
  <c r="N19" i="45" a="1"/>
  <c r="K20" i="45" a="1"/>
  <c r="H8" i="45" a="1"/>
  <c r="H20" i="45" a="1"/>
  <c r="K25" i="45" a="1"/>
  <c r="E28" i="45" a="1"/>
  <c r="K18" i="45" a="1"/>
  <c r="K13" i="45" a="1"/>
  <c r="H14" i="45" a="1"/>
  <c r="Q25" i="45" a="1"/>
  <c r="E34" i="45" a="1"/>
  <c r="E19" i="45" a="1"/>
  <c r="N29" i="45" a="1"/>
  <c r="E33" i="45" a="1"/>
  <c r="K11" i="45" a="1"/>
  <c r="Q18" i="45" a="1"/>
  <c r="K23" i="45" a="1"/>
  <c r="E16" i="45" a="1"/>
  <c r="K16" i="45" a="1"/>
  <c r="Q19" i="45" a="1"/>
  <c r="E18" i="45" a="1"/>
  <c r="N20" i="45" a="1"/>
  <c r="N25" i="45" a="1"/>
  <c r="Q6" i="45" a="1"/>
  <c r="K33" i="45" a="1"/>
  <c r="H10" i="45" a="1"/>
  <c r="E30" i="45" a="1"/>
  <c r="Q26" i="45" a="1"/>
  <c r="H17" i="45" a="1"/>
  <c r="Q10" i="45" a="1"/>
  <c r="Q7" i="45" a="1"/>
  <c r="E21" i="45" a="1"/>
  <c r="K30" i="45" a="1"/>
  <c r="K6" i="45" a="1"/>
  <c r="H28" i="45" a="1"/>
  <c r="Q9" i="45" a="1"/>
  <c r="E11" i="45" a="1"/>
  <c r="K10" i="45" a="1"/>
  <c r="N33" i="45" a="1"/>
  <c r="Q21" i="45" a="1"/>
  <c r="K8" i="45" a="1"/>
  <c r="H6" i="45" a="1"/>
  <c r="H18" i="45" a="1"/>
  <c r="N15" i="45" a="1"/>
  <c r="H25" i="45" a="1"/>
  <c r="Q22" i="45" a="1"/>
  <c r="H21" i="45" a="1"/>
  <c r="H32" i="45" a="1"/>
  <c r="K24" i="45" a="1"/>
  <c r="H16" i="45" a="1"/>
  <c r="Q28" i="45" a="1"/>
  <c r="E24" i="45" a="1"/>
  <c r="N12" i="45" a="1"/>
  <c r="Q15" i="45" a="1"/>
  <c r="N21" i="45" a="1"/>
  <c r="H33" i="45" a="1"/>
  <c r="E6" i="45" a="1"/>
  <c r="H7" i="45" a="1"/>
  <c r="H9" i="45" a="1"/>
  <c r="Q13" i="45" l="1"/>
  <c r="H16" i="45"/>
  <c r="E19" i="45"/>
  <c r="Q9" i="45"/>
  <c r="K10" i="45"/>
  <c r="K19" i="45"/>
  <c r="N31" i="45"/>
  <c r="H27" i="45"/>
  <c r="K12" i="45"/>
  <c r="K22" i="45"/>
  <c r="H20" i="45"/>
  <c r="H8" i="45"/>
  <c r="N28" i="45"/>
  <c r="K6" i="45"/>
  <c r="N24" i="45"/>
  <c r="K8" i="45"/>
  <c r="Q6" i="45"/>
  <c r="N29" i="45"/>
  <c r="E22" i="45"/>
  <c r="Q17" i="45"/>
  <c r="Q19" i="45"/>
  <c r="K25" i="45"/>
  <c r="N7" i="45"/>
  <c r="H32" i="45"/>
  <c r="N30" i="45"/>
  <c r="E27" i="45"/>
  <c r="N15" i="45"/>
  <c r="N23" i="45"/>
  <c r="Q30" i="45"/>
  <c r="H29" i="45"/>
  <c r="N14" i="45"/>
  <c r="E34" i="45"/>
  <c r="Q14" i="45"/>
  <c r="K11" i="45"/>
  <c r="H21" i="45"/>
  <c r="N26" i="45"/>
  <c r="K7" i="45"/>
  <c r="E25" i="45"/>
  <c r="N25" i="45"/>
  <c r="E20" i="45"/>
  <c r="N33" i="45"/>
  <c r="Q5" i="45"/>
  <c r="Q24" i="45"/>
  <c r="K33" i="45"/>
  <c r="H7" i="45"/>
  <c r="N16" i="45"/>
  <c r="N32" i="45"/>
  <c r="K24" i="45"/>
  <c r="H9" i="45"/>
  <c r="K9" i="45"/>
  <c r="N11" i="45"/>
  <c r="H10" i="45"/>
  <c r="K17" i="45"/>
  <c r="K21" i="45"/>
  <c r="H5" i="45"/>
  <c r="E15" i="45"/>
  <c r="K28" i="45"/>
  <c r="E29" i="45"/>
  <c r="Q18" i="45"/>
  <c r="Q26" i="45"/>
  <c r="H28" i="45"/>
  <c r="Q8" i="45"/>
  <c r="K29" i="45"/>
  <c r="K16" i="45"/>
  <c r="N27" i="45"/>
  <c r="K26" i="45"/>
  <c r="N20" i="45"/>
  <c r="H25" i="45"/>
  <c r="H33" i="45"/>
  <c r="K5" i="45"/>
  <c r="E24" i="45"/>
  <c r="K20" i="45"/>
  <c r="Q12" i="45"/>
  <c r="N18" i="45"/>
  <c r="H24" i="45"/>
  <c r="E17" i="45"/>
  <c r="Q33" i="45"/>
  <c r="N34" i="45"/>
  <c r="Q21" i="45"/>
  <c r="Q7" i="45"/>
  <c r="K27" i="45"/>
  <c r="N6" i="45"/>
  <c r="E11" i="45"/>
  <c r="E18" i="45"/>
  <c r="Q25" i="45"/>
  <c r="E21" i="45"/>
  <c r="K30" i="45"/>
  <c r="K34" i="45"/>
  <c r="H22" i="45"/>
  <c r="N5" i="45"/>
  <c r="K32" i="45"/>
  <c r="E5" i="45"/>
  <c r="Q23" i="45"/>
  <c r="E12" i="45"/>
  <c r="N21" i="45"/>
  <c r="Q27" i="45"/>
  <c r="E31" i="45"/>
  <c r="H34" i="45"/>
  <c r="N8" i="45"/>
  <c r="H31" i="45"/>
  <c r="E26" i="45"/>
  <c r="N9" i="45"/>
  <c r="H19" i="45"/>
  <c r="H30" i="45"/>
  <c r="Q32" i="45"/>
  <c r="Q34" i="45"/>
  <c r="K31" i="45"/>
  <c r="Q31" i="45"/>
  <c r="E33" i="45"/>
  <c r="H6" i="45"/>
  <c r="K13" i="45"/>
  <c r="E13" i="45"/>
  <c r="E9" i="45"/>
  <c r="E23" i="45"/>
  <c r="H12" i="45"/>
  <c r="Q10" i="45"/>
  <c r="E6" i="45"/>
  <c r="E14" i="45"/>
  <c r="N12" i="45"/>
  <c r="K23" i="45"/>
  <c r="H14" i="45"/>
  <c r="Q16" i="45"/>
  <c r="E32" i="45"/>
  <c r="K15" i="45"/>
  <c r="H11" i="45"/>
  <c r="Q28" i="45"/>
  <c r="E8" i="45"/>
  <c r="N17" i="45"/>
  <c r="N22" i="45"/>
  <c r="E10" i="45"/>
  <c r="E30" i="45"/>
  <c r="N10" i="45"/>
  <c r="Q15" i="45"/>
  <c r="H13" i="45"/>
  <c r="H15" i="45"/>
  <c r="N13" i="45"/>
  <c r="Q29" i="45"/>
  <c r="H18" i="45"/>
  <c r="E7" i="45"/>
  <c r="H17" i="45"/>
  <c r="K18" i="45"/>
  <c r="E28" i="45"/>
  <c r="E16" i="45"/>
  <c r="Q11" i="45"/>
  <c r="Q22" i="45"/>
  <c r="H23" i="45"/>
  <c r="N19" i="45"/>
  <c r="H26" i="45"/>
  <c r="K14" i="45"/>
  <c r="Q20" i="45"/>
  <c r="N5" i="57"/>
  <c r="N7" i="57"/>
  <c r="N4" i="57"/>
  <c r="N3" i="57"/>
  <c r="N6" i="57"/>
  <c r="I29" i="45" a="1"/>
  <c r="M23" i="45" a="1"/>
  <c r="S31" i="45" a="1"/>
  <c r="U33" i="45" a="1"/>
  <c r="D20" i="45" a="1"/>
  <c r="M8" i="45" a="1"/>
  <c r="L20" i="45" a="1"/>
  <c r="I23" i="45" a="1"/>
  <c r="J6" i="45" a="1"/>
  <c r="R31" i="45" a="1"/>
  <c r="I32" i="45" a="1"/>
  <c r="S27" i="45" a="1"/>
  <c r="R18" i="45" a="1"/>
  <c r="G16" i="45" a="1"/>
  <c r="I27" i="45" a="1"/>
  <c r="L6" i="45" a="1"/>
  <c r="G21" i="45" a="1"/>
  <c r="L11" i="45" a="1"/>
  <c r="R33" i="45" a="1"/>
  <c r="I9" i="45" a="1"/>
  <c r="J16" i="45" a="1"/>
  <c r="O11" i="45" a="1"/>
  <c r="S13" i="45" a="1"/>
  <c r="J10" i="45" a="1"/>
  <c r="O25" i="45" a="1"/>
  <c r="G19" i="45" a="1"/>
  <c r="G11" i="45" a="1"/>
  <c r="P12" i="45" a="1"/>
  <c r="M31" i="45" a="1"/>
  <c r="G32" i="45" a="1"/>
  <c r="U25" i="45" a="1"/>
  <c r="P16" i="45" a="1"/>
  <c r="P7" i="45" a="1"/>
  <c r="D11" i="45" a="1"/>
  <c r="L21" i="45" a="1"/>
  <c r="S19" i="45" a="1"/>
  <c r="S15" i="45" a="1"/>
  <c r="D30" i="45" a="1"/>
  <c r="T6" i="45" a="1"/>
  <c r="G25" i="45" a="1"/>
  <c r="P14" i="45" a="1"/>
  <c r="F6" i="45" a="1"/>
  <c r="O32" i="45" a="1"/>
  <c r="O34" i="45" a="1"/>
  <c r="M19" i="45" a="1"/>
  <c r="T5" i="45" a="1"/>
  <c r="G28" i="45" a="1"/>
  <c r="F31" i="45" a="1"/>
  <c r="O18" i="45" a="1"/>
  <c r="T27" i="45" a="1"/>
  <c r="D24" i="45" a="1"/>
  <c r="T13" i="45" a="1"/>
  <c r="J26" i="45" a="1"/>
  <c r="F28" i="45" a="1"/>
  <c r="R27" i="45" a="1"/>
  <c r="M14" i="45" a="1"/>
  <c r="I15" i="45" a="1"/>
  <c r="P5" i="45" a="1"/>
  <c r="I22" i="45" a="1"/>
  <c r="S11" i="45" a="1"/>
  <c r="J29" i="45" a="1"/>
  <c r="M20" i="45" a="1"/>
  <c r="T8" i="45" a="1"/>
  <c r="S17" i="45" a="1"/>
  <c r="L23" i="45" a="1"/>
  <c r="O7" i="45" a="1"/>
  <c r="L8" i="45" a="1"/>
  <c r="U27" i="45" a="1"/>
  <c r="T12" i="45" a="1"/>
  <c r="O17" i="45" a="1"/>
  <c r="J25" i="45" a="1"/>
  <c r="D8" i="45" a="1"/>
  <c r="L31" i="45" a="1"/>
  <c r="G31" i="45" a="1"/>
  <c r="S16" i="45" a="1"/>
  <c r="U19" i="45" a="1"/>
  <c r="S7" i="45" a="1"/>
  <c r="I21" i="45" a="1"/>
  <c r="F22" i="45" a="1"/>
  <c r="F9" i="45" a="1"/>
  <c r="G7" i="45" a="1"/>
  <c r="T7" i="45" a="1"/>
  <c r="R29" i="45" a="1"/>
  <c r="J18" i="45" a="1"/>
  <c r="P27" i="45" a="1"/>
  <c r="T15" i="45" a="1"/>
  <c r="J32" i="45" a="1"/>
  <c r="O17" i="45" l="1"/>
  <c r="D30" i="45"/>
  <c r="O18" i="45"/>
  <c r="I27" i="45"/>
  <c r="R29" i="45"/>
  <c r="J26" i="45"/>
  <c r="I23" i="45"/>
  <c r="J25" i="45"/>
  <c r="I15" i="45"/>
  <c r="L20" i="45"/>
  <c r="M31" i="45"/>
  <c r="T27" i="45"/>
  <c r="L31" i="45"/>
  <c r="O32" i="45"/>
  <c r="G32" i="45"/>
  <c r="I9" i="45"/>
  <c r="O7" i="45"/>
  <c r="I32" i="45"/>
  <c r="S17" i="45"/>
  <c r="R27" i="45"/>
  <c r="I21" i="45"/>
  <c r="O11" i="45"/>
  <c r="I22" i="45"/>
  <c r="R18" i="45"/>
  <c r="G21" i="45"/>
  <c r="I29" i="45"/>
  <c r="D24" i="45"/>
  <c r="U27" i="45"/>
  <c r="R33" i="45"/>
  <c r="S13" i="45"/>
  <c r="S16" i="45"/>
  <c r="T8" i="45"/>
  <c r="T5" i="45"/>
  <c r="M19" i="45"/>
  <c r="P5" i="45"/>
  <c r="G28" i="45"/>
  <c r="F6" i="45"/>
  <c r="G16" i="45"/>
  <c r="P14" i="45"/>
  <c r="L21" i="45"/>
  <c r="G19" i="45"/>
  <c r="P7" i="45"/>
  <c r="R31" i="45"/>
  <c r="L8" i="45"/>
  <c r="S15" i="45"/>
  <c r="M14" i="45"/>
  <c r="D11" i="45"/>
  <c r="T12" i="45"/>
  <c r="F9" i="45"/>
  <c r="F31" i="45"/>
  <c r="P12" i="45"/>
  <c r="F22" i="45"/>
  <c r="J10" i="45"/>
  <c r="S19" i="45"/>
  <c r="D20" i="45"/>
  <c r="G11" i="45"/>
  <c r="J29" i="45"/>
  <c r="U33" i="45"/>
  <c r="M8" i="45"/>
  <c r="T13" i="45"/>
  <c r="S7" i="45"/>
  <c r="G7" i="45"/>
  <c r="L11" i="45"/>
  <c r="O34" i="45"/>
  <c r="J16" i="45"/>
  <c r="J6" i="45"/>
  <c r="M23" i="45"/>
  <c r="T6" i="45"/>
  <c r="M20" i="45"/>
  <c r="S11" i="45"/>
  <c r="T7" i="45"/>
  <c r="U25" i="45"/>
  <c r="S31" i="45"/>
  <c r="T15" i="45"/>
  <c r="J32" i="45"/>
  <c r="G31" i="45"/>
  <c r="J18" i="45"/>
  <c r="P16" i="45"/>
  <c r="G25" i="45"/>
  <c r="S27" i="45"/>
  <c r="O25" i="45"/>
  <c r="D8" i="45"/>
  <c r="L23" i="45"/>
  <c r="F28" i="45"/>
  <c r="U19" i="45"/>
  <c r="L6" i="45"/>
  <c r="P27" i="45"/>
  <c r="I8" i="45" a="1"/>
  <c r="J5" i="45" a="1"/>
  <c r="M27" i="45" a="1"/>
  <c r="F30" i="45" a="1"/>
  <c r="M15" i="45" a="1"/>
  <c r="I34" i="45" a="1"/>
  <c r="I17" i="45" a="1"/>
  <c r="L14" i="45" a="1"/>
  <c r="P33" i="45" a="1"/>
  <c r="I10" i="45" a="1"/>
  <c r="D17" i="45" a="1"/>
  <c r="L27" i="45" a="1"/>
  <c r="M34" i="45" a="1"/>
  <c r="D13" i="45" a="1"/>
  <c r="P20" i="45" a="1"/>
  <c r="D26" i="45" a="1"/>
  <c r="J7" i="45" a="1"/>
  <c r="G14" i="45" a="1"/>
  <c r="M9" i="45" a="1"/>
  <c r="O28" i="45" a="1"/>
  <c r="F13" i="45" a="1"/>
  <c r="M11" i="45" a="1"/>
  <c r="G9" i="45" a="1"/>
  <c r="S24" i="45" a="1"/>
  <c r="O8" i="45" a="1"/>
  <c r="P6" i="45" a="1"/>
  <c r="I28" i="45" a="1"/>
  <c r="O33" i="45" a="1"/>
  <c r="S29" i="45" a="1"/>
  <c r="G26" i="45" a="1"/>
  <c r="P19" i="45" a="1"/>
  <c r="D16" i="45" a="1"/>
  <c r="F5" i="45" a="1"/>
  <c r="S21" i="45" a="1"/>
  <c r="P23" i="45" a="1"/>
  <c r="R25" i="45" a="1"/>
  <c r="G23" i="45" a="1"/>
  <c r="M24" i="45" a="1"/>
  <c r="J13" i="45" a="1"/>
  <c r="L33" i="45" a="1"/>
  <c r="R21" i="45" a="1"/>
  <c r="T25" i="45" a="1"/>
  <c r="D9" i="45" a="1"/>
  <c r="J23" i="45" a="1"/>
  <c r="O20" i="45" a="1"/>
  <c r="R28" i="45" a="1"/>
  <c r="J14" i="45" a="1"/>
  <c r="R15" i="45" a="1"/>
  <c r="R19" i="45" a="1"/>
  <c r="F33" i="45" a="1"/>
  <c r="S12" i="45" a="1"/>
  <c r="P32" i="45" a="1"/>
  <c r="T26" i="45" a="1"/>
  <c r="R34" i="45" a="1"/>
  <c r="P11" i="45" a="1"/>
  <c r="F34" i="45" a="1"/>
  <c r="P29" i="45" a="1"/>
  <c r="U5" i="45" a="1"/>
  <c r="D6" i="45" a="1"/>
  <c r="G27" i="45" a="1"/>
  <c r="D5" i="45" a="1"/>
  <c r="R24" i="45" a="1"/>
  <c r="S5" i="45" a="1"/>
  <c r="U21" i="45" a="1"/>
  <c r="O26" i="45" a="1"/>
  <c r="M13" i="45" a="1"/>
  <c r="G29" i="45" a="1"/>
  <c r="I12" i="45" a="1"/>
  <c r="O24" i="45" a="1"/>
  <c r="U32" i="45" a="1"/>
  <c r="G8" i="45" a="1"/>
  <c r="U17" i="45" a="1"/>
  <c r="M21" i="45" a="1"/>
  <c r="T14" i="45" a="1"/>
  <c r="D18" i="45" a="1"/>
  <c r="P18" i="45" a="1"/>
  <c r="I25" i="45" a="1"/>
  <c r="S33" i="45" a="1"/>
  <c r="L32" i="45" a="1"/>
  <c r="T20" i="45" a="1"/>
  <c r="S34" i="45" a="1"/>
  <c r="P17" i="45" a="1"/>
  <c r="F10" i="45" a="1"/>
  <c r="I19" i="45" a="1"/>
  <c r="G12" i="45" a="1"/>
  <c r="R12" i="45" a="1"/>
  <c r="P9" i="45" a="1"/>
  <c r="R20" i="45" a="1"/>
  <c r="R32" i="45" a="1"/>
  <c r="F29" i="45" a="1"/>
  <c r="D25" i="45" a="1"/>
  <c r="U23" i="45" a="1"/>
  <c r="T28" i="45" a="1"/>
  <c r="L28" i="45" a="1"/>
  <c r="G24" i="45" a="1"/>
  <c r="U18" i="45" a="1"/>
  <c r="F7" i="45" a="1"/>
  <c r="R5" i="45" a="1"/>
  <c r="L12" i="45" a="1"/>
  <c r="L22" i="45" a="1"/>
  <c r="P15" i="45" a="1"/>
  <c r="P8" i="45" a="1"/>
  <c r="S23" i="45" a="1"/>
  <c r="U11" i="45" a="1"/>
  <c r="F32" i="45" a="1"/>
  <c r="F20" i="45" a="1"/>
  <c r="L29" i="45" a="1"/>
  <c r="L13" i="45" a="1"/>
  <c r="F24" i="45" a="1"/>
  <c r="G10" i="45" a="1"/>
  <c r="R14" i="45" a="1"/>
  <c r="I26" i="45" a="1"/>
  <c r="T33" i="45" a="1"/>
  <c r="P26" i="45" a="1"/>
  <c r="R11" i="45" a="1"/>
  <c r="O12" i="45" a="1"/>
  <c r="F16" i="45" a="1"/>
  <c r="S26" i="45" a="1"/>
  <c r="R22" i="45" a="1"/>
  <c r="L24" i="45" a="1"/>
  <c r="P22" i="45" a="1"/>
  <c r="R16" i="45" a="1"/>
  <c r="R8" i="45" a="1"/>
  <c r="O5" i="45" a="1"/>
  <c r="J12" i="45" a="1"/>
  <c r="S8" i="45" a="1"/>
  <c r="O9" i="45" a="1"/>
  <c r="G34" i="45" a="1"/>
  <c r="D23" i="45" a="1"/>
  <c r="D32" i="45" a="1"/>
  <c r="G33" i="45" a="1"/>
  <c r="J8" i="45" a="1"/>
  <c r="T31" i="45" a="1"/>
  <c r="D14" i="45" a="1"/>
  <c r="O13" i="45" a="1"/>
  <c r="L9" i="45" a="1"/>
  <c r="I11" i="45" a="1"/>
  <c r="U20" i="45" a="1"/>
  <c r="O19" i="45" a="1"/>
  <c r="U24" i="45" a="1"/>
  <c r="S10" i="45" a="1"/>
  <c r="M22" i="45" a="1"/>
  <c r="M32" i="45" a="1"/>
  <c r="P30" i="45" a="1"/>
  <c r="L18" i="45" a="1"/>
  <c r="L19" i="45" a="1"/>
  <c r="D27" i="45" a="1"/>
  <c r="U31" i="45" a="1"/>
  <c r="R9" i="45" a="1"/>
  <c r="T22" i="45" a="1"/>
  <c r="J30" i="45" a="1"/>
  <c r="O29" i="45" a="1"/>
  <c r="D12" i="45" a="1"/>
  <c r="F11" i="45" a="1"/>
  <c r="F23" i="45" a="1"/>
  <c r="O15" i="45" a="1"/>
  <c r="R26" i="45" a="1"/>
  <c r="O30" i="45" a="1"/>
  <c r="U32" i="45" l="1"/>
  <c r="R32" i="45"/>
  <c r="O5" i="45"/>
  <c r="R11" i="45"/>
  <c r="J14" i="45"/>
  <c r="O30" i="45"/>
  <c r="O20" i="45"/>
  <c r="G10" i="45"/>
  <c r="D32" i="45"/>
  <c r="L14" i="45"/>
  <c r="O9" i="45"/>
  <c r="O33" i="45"/>
  <c r="G29" i="45"/>
  <c r="S10" i="45"/>
  <c r="S5" i="45"/>
  <c r="R22" i="45"/>
  <c r="D23" i="45"/>
  <c r="P30" i="45"/>
  <c r="D14" i="45"/>
  <c r="O13" i="45"/>
  <c r="S23" i="45"/>
  <c r="T31" i="45"/>
  <c r="U20" i="45"/>
  <c r="R34" i="45"/>
  <c r="T26" i="45"/>
  <c r="O24" i="45"/>
  <c r="P26" i="45"/>
  <c r="F32" i="45"/>
  <c r="U5" i="45"/>
  <c r="F34" i="45"/>
  <c r="G33" i="45"/>
  <c r="S21" i="45"/>
  <c r="P32" i="45"/>
  <c r="G34" i="45"/>
  <c r="P18" i="45"/>
  <c r="O28" i="45"/>
  <c r="T28" i="45"/>
  <c r="R28" i="45"/>
  <c r="P15" i="45"/>
  <c r="F24" i="45"/>
  <c r="T25" i="45"/>
  <c r="S12" i="45"/>
  <c r="F33" i="45"/>
  <c r="D6" i="45"/>
  <c r="R15" i="45"/>
  <c r="P8" i="45"/>
  <c r="R24" i="45"/>
  <c r="G9" i="45"/>
  <c r="D9" i="45"/>
  <c r="R21" i="45"/>
  <c r="U11" i="45"/>
  <c r="S29" i="45"/>
  <c r="M9" i="45"/>
  <c r="P6" i="45"/>
  <c r="L24" i="45"/>
  <c r="J23" i="45"/>
  <c r="R5" i="45"/>
  <c r="F7" i="45"/>
  <c r="J12" i="45"/>
  <c r="U31" i="45"/>
  <c r="M24" i="45"/>
  <c r="J7" i="45"/>
  <c r="O8" i="45"/>
  <c r="F5" i="45"/>
  <c r="L12" i="45"/>
  <c r="R20" i="45"/>
  <c r="L33" i="45"/>
  <c r="F10" i="45"/>
  <c r="S34" i="45"/>
  <c r="D27" i="45"/>
  <c r="P20" i="45"/>
  <c r="L27" i="45"/>
  <c r="F13" i="45"/>
  <c r="I17" i="45"/>
  <c r="U18" i="45"/>
  <c r="T14" i="45"/>
  <c r="L28" i="45"/>
  <c r="M21" i="45"/>
  <c r="R26" i="45"/>
  <c r="F29" i="45"/>
  <c r="P33" i="45"/>
  <c r="I25" i="45"/>
  <c r="R12" i="45"/>
  <c r="R19" i="45"/>
  <c r="O29" i="45"/>
  <c r="O26" i="45"/>
  <c r="U17" i="45"/>
  <c r="L22" i="45"/>
  <c r="M11" i="45"/>
  <c r="L9" i="45"/>
  <c r="M15" i="45"/>
  <c r="J5" i="45"/>
  <c r="P17" i="45"/>
  <c r="R16" i="45"/>
  <c r="U21" i="45"/>
  <c r="O15" i="45"/>
  <c r="F23" i="45"/>
  <c r="G27" i="45"/>
  <c r="M32" i="45"/>
  <c r="M13" i="45"/>
  <c r="R9" i="45"/>
  <c r="I26" i="45"/>
  <c r="P22" i="45"/>
  <c r="I10" i="45"/>
  <c r="I11" i="45"/>
  <c r="F16" i="45"/>
  <c r="T22" i="45"/>
  <c r="J13" i="45"/>
  <c r="R8" i="45"/>
  <c r="R25" i="45"/>
  <c r="R14" i="45"/>
  <c r="D25" i="45"/>
  <c r="D17" i="45"/>
  <c r="L29" i="45"/>
  <c r="S8" i="45"/>
  <c r="P29" i="45"/>
  <c r="I8" i="45"/>
  <c r="U23" i="45"/>
  <c r="P23" i="45"/>
  <c r="S33" i="45"/>
  <c r="D5" i="45"/>
  <c r="P19" i="45"/>
  <c r="O12" i="45"/>
  <c r="D12" i="45"/>
  <c r="T33" i="45"/>
  <c r="D26" i="45"/>
  <c r="S24" i="45"/>
  <c r="G8" i="45"/>
  <c r="S26" i="45"/>
  <c r="P9" i="45"/>
  <c r="F20" i="45"/>
  <c r="G24" i="45"/>
  <c r="G23" i="45"/>
  <c r="T20" i="45"/>
  <c r="D13" i="45"/>
  <c r="M34" i="45"/>
  <c r="L13" i="45"/>
  <c r="I34" i="45"/>
  <c r="G26" i="45"/>
  <c r="I19" i="45"/>
  <c r="I28" i="45"/>
  <c r="U24" i="45"/>
  <c r="L19" i="45"/>
  <c r="L32" i="45"/>
  <c r="D16" i="45"/>
  <c r="F11" i="45"/>
  <c r="G12" i="45"/>
  <c r="M27" i="45"/>
  <c r="G14" i="45"/>
  <c r="J8" i="45"/>
  <c r="J30" i="45"/>
  <c r="O19" i="45"/>
  <c r="L18" i="45"/>
  <c r="I12" i="45"/>
  <c r="F30" i="45"/>
  <c r="M22" i="45"/>
  <c r="D18" i="45"/>
  <c r="P11" i="45"/>
  <c r="P34" i="45" a="1"/>
  <c r="U22" i="45" a="1"/>
  <c r="F18" i="45" a="1"/>
  <c r="G18" i="45" a="1"/>
  <c r="S14" i="45" a="1"/>
  <c r="F17" i="45" a="1"/>
  <c r="U12" i="45" a="1"/>
  <c r="T23" i="45" a="1"/>
  <c r="U8" i="45" a="1"/>
  <c r="L5" i="45" a="1"/>
  <c r="G22" i="45" a="1"/>
  <c r="M25" i="45" a="1"/>
  <c r="T21" i="45" a="1"/>
  <c r="F8" i="45" a="1"/>
  <c r="D21" i="45" a="1"/>
  <c r="F14" i="45" a="1"/>
  <c r="P31" i="45" a="1"/>
  <c r="S18" i="45" a="1"/>
  <c r="D33" i="45" a="1"/>
  <c r="O31" i="45" a="1"/>
  <c r="J28" i="45" a="1"/>
  <c r="L26" i="45" a="1"/>
  <c r="P25" i="45" a="1"/>
  <c r="F15" i="45" a="1"/>
  <c r="T11" i="45" a="1"/>
  <c r="R10" i="45" a="1"/>
  <c r="P10" i="45" a="1"/>
  <c r="P24" i="45" a="1"/>
  <c r="G6" i="45" a="1"/>
  <c r="F21" i="45" a="1"/>
  <c r="L17" i="45" a="1"/>
  <c r="O27" i="45" a="1"/>
  <c r="L34" i="45" a="1"/>
  <c r="R7" i="45" a="1"/>
  <c r="J34" i="45" a="1"/>
  <c r="M16" i="45" a="1"/>
  <c r="M29" i="45" a="1"/>
  <c r="M12" i="45" a="1"/>
  <c r="U9" i="45" a="1"/>
  <c r="I14" i="45" a="1"/>
  <c r="J33" i="45" a="1"/>
  <c r="S28" i="45" a="1"/>
  <c r="R23" i="45" a="1"/>
  <c r="R13" i="45" a="1"/>
  <c r="S9" i="45" a="1"/>
  <c r="D28" i="45" a="1"/>
  <c r="U34" i="45" a="1"/>
  <c r="I31" i="45" a="1"/>
  <c r="L10" i="45" a="1"/>
  <c r="D22" i="45" a="1"/>
  <c r="G13" i="45" a="1"/>
  <c r="S25" i="45" a="1"/>
  <c r="U13" i="45" a="1"/>
  <c r="J21" i="45" a="1"/>
  <c r="U14" i="45" a="1"/>
  <c r="J20" i="45" a="1"/>
  <c r="O6" i="45" a="1"/>
  <c r="P13" i="45" a="1"/>
  <c r="M18" i="45" a="1"/>
  <c r="P28" i="45" a="1"/>
  <c r="M30" i="45" a="1"/>
  <c r="D15" i="45" a="1"/>
  <c r="R17" i="45" a="1"/>
  <c r="U29" i="45" a="1"/>
  <c r="S22" i="45" a="1"/>
  <c r="F12" i="45" a="1"/>
  <c r="I7" i="45" a="1"/>
  <c r="I13" i="45" a="1"/>
  <c r="F26" i="45" a="1"/>
  <c r="O14" i="45" a="1"/>
  <c r="T16" i="45" a="1"/>
  <c r="M26" i="45" a="1"/>
  <c r="S30" i="45" a="1"/>
  <c r="L16" i="45" a="1"/>
  <c r="T29" i="45" a="1"/>
  <c r="J15" i="45" a="1"/>
  <c r="F19" i="45" a="1"/>
  <c r="M6" i="45" a="1"/>
  <c r="O22" i="45" a="1"/>
  <c r="I30" i="45" a="1"/>
  <c r="I18" i="45" a="1"/>
  <c r="M7" i="45" a="1"/>
  <c r="I16" i="45" a="1"/>
  <c r="G20" i="45" a="1"/>
  <c r="J22" i="45" a="1"/>
  <c r="G5" i="45" a="1"/>
  <c r="T30" i="45" a="1"/>
  <c r="J24" i="45" a="1"/>
  <c r="O21" i="45" a="1"/>
  <c r="T34" i="45" a="1"/>
  <c r="O23" i="45" a="1"/>
  <c r="O10" i="45" a="1"/>
  <c r="M17" i="45" a="1"/>
  <c r="P21" i="45" a="1"/>
  <c r="S32" i="45" a="1"/>
  <c r="U6" i="45" a="1"/>
  <c r="T32" i="45" a="1"/>
  <c r="F27" i="45" a="1"/>
  <c r="S20" i="45" a="1"/>
  <c r="D29" i="45" a="1"/>
  <c r="J27" i="45" a="1"/>
  <c r="M5" i="45" a="1"/>
  <c r="G17" i="45" a="1"/>
  <c r="S6" i="45" a="1"/>
  <c r="L30" i="45" a="1"/>
  <c r="U15" i="45" a="1"/>
  <c r="U26" i="45" a="1"/>
  <c r="F25" i="45" a="1"/>
  <c r="I33" i="45" a="1"/>
  <c r="T10" i="45" a="1"/>
  <c r="L25" i="45" a="1"/>
  <c r="I20" i="45" a="1"/>
  <c r="O16" i="45" a="1"/>
  <c r="L7" i="45" a="1"/>
  <c r="T18" i="45" a="1"/>
  <c r="J19" i="45" a="1"/>
  <c r="T9" i="45" a="1"/>
  <c r="M10" i="45" a="1"/>
  <c r="D19" i="45" a="1"/>
  <c r="J11" i="45" a="1"/>
  <c r="D34" i="45" a="1"/>
  <c r="G30" i="45" a="1"/>
  <c r="D10" i="45" a="1"/>
  <c r="I5" i="45" a="1"/>
  <c r="J17" i="45" a="1"/>
  <c r="U7" i="45" a="1"/>
  <c r="D7" i="45" a="1"/>
  <c r="L15" i="45" a="1"/>
  <c r="U28" i="45" a="1"/>
  <c r="M33" i="45" a="1"/>
  <c r="G15" i="45" a="1"/>
  <c r="D31" i="45" a="1"/>
  <c r="R6" i="45" a="1"/>
  <c r="I6" i="45" a="1"/>
  <c r="T17" i="45" a="1"/>
  <c r="U10" i="45" a="1"/>
  <c r="U30" i="45" a="1"/>
  <c r="T19" i="45" a="1"/>
  <c r="U16" i="45" a="1"/>
  <c r="I24" i="45" a="1"/>
  <c r="T24" i="45" a="1"/>
  <c r="R30" i="45" a="1"/>
  <c r="M28" i="45" a="1"/>
  <c r="D29" i="45" l="1"/>
  <c r="T11" i="45"/>
  <c r="U6" i="45"/>
  <c r="O31" i="45"/>
  <c r="M30" i="45"/>
  <c r="F14" i="45"/>
  <c r="G20" i="45"/>
  <c r="G22" i="45"/>
  <c r="S28" i="45"/>
  <c r="U12" i="45"/>
  <c r="M33" i="45"/>
  <c r="M12" i="45"/>
  <c r="D28" i="45"/>
  <c r="T24" i="45"/>
  <c r="D34" i="45"/>
  <c r="L16" i="45"/>
  <c r="O6" i="45"/>
  <c r="D31" i="45"/>
  <c r="O22" i="45"/>
  <c r="J34" i="45"/>
  <c r="U13" i="45"/>
  <c r="D10" i="45"/>
  <c r="T29" i="45"/>
  <c r="U10" i="45"/>
  <c r="P24" i="45"/>
  <c r="L7" i="45"/>
  <c r="J24" i="45"/>
  <c r="U22" i="45"/>
  <c r="M16" i="45"/>
  <c r="F26" i="45"/>
  <c r="O23" i="45"/>
  <c r="M25" i="45"/>
  <c r="L10" i="45"/>
  <c r="S20" i="45"/>
  <c r="T30" i="45"/>
  <c r="J28" i="45"/>
  <c r="M6" i="45"/>
  <c r="P28" i="45"/>
  <c r="R23" i="45"/>
  <c r="P10" i="45"/>
  <c r="L5" i="45"/>
  <c r="J20" i="45"/>
  <c r="I20" i="45"/>
  <c r="S18" i="45"/>
  <c r="D33" i="45"/>
  <c r="S25" i="45"/>
  <c r="I13" i="45"/>
  <c r="M10" i="45"/>
  <c r="J33" i="45"/>
  <c r="I31" i="45"/>
  <c r="M29" i="45"/>
  <c r="D7" i="45"/>
  <c r="R7" i="45"/>
  <c r="F19" i="45"/>
  <c r="G6" i="45"/>
  <c r="U30" i="45"/>
  <c r="R10" i="45"/>
  <c r="I14" i="45"/>
  <c r="I30" i="45"/>
  <c r="F18" i="45"/>
  <c r="P34" i="45"/>
  <c r="O27" i="45"/>
  <c r="T16" i="45"/>
  <c r="U8" i="45"/>
  <c r="T17" i="45"/>
  <c r="F15" i="45"/>
  <c r="L30" i="45"/>
  <c r="I33" i="45"/>
  <c r="P31" i="45"/>
  <c r="D21" i="45"/>
  <c r="U15" i="45"/>
  <c r="J27" i="45"/>
  <c r="T23" i="45"/>
  <c r="F17" i="45"/>
  <c r="F27" i="45"/>
  <c r="M28" i="45"/>
  <c r="R30" i="45"/>
  <c r="I24" i="45"/>
  <c r="M18" i="45"/>
  <c r="D19" i="45"/>
  <c r="R6" i="45"/>
  <c r="G15" i="45"/>
  <c r="U14" i="45"/>
  <c r="L15" i="45"/>
  <c r="I5" i="45"/>
  <c r="G30" i="45"/>
  <c r="G13" i="45"/>
  <c r="P13" i="45"/>
  <c r="T9" i="45"/>
  <c r="O16" i="45"/>
  <c r="U34" i="45"/>
  <c r="D15" i="45"/>
  <c r="U7" i="45"/>
  <c r="G17" i="45"/>
  <c r="J15" i="45"/>
  <c r="I6" i="45"/>
  <c r="T18" i="45"/>
  <c r="U29" i="45"/>
  <c r="U9" i="45"/>
  <c r="J17" i="45"/>
  <c r="S6" i="45"/>
  <c r="P21" i="45"/>
  <c r="F21" i="45"/>
  <c r="I7" i="45"/>
  <c r="S22" i="45"/>
  <c r="O21" i="45"/>
  <c r="L26" i="45"/>
  <c r="T10" i="45"/>
  <c r="S32" i="45"/>
  <c r="J22" i="45"/>
  <c r="T21" i="45"/>
  <c r="I16" i="45"/>
  <c r="T34" i="45"/>
  <c r="I18" i="45"/>
  <c r="G18" i="45"/>
  <c r="U26" i="45"/>
  <c r="G5" i="45"/>
  <c r="R13" i="45"/>
  <c r="T19" i="45"/>
  <c r="J19" i="45"/>
  <c r="M7" i="45"/>
  <c r="M26" i="45"/>
  <c r="U28" i="45"/>
  <c r="O14" i="45"/>
  <c r="S9" i="45"/>
  <c r="L17" i="45"/>
  <c r="J11" i="45"/>
  <c r="O10" i="45"/>
  <c r="S30" i="45"/>
  <c r="P25" i="45"/>
  <c r="L25" i="45"/>
  <c r="T32" i="45"/>
  <c r="L34" i="45"/>
  <c r="F8" i="45"/>
  <c r="M5" i="45"/>
  <c r="D22" i="45"/>
  <c r="F12" i="45"/>
  <c r="S14" i="45"/>
  <c r="R17" i="45"/>
  <c r="J21" i="45"/>
  <c r="F25" i="45"/>
  <c r="U16" i="45"/>
  <c r="M17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tc={009EC1C7-52CA-495C-B432-0DB9CD794DFD}</author>
    <author>tc={E8B754A5-4BA9-4DE6-8FB5-D967D5356DC1}</author>
    <author>tc={93F75D48-684A-4353-BBF3-14147CE94964}</author>
    <author>tc={D7267710-8518-4E27-B8E4-B1FA017A96FF}</author>
    <author>tc={E5D34755-1A46-48AB-A4ED-91036E2E9782}</author>
    <author>tc={EC874D21-0D79-49BD-83C9-18B2A55695E3}</author>
    <author>tc={97EDB631-08EB-4CCC-BB1D-6843D2490925}</author>
    <author>tc={8985C74C-07AC-4DB1-9B1F-4AA7203CA9A6}</author>
    <author>tc={A8061937-4911-45ED-9F70-85960FEB1E38}</author>
    <author>tc={1F291F85-C12B-4AAF-8835-44B10AA38629}</author>
    <author>tc={6F60460B-BBC5-4E2C-9067-F4C333DC28EF}</author>
    <author>tc={E2373CB6-5BC2-4E5B-8BC1-526E0E29B92A}</author>
    <author>tc={498D9C43-79A9-4A8D-A761-BEE14D62660D}</author>
    <author>tc={E8C4E597-4CEA-4B14-A820-7DB07967AFFC}</author>
    <author>tc={89C950CA-E45F-4000-B487-0BC258E1E5DA}</author>
    <author>tc={E897A4EB-7FFD-448E-9858-3A55525A0C9A}</author>
    <author>tc={10F43698-48CA-4B62-944A-A59896F04FBA}</author>
    <author>tc={04507214-390B-42E1-8BA4-CFB5D0E8D399}</author>
    <author>tc={CD2FBB6B-736D-46F1-8C2E-D76A9896C9AA}</author>
    <author>tc={581AC1B9-33E0-43D1-A16C-02892892EB2B}</author>
    <author>tc={2DEE05CE-C675-4391-8EAC-53B545DD0C55}</author>
    <author>tc={13F94836-7510-4488-BBE8-1BE7232D778D}</author>
    <author>tc={ACB3B606-EAD4-4B45-AADB-E32FC4BF28A9}</author>
    <author>tc={3F06B402-F537-4FC3-B792-84DEA6FE28DB}</author>
    <author>tc={780D23CC-67F3-4A01-9028-7C7C6172BAB1}</author>
    <author>tc={0C0B64EB-5336-495B-AA02-A47B994324D9}</author>
    <author>tc={F269F72C-B8CC-444F-AF63-460D605902B9}</author>
    <author>tc={AD9B1CB6-947F-48E4-80D7-7C6F772DB84B}</author>
    <author>tc={632620FB-BB74-43FD-888F-24DF13C0B556}</author>
    <author>tc={831B8F84-137B-4165-97BB-C832E32B111A}</author>
    <author>tc={3185560A-0D43-4B9F-8156-60311B33B197}</author>
    <author>tc={FC54F48C-A8CB-4B2F-B48F-7AEEDB770D22}</author>
    <author>tc={A555082A-7973-458F-9DF1-C4D6992194A8}</author>
    <author>tc={8F99BE7E-18F3-4570-9159-9D55F26C4F26}</author>
    <author>tc={A180BA65-88D4-40ED-9E82-18A445AFD211}</author>
    <author>tc={93615EF7-D075-4DCB-86FE-F254B9F220C5}</author>
    <author>tc={FC6B7C1A-BD77-4889-BB9D-80AA60905FFA}</author>
    <author>tc={F1D48FB4-EF88-40D4-B61E-5D0248E7A70C}</author>
    <author>tc={698CEAE6-A471-4744-AA40-908F581A7B5E}</author>
  </authors>
  <commentList>
    <comment ref="H5" authorId="0" shapeId="0" xr:uid="{009EC1C7-52CA-495C-B432-0DB9CD794DF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del A24 por cambio de horario (día y hora)
Respuesta:
    Se queda en la MIT, porque no hay aulas disponibles.</t>
      </text>
    </comment>
    <comment ref="H6" authorId="1" shapeId="0" xr:uid="{E8B754A5-4BA9-4DE6-8FB5-D967D5356DC1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solicito por correo extender el horario por media hora 17-19 para utilizar el C11
Respuesta:
    No puede hacerce el movimiento, ocupada 18:30-20:00 por la Esc. de administración. Por lo tanto se mantiene en la MIT</t>
      </text>
    </comment>
    <comment ref="H23" authorId="2" shapeId="0" xr:uid="{93F75D48-684A-4353-BBF3-14147CE9496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del C14</t>
      </text>
    </comment>
    <comment ref="C29" authorId="3" shapeId="0" xr:uid="{D7267710-8518-4E27-B8E4-B1FA017A96F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Para los industriales</t>
      </text>
    </comment>
    <comment ref="H31" authorId="4" shapeId="0" xr:uid="{E5D34755-1A46-48AB-A4ED-91036E2E978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del aula A16</t>
      </text>
    </comment>
    <comment ref="J51" authorId="5" shapeId="0" xr:uid="{EC874D21-0D79-49BD-83C9-18B2A55695E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+ 3 alumnos en la clase 2170</t>
      </text>
    </comment>
    <comment ref="C52" authorId="6" shapeId="0" xr:uid="{97EDB631-08EB-4CCC-BB1D-6843D249092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Para ICA en la mañana</t>
      </text>
    </comment>
    <comment ref="J54" authorId="7" shapeId="0" xr:uid="{8985C74C-07AC-4DB1-9B1F-4AA7203CA9A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+ 1 inscrito el día viernes 5-7</t>
      </text>
    </comment>
    <comment ref="H72" authorId="8" shapeId="0" xr:uid="{A8061937-4911-45ED-9F70-85960FEB1E3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 Innovación</t>
      </text>
    </comment>
    <comment ref="H94" authorId="9" shapeId="0" xr:uid="{1F291F85-C12B-4AAF-8835-44B10AA3862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Buscar un espacio más grande, quizás un intercambio ITE</t>
      </text>
    </comment>
    <comment ref="H95" authorId="10" shapeId="0" xr:uid="{6F60460B-BBC5-4E2C-9067-F4C333DC28EF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Por un tiempo por cuestiones de recuperación para el alumno Jorge Antonio Velazco sale de A15 para entrar a ICA
</t>
      </text>
    </comment>
    <comment ref="H96" authorId="11" shapeId="0" xr:uid="{E2373CB6-5BC2-4E5B-8BC1-526E0E29B92A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Por un tiempo por cuestiones de recuperación para el alumno Jorge Antonio Velazco sale de A11 para entrar a ICA
</t>
      </text>
    </comment>
    <comment ref="B99" authorId="12" shapeId="0" xr:uid="{498D9C43-79A9-4A8D-A761-BEE14D62660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Solicita el jefe de la academia el cierre el 2do. grupo (Mtra. Mercedes)</t>
      </text>
    </comment>
    <comment ref="H127" authorId="13" shapeId="0" xr:uid="{E8C4E597-4CEA-4B14-A820-7DB07967AFF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del Lab. Innova para irse CC001</t>
      </text>
    </comment>
    <comment ref="H141" authorId="14" shapeId="0" xr:uid="{89C950CA-E45F-4000-B487-0BC258E1E5D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hace intercambio manufactura esbelta pasa a Scholas y Diseño de Experimentos al Lab. ITE</t>
      </text>
    </comment>
    <comment ref="H146" authorId="15" shapeId="0" xr:uid="{E897A4EB-7FFD-448E-9858-3A55525A0C9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Queda pendiente la respuesta, si las máquinas soportan el software, por tanto softwere que se ingresaron de otras materias.</t>
      </text>
    </comment>
    <comment ref="H147" authorId="16" shapeId="0" xr:uid="{10F43698-48CA-4B62-944A-A59896F04FB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solicito aula CC001 (correo 02082002)
Respuesta:
    Lo tengo apartado con el Folio 69497</t>
      </text>
    </comment>
    <comment ref="H148" authorId="17" shapeId="0" xr:uid="{04507214-390B-42E1-8BA4-CFB5D0E8D39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Cambia la primera Semana (A21)</t>
      </text>
    </comment>
    <comment ref="H149" authorId="18" shapeId="0" xr:uid="{CD2FBB6B-736D-46F1-8C2E-D76A9896C9A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confirmado con Cesár de TI (250722)</t>
      </text>
    </comment>
    <comment ref="H157" authorId="19" shapeId="0" xr:uid="{581AC1B9-33E0-43D1-A16C-02892892EB2B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Por un tiempo por cuestiones de recuperación para el alumno Jorge Antonio Velazco sale de A13 para entrar a ICA
</t>
      </text>
    </comment>
    <comment ref="H158" authorId="20" shapeId="0" xr:uid="{2DEE05CE-C675-4391-8EAC-53B545DD0C5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confirmado con Cesár de TI (250722)</t>
      </text>
    </comment>
    <comment ref="H159" authorId="21" shapeId="0" xr:uid="{13F94836-7510-4488-BBE8-1BE7232D778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A24, cambia por una semana</t>
      </text>
    </comment>
    <comment ref="H160" authorId="22" shapeId="0" xr:uid="{ACB3B606-EAD4-4B45-AADB-E32FC4BF28A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hace intercambio manufactura esbelta pasa a Scholas y Diseño de Experimentos al Lab. ITE
Respuesta:
    Sale Scholas por una semana</t>
      </text>
    </comment>
    <comment ref="H162" authorId="23" shapeId="0" xr:uid="{3F06B402-F537-4FC3-B792-84DEA6FE28DB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Por un tiempo por cuestiones de recuperación para el alumno Jorge Antonio Velazco sale de A11 para entrar a ICA
</t>
      </text>
    </comment>
    <comment ref="H172" authorId="24" shapeId="0" xr:uid="{780D23CC-67F3-4A01-9028-7C7C6172BAB1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del aula A17</t>
      </text>
    </comment>
    <comment ref="H174" authorId="25" shapeId="0" xr:uid="{0C0B64EB-5336-495B-AA02-A47B994324D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 Electrónica por una semana para irse a Scholas</t>
      </text>
    </comment>
    <comment ref="B176" authorId="26" shapeId="0" xr:uid="{F269F72C-B8CC-444F-AF63-460D605902B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Nueva contratación
Respuesta:
    Quedo como profr. Adjunta</t>
      </text>
    </comment>
    <comment ref="H190" authorId="27" shapeId="0" xr:uid="{AD9B1CB6-947F-48E4-80D7-7C6F772DB84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Confirmado con César de TI (250722)
Respuesta:
    Sale del aula CC010</t>
      </text>
    </comment>
    <comment ref="H197" authorId="28" shapeId="0" xr:uid="{632620FB-BB74-43FD-888F-24DF13C0B55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 Química</t>
      </text>
    </comment>
    <comment ref="H198" authorId="29" shapeId="0" xr:uid="{831B8F84-137B-4165-97BB-C832E32B111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 ICA 1</t>
      </text>
    </comment>
    <comment ref="H202" authorId="30" shapeId="0" xr:uid="{3185560A-0D43-4B9F-8156-60311B33B19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 Química</t>
      </text>
    </comment>
    <comment ref="J202" authorId="31" shapeId="0" xr:uid="{FC54F48C-A8CB-4B2F-B48F-7AEEDB770D2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va ser uno menos porque el alumno Miguel Pedroza de TI, su materia tiene que aprecer de Intercambio</t>
      </text>
    </comment>
    <comment ref="H203" authorId="32" shapeId="0" xr:uid="{A555082A-7973-458F-9DF1-C4D6992194A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lab. ICA 1 DE 7-9 viernes</t>
      </text>
    </comment>
    <comment ref="H216" authorId="33" shapeId="0" xr:uid="{8F99BE7E-18F3-4570-9159-9D55F26C4F2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A22</t>
      </text>
    </comment>
    <comment ref="H217" authorId="34" shapeId="0" xr:uid="{A180BA65-88D4-40ED-9E82-18A445AFD211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A23</t>
      </text>
    </comment>
    <comment ref="H224" authorId="35" shapeId="0" xr:uid="{93615EF7-D075-4DCB-86FE-F254B9F220C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Piden de Operaciones salir con puntualidad, porque enseguida de esa clase dan incio los posgrados.</t>
      </text>
    </comment>
    <comment ref="H225" authorId="36" shapeId="0" xr:uid="{FC6B7C1A-BD77-4889-BB9D-80AA60905FF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Solicitud aula de Posgrados
Respuesta:
    listo aceptado
Respuesta:
    Por un tiempo por cuestiones de recuperación para el alumno Jorge Antonio Velazco sale de Jesús María para entrar a ICA</t>
      </text>
    </comment>
    <comment ref="H229" authorId="37" shapeId="0" xr:uid="{F1D48FB4-EF88-40D4-B61E-5D0248E7A70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Solicitud aula de Posgrados.
Respuesta:
    listo aceptado</t>
      </text>
    </comment>
    <comment ref="H232" authorId="38" shapeId="0" xr:uid="{698CEAE6-A471-4744-AA40-908F581A7B5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C21 para irse A15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Bego</author>
    <author>Laura Patricia Renteria Solis</author>
    <author>tc={DFAB6337-DA00-4924-A41F-029349F1CF14}</author>
    <author>tc={36F4509D-FAE5-4348-B79B-85BA59F0A54D}</author>
    <author>tc={754CCBD8-4D70-4336-A704-81DD02E5F74C}</author>
    <author>tc={F93F9756-B0CC-4C45-A780-94334BFE4F75}</author>
    <author>tc={27F68019-6BAC-4F6C-8B6A-F57CA96CB5B7}</author>
    <author>tc={CA7A506D-1CED-46B0-942B-0D28DB2534F8}</author>
    <author>tc={F2A8545F-5009-4755-890B-21EB754FF99E}</author>
    <author>tc={A0EF9814-9550-4452-A919-3D2F3B9896A3}</author>
    <author>tc={AF5434D4-EAAB-48DC-979A-437A82FD15C6}</author>
    <author>tc={097C7817-C50B-4C22-8F5D-48B58C854027}</author>
    <author>tc={B08269CD-0407-46FD-9481-C6DE958E5BF8}</author>
    <author>tc={A73D0277-B97D-467E-BA4F-2F7FD88DB3C6}</author>
    <author>tc={2D4F2B91-3A3F-48AB-9C9C-3096C66663EA}</author>
    <author>tc={10972E3D-4AAA-4C42-9A76-971A58C27794}</author>
    <author>tc={059A2DB0-352F-457C-9096-E24556F3FA04}</author>
    <author>tc={837D64DB-57C6-4B53-8895-ADF6F4E1D755}</author>
    <author>tc={4FC8D050-4347-438C-9953-C950FF760742}</author>
    <author>tc={DAC1048F-1DB8-4C27-A047-C0BEDB01D257}</author>
    <author>tc={34C1528C-3A9F-458E-B6F2-CCE233AC34C5}</author>
    <author>tc={56E02B86-69CE-423D-8BC9-8BE8EA05DE03}</author>
    <author>tc={D5C81F4D-AF4F-428F-962E-3A937A07D994}</author>
    <author>tc={E20E2352-1657-48AA-936B-CB18EF092AD9}</author>
    <author>tc={8494A38A-50BA-493C-870A-20BC8D499862}</author>
    <author>tc={65422061-DE33-4EB7-8D72-E9451EBA3CBF}</author>
    <author>tc={FE25BC45-B4FE-4ABA-BE30-0279E3732559}</author>
    <author>tc={14B6EF98-DA6C-42D3-A64F-1CDF9FE958B4}</author>
    <author>tc={25975C4D-B325-4AC1-9F92-427F3533199F}</author>
    <author>tc={DDEF3613-85A3-48CB-B897-9D90EDBF2923}</author>
  </authors>
  <commentList>
    <comment ref="I12" authorId="0" shapeId="0" xr:uid="{ADBEAB96-BBAD-4471-AB8D-AE3347AD6E3E}">
      <text>
        <r>
          <rPr>
            <b/>
            <sz val="9"/>
            <color indexed="81"/>
            <rFont val="Tahoma"/>
            <family val="2"/>
          </rPr>
          <t xml:space="preserve">No se abrirá
</t>
        </r>
      </text>
    </comment>
    <comment ref="H15" authorId="1" shapeId="0" xr:uid="{00000000-0006-0000-0400-00000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Introducción a la computación</t>
        </r>
      </text>
    </comment>
    <comment ref="I15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 xml:space="preserve">Programación para Ing Civil
</t>
        </r>
      </text>
    </comment>
    <comment ref="H16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Teologìa Dogmática</t>
        </r>
      </text>
    </comment>
    <comment ref="H17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Teología Moral</t>
        </r>
      </text>
    </comment>
    <comment ref="I30" authorId="0" shapeId="0" xr:uid="{18F0DFB6-C7BA-4233-B6A6-A973E87D726E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sesegundo pero se abrirá en primero</t>
        </r>
      </text>
    </comment>
    <comment ref="I31" authorId="2" shapeId="0" xr:uid="{DFAB6337-DA00-4924-A41F-029349F1CF1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1228, esta materia es optiva, se toma la decisión de abrir otras.</t>
      </text>
    </comment>
    <comment ref="C37" authorId="3" shapeId="0" xr:uid="{36F4509D-FAE5-4348-B79B-85BA59F0A54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Eran de la academia EEC y pasan Civil (Isaí)
Respuesta:
    Aunque en Upsite aparecen para EEC</t>
      </text>
    </comment>
    <comment ref="K38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 64</t>
        </r>
      </text>
    </comment>
    <comment ref="K39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Laura Patricia Renteria Solis:
ITE 64
el resto 48
para el 1218 la pusimos de 64 xq se abre para ITE exclusivamente</t>
        </r>
      </text>
    </comment>
    <comment ref="E45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Laura Patricia Renteria Solis:
Optativa</t>
        </r>
      </text>
    </comment>
    <comment ref="E48" authorId="4" shapeId="0" xr:uid="{754CCBD8-4D70-4336-A704-81DD02E5F74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
Respuesta:
    ciclo 1228, no llevarán la materia (7mo.)</t>
      </text>
    </comment>
    <comment ref="E54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K57" authorId="1" shapeId="0" xr:uid="{00000000-0006-0000-0400-000010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48 hrs.</t>
        </r>
      </text>
    </comment>
    <comment ref="I70" authorId="5" shapeId="0" xr:uid="{F93F9756-B0CC-4C45-A780-94334BFE4F7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materia de primer semestre y se darán en segundo semestre, ciclo 1222</t>
      </text>
    </comment>
    <comment ref="K73" authorId="1" shapeId="0" xr:uid="{00000000-0006-0000-0400-000012000000}">
      <text>
        <r>
          <rPr>
            <b/>
            <sz val="9"/>
            <color indexed="81"/>
            <rFont val="Tahoma"/>
            <family val="2"/>
          </rPr>
          <t>Laura Patricia Renteria Solis:
ITE, 64</t>
        </r>
      </text>
    </comment>
    <comment ref="E74" authorId="6" shapeId="0" xr:uid="{27F68019-6BAC-4F6C-8B6A-F57CA96CB5B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se lleva en este ciclo escolar 1228, pero efectivamente es de 7mo. semestre.</t>
      </text>
    </comment>
    <comment ref="H75" authorId="7" shapeId="0" xr:uid="{CA7A506D-1CED-46B0-942B-0D28DB2534F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Esta materia se debe ofertar en 3eroaunque en ruta aparece de 4to</t>
      </text>
    </comment>
    <comment ref="F80" authorId="1" shapeId="0" xr:uid="{00000000-0006-0000-0400-00001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G80" authorId="1" shapeId="0" xr:uid="{00000000-0006-0000-0400-00001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
</t>
        </r>
      </text>
    </comment>
    <comment ref="I80" authorId="8" shapeId="0" xr:uid="{F2A8545F-5009-4755-890B-21EB754FF99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
Respuesta:
    En este ciclo, civil decidio no llevar emprendedores.
Respuesta:
    7mo. semes (1228)</t>
      </text>
    </comment>
    <comment ref="I84" authorId="9" shapeId="0" xr:uid="{A0EF9814-9550-4452-A919-3D2F3B9896A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I87" authorId="1" shapeId="0" xr:uid="{00000000-0006-0000-0400-000015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I88" authorId="10" shapeId="0" xr:uid="{AF5434D4-EAAB-48DC-979A-437A82FD15C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
Respuesta:
    Es de 10mo. semestre y no se oferta</t>
      </text>
    </comment>
    <comment ref="F98" authorId="0" shapeId="0" xr:uid="{BCD1AEF3-1A08-41D6-A4F5-59E2184492F7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Se da en sexto</t>
        </r>
      </text>
    </comment>
    <comment ref="I117" authorId="11" shapeId="0" xr:uid="{097C7817-C50B-4C22-8F5D-48B58C85402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H118" authorId="1" shapeId="0" xr:uid="{00000000-0006-0000-0400-00001B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Antropología Filosófica </t>
        </r>
      </text>
    </comment>
    <comment ref="H119" authorId="1" shapeId="0" xr:uid="{00000000-0006-0000-0400-00001C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Ética de las Virtudes</t>
        </r>
      </text>
    </comment>
    <comment ref="C125" authorId="12" shapeId="0" xr:uid="{B08269CD-0407-46FD-9481-C6DE958E5BF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 Upsite, dice que le pertenece a la academia DIOP?</t>
      </text>
    </comment>
    <comment ref="I130" authorId="13" shapeId="0" xr:uid="{A73D0277-B97D-467E-BA4F-2F7FD88DB3C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
Respuesta:
    No abrira</t>
      </text>
    </comment>
    <comment ref="D140" authorId="1" shapeId="0" xr:uid="{00000000-0006-0000-0400-000020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I143" authorId="0" shapeId="0" xr:uid="{E180F3BD-FBB2-493A-8E92-7FE924447B5C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tercero pero se abrirá en 4to
</t>
        </r>
      </text>
    </comment>
    <comment ref="K144" authorId="1" shapeId="0" xr:uid="{00000000-0006-0000-0400-00002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64</t>
        </r>
      </text>
    </comment>
    <comment ref="H150" authorId="1" shapeId="0" xr:uid="{00000000-0006-0000-0400-00002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Microcontroladores</t>
        </r>
      </text>
    </comment>
    <comment ref="H151" authorId="1" shapeId="0" xr:uid="{00000000-0006-0000-0400-00002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Microprocesadores</t>
        </r>
      </text>
    </comment>
    <comment ref="K151" authorId="1" shapeId="0" xr:uid="{00000000-0006-0000-0400-000025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64</t>
        </r>
      </text>
    </comment>
    <comment ref="F157" authorId="14" shapeId="0" xr:uid="{2D4F2B91-3A3F-48AB-9C9C-3096C66663E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Definitiva</t>
      </text>
    </comment>
    <comment ref="D160" authorId="15" shapeId="0" xr:uid="{10972E3D-4AAA-4C42-9A76-971A58C2779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Para Industrial aparece en la academía de Administración en Upsite
Respuesta:
    Para este ciclo 1228 se elimina la materia de Optimización y Control Energético</t>
      </text>
    </comment>
    <comment ref="K160" authorId="1" shapeId="0" xr:uid="{00000000-0006-0000-0400-000028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II 48</t>
        </r>
      </text>
    </comment>
    <comment ref="H164" authorId="1" shapeId="0" xr:uid="{00000000-0006-0000-0400-000029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Antropología Filosófica II</t>
        </r>
      </text>
    </comment>
    <comment ref="I164" authorId="16" shapeId="0" xr:uid="{059A2DB0-352F-457C-9096-E24556F3FA0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estaba, lo puse</t>
      </text>
    </comment>
    <comment ref="C165" authorId="17" shapeId="0" xr:uid="{837D64DB-57C6-4B53-8895-ADF6F4E1D75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Aparece en la academia de Civil pero Rocío Contrato</t>
      </text>
    </comment>
    <comment ref="H176" authorId="1" shapeId="0" xr:uid="{00000000-0006-0000-0400-00002B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Programación Computacional</t>
        </r>
      </text>
    </comment>
    <comment ref="K180" authorId="18" shapeId="0" xr:uid="{4FC8D050-4347-438C-9953-C950FF76074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Revisar
Respuesta:
    Corrigí el No. de horas, según el plan de estudios es de 80 horas</t>
      </text>
    </comment>
    <comment ref="I181" authorId="19" shapeId="0" xr:uid="{DAC1048F-1DB8-4C27-A047-C0BEDB01D25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de décimo y se va da en noveno para el ciclo 1218</t>
      </text>
    </comment>
    <comment ref="I184" authorId="1" shapeId="0" xr:uid="{00000000-0006-0000-0400-00002D000000}">
      <text>
        <r>
          <rPr>
            <b/>
            <sz val="9"/>
            <color indexed="81"/>
            <rFont val="Tahoma"/>
            <family val="2"/>
          </rPr>
          <t>Optativa en plan de estudios en tercero pero nunca se va a abrir</t>
        </r>
      </text>
    </comment>
    <comment ref="C191" authorId="20" shapeId="0" xr:uid="{34C1528C-3A9F-458E-B6F2-CCE233AC34C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La gestión, será IID para el ciclo 1228</t>
      </text>
    </comment>
    <comment ref="F191" authorId="21" shapeId="0" xr:uid="{56E02B86-69CE-423D-8BC9-8BE8EA05DE0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abre para 5to. semestre ciclo 1228</t>
      </text>
    </comment>
    <comment ref="G191" authorId="1" shapeId="0" xr:uid="{1F4134C4-E909-4B5A-8145-97572D877757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C192" authorId="22" shapeId="0" xr:uid="{D5C81F4D-AF4F-428F-962E-3A937A07D99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La gestión, será IID para el ciclo 1228</t>
      </text>
    </comment>
    <comment ref="G192" authorId="1" shapeId="0" xr:uid="{00000000-0006-0000-0400-00002E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I193" authorId="23" shapeId="0" xr:uid="{E20E2352-1657-48AA-936B-CB18EF092AD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F196" authorId="0" shapeId="0" xr:uid="{F5195F00-E277-4CB1-8ED9-CFB43F06422D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6to se dio en 5to en 1208</t>
        </r>
      </text>
    </comment>
    <comment ref="I197" authorId="0" shapeId="0" xr:uid="{AEE11F5F-680F-49E0-9282-2EB9509FC7D6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Se cambia a tercero siempre</t>
        </r>
      </text>
    </comment>
    <comment ref="I198" authorId="24" shapeId="0" xr:uid="{8494A38A-50BA-493C-870A-20BC8D49986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Materia de 10mo. Semestre (optativa)</t>
      </text>
    </comment>
    <comment ref="D203" authorId="1" shapeId="0" xr:uid="{00000000-0006-0000-0400-00003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F203" authorId="25" shapeId="0" xr:uid="{65422061-DE33-4EB7-8D72-E9451EBA3CB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</t>
      </text>
    </comment>
    <comment ref="F204" authorId="26" shapeId="0" xr:uid="{FE25BC45-B4FE-4ABA-BE30-0279E373255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Realmente es de 8vo. semestre pero en este ciclo 1218 se adelanta</t>
      </text>
    </comment>
    <comment ref="B210" authorId="27" shapeId="0" xr:uid="{14B6EF98-DA6C-42D3-A64F-1CDF9FE958B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Por ajustes de pandemia</t>
      </text>
    </comment>
    <comment ref="I223" authorId="0" shapeId="0" xr:uid="{530DC9C9-693A-4EEF-AB09-3B719203C8B5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primero pero se abrirá en 2ndo siempre
</t>
        </r>
      </text>
    </comment>
    <comment ref="C225" authorId="28" shapeId="0" xr:uid="{25975C4D-B325-4AC1-9F92-427F3533199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Eran de la academia EEC y pasan Civil (Isaí)
Respuesta:
    Aunque en Upsite aparecerán en EEC</t>
      </text>
    </comment>
    <comment ref="F227" authorId="29" shapeId="0" xr:uid="{DDEF3613-85A3-48CB-B897-9D90EDBF292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oferta ciclo 1228 5to. semestre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tc={2959C8EC-852E-4FCE-A15D-3F5E2A620F75}</author>
    <author>tc={1311C140-AEAB-4F25-91B8-81491385901E}</author>
    <author>tc={CF880B35-450F-47FC-B421-7710C0D2E6A2}</author>
    <author>tc={B3CFDD90-8F89-46AA-BD6D-688F18CE3A76}</author>
    <author>tc={253A48F6-F71B-48B8-81BA-D1893BCAD77F}</author>
    <author>tc={97962220-BD34-46DE-8F07-246B6284FDE0}</author>
    <author>tc={F883C7EA-B73D-421A-B5C3-AD5F9FF40314}</author>
    <author>tc={4D731E16-FCE0-4257-8A97-5E1FD4B20A59}</author>
    <author>tc={4F0B270C-9CDF-4CBF-9CB3-22839BBBD4E8}</author>
    <author>tc={307222DE-8880-462B-9453-DABB407F8075}</author>
    <author>tc={AEEE466B-292C-48FC-B89D-161065917C98}</author>
    <author>tc={7528AA35-A3E1-4608-94BD-43878B9A325C}</author>
  </authors>
  <commentList>
    <comment ref="G15" authorId="0" shapeId="0" xr:uid="{2959C8EC-852E-4FCE-A15D-3F5E2A620F7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Hice un cambio de última horo de aula.</t>
      </text>
    </comment>
    <comment ref="G17" authorId="1" shapeId="0" xr:uid="{1311C140-AEAB-4F25-91B8-81491385901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cambio de horario y aula</t>
      </text>
    </comment>
    <comment ref="F22" authorId="2" shapeId="0" xr:uid="{CF880B35-450F-47FC-B421-7710C0D2E6A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Correción de horario el programa tiene 64 hrs, plan de estudio dividido en 3 semanas (15 días), sería de 4 hrs. 30 minutos.</t>
      </text>
    </comment>
    <comment ref="D23" authorId="3" shapeId="0" xr:uid="{B3CFDD90-8F89-46AA-BD6D-688F18CE3A7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Pendiente en activar en Upsite</t>
      </text>
    </comment>
    <comment ref="M24" authorId="4" shapeId="0" xr:uid="{253A48F6-F71B-48B8-81BA-D1893BCAD77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 total son 12, los 4 restantes son de empresariales</t>
      </text>
    </comment>
    <comment ref="C25" authorId="5" shapeId="0" xr:uid="{97962220-BD34-46DE-8F07-246B6284FDE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Administración de proyectos (RUTA IDEAL) / Dirección de proyectos (REVOE)</t>
      </text>
    </comment>
    <comment ref="G25" authorId="6" shapeId="0" xr:uid="{F883C7EA-B73D-421A-B5C3-AD5F9FF4031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Cambio de aulas sale de la MIT, para irse B15 y C02</t>
      </text>
    </comment>
    <comment ref="B26" authorId="7" shapeId="0" xr:uid="{4D731E16-FCE0-4257-8A97-5E1FD4B20A5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Únicamente para reprobados</t>
      </text>
    </comment>
    <comment ref="B27" authorId="8" shapeId="0" xr:uid="{4F0B270C-9CDF-4CBF-9CB3-22839BBBD4E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únicamente para reprobados, salvo ITEs que la necesiten para terminar...</t>
      </text>
    </comment>
    <comment ref="F27" authorId="9" shapeId="0" xr:uid="{307222DE-8880-462B-9453-DABB407F807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Correción de horario el programa tiene 48 hrs, plan de estudio dividido en 4 semanas (20 días), sería de 2 hrs. 40 minutos.</t>
      </text>
    </comment>
    <comment ref="B28" authorId="10" shapeId="0" xr:uid="{AEEE466B-292C-48FC-B89D-161065917C9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Pendiente por definir si será para todos los alumnos o únicamente para reprobados...</t>
      </text>
    </comment>
    <comment ref="D28" authorId="11" shapeId="0" xr:uid="{7528AA35-A3E1-4608-94BD-43878B9A325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Nueva Contratación
Respuesta:
    Listo, queda asignado en Upsite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tc={D3BCD980-1FA3-4261-952B-C00C836060F0}</author>
    <author>tc={285CFA73-5D40-4EC9-BAED-90EC2812C1C8}</author>
    <author>tc={DF8740CC-B5CE-444D-A9EE-F9AC38CA872F}</author>
    <author>tc={C1B914CE-637F-4999-BB75-6BA9A0572A53}</author>
    <author>tc={4A32B68F-4C6B-4B2B-B3AC-CC13D12083C5}</author>
    <author>tc={BD755A68-F198-4376-B375-2E83BBB58222}</author>
    <author>tc={D7271B5C-917F-4B3B-80A3-5BCF661C0322}</author>
    <author>tc={CA38D328-02E4-47B6-8AF8-044B86154B81}</author>
    <author>tc={5CDC821A-20A2-4098-BF8B-3E6206740B65}</author>
  </authors>
  <commentList>
    <comment ref="F15" authorId="0" shapeId="0" xr:uid="{D3BCD980-1FA3-4261-952B-C00C836060F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Hice un cambio de última horo de aula.</t>
      </text>
    </comment>
    <comment ref="F16" authorId="1" shapeId="0" xr:uid="{285CFA73-5D40-4EC9-BAED-90EC2812C1C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Hice un cambio de última horo de aula.</t>
      </text>
    </comment>
    <comment ref="F17" authorId="2" shapeId="0" xr:uid="{DF8740CC-B5CE-444D-A9EE-F9AC38CA872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cambio de horario y aula</t>
      </text>
    </comment>
    <comment ref="F19" authorId="3" shapeId="0" xr:uid="{C1B914CE-637F-4999-BB75-6BA9A0572A5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Folio 67529</t>
      </text>
    </comment>
    <comment ref="B25" authorId="4" shapeId="0" xr:uid="{4A32B68F-4C6B-4B2B-B3AC-CC13D12083C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Administración de proyectos (RUTA IDEAL) / Dirección de proyectos (REVOE)</t>
      </text>
    </comment>
    <comment ref="A26" authorId="5" shapeId="0" xr:uid="{BD755A68-F198-4376-B375-2E83BBB5822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Únicamente para reprobados</t>
      </text>
    </comment>
    <comment ref="A27" authorId="6" shapeId="0" xr:uid="{D7271B5C-917F-4B3B-80A3-5BCF661C032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únicamente para reprobados, salvo ITEs que la necesiten para terminar...</t>
      </text>
    </comment>
    <comment ref="A28" authorId="7" shapeId="0" xr:uid="{CA38D328-02E4-47B6-8AF8-044B86154B81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Pendiente por definir si será para todos los alumnos o únicamente para reprobados...</t>
      </text>
    </comment>
    <comment ref="C28" authorId="8" shapeId="0" xr:uid="{5CDC821A-20A2-4098-BF8B-3E6206740B6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Nueva Contratación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<sst xmlns="http://schemas.openxmlformats.org/spreadsheetml/2006/main" count="3055" uniqueCount="1124">
  <si>
    <t>Profesor:</t>
  </si>
  <si>
    <t>Diego Larrondo Montalvo</t>
  </si>
  <si>
    <t>HORA</t>
  </si>
  <si>
    <t>LUNES</t>
  </si>
  <si>
    <t>Aula</t>
  </si>
  <si>
    <t>No clase</t>
  </si>
  <si>
    <t>MARTES</t>
  </si>
  <si>
    <t>MIÉRCOLES</t>
  </si>
  <si>
    <t>JUEVES</t>
  </si>
  <si>
    <t>VIERNES</t>
  </si>
  <si>
    <t>Sábado</t>
  </si>
  <si>
    <t>Carrera</t>
  </si>
  <si>
    <t>Bioelectrónica</t>
  </si>
  <si>
    <t>Semestre</t>
  </si>
  <si>
    <t>SÁBADO</t>
  </si>
  <si>
    <t>Materias</t>
  </si>
  <si>
    <t>Academia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</si>
  <si>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</t>
  </si>
  <si>
    <t>ICA 1 PB</t>
  </si>
  <si>
    <t>Profesor</t>
  </si>
  <si>
    <t>Materia</t>
  </si>
  <si>
    <t xml:space="preserve">Número de grupo </t>
  </si>
  <si>
    <t>Hora inicio</t>
  </si>
  <si>
    <t>Hora fin</t>
  </si>
  <si>
    <t>Se paga</t>
  </si>
  <si>
    <t>Capacidad</t>
  </si>
  <si>
    <t>Inscritos</t>
  </si>
  <si>
    <t>Cap 1.5</t>
  </si>
  <si>
    <t>Diferencia 1.5</t>
  </si>
  <si>
    <t>Cap .90</t>
  </si>
  <si>
    <t>Diferencia .90</t>
  </si>
  <si>
    <t>Lunes</t>
  </si>
  <si>
    <t>Martes</t>
  </si>
  <si>
    <t>Miércoles</t>
  </si>
  <si>
    <t>Jueves</t>
  </si>
  <si>
    <t>Viernes</t>
  </si>
  <si>
    <t>Inglés</t>
  </si>
  <si>
    <t>Examen</t>
  </si>
  <si>
    <t>HT Plan</t>
  </si>
  <si>
    <t>Horas</t>
  </si>
  <si>
    <t>Horas totales</t>
  </si>
  <si>
    <t>Misma o no</t>
  </si>
  <si>
    <t>Error en horas</t>
  </si>
  <si>
    <t>Grado de profesor</t>
  </si>
  <si>
    <t>Tipo</t>
  </si>
  <si>
    <t>Industrial</t>
  </si>
  <si>
    <t>Mecatrónica</t>
  </si>
  <si>
    <t>Innovación y Diseño</t>
  </si>
  <si>
    <t>Inteligencia Artificial</t>
  </si>
  <si>
    <t>Tecnologías Energéticas</t>
  </si>
  <si>
    <t>Civil y Administración</t>
  </si>
  <si>
    <t>Índice</t>
  </si>
  <si>
    <t>Pronóstico</t>
  </si>
  <si>
    <t>Grupos 25</t>
  </si>
  <si>
    <t>ICA II</t>
  </si>
  <si>
    <t>ICA IM</t>
  </si>
  <si>
    <t>ICA IID</t>
  </si>
  <si>
    <t>ICA IIA</t>
  </si>
  <si>
    <t>ICA ITE</t>
  </si>
  <si>
    <t>ICA ICA</t>
  </si>
  <si>
    <t>ICA IBE</t>
  </si>
  <si>
    <t>Liga de zoom</t>
  </si>
  <si>
    <t>Columna1</t>
  </si>
  <si>
    <t>ok</t>
  </si>
  <si>
    <t>Begoña Noriega Olalde</t>
  </si>
  <si>
    <t>Modelos probabilísticos</t>
  </si>
  <si>
    <t>si</t>
  </si>
  <si>
    <t>MIT</t>
  </si>
  <si>
    <t>x</t>
  </si>
  <si>
    <t>1Ma</t>
  </si>
  <si>
    <t>Claudia Nallely Sánchez Gómez</t>
  </si>
  <si>
    <t>Optimización y metaheurísticas II</t>
  </si>
  <si>
    <t>no</t>
  </si>
  <si>
    <t>Turing</t>
  </si>
  <si>
    <t>2Lu</t>
  </si>
  <si>
    <t>Crisdalith Cachutt Alvarado</t>
  </si>
  <si>
    <t>Introducción a la logística</t>
  </si>
  <si>
    <t>2Mi</t>
  </si>
  <si>
    <t>Diseño de elementos de máquinas</t>
  </si>
  <si>
    <t>1Ju</t>
  </si>
  <si>
    <t>A-11</t>
  </si>
  <si>
    <t>Introducción a la ingeniería</t>
  </si>
  <si>
    <t>Erika Iliana del Rocío Hernández Ramírez</t>
  </si>
  <si>
    <t>Circuitos eléctricos</t>
  </si>
  <si>
    <t>Electrónica</t>
  </si>
  <si>
    <t>1522/24, 1525/27, 1528/1530 (IM IBE ITE)</t>
  </si>
  <si>
    <t>1531/32 (5 ITE )</t>
  </si>
  <si>
    <t>A-18</t>
  </si>
  <si>
    <t>Ernesto Save Moreno</t>
  </si>
  <si>
    <t>Cálculo Diferencial</t>
  </si>
  <si>
    <t>C-11</t>
  </si>
  <si>
    <t>1682, 1686, 1690</t>
  </si>
  <si>
    <t>2Ju</t>
  </si>
  <si>
    <t>Fabiola Ayluardo Rivera</t>
  </si>
  <si>
    <t>Álgebra</t>
  </si>
  <si>
    <t>C-03</t>
  </si>
  <si>
    <t>1663, 1669, 1675</t>
  </si>
  <si>
    <t>Celia Marisa Rodríguez Rubio</t>
  </si>
  <si>
    <t>Análisis y diseño de algoritmos/Introducción a la Comptuacional/Programación para Ingeniería Civil</t>
  </si>
  <si>
    <t>CC001</t>
  </si>
  <si>
    <t>1482, 1487, 1492, 1497</t>
  </si>
  <si>
    <t>1Lu</t>
  </si>
  <si>
    <t>Fátima del Rosario Árambula Coronado</t>
  </si>
  <si>
    <t>CC011</t>
  </si>
  <si>
    <t>1485, 1490, 1495, 1500</t>
  </si>
  <si>
    <t>Miguel Ángel Romo Martínez</t>
  </si>
  <si>
    <t>CC010</t>
  </si>
  <si>
    <t>1481 (IIA)</t>
  </si>
  <si>
    <t>Francisco de Jesús Guerrero Jiménez</t>
  </si>
  <si>
    <t>Principios del dibujo</t>
  </si>
  <si>
    <t>Innova 2</t>
  </si>
  <si>
    <t>Francisco de Paula Morales Viesca</t>
  </si>
  <si>
    <t>Proyectos de inversión e introducción a la valuación de empresas</t>
  </si>
  <si>
    <t>1577, 1580, 1583, 1586. 1589</t>
  </si>
  <si>
    <t>Jorge Quiroga Garza</t>
  </si>
  <si>
    <t>C-04</t>
  </si>
  <si>
    <t>1578, 1581, 1584, 1587, 1590</t>
  </si>
  <si>
    <t>Evaluación de proyectos energéticos</t>
  </si>
  <si>
    <t>1575/76</t>
  </si>
  <si>
    <t>ITE</t>
  </si>
  <si>
    <t>Administración de proyectos</t>
  </si>
  <si>
    <t>A-21</t>
  </si>
  <si>
    <t>2Ma</t>
  </si>
  <si>
    <t>Gabriela Durán Aguilar</t>
  </si>
  <si>
    <t>Taller de Creatividad para el diseño</t>
  </si>
  <si>
    <t>Taller de diseño ergonómico</t>
  </si>
  <si>
    <t>Gastón Leonardo Goñi Tascón</t>
  </si>
  <si>
    <t>Diseño de producto y proceso</t>
  </si>
  <si>
    <t>A-23</t>
  </si>
  <si>
    <t>Control de procesos</t>
  </si>
  <si>
    <t>1517 (II)</t>
  </si>
  <si>
    <t>Héctor Eduardo Gilardi Velázquez</t>
  </si>
  <si>
    <t>Ecuaciones diferenciales</t>
  </si>
  <si>
    <t>C-12</t>
  </si>
  <si>
    <t>1712, 1714, 1716, 1718, 1720/22</t>
  </si>
  <si>
    <t>1Vi</t>
  </si>
  <si>
    <t>Energía nuclear</t>
  </si>
  <si>
    <t>Rodrigo Soulé de Castro</t>
  </si>
  <si>
    <t>Circuitos digitales o Circuitos digitales II</t>
  </si>
  <si>
    <t>1538/39, 1537, 1540</t>
  </si>
  <si>
    <t>Hiroki Alejandro Sasamoto Cruz</t>
  </si>
  <si>
    <t>Biointerfaces</t>
  </si>
  <si>
    <t>A-15</t>
  </si>
  <si>
    <t>1464/65</t>
  </si>
  <si>
    <t>María Teresa Enríquez Gómez</t>
  </si>
  <si>
    <t>Historia de la cultura/Antropología Filosófica I</t>
  </si>
  <si>
    <t>C-24</t>
  </si>
  <si>
    <t>2110, 2116, 2122</t>
  </si>
  <si>
    <t>1Mi</t>
  </si>
  <si>
    <t>C-01</t>
  </si>
  <si>
    <t>Gustavo Adolfo Esparza Urzúa</t>
  </si>
  <si>
    <t>D-02</t>
  </si>
  <si>
    <t>2111, 2117, 2123</t>
  </si>
  <si>
    <t>D-03</t>
  </si>
  <si>
    <t>Carlos Humberto Acosta Gastelúm</t>
  </si>
  <si>
    <t>C-23</t>
  </si>
  <si>
    <t>2112, 2118, 2124</t>
  </si>
  <si>
    <t>Federico Nassim Bravo Jordán</t>
  </si>
  <si>
    <t>2113, 2119, 2125</t>
  </si>
  <si>
    <t>C-25</t>
  </si>
  <si>
    <t>Pablo Galindo Cruz</t>
  </si>
  <si>
    <t>2114, 2120, 2126</t>
  </si>
  <si>
    <t>C-02</t>
  </si>
  <si>
    <t>Jorge Humberto Mejía Reyes</t>
  </si>
  <si>
    <t>Persona y sociedad/Antropología Filosófica II</t>
  </si>
  <si>
    <t>2129, 2132, 2133</t>
  </si>
  <si>
    <t>Eduardo Sánchez de Alba</t>
  </si>
  <si>
    <t>Ética/Ética General</t>
  </si>
  <si>
    <t>2143, 2151, 2164</t>
  </si>
  <si>
    <t>2144, 2153, 2165</t>
  </si>
  <si>
    <t>2145, 2155, 2166</t>
  </si>
  <si>
    <t>Claudio César Calabrese</t>
  </si>
  <si>
    <t>2146, 2157, 2167</t>
  </si>
  <si>
    <t>Antropología teológica I/Teología Dogmática</t>
  </si>
  <si>
    <t>Jesús María</t>
  </si>
  <si>
    <t>2181, 2184, 2186</t>
  </si>
  <si>
    <t>Luis Felipe Quesada Pérez</t>
  </si>
  <si>
    <t>Antropología teológica II/Teología Moral</t>
  </si>
  <si>
    <t>(grupo de ICA)</t>
  </si>
  <si>
    <t>8926 II, IM, IIA, IBE(1)</t>
  </si>
  <si>
    <t>8925 y 2210 (IID, ITE)</t>
  </si>
  <si>
    <t>Hombre y mundo contemporáneo</t>
  </si>
  <si>
    <t>2240, 2243, 2220</t>
  </si>
  <si>
    <t>Humberto Pacheco Martínez</t>
  </si>
  <si>
    <t>2241, 2244, 2246</t>
  </si>
  <si>
    <t>Ethel Beatriz Junco de Calabrese</t>
  </si>
  <si>
    <t>2242, 2245, 2247</t>
  </si>
  <si>
    <t>Jesús Enrique Cardona Villa</t>
  </si>
  <si>
    <t>Ética profesional</t>
  </si>
  <si>
    <t>2251, 2252, 2253</t>
  </si>
  <si>
    <t>Isaí Gerardo Reyes Cedeño</t>
  </si>
  <si>
    <t>Fundamentos de hidráulica</t>
  </si>
  <si>
    <t>1616/1617</t>
  </si>
  <si>
    <t>Juan Bernardo Calabrese</t>
  </si>
  <si>
    <t>Microcontroladores I</t>
  </si>
  <si>
    <t>A-22</t>
  </si>
  <si>
    <t>1542/43, 1545/46, 1548/49</t>
  </si>
  <si>
    <t>Raúl Gutiérrez Perucho</t>
  </si>
  <si>
    <t>Dinámica</t>
  </si>
  <si>
    <t>1634, 1635</t>
  </si>
  <si>
    <t>Luis Alfonso Guerrero Rodríguez</t>
  </si>
  <si>
    <t>Física</t>
  </si>
  <si>
    <t>Química</t>
  </si>
  <si>
    <t>1636/1642, 1645/1651, 1652/1658</t>
  </si>
  <si>
    <t>María Cristina Ortega Moo</t>
  </si>
  <si>
    <t>A-24</t>
  </si>
  <si>
    <t>1637/1642, 1646/1651, 1653/1658</t>
  </si>
  <si>
    <t>María Teresa Orvañanos Guerrero</t>
  </si>
  <si>
    <t>1541/43, 1544/46, 1547/1549</t>
  </si>
  <si>
    <t>Microcontroladores II</t>
  </si>
  <si>
    <t>1550, 1551, 1552</t>
  </si>
  <si>
    <t>Marián Michelle Gámez Oliva</t>
  </si>
  <si>
    <t>Taller de diseño para la producción</t>
  </si>
  <si>
    <t>Tendencias estéticas del diseño</t>
  </si>
  <si>
    <t>Martha Arizmendiz Mancillas</t>
  </si>
  <si>
    <t>1661, 1667, 1673</t>
  </si>
  <si>
    <t>Omar Fernando Ruiz Martínez</t>
  </si>
  <si>
    <t>1523/24, 1526/27, 1529/30 (IM IBE ITE)</t>
  </si>
  <si>
    <t>B-15</t>
  </si>
  <si>
    <t>1520/21 (5to. II)</t>
  </si>
  <si>
    <t>Óscar Dávalos Orozco</t>
  </si>
  <si>
    <t>Cálculo diferencial</t>
  </si>
  <si>
    <t>1683, 1687, 1691</t>
  </si>
  <si>
    <t>Cálculo vectorial</t>
  </si>
  <si>
    <t>1699, 1704, 1708</t>
  </si>
  <si>
    <t>Karina Jannet Vacio Muro</t>
  </si>
  <si>
    <t>1638/1642, 1647/1651, 1654/1658</t>
  </si>
  <si>
    <t>Ramsel Toledo León</t>
  </si>
  <si>
    <t>C-13</t>
  </si>
  <si>
    <t>1639/1642, 1648/1651, 1655/1658</t>
  </si>
  <si>
    <t>Pia Berger</t>
  </si>
  <si>
    <t>1594/1600, 1601/1607, 1608/1614</t>
  </si>
  <si>
    <t>1595/1600, 1602/1607, 1609/1614</t>
  </si>
  <si>
    <t>Ramiro Velázquez Guerrero</t>
  </si>
  <si>
    <t>Sistemas de control</t>
  </si>
  <si>
    <t>1553/54, 1555/56</t>
  </si>
  <si>
    <t>Scholas</t>
  </si>
  <si>
    <t>Briceyda Berenice Delgado López</t>
  </si>
  <si>
    <t>1666, 1670, 1676</t>
  </si>
  <si>
    <t>Jesús Adrián Cerda Rodríguez</t>
  </si>
  <si>
    <t>1671, 1677, 5382</t>
  </si>
  <si>
    <t>Bahía  Betzabet Cassal Quiroja</t>
  </si>
  <si>
    <t>1664, 1672, 1678</t>
  </si>
  <si>
    <t>Ricardo Macías Quijas</t>
  </si>
  <si>
    <t>Descripción de hardware</t>
  </si>
  <si>
    <t>1557 (IM-OPTATIVA), 1558/1559,</t>
  </si>
  <si>
    <t>Rocío Guadalupe Márquez Martínez</t>
  </si>
  <si>
    <t>Fundamentos de la mercadotecnia</t>
  </si>
  <si>
    <t>1571, 8007</t>
  </si>
  <si>
    <t>Juan Carlos García Sánchez</t>
  </si>
  <si>
    <t>Dispositivos inteligentes</t>
  </si>
  <si>
    <t>Ricardo Abel Espinosa Loera</t>
  </si>
  <si>
    <t>Programación avanzada</t>
  </si>
  <si>
    <t>1479 (3IIA)</t>
  </si>
  <si>
    <t>Rogelio Barocio Lira</t>
  </si>
  <si>
    <t>Sistemas de información</t>
  </si>
  <si>
    <t>1468, 1470</t>
  </si>
  <si>
    <t xml:space="preserve">Alán Octavio Vázquez Gallardo </t>
  </si>
  <si>
    <t>BIM construcción integral</t>
  </si>
  <si>
    <t>1700, 1705, 1709</t>
  </si>
  <si>
    <t xml:space="preserve">Ana Elena González Contreras </t>
  </si>
  <si>
    <t>Álgebra lineal</t>
  </si>
  <si>
    <t>1679, 1680, 1681</t>
  </si>
  <si>
    <t>Cálculo integral</t>
  </si>
  <si>
    <t>1694, 1695, 1696, 1697/98</t>
  </si>
  <si>
    <t>1483, 1488, 1493, 1498</t>
  </si>
  <si>
    <t>David Alejandro Montoya  Murillo</t>
  </si>
  <si>
    <t>1484, 1489, 1494, 1499</t>
  </si>
  <si>
    <t>Christian Emmanuel Mujica Arochi</t>
  </si>
  <si>
    <t>BIM creación de modelos</t>
  </si>
  <si>
    <t>CAD aplicado a la ingeniería civil</t>
  </si>
  <si>
    <t>1739/40</t>
  </si>
  <si>
    <t>Sergio Eduardo Valenzuela Guerrero</t>
  </si>
  <si>
    <t>Desarrollo de aplicaciones web</t>
  </si>
  <si>
    <t>9206, 9207/1698, 9208, 9209</t>
  </si>
  <si>
    <t>1701, 1706, 1710</t>
  </si>
  <si>
    <t>1703 (5IID)</t>
  </si>
  <si>
    <t>Matemáticas discretas</t>
  </si>
  <si>
    <t>Probabilidad</t>
  </si>
  <si>
    <t>C-14</t>
  </si>
  <si>
    <t>Paul Ramírez de la Cruz</t>
  </si>
  <si>
    <t>Probabilidad y estadística</t>
  </si>
  <si>
    <t>1725, 1727, 1729, 1731</t>
  </si>
  <si>
    <t>Termodinámica</t>
  </si>
  <si>
    <t>1618/1619, 1620/1621, 1622/1623, 1624/1625</t>
  </si>
  <si>
    <t>Agustiín Viquez Fabré</t>
  </si>
  <si>
    <t>Portafolios de inversión</t>
  </si>
  <si>
    <t>Roberto Valle Tortolero</t>
  </si>
  <si>
    <t>Dyan Haydeé Rico  Hernández</t>
  </si>
  <si>
    <t>Redacción</t>
  </si>
  <si>
    <t>1565(II), 1566, 1567, 1568</t>
  </si>
  <si>
    <t>Alfredo Márquez Martínez</t>
  </si>
  <si>
    <t>Cómputo distribuido</t>
  </si>
  <si>
    <t>Interconexión de dispositivos inteligentes</t>
  </si>
  <si>
    <t>Luis Manuel Ortiz de la Torre</t>
  </si>
  <si>
    <t>Desarrollo de aplicaciones para dispositivos inteligentes</t>
  </si>
  <si>
    <t>1505 (7IIA, BIO)</t>
  </si>
  <si>
    <t>Brianda Rugarcía González</t>
  </si>
  <si>
    <t>Emprendedores</t>
  </si>
  <si>
    <t>1561, 1563, 1592</t>
  </si>
  <si>
    <t>Juan Pablo Becerra Calderón</t>
  </si>
  <si>
    <t>1562, 1564 (II, II</t>
  </si>
  <si>
    <t>César López Murillo</t>
  </si>
  <si>
    <t>1734 (3IM)</t>
  </si>
  <si>
    <t>A-14</t>
  </si>
  <si>
    <t>1733 (3BIO)</t>
  </si>
  <si>
    <t>Electricidad y magnetismo</t>
  </si>
  <si>
    <t>1844 (5IID)</t>
  </si>
  <si>
    <t>Olivia Jimena Juárez Carrillo</t>
  </si>
  <si>
    <t>Agentes inteligentes</t>
  </si>
  <si>
    <t>A-13</t>
  </si>
  <si>
    <t>Ignacio Acosta Pineda</t>
  </si>
  <si>
    <t>Biosensores</t>
  </si>
  <si>
    <t>1659/1660</t>
  </si>
  <si>
    <t>Jonás Velasco Álvarez</t>
  </si>
  <si>
    <t>Optimización y metaheurísticas I</t>
  </si>
  <si>
    <t>1596/1600, 1603/1607, 1610/1614</t>
  </si>
  <si>
    <t>Eric Manuel Rodríguez Herrera</t>
  </si>
  <si>
    <t>Diseño de experimentos</t>
  </si>
  <si>
    <t>Juan Carlos Martínez Olivares</t>
  </si>
  <si>
    <t>Costos unitarios</t>
  </si>
  <si>
    <t>Estructura de datos y algoritmos II</t>
  </si>
  <si>
    <t>Alejandro Pureco Corona</t>
  </si>
  <si>
    <t>Evaluación de nuevas tecnologías en construcción</t>
  </si>
  <si>
    <t>Introducción a las bases de datos</t>
  </si>
  <si>
    <t>Laura Alejandra Arreola Gutiérrez</t>
  </si>
  <si>
    <t>Gestión de la cadena de suministro</t>
  </si>
  <si>
    <t>Ana Carolina García Meyemberg</t>
  </si>
  <si>
    <t>Imágenes digitales</t>
  </si>
  <si>
    <t>IID</t>
  </si>
  <si>
    <t>Introducción a la ingeniería civil</t>
  </si>
  <si>
    <t>Jesús Emmanuel Montantes Pons</t>
  </si>
  <si>
    <t>Estructuras isostáticas</t>
  </si>
  <si>
    <t>A-12</t>
  </si>
  <si>
    <t>Jaime Emmanuel Muñoz Romero</t>
  </si>
  <si>
    <t>Tecnología del concreto</t>
  </si>
  <si>
    <t>1742/43</t>
  </si>
  <si>
    <t>Mecánica de suelos</t>
  </si>
  <si>
    <t>Jhonatan Limón Gutiérrez</t>
  </si>
  <si>
    <t>Diseño de estructuras de acero I</t>
  </si>
  <si>
    <t>1746/47</t>
  </si>
  <si>
    <t>Luis Arturo Elizondo Aguilar</t>
  </si>
  <si>
    <t>Manufactura esbelta</t>
  </si>
  <si>
    <t>Elise Anaís Medrano Escobedo</t>
  </si>
  <si>
    <t>Geología</t>
  </si>
  <si>
    <t>Gaspar Hermenegildo Vela Martínez</t>
  </si>
  <si>
    <t>Diseño de estructuras de concreto I</t>
  </si>
  <si>
    <t>1750/1751</t>
  </si>
  <si>
    <t>José Jacob Durán Casillas</t>
  </si>
  <si>
    <t>Vías terrestres</t>
  </si>
  <si>
    <t>1753, 1754/1845, 1756/1757</t>
  </si>
  <si>
    <t>Víctor Manuel Álvarez Pato</t>
  </si>
  <si>
    <t>Modelado de agentes y entornos virtuales</t>
  </si>
  <si>
    <t>Gilberto Castañeda Guzmán</t>
  </si>
  <si>
    <t>Fundamentos de electrónica</t>
  </si>
  <si>
    <t>1847, 1848</t>
  </si>
  <si>
    <t>Héctor Luis Villacorta Minaya</t>
  </si>
  <si>
    <t>Electrónica avanzada</t>
  </si>
  <si>
    <t>A-16</t>
  </si>
  <si>
    <t>1849/1850</t>
  </si>
  <si>
    <t>A-17</t>
  </si>
  <si>
    <t>Marco Antonio García Colmenares</t>
  </si>
  <si>
    <t>Elementos de mecatrónica</t>
  </si>
  <si>
    <t>1851/1852</t>
  </si>
  <si>
    <t>Proyecto mecatrónico I</t>
  </si>
  <si>
    <t>1853/1854</t>
  </si>
  <si>
    <t>Alberto Navarro Pérez</t>
  </si>
  <si>
    <t>1579, 1582,1585,  1588, 1591</t>
  </si>
  <si>
    <t>Ana Sofía Romo Robles</t>
  </si>
  <si>
    <t>Maderas y textiles para el diseño</t>
  </si>
  <si>
    <t>Cerámica, textiles</t>
  </si>
  <si>
    <t>1856/1857</t>
  </si>
  <si>
    <t>Francisco León Gutiérrez</t>
  </si>
  <si>
    <t>Maderas</t>
  </si>
  <si>
    <t>Mauricio Ruiz Morales</t>
  </si>
  <si>
    <t>Taller de diseño para la sustentabilidad</t>
  </si>
  <si>
    <t>Mauricio Ruiz  Morales</t>
  </si>
  <si>
    <t>Modelado digital</t>
  </si>
  <si>
    <t>Jacob Márquez Ávila</t>
  </si>
  <si>
    <t>Geometría descriptiva</t>
  </si>
  <si>
    <t>Omar Miranda Ortiz</t>
  </si>
  <si>
    <t>Técnicas avanzadas de representación</t>
  </si>
  <si>
    <t>Plásticos y cerámicos para el diseño</t>
  </si>
  <si>
    <t>5592/5593</t>
  </si>
  <si>
    <t>Néstor Damián Ortega Méndez</t>
  </si>
  <si>
    <t>Modelos funcionales</t>
  </si>
  <si>
    <t>Alfredo Pedroza Díaz</t>
  </si>
  <si>
    <t>Psicología del comportamiento humano</t>
  </si>
  <si>
    <t>Eduardo de la Vega Segura</t>
  </si>
  <si>
    <t>Aula Aguascalientes</t>
  </si>
  <si>
    <t>5298, 5299, 5300</t>
  </si>
  <si>
    <t>Luis Alonso Romo Mercado</t>
  </si>
  <si>
    <t>1713, 1715, 1717, 1719, 1721/22</t>
  </si>
  <si>
    <t>1726, 1728, 1730, 1732</t>
  </si>
  <si>
    <t>Juan Jáuregui Rincón</t>
  </si>
  <si>
    <t>Energía de la biomasa</t>
  </si>
  <si>
    <t>5168/5169</t>
  </si>
  <si>
    <t>Rubén Guadalupe García Sánchez</t>
  </si>
  <si>
    <t>Energía eólica</t>
  </si>
  <si>
    <t>Sistemas energéticos I</t>
  </si>
  <si>
    <t>5186/5187</t>
  </si>
  <si>
    <t>Sergio Osvaldo García Sánchez</t>
  </si>
  <si>
    <t>Biosustentabilidad</t>
  </si>
  <si>
    <t>5198/5199</t>
  </si>
  <si>
    <t>Programación orientada a objetos</t>
  </si>
  <si>
    <t>1509, 1510, 1511/12</t>
  </si>
  <si>
    <t>Gerardo Rodríguez Romo</t>
  </si>
  <si>
    <t>Tecnología de materiales</t>
  </si>
  <si>
    <t>5162/5163</t>
  </si>
  <si>
    <t>Rosa Luz Garnica Gutiérrez</t>
  </si>
  <si>
    <t>1597/1600, 1604/1607, 1611/1614</t>
  </si>
  <si>
    <t>Hidrología</t>
  </si>
  <si>
    <t>Arquitectura</t>
  </si>
  <si>
    <t>Impacto ambiental</t>
  </si>
  <si>
    <t>Biomecánica</t>
  </si>
  <si>
    <t>A-25</t>
  </si>
  <si>
    <t>5281/5282</t>
  </si>
  <si>
    <t>Ma. del Rosario Moreno Virgen</t>
  </si>
  <si>
    <t>1640/1642, 1649/1651, 1656/1658</t>
  </si>
  <si>
    <t>Mauricio Muñoz Zermeño</t>
  </si>
  <si>
    <t>Diseño asistido por computadora</t>
  </si>
  <si>
    <t>5286, 5287, 5293/5294</t>
  </si>
  <si>
    <t>Luis Daniel Arriaga Esparza</t>
  </si>
  <si>
    <t>Manufactura asistida por computadora</t>
  </si>
  <si>
    <t>5380/5381</t>
  </si>
  <si>
    <t>Procesos de manufactura</t>
  </si>
  <si>
    <t>Armando Alejandro Huizar González</t>
  </si>
  <si>
    <t>Fundamentos de Control Inteligente</t>
  </si>
  <si>
    <t>Circuitos digitales I o Diseño lógico</t>
  </si>
  <si>
    <t>5681, 5683/85 (3IIA)</t>
  </si>
  <si>
    <t>5382, 6928(3IM, BIO)</t>
  </si>
  <si>
    <t>Antonio de los Reyes Moreno</t>
  </si>
  <si>
    <t>Aspectos legales de la construcción</t>
  </si>
  <si>
    <t>Karen Esther Rodríguez Garduño</t>
  </si>
  <si>
    <t>Administración de riesgos de proyectos</t>
  </si>
  <si>
    <t>Jairo Alberto Palomo Martín</t>
  </si>
  <si>
    <t>Simulación en 3D</t>
  </si>
  <si>
    <t>1861 (7mo)</t>
  </si>
  <si>
    <t>Óscar Eduardo Ávalos Muñoz</t>
  </si>
  <si>
    <t>Ingeniería de valor en proyectos de construcción</t>
  </si>
  <si>
    <t>1702, 1707, 1711</t>
  </si>
  <si>
    <t>José Luis de Luna Vargas</t>
  </si>
  <si>
    <t>Microelectrónica</t>
  </si>
  <si>
    <t>7324/25</t>
  </si>
  <si>
    <t>Geometría y trigonometría</t>
  </si>
  <si>
    <t>Practicas del área de Fluídos</t>
  </si>
  <si>
    <t>Teoría de la Arquitectura</t>
  </si>
  <si>
    <t>Historia de la Arquitectura II</t>
  </si>
  <si>
    <t>Asesorías Fundamentos de la Arquitectura y del Urbanismo (30 Sep.)</t>
  </si>
  <si>
    <t>Topografía (Arquitectura)</t>
  </si>
  <si>
    <t>Sección Lorenza María Larios (22 de agosto al 26 Nov.)</t>
  </si>
  <si>
    <t>Clase de Arquitectura Mtra. Martha Arizmendiz</t>
  </si>
  <si>
    <t>Idiomas</t>
  </si>
  <si>
    <t>Lean (Lab. Métodos)</t>
  </si>
  <si>
    <t>Emprendedores (solamente 30 de Sep.)</t>
  </si>
  <si>
    <t>Planeación Estratégica (6 Sep.)</t>
  </si>
  <si>
    <t>Álgebra Aplicada (Arquitectura)</t>
  </si>
  <si>
    <t>Asesorías de Física</t>
  </si>
  <si>
    <t>Empresa Benefactora. (29 Octubre)</t>
  </si>
  <si>
    <t>Clase: Mtro. Fancisco Morales</t>
  </si>
  <si>
    <t>Cata de Vinos ( 28 Sep.)</t>
  </si>
  <si>
    <t>Proyecto de Producción</t>
  </si>
  <si>
    <t>Inglés Toefl 14 Octubre</t>
  </si>
  <si>
    <t xml:space="preserve"> </t>
  </si>
  <si>
    <t>Materias SNI</t>
  </si>
  <si>
    <t>Horas SNI</t>
  </si>
  <si>
    <t>Índice de calidad académica</t>
  </si>
  <si>
    <t>Tipo de profesor</t>
  </si>
  <si>
    <t>Porcentaje</t>
  </si>
  <si>
    <t>BIO</t>
  </si>
  <si>
    <t>TC</t>
  </si>
  <si>
    <t>COM</t>
  </si>
  <si>
    <t>MT</t>
  </si>
  <si>
    <t>DOP</t>
  </si>
  <si>
    <t>A</t>
  </si>
  <si>
    <t>EEC</t>
  </si>
  <si>
    <t>OA</t>
  </si>
  <si>
    <t>EMP</t>
  </si>
  <si>
    <t>H</t>
  </si>
  <si>
    <t>ESC</t>
  </si>
  <si>
    <t>Total</t>
  </si>
  <si>
    <t>ETF</t>
  </si>
  <si>
    <t>HUM</t>
  </si>
  <si>
    <t>Facultad</t>
  </si>
  <si>
    <t>MAT</t>
  </si>
  <si>
    <t>MEC</t>
  </si>
  <si>
    <t>ID</t>
  </si>
  <si>
    <t>Nombre</t>
  </si>
  <si>
    <t>AIC</t>
  </si>
  <si>
    <t>C03</t>
  </si>
  <si>
    <t>A24</t>
  </si>
  <si>
    <t>C11</t>
  </si>
  <si>
    <t>C21</t>
  </si>
  <si>
    <t>A23</t>
  </si>
  <si>
    <t>C14</t>
  </si>
  <si>
    <t>C02</t>
  </si>
  <si>
    <t>Mecánica</t>
  </si>
  <si>
    <t>Suma</t>
  </si>
  <si>
    <t>Ciclo de ingreso</t>
  </si>
  <si>
    <t>Alumnos con doble carrera</t>
  </si>
  <si>
    <t>0213731</t>
  </si>
  <si>
    <t> Navarro González,Sergio Ramón</t>
  </si>
  <si>
    <t>LITEC</t>
  </si>
  <si>
    <t>LMECC</t>
  </si>
  <si>
    <t>0221414</t>
  </si>
  <si>
    <t>Taborga Burgoa,Daniel Ignacio</t>
  </si>
  <si>
    <t>LDISC</t>
  </si>
  <si>
    <t>LINDC</t>
  </si>
  <si>
    <t>0221688</t>
  </si>
  <si>
    <t>Majus García,María Paula</t>
  </si>
  <si>
    <t>LIBIC</t>
  </si>
  <si>
    <t>0223888</t>
  </si>
  <si>
    <t>Gutiérrez de la Riva,Ariadna</t>
  </si>
  <si>
    <t>0236648</t>
  </si>
  <si>
    <t>Juárez Muñoz,Salvador Eduardo</t>
  </si>
  <si>
    <t>LIIAC</t>
  </si>
  <si>
    <t>Optativa</t>
  </si>
  <si>
    <t>ID II</t>
  </si>
  <si>
    <t>ID IM</t>
  </si>
  <si>
    <t>ID IID</t>
  </si>
  <si>
    <t>ID IIA</t>
  </si>
  <si>
    <t>ID ITE</t>
  </si>
  <si>
    <t>ID ICA</t>
  </si>
  <si>
    <t>ID IBE</t>
  </si>
  <si>
    <t>Créditos II</t>
  </si>
  <si>
    <t>Créditos IM</t>
  </si>
  <si>
    <t>Créditos IID</t>
  </si>
  <si>
    <t>Créditos IIA</t>
  </si>
  <si>
    <t>Créditos ITE</t>
  </si>
  <si>
    <t>Créditos ICA</t>
  </si>
  <si>
    <t>Créditos IBE</t>
  </si>
  <si>
    <t>Semestres</t>
  </si>
  <si>
    <t>Hora de inicio</t>
  </si>
  <si>
    <t>Hora de fin</t>
  </si>
  <si>
    <t>Administración de operaciones</t>
  </si>
  <si>
    <t>027009</t>
  </si>
  <si>
    <t>026987</t>
  </si>
  <si>
    <t>029613</t>
  </si>
  <si>
    <t>032375</t>
  </si>
  <si>
    <t>Aerogeneradores</t>
  </si>
  <si>
    <t>018601</t>
  </si>
  <si>
    <t>029627</t>
  </si>
  <si>
    <t>Agua potable y alcantarillado</t>
  </si>
  <si>
    <t>027071</t>
  </si>
  <si>
    <t>026777</t>
  </si>
  <si>
    <t>028102</t>
  </si>
  <si>
    <t>0182261</t>
  </si>
  <si>
    <t>026790</t>
  </si>
  <si>
    <t>028365</t>
  </si>
  <si>
    <t>018507</t>
  </si>
  <si>
    <t>Almacenamiento energético</t>
  </si>
  <si>
    <t>018602</t>
  </si>
  <si>
    <t>Análisis e interpretación de la información financiera</t>
  </si>
  <si>
    <t>026996</t>
  </si>
  <si>
    <t>Análisis estructural</t>
  </si>
  <si>
    <t>027066</t>
  </si>
  <si>
    <t>Análisis medioambiental</t>
  </si>
  <si>
    <t>018570</t>
  </si>
  <si>
    <t>026781</t>
  </si>
  <si>
    <t>028137</t>
  </si>
  <si>
    <t>018195</t>
  </si>
  <si>
    <t>027047</t>
  </si>
  <si>
    <t>026960</t>
  </si>
  <si>
    <t>028487</t>
  </si>
  <si>
    <t>018529</t>
  </si>
  <si>
    <t>027060</t>
  </si>
  <si>
    <t>026965</t>
  </si>
  <si>
    <t>028520</t>
  </si>
  <si>
    <t>018582</t>
  </si>
  <si>
    <t>027064</t>
  </si>
  <si>
    <t>Aprendizaje de máquina I</t>
  </si>
  <si>
    <t>029628</t>
  </si>
  <si>
    <t>Aprendizaje de máquina II</t>
  </si>
  <si>
    <t>029632</t>
  </si>
  <si>
    <t>032372</t>
  </si>
  <si>
    <t>Bases de datos avanzadas</t>
  </si>
  <si>
    <t>029623</t>
  </si>
  <si>
    <t>027082</t>
  </si>
  <si>
    <t>027074</t>
  </si>
  <si>
    <t>BIM planeación de obra</t>
  </si>
  <si>
    <t>027079</t>
  </si>
  <si>
    <t>Bioinstrumentación</t>
  </si>
  <si>
    <t>028913</t>
  </si>
  <si>
    <t>028377</t>
  </si>
  <si>
    <t>028704</t>
  </si>
  <si>
    <t>028908</t>
  </si>
  <si>
    <t>018938</t>
  </si>
  <si>
    <t>027048</t>
  </si>
  <si>
    <t>CAD Avanzado</t>
  </si>
  <si>
    <t>027084</t>
  </si>
  <si>
    <t>026776</t>
  </si>
  <si>
    <t>028101</t>
  </si>
  <si>
    <t>018196</t>
  </si>
  <si>
    <t>026788</t>
  </si>
  <si>
    <t>026789</t>
  </si>
  <si>
    <t>028362</t>
  </si>
  <si>
    <t>018482</t>
  </si>
  <si>
    <t>Cálculo numérico/Métodos numéricos</t>
  </si>
  <si>
    <t>029612</t>
  </si>
  <si>
    <t>026906</t>
  </si>
  <si>
    <t>026905</t>
  </si>
  <si>
    <t>028370</t>
  </si>
  <si>
    <t>018514</t>
  </si>
  <si>
    <t>Centro de datos</t>
  </si>
  <si>
    <t>027097</t>
  </si>
  <si>
    <t>Certificación energética y ambiental de edificios</t>
  </si>
  <si>
    <t>027099</t>
  </si>
  <si>
    <t>026939</t>
  </si>
  <si>
    <t>028373</t>
  </si>
  <si>
    <t>018518</t>
  </si>
  <si>
    <t>026958</t>
  </si>
  <si>
    <t>018575</t>
  </si>
  <si>
    <t>028689</t>
  </si>
  <si>
    <t>Circuitos digitales y eléctricos</t>
  </si>
  <si>
    <t>026976</t>
  </si>
  <si>
    <t>027003</t>
  </si>
  <si>
    <t>026938</t>
  </si>
  <si>
    <t>018551</t>
  </si>
  <si>
    <t>028372</t>
  </si>
  <si>
    <t>Circuitos eléctricos II</t>
  </si>
  <si>
    <t>028485</t>
  </si>
  <si>
    <t>Comportamiento de materiales</t>
  </si>
  <si>
    <t>027067</t>
  </si>
  <si>
    <t>029626</t>
  </si>
  <si>
    <t>Comunicación de datos</t>
  </si>
  <si>
    <t>027043</t>
  </si>
  <si>
    <t>028911</t>
  </si>
  <si>
    <t>Concreto pre-esforzado</t>
  </si>
  <si>
    <t xml:space="preserve">	
032369</t>
  </si>
  <si>
    <t>Contabilidad y costos</t>
  </si>
  <si>
    <t>027023</t>
  </si>
  <si>
    <t>027065</t>
  </si>
  <si>
    <t>027006</t>
  </si>
  <si>
    <t>027042</t>
  </si>
  <si>
    <t>Control inteligente</t>
  </si>
  <si>
    <t>027086</t>
  </si>
  <si>
    <t>027088</t>
  </si>
  <si>
    <t>Datos masivos</t>
  </si>
  <si>
    <t>029630</t>
  </si>
  <si>
    <t>028906</t>
  </si>
  <si>
    <t>028693</t>
  </si>
  <si>
    <t>027040</t>
  </si>
  <si>
    <t>028902</t>
  </si>
  <si>
    <t>026937</t>
  </si>
  <si>
    <t>027051</t>
  </si>
  <si>
    <t>Dinámica de sistemas físicos</t>
  </si>
  <si>
    <t>027030</t>
  </si>
  <si>
    <t>028707</t>
  </si>
  <si>
    <t>Dirección de empresas</t>
  </si>
  <si>
    <t>027019</t>
  </si>
  <si>
    <t>026994</t>
  </si>
  <si>
    <t>028909</t>
  </si>
  <si>
    <t>018935</t>
  </si>
  <si>
    <t>026894</t>
  </si>
  <si>
    <t>026895</t>
  </si>
  <si>
    <t>018552</t>
  </si>
  <si>
    <t>027033</t>
  </si>
  <si>
    <t>027072</t>
  </si>
  <si>
    <t>Diseño de estructuras de acero II</t>
  </si>
  <si>
    <t>027077</t>
  </si>
  <si>
    <t>027073</t>
  </si>
  <si>
    <t>Diseño de estructuras de concreto II</t>
  </si>
  <si>
    <t>027078</t>
  </si>
  <si>
    <t>027005</t>
  </si>
  <si>
    <t>Diseño de instalaciones industriales y servicios</t>
  </si>
  <si>
    <t>027018</t>
  </si>
  <si>
    <t>Diseño de máquinas</t>
  </si>
  <si>
    <t>027037</t>
  </si>
  <si>
    <t>Diseño de pavimentos</t>
  </si>
  <si>
    <t>032371</t>
  </si>
  <si>
    <t>027016</t>
  </si>
  <si>
    <t>Diseño de sistemas energéticos</t>
  </si>
  <si>
    <t>018941</t>
  </si>
  <si>
    <t>Diseño para la ingeniería civil</t>
  </si>
  <si>
    <t>026786</t>
  </si>
  <si>
    <t>Domótica e Inmótica</t>
  </si>
  <si>
    <t>027094</t>
  </si>
  <si>
    <t>026936</t>
  </si>
  <si>
    <t>029611</t>
  </si>
  <si>
    <t>018513</t>
  </si>
  <si>
    <t>027055</t>
  </si>
  <si>
    <t>028371</t>
  </si>
  <si>
    <t>Eficiencia energética y motores térmicos</t>
  </si>
  <si>
    <t>027041</t>
  </si>
  <si>
    <t>026957</t>
  </si>
  <si>
    <t>026971</t>
  </si>
  <si>
    <t>020643</t>
  </si>
  <si>
    <t>028486</t>
  </si>
  <si>
    <t>027031</t>
  </si>
  <si>
    <t>018583</t>
  </si>
  <si>
    <t>028708</t>
  </si>
  <si>
    <t>028903</t>
  </si>
  <si>
    <t>Electrónica de potencia</t>
  </si>
  <si>
    <t>027038</t>
  </si>
  <si>
    <t>020644</t>
  </si>
  <si>
    <t>028910</t>
  </si>
  <si>
    <t>018922</t>
  </si>
  <si>
    <t>027013</t>
  </si>
  <si>
    <t>029633</t>
  </si>
  <si>
    <t>032373</t>
  </si>
  <si>
    <t>018596</t>
  </si>
  <si>
    <t>018597</t>
  </si>
  <si>
    <t>018598</t>
  </si>
  <si>
    <t>Energía solar</t>
  </si>
  <si>
    <t>027096</t>
  </si>
  <si>
    <t>Energía solar fotovoltáica</t>
  </si>
  <si>
    <t>018595</t>
  </si>
  <si>
    <t>Energía solar térmica</t>
  </si>
  <si>
    <t>018572</t>
  </si>
  <si>
    <t>Energías alternativas</t>
  </si>
  <si>
    <t>018571</t>
  </si>
  <si>
    <t>027087</t>
  </si>
  <si>
    <t>Entorno económico</t>
  </si>
  <si>
    <t>X</t>
  </si>
  <si>
    <t>026935</t>
  </si>
  <si>
    <t>029616</t>
  </si>
  <si>
    <t>032365</t>
  </si>
  <si>
    <t>028368</t>
  </si>
  <si>
    <t>Ergonomía para el diseño</t>
  </si>
  <si>
    <t>026896</t>
  </si>
  <si>
    <t>Estadística</t>
  </si>
  <si>
    <t>026997</t>
  </si>
  <si>
    <t>Estática</t>
  </si>
  <si>
    <t>026932</t>
  </si>
  <si>
    <t>027046</t>
  </si>
  <si>
    <t>Estrategias de mercadotecnia</t>
  </si>
  <si>
    <t>026904</t>
  </si>
  <si>
    <t>Estructura de datos y algoritmos I</t>
  </si>
  <si>
    <t>029607</t>
  </si>
  <si>
    <t>029609</t>
  </si>
  <si>
    <t>Estructura de datos y algoritmos III</t>
  </si>
  <si>
    <t>029615</t>
  </si>
  <si>
    <t>Estructuras Física para el Diseño del Producto</t>
  </si>
  <si>
    <t>026967</t>
  </si>
  <si>
    <t>027052</t>
  </si>
  <si>
    <t>Estudio y tecnología de materiales</t>
  </si>
  <si>
    <t>026972</t>
  </si>
  <si>
    <t>026991</t>
  </si>
  <si>
    <t>028912</t>
  </si>
  <si>
    <t>018934</t>
  </si>
  <si>
    <t>032366</t>
  </si>
  <si>
    <t>026903</t>
  </si>
  <si>
    <t>028375</t>
  </si>
  <si>
    <t>018519</t>
  </si>
  <si>
    <t>027054</t>
  </si>
  <si>
    <t>032376</t>
  </si>
  <si>
    <t>018944</t>
  </si>
  <si>
    <t>Evaluación financiera de proyectos</t>
  </si>
  <si>
    <t>027081</t>
  </si>
  <si>
    <t>Filosofía social/Ética Social</t>
  </si>
  <si>
    <t>026979</t>
  </si>
  <si>
    <t>028694</t>
  </si>
  <si>
    <t>018588</t>
  </si>
  <si>
    <t>027070</t>
  </si>
  <si>
    <t>026779</t>
  </si>
  <si>
    <t>028138</t>
  </si>
  <si>
    <t>018508</t>
  </si>
  <si>
    <t>Fundamentos de bioelectrónica</t>
  </si>
  <si>
    <t>028376</t>
  </si>
  <si>
    <t>027085</t>
  </si>
  <si>
    <t>026963</t>
  </si>
  <si>
    <t>028703</t>
  </si>
  <si>
    <t>027061</t>
  </si>
  <si>
    <t>027001</t>
  </si>
  <si>
    <t>027059</t>
  </si>
  <si>
    <t>026783</t>
  </si>
  <si>
    <t>026893</t>
  </si>
  <si>
    <t>027014</t>
  </si>
  <si>
    <t>Gestión de la calidad</t>
  </si>
  <si>
    <t>027007</t>
  </si>
  <si>
    <t>027045</t>
  </si>
  <si>
    <t>026989</t>
  </si>
  <si>
    <t>Gestión de recursos humanos</t>
  </si>
  <si>
    <t>027091</t>
  </si>
  <si>
    <t>032367</t>
  </si>
  <si>
    <t>026780</t>
  </si>
  <si>
    <t>028139</t>
  </si>
  <si>
    <t>018264</t>
  </si>
  <si>
    <t>026961</t>
  </si>
  <si>
    <t>026985</t>
  </si>
  <si>
    <t>028907</t>
  </si>
  <si>
    <t>018933</t>
  </si>
  <si>
    <t>027076</t>
  </si>
  <si>
    <t>027090</t>
  </si>
  <si>
    <t>Ingeniería de cimentaciones</t>
  </si>
  <si>
    <t>027080</t>
  </si>
  <si>
    <t>Ingeniería de materiales</t>
  </si>
  <si>
    <t>026998</t>
  </si>
  <si>
    <t>Ingeniería de métodos</t>
  </si>
  <si>
    <t>027000</t>
  </si>
  <si>
    <t>Ingeniería de software</t>
  </si>
  <si>
    <t>029629</t>
  </si>
  <si>
    <t>027100</t>
  </si>
  <si>
    <t>Ingeniería sísmica</t>
  </si>
  <si>
    <t>032368</t>
  </si>
  <si>
    <t>Instalaciones en edificios</t>
  </si>
  <si>
    <t>027058</t>
  </si>
  <si>
    <t>Inteligencia artificial I</t>
  </si>
  <si>
    <t>018599</t>
  </si>
  <si>
    <t>027092</t>
  </si>
  <si>
    <t>Introducción a la administración</t>
  </si>
  <si>
    <t>018263</t>
  </si>
  <si>
    <t>026787</t>
  </si>
  <si>
    <t>027004</t>
  </si>
  <si>
    <t>029618</t>
  </si>
  <si>
    <t>Investigación de operaciones</t>
  </si>
  <si>
    <t>026999</t>
  </si>
  <si>
    <t>032359</t>
  </si>
  <si>
    <t>027034</t>
  </si>
  <si>
    <t>027012</t>
  </si>
  <si>
    <t>Máquinas y herramientas</t>
  </si>
  <si>
    <t>026933</t>
  </si>
  <si>
    <t>Marco legal de la innovación</t>
  </si>
  <si>
    <t>027022</t>
  </si>
  <si>
    <t>026988</t>
  </si>
  <si>
    <t>Matemáticas avanzadas</t>
  </si>
  <si>
    <t>026953</t>
  </si>
  <si>
    <t>028483</t>
  </si>
  <si>
    <t>029608</t>
  </si>
  <si>
    <t>Materiales y procesos constructivos</t>
  </si>
  <si>
    <t>027053</t>
  </si>
  <si>
    <t>027027</t>
  </si>
  <si>
    <t>028366</t>
  </si>
  <si>
    <t>018550</t>
  </si>
  <si>
    <t>Mecánica de materiales</t>
  </si>
  <si>
    <t>027057</t>
  </si>
  <si>
    <t>027069</t>
  </si>
  <si>
    <t>Mecanismos</t>
  </si>
  <si>
    <t>027029</t>
  </si>
  <si>
    <t>Mercadotecnia de proyectos de construcción</t>
  </si>
  <si>
    <t xml:space="preserve">	
032378</t>
  </si>
  <si>
    <t>Metales para el diseño</t>
  </si>
  <si>
    <t>026968</t>
  </si>
  <si>
    <t>026964</t>
  </si>
  <si>
    <t>028488</t>
  </si>
  <si>
    <t>018584</t>
  </si>
  <si>
    <t>027032</t>
  </si>
  <si>
    <t>028709</t>
  </si>
  <si>
    <t>018578</t>
  </si>
  <si>
    <t>028905</t>
  </si>
  <si>
    <t>029617</t>
  </si>
  <si>
    <t>Modelado digital avanzado</t>
  </si>
  <si>
    <t>026908</t>
  </si>
  <si>
    <t>Modelos físicos</t>
  </si>
  <si>
    <t>026969</t>
  </si>
  <si>
    <t>027002</t>
  </si>
  <si>
    <t>Obras hidráulicas</t>
  </si>
  <si>
    <t>032364</t>
  </si>
  <si>
    <t>Optimización y control energético</t>
  </si>
  <si>
    <t>027021</t>
  </si>
  <si>
    <t>018940</t>
  </si>
  <si>
    <t>029619</t>
  </si>
  <si>
    <t>Patrones de diseño y arquitectura de software</t>
  </si>
  <si>
    <t>029620</t>
  </si>
  <si>
    <t>026898</t>
  </si>
  <si>
    <t>028369</t>
  </si>
  <si>
    <t>018512</t>
  </si>
  <si>
    <t>027049</t>
  </si>
  <si>
    <t>Planeación estratégica</t>
  </si>
  <si>
    <t xml:space="preserve">	
032377</t>
  </si>
  <si>
    <t>Planeación y control de proyectos</t>
  </si>
  <si>
    <t>027068</t>
  </si>
  <si>
    <t>026973</t>
  </si>
  <si>
    <t>026993</t>
  </si>
  <si>
    <t>026784</t>
  </si>
  <si>
    <t>027025</t>
  </si>
  <si>
    <t>026909</t>
  </si>
  <si>
    <t>028691</t>
  </si>
  <si>
    <t>018520</t>
  </si>
  <si>
    <t>027056</t>
  </si>
  <si>
    <t>Procesamiento del lenguaje natural</t>
  </si>
  <si>
    <t>029631</t>
  </si>
  <si>
    <t>026966</t>
  </si>
  <si>
    <t>026940</t>
  </si>
  <si>
    <t>028374</t>
  </si>
  <si>
    <t>Programación de agentes para entornos virtuales</t>
  </si>
  <si>
    <t>029621</t>
  </si>
  <si>
    <t>026934</t>
  </si>
  <si>
    <t>028367</t>
  </si>
  <si>
    <t>018543</t>
  </si>
  <si>
    <t>Propiedades de los suelos</t>
  </si>
  <si>
    <t>027063</t>
  </si>
  <si>
    <t>027036</t>
  </si>
  <si>
    <t>Proyecto mecatrónico II</t>
  </si>
  <si>
    <t>027039</t>
  </si>
  <si>
    <t>Proyectos biosostenibles</t>
  </si>
  <si>
    <t>018942</t>
  </si>
  <si>
    <t>027008</t>
  </si>
  <si>
    <t>026981</t>
  </si>
  <si>
    <t>029625</t>
  </si>
  <si>
    <t>027101</t>
  </si>
  <si>
    <t>028692</t>
  </si>
  <si>
    <t>Psicología del consumidor</t>
  </si>
  <si>
    <t>026990</t>
  </si>
  <si>
    <t>026778</t>
  </si>
  <si>
    <t>028103</t>
  </si>
  <si>
    <t>018262</t>
  </si>
  <si>
    <t>027083</t>
  </si>
  <si>
    <t>Recursos humanos</t>
  </si>
  <si>
    <t>027020</t>
  </si>
  <si>
    <t>027024</t>
  </si>
  <si>
    <t>026959</t>
  </si>
  <si>
    <t>029610</t>
  </si>
  <si>
    <t>028690</t>
  </si>
  <si>
    <t>Resistencia de materiales</t>
  </si>
  <si>
    <t>026956</t>
  </si>
  <si>
    <t>Señales e imágenes biomédicas</t>
  </si>
  <si>
    <t>028705</t>
  </si>
  <si>
    <t>Simulación asistida por computadora</t>
  </si>
  <si>
    <t>027044</t>
  </si>
  <si>
    <t>Simulación discreta</t>
  </si>
  <si>
    <t>027011</t>
  </si>
  <si>
    <t>Simulación en 3D (5to.)</t>
  </si>
  <si>
    <t>026983</t>
  </si>
  <si>
    <t>029634</t>
  </si>
  <si>
    <t>Sistemas de climatización</t>
  </si>
  <si>
    <t>027095</t>
  </si>
  <si>
    <t>Sistemas de comunicación</t>
  </si>
  <si>
    <t>028706</t>
  </si>
  <si>
    <t>027035</t>
  </si>
  <si>
    <t>028904</t>
  </si>
  <si>
    <t>Sistemas de costos y presupuestos</t>
  </si>
  <si>
    <t>026978</t>
  </si>
  <si>
    <t>027028</t>
  </si>
  <si>
    <t>027050</t>
  </si>
  <si>
    <t>Sistemas de mejoramiento ambiental</t>
  </si>
  <si>
    <t>032379</t>
  </si>
  <si>
    <t>018939</t>
  </si>
  <si>
    <t>Sistemas energéticos II</t>
  </si>
  <si>
    <t>018943</t>
  </si>
  <si>
    <t>Sistemas integrados de manufactura</t>
  </si>
  <si>
    <t>027017</t>
  </si>
  <si>
    <t>Sistemas operativos</t>
  </si>
  <si>
    <t>029614</t>
  </si>
  <si>
    <t>Sustentabilidad y normatividad energética</t>
  </si>
  <si>
    <t>026995</t>
  </si>
  <si>
    <t>Taller avanzado de ingeniería para el diseño</t>
  </si>
  <si>
    <t>026986</t>
  </si>
  <si>
    <t>Taller de creatividad para el diseño</t>
  </si>
  <si>
    <t>026782</t>
  </si>
  <si>
    <t>026970</t>
  </si>
  <si>
    <t>Taller de diseño funcional</t>
  </si>
  <si>
    <t>026907</t>
  </si>
  <si>
    <t>Taller de diseño para la sustentabilidad 8 IID</t>
  </si>
  <si>
    <t>026980</t>
  </si>
  <si>
    <t>Taller de estética para el diseño</t>
  </si>
  <si>
    <t>026975</t>
  </si>
  <si>
    <t>Taller de estructuras</t>
  </si>
  <si>
    <t>032374</t>
  </si>
  <si>
    <t>Taller de metodología del diseño</t>
  </si>
  <si>
    <t>026892</t>
  </si>
  <si>
    <t>Técnicas de representación</t>
  </si>
  <si>
    <t>026897</t>
  </si>
  <si>
    <t>027062</t>
  </si>
  <si>
    <t>Tecnologías de asistencia</t>
  </si>
  <si>
    <t>028914</t>
  </si>
  <si>
    <t>Tecnologías de iluminación de espacios</t>
  </si>
  <si>
    <t>027093</t>
  </si>
  <si>
    <t>026785</t>
  </si>
  <si>
    <t>027026</t>
  </si>
  <si>
    <t>026955</t>
  </si>
  <si>
    <t>018545</t>
  </si>
  <si>
    <t>028484</t>
  </si>
  <si>
    <t>Tópicos en instalaciones industriales</t>
  </si>
  <si>
    <t>027010</t>
  </si>
  <si>
    <t>Topografía</t>
  </si>
  <si>
    <t>026880</t>
  </si>
  <si>
    <t>Tratamiento de aguas, suelos y atmósferas</t>
  </si>
  <si>
    <t>018600</t>
  </si>
  <si>
    <t>Urbótica</t>
  </si>
  <si>
    <t>027098</t>
  </si>
  <si>
    <t>027075</t>
  </si>
  <si>
    <t>Grupos necesarios</t>
  </si>
  <si>
    <t>Asignados</t>
  </si>
  <si>
    <t>Cursos de Verano 1224</t>
  </si>
  <si>
    <t>Paga Ing</t>
  </si>
  <si>
    <t>Créditos</t>
  </si>
  <si>
    <t>Profesor *</t>
  </si>
  <si>
    <t>Fechas</t>
  </si>
  <si>
    <t>Horarios</t>
  </si>
  <si>
    <t>AULA</t>
  </si>
  <si>
    <t>OPCIÓN</t>
  </si>
  <si>
    <t>No. de Clase</t>
  </si>
  <si>
    <t>Nacional</t>
  </si>
  <si>
    <t>Internacional</t>
  </si>
  <si>
    <t>Pronósticos</t>
  </si>
  <si>
    <t>No. de Inscritos (30/06/2022)</t>
  </si>
  <si>
    <t>NO</t>
  </si>
  <si>
    <t>Historia de la Cultura (Antropología Filosófica I)</t>
  </si>
  <si>
    <t>Lic, Juan José Macías Gutiérrez</t>
  </si>
  <si>
    <t>Lunes a viernes
27 de junio al 15 de julio</t>
  </si>
  <si>
    <t>9:00 a 12:30</t>
  </si>
  <si>
    <t>A25</t>
  </si>
  <si>
    <t>1709, 1710, 1711</t>
  </si>
  <si>
    <t>Persona y sociedad (Antropología Filosófica II /Antropología Filosófica)</t>
  </si>
  <si>
    <t>Mtro. Pablo Galindo Cruz</t>
  </si>
  <si>
    <t>A18</t>
  </si>
  <si>
    <t>1713, 1714, 1715</t>
  </si>
  <si>
    <t>Ética General</t>
  </si>
  <si>
    <t>Dr. Eduardo Sánchez de Alba</t>
  </si>
  <si>
    <t>1717, 1718, 1719</t>
  </si>
  <si>
    <t>Antropología Teológica I (Teología, Teología Dogmática, Antropología Teológica)</t>
  </si>
  <si>
    <t>Dra. María Teresa Enríquez Gómez</t>
  </si>
  <si>
    <t>Lunes a viernes
11 al 22 de julio</t>
  </si>
  <si>
    <t>1729, 1730, 1731</t>
  </si>
  <si>
    <t>Filosofía Social (Ética Social)</t>
  </si>
  <si>
    <t>Dra. Teresa Pueyo [Profesora internacional]</t>
  </si>
  <si>
    <t>1735, 1736, 1737</t>
  </si>
  <si>
    <t>*</t>
  </si>
  <si>
    <t>Hombre y Mundo Contemporáneo (Ética Especial: Las virtudes)</t>
  </si>
  <si>
    <t>Dr. Federico Nassim Bravo Jordán</t>
  </si>
  <si>
    <t>C12</t>
  </si>
  <si>
    <t>1747, 1748, 1750</t>
  </si>
  <si>
    <t>Ética Profesional /Deontología</t>
  </si>
  <si>
    <t>Mtra. Mariana Becerra Calderón</t>
  </si>
  <si>
    <t>C13</t>
  </si>
  <si>
    <t>1761, 1763, 1765</t>
  </si>
  <si>
    <t>Lic. Juan José Macías Gutiérrez</t>
  </si>
  <si>
    <t>16:00 a 19:30</t>
  </si>
  <si>
    <t>B</t>
  </si>
  <si>
    <t>1723, 1724, 1725</t>
  </si>
  <si>
    <t>Mtro. Andrés Takeshi Castillo Torres</t>
  </si>
  <si>
    <t>1741, 1742, 1743</t>
  </si>
  <si>
    <t>Dra. Ethel Beatriz Junco</t>
  </si>
  <si>
    <t>1755, 1756, 1757</t>
  </si>
  <si>
    <t>1762, 1764, 1766</t>
  </si>
  <si>
    <t>SI</t>
  </si>
  <si>
    <t>Cálculo Integral</t>
  </si>
  <si>
    <t>8 (con excepción de ITE que es de 6</t>
  </si>
  <si>
    <t>Dra. Briceyda Berenice Delgado López</t>
  </si>
  <si>
    <t>Lunes a viernes
27 de junio al 22 de julio</t>
  </si>
  <si>
    <t>12:30-15:50</t>
  </si>
  <si>
    <t>1156/57, 1159, 1160, 1161</t>
  </si>
  <si>
    <t>4 semanas</t>
  </si>
  <si>
    <t>3.2 hrs</t>
  </si>
  <si>
    <t>Cálculo Integral Grupo 2</t>
  </si>
  <si>
    <t>8 (con excepción de ITE que es de 6)</t>
  </si>
  <si>
    <t>PENDIENTE</t>
  </si>
  <si>
    <t>2743, 2744, 2745, 2746</t>
  </si>
  <si>
    <t>Cálculo Vectorial</t>
  </si>
  <si>
    <t>Mtra. Ana Elena González Contreras</t>
  </si>
  <si>
    <t>12:00-15:20</t>
  </si>
  <si>
    <t>1145, 1147, 1148, 1150</t>
  </si>
  <si>
    <t>Ecuaciones Diferenciales</t>
  </si>
  <si>
    <t xml:space="preserve">Mtra. Bahía Betzavet Cassal Quiroja </t>
  </si>
  <si>
    <t xml:space="preserve"> 16:00-19:20</t>
  </si>
  <si>
    <t>1151, 1152, 1153, 1154, 1155</t>
  </si>
  <si>
    <t>3 semanas</t>
  </si>
  <si>
    <t>Lunes a viernes
29 de junio al 22 de julio</t>
  </si>
  <si>
    <t>12:30-16:00</t>
  </si>
  <si>
    <t>D01</t>
  </si>
  <si>
    <t>2749, 2750, 2751</t>
  </si>
  <si>
    <t>Dra. María Cristina Ortega Moo</t>
  </si>
  <si>
    <t>9:00-12:20</t>
  </si>
  <si>
    <t>Lab. Química</t>
  </si>
  <si>
    <t xml:space="preserve">1163/64, 1170/71, 1172/73, </t>
  </si>
  <si>
    <t xml:space="preserve">Proyecto de Inversión e Intoducción a la Valuación de Empresas </t>
  </si>
  <si>
    <t>Mtro. Alberto Navarro Pérez</t>
  </si>
  <si>
    <t>16:00-18:30</t>
  </si>
  <si>
    <t>Lab. Scholas</t>
  </si>
  <si>
    <t xml:space="preserve">1186, 1187, 1188, 1189, 1190, </t>
  </si>
  <si>
    <t>Circuitos Eléctricos</t>
  </si>
  <si>
    <t>Mtra. Érika Iliana del Rocío Hernández Ramírez</t>
  </si>
  <si>
    <t>9:00 - 13:16</t>
  </si>
  <si>
    <t>Lab. Electrónica</t>
  </si>
  <si>
    <t>2139/40, 2141/42, 2145/46, 2143/44</t>
  </si>
  <si>
    <t>4.3 hrs</t>
  </si>
  <si>
    <t>Víctor Manuel Hernández Durán</t>
  </si>
  <si>
    <t>27 de junio al 15 de julio</t>
  </si>
  <si>
    <t>8:30-11:50</t>
  </si>
  <si>
    <t>B15</t>
  </si>
  <si>
    <t>3.2 hrs.</t>
  </si>
  <si>
    <t>(Ver con Empresariales)</t>
  </si>
  <si>
    <t>Dirección de Empresas</t>
  </si>
  <si>
    <t>4 (con excepción de ITE que es de 6)  esta materia NO SE OFERTARÁ PARA II</t>
  </si>
  <si>
    <t>Dr. Edward Esteban Sánchez Canepa</t>
  </si>
  <si>
    <t>Lunes a Viernes  11 de Julio al 22 de Julio</t>
  </si>
  <si>
    <t>15:30 a 20:00</t>
  </si>
  <si>
    <t>C04</t>
  </si>
  <si>
    <t>1181, 1182, 1183, 1184/85</t>
  </si>
  <si>
    <t>MATERIA INTERNACIONAL</t>
  </si>
  <si>
    <t>compartida empresariales</t>
  </si>
  <si>
    <t>SI pero es internacional</t>
  </si>
  <si>
    <t>Mtra. Antonella Ricci</t>
  </si>
  <si>
    <t>27 de junio al 5 de julio</t>
  </si>
  <si>
    <t xml:space="preserve">Lu-Vi 16:00-20:00  Sabado 8:00-12:00 </t>
  </si>
  <si>
    <t xml:space="preserve">B15 (lunes-Viernes, lunes-martes) </t>
  </si>
  <si>
    <t>C02 (sábado)</t>
  </si>
  <si>
    <t>8 días  INTERNACIONAL</t>
  </si>
  <si>
    <t>Mtro. Fernando Dávalos Hernández</t>
  </si>
  <si>
    <t>10:00-13:20</t>
  </si>
  <si>
    <t>Lab. Civil</t>
  </si>
  <si>
    <t>2134/35, 2130/31, 2132/33</t>
  </si>
  <si>
    <t>16:00-18:20</t>
  </si>
  <si>
    <t xml:space="preserve">2136,2137, 2138 </t>
  </si>
  <si>
    <t>2.4 hrs</t>
  </si>
  <si>
    <t>Análisis Estructural</t>
  </si>
  <si>
    <t>Dr. Luis Silvestre Vaca Oyola</t>
  </si>
  <si>
    <t>17:30- 20:50</t>
  </si>
  <si>
    <t>Horas Totales</t>
  </si>
  <si>
    <t>semanas (4, 3 ó 2)</t>
  </si>
  <si>
    <t xml:space="preserve">horas por día (lunes a viernes) </t>
  </si>
  <si>
    <t>64 hrs.</t>
  </si>
  <si>
    <t>divida en cuatro semanas</t>
  </si>
  <si>
    <t>48 hrs.</t>
  </si>
  <si>
    <t>divida en tres semanas</t>
  </si>
  <si>
    <t>32 hrs.</t>
  </si>
  <si>
    <t>divida en 2 semanas</t>
  </si>
  <si>
    <t>SE UNE CON EL PRIMER GRUPO</t>
  </si>
  <si>
    <t>SE CIERRA POR FALTA DE ALUMNOS</t>
  </si>
  <si>
    <t>9:00 - 13:20</t>
  </si>
  <si>
    <t>Lab. MIT</t>
  </si>
  <si>
    <t>ALUMNOS</t>
  </si>
  <si>
    <t>MATERIA 1</t>
  </si>
  <si>
    <t>MATERIA 2</t>
  </si>
  <si>
    <t xml:space="preserve">Intercambio </t>
  </si>
  <si>
    <t>0215065 Tinajera Olgúin Rodrigo Alejandro</t>
  </si>
  <si>
    <t>Marco Legal de la Innovación No. 2433</t>
  </si>
  <si>
    <t xml:space="preserve">Diseño de producto y proceso No. 2434 </t>
  </si>
  <si>
    <t>UP México</t>
  </si>
  <si>
    <t>0213734 De la Vega Puente José María</t>
  </si>
  <si>
    <t>Procesos de manufacutra No. clase 2435/36</t>
  </si>
  <si>
    <t>Jiménez Palos Kevin Braulio</t>
  </si>
  <si>
    <t>Diseño de Estructuras de Concreto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</si>
</sst>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80A]hh:mm\ AM/PM;@"/>
    <numFmt numFmtId="165" formatCode="000000"/>
    <numFmt numFmtId="166" formatCode="0.000"/>
    <numFmt numFmtId="167" formatCode="0.0"/>
    <numFmt numFmtId="168" formatCode="0.0%"/>
  </numFmts>
  <fonts count="36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3"/>
      <color theme="3"/>
      <name val="Calibri"/>
      <family val="2"/>
      <scheme val="minor"/>
    </font>
    <font>
      <b/>
      <sz val="9"/>
      <color indexed="81"/>
      <name val="Tahoma"/>
      <family val="2"/>
    </font>
    <font>
      <sz val="8"/>
      <name val="Arial"/>
      <family val="2"/>
    </font>
    <font>
      <sz val="9"/>
      <color indexed="81"/>
      <name val="Tahoma"/>
      <family val="2"/>
    </font>
    <font>
      <sz val="10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7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name val="Calibri"/>
      <family val="2"/>
      <scheme val="minor"/>
    </font>
    <font>
      <sz val="9"/>
      <color rgb="FF51515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3"/>
      <color rgb="FF000000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Calibri"/>
      <family val="2"/>
      <scheme val="minor"/>
    </font>
    <font>
      <sz val="11"/>
      <color rgb="FF202124"/>
      <name val="Roboto"/>
    </font>
    <font>
      <b/>
      <sz val="12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0"/>
      <color rgb="FF202124"/>
      <name val="Roboto"/>
    </font>
    <font>
      <sz val="22"/>
      <name val="Calibri Light"/>
      <family val="2"/>
      <scheme val="major"/>
    </font>
    <font>
      <sz val="10"/>
      <name val="Calibri Light"/>
      <family val="2"/>
      <scheme val="major"/>
    </font>
    <font>
      <sz val="14"/>
      <color theme="0" tint="-4.9989318521683403E-2"/>
      <name val="Calibri Light"/>
      <family val="2"/>
      <scheme val="major"/>
    </font>
    <font>
      <sz val="9"/>
      <color rgb="FF000000"/>
      <name val="Calibri"/>
      <family val="2"/>
      <scheme val="minor"/>
    </font>
    <font>
      <sz val="12"/>
      <color rgb="FF222222"/>
      <name val="Arial"/>
      <family val="2"/>
    </font>
    <font>
      <sz val="10"/>
      <color rgb="FF202124"/>
      <name val="Calibri Light"/>
      <family val="2"/>
      <scheme val="major"/>
    </font>
    <font>
      <sz val="10"/>
      <color rgb="FFF66708"/>
      <name val="Calibri"/>
      <family val="2"/>
    </font>
    <font>
      <sz val="12"/>
      <color rgb="FF000000"/>
      <name val="Helvetica"/>
      <family val="2"/>
    </font>
  </fonts>
  <fills count="2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 style="thin">
        <color theme="6" tint="0.39997558519241921"/>
      </bottom>
      <diagonal/>
    </border>
    <border>
      <left/>
      <right style="thin">
        <color theme="6" tint="0.39997558519241921"/>
      </right>
      <top/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6"/>
      </left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theme="6" tint="0.39997558519241921"/>
      </left>
      <right style="thin">
        <color theme="6"/>
      </right>
      <top style="thin">
        <color theme="6" tint="0.399975585192419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6" tint="0.39997558519241921"/>
      </right>
      <top/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theme="6"/>
      </left>
      <right style="thin">
        <color theme="6" tint="0.39997558519241921"/>
      </right>
      <top/>
      <bottom/>
      <diagonal/>
    </border>
    <border>
      <left style="thin">
        <color theme="6" tint="0.39997558519241921"/>
      </left>
      <right style="thin">
        <color theme="6"/>
      </right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6" tint="0.39997558519241921"/>
      </left>
      <right style="thin">
        <color theme="6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/>
      </left>
      <right style="thin">
        <color theme="6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9">
    <xf numFmtId="0" fontId="0" fillId="0" borderId="0"/>
    <xf numFmtId="0" fontId="5" fillId="0" borderId="3" applyNumberFormat="0" applyFill="0" applyAlignment="0" applyProtection="0"/>
    <xf numFmtId="0" fontId="3" fillId="2" borderId="0" applyNumberFormat="0" applyBorder="0" applyAlignment="0" applyProtection="0"/>
    <xf numFmtId="0" fontId="2" fillId="0" borderId="0"/>
    <xf numFmtId="0" fontId="13" fillId="10" borderId="17" applyNumberFormat="0" applyFill="0" applyBorder="0" applyAlignment="0" applyProtection="0"/>
    <xf numFmtId="0" fontId="16" fillId="0" borderId="22" applyNumberFormat="0" applyFill="0" applyAlignment="0" applyProtection="0"/>
    <xf numFmtId="0" fontId="1" fillId="2" borderId="0" applyNumberFormat="0" applyBorder="0" applyAlignment="0" applyProtection="0"/>
    <xf numFmtId="0" fontId="1" fillId="0" borderId="0"/>
    <xf numFmtId="9" fontId="20" fillId="0" borderId="0" applyFont="0" applyFill="0" applyBorder="0" applyAlignment="0" applyProtection="0"/>
  </cellStyleXfs>
  <cellXfs count="197">
    <xf numFmtId="0" fontId="0" fillId="0" borderId="0" xfId="0" applyAlignment="1">
      <alignment wrapText="1"/>
    </xf>
    <xf numFmtId="0" fontId="9" fillId="0" borderId="0" xfId="0" applyFont="1" applyAlignment="1">
      <alignment wrapText="1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vertical="center" wrapText="1"/>
    </xf>
    <xf numFmtId="0" fontId="9" fillId="8" borderId="0" xfId="0" applyFont="1" applyFill="1" applyAlignment="1">
      <alignment wrapText="1"/>
    </xf>
    <xf numFmtId="0" fontId="9" fillId="0" borderId="0" xfId="0" applyFont="1"/>
    <xf numFmtId="0" fontId="9" fillId="0" borderId="0" xfId="0" applyFont="1" applyAlignment="1">
      <alignment horizontal="center" vertical="center" textRotation="90" wrapText="1"/>
    </xf>
    <xf numFmtId="0" fontId="9" fillId="5" borderId="0" xfId="0" applyFont="1" applyFill="1" applyAlignment="1">
      <alignment wrapText="1"/>
    </xf>
    <xf numFmtId="0" fontId="9" fillId="7" borderId="0" xfId="0" applyFont="1" applyFill="1" applyAlignment="1">
      <alignment wrapText="1"/>
    </xf>
    <xf numFmtId="0" fontId="9" fillId="9" borderId="0" xfId="0" applyFont="1" applyFill="1" applyAlignment="1">
      <alignment wrapText="1"/>
    </xf>
    <xf numFmtId="0" fontId="12" fillId="7" borderId="0" xfId="0" applyFont="1" applyFill="1" applyAlignment="1">
      <alignment wrapText="1"/>
    </xf>
    <xf numFmtId="0" fontId="10" fillId="3" borderId="8" xfId="0" applyFont="1" applyFill="1" applyBorder="1" applyAlignment="1">
      <alignment horizontal="center" vertical="center" wrapText="1"/>
    </xf>
    <xf numFmtId="0" fontId="10" fillId="3" borderId="9" xfId="0" applyFont="1" applyFill="1" applyBorder="1" applyAlignment="1">
      <alignment horizontal="center" vertical="center" textRotation="90" wrapText="1"/>
    </xf>
    <xf numFmtId="0" fontId="10" fillId="3" borderId="8" xfId="0" applyFont="1" applyFill="1" applyBorder="1" applyAlignment="1">
      <alignment horizontal="center" vertical="center" textRotation="90" wrapText="1"/>
    </xf>
    <xf numFmtId="0" fontId="10" fillId="3" borderId="12" xfId="0" applyFont="1" applyFill="1" applyBorder="1" applyAlignment="1">
      <alignment horizontal="center" vertical="center" textRotation="90" wrapText="1"/>
    </xf>
    <xf numFmtId="0" fontId="9" fillId="0" borderId="0" xfId="0" applyFont="1" applyAlignment="1">
      <alignment textRotation="90" wrapText="1"/>
    </xf>
    <xf numFmtId="0" fontId="12" fillId="4" borderId="11" xfId="0" applyFont="1" applyFill="1" applyBorder="1"/>
    <xf numFmtId="0" fontId="12" fillId="0" borderId="11" xfId="0" applyFont="1" applyBorder="1"/>
    <xf numFmtId="0" fontId="12" fillId="0" borderId="10" xfId="0" applyFont="1" applyBorder="1"/>
    <xf numFmtId="0" fontId="10" fillId="3" borderId="14" xfId="0" applyFont="1" applyFill="1" applyBorder="1" applyAlignment="1">
      <alignment horizontal="center" vertical="center" textRotation="90" wrapText="1"/>
    </xf>
    <xf numFmtId="0" fontId="10" fillId="3" borderId="15" xfId="0" applyFont="1" applyFill="1" applyBorder="1" applyAlignment="1">
      <alignment horizontal="center" vertical="center" textRotation="90" wrapText="1"/>
    </xf>
    <xf numFmtId="0" fontId="10" fillId="3" borderId="0" xfId="0" applyFont="1" applyFill="1" applyAlignment="1">
      <alignment horizontal="center" vertical="center" wrapText="1"/>
    </xf>
    <xf numFmtId="0" fontId="12" fillId="0" borderId="4" xfId="0" applyFont="1" applyBorder="1" applyAlignment="1">
      <alignment wrapText="1"/>
    </xf>
    <xf numFmtId="0" fontId="9" fillId="0" borderId="0" xfId="0" applyFont="1" applyAlignment="1">
      <alignment vertical="center" wrapText="1"/>
    </xf>
    <xf numFmtId="0" fontId="9" fillId="0" borderId="5" xfId="0" applyFont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2" fillId="0" borderId="11" xfId="0" applyFont="1" applyBorder="1" applyAlignment="1">
      <alignment wrapText="1"/>
    </xf>
    <xf numFmtId="0" fontId="9" fillId="0" borderId="0" xfId="0" applyFont="1" applyAlignment="1">
      <alignment horizontal="left" wrapText="1" indent="1"/>
    </xf>
    <xf numFmtId="18" fontId="9" fillId="0" borderId="0" xfId="0" applyNumberFormat="1" applyFont="1" applyAlignment="1">
      <alignment horizontal="center" wrapText="1"/>
    </xf>
    <xf numFmtId="0" fontId="17" fillId="0" borderId="0" xfId="0" applyFont="1" applyAlignment="1">
      <alignment wrapText="1"/>
    </xf>
    <xf numFmtId="165" fontId="9" fillId="0" borderId="0" xfId="0" quotePrefix="1" applyNumberFormat="1" applyFont="1" applyAlignment="1">
      <alignment wrapText="1"/>
    </xf>
    <xf numFmtId="165" fontId="9" fillId="0" borderId="0" xfId="0" applyNumberFormat="1" applyFont="1" applyAlignment="1">
      <alignment wrapText="1"/>
    </xf>
    <xf numFmtId="165" fontId="15" fillId="0" borderId="0" xfId="0" quotePrefix="1" applyNumberFormat="1" applyFont="1" applyAlignment="1">
      <alignment wrapText="1"/>
    </xf>
    <xf numFmtId="0" fontId="4" fillId="0" borderId="0" xfId="0" applyFont="1" applyAlignment="1">
      <alignment wrapText="1"/>
    </xf>
    <xf numFmtId="0" fontId="16" fillId="0" borderId="22" xfId="5" applyAlignment="1">
      <alignment wrapText="1"/>
    </xf>
    <xf numFmtId="0" fontId="4" fillId="11" borderId="0" xfId="0" applyFont="1" applyFill="1" applyAlignment="1">
      <alignment wrapText="1"/>
    </xf>
    <xf numFmtId="0" fontId="0" fillId="11" borderId="0" xfId="0" applyFill="1" applyAlignment="1">
      <alignment wrapText="1"/>
    </xf>
    <xf numFmtId="0" fontId="16" fillId="11" borderId="22" xfId="5" applyFill="1" applyAlignment="1">
      <alignment wrapText="1"/>
    </xf>
    <xf numFmtId="166" fontId="0" fillId="0" borderId="0" xfId="0" applyNumberFormat="1" applyAlignment="1">
      <alignment wrapText="1"/>
    </xf>
    <xf numFmtId="166" fontId="4" fillId="0" borderId="0" xfId="0" applyNumberFormat="1" applyFont="1" applyAlignment="1">
      <alignment wrapText="1"/>
    </xf>
    <xf numFmtId="166" fontId="0" fillId="11" borderId="0" xfId="0" applyNumberFormat="1" applyFill="1" applyAlignment="1">
      <alignment wrapText="1"/>
    </xf>
    <xf numFmtId="166" fontId="16" fillId="11" borderId="22" xfId="5" applyNumberFormat="1" applyFill="1" applyAlignment="1">
      <alignment wrapText="1"/>
    </xf>
    <xf numFmtId="166" fontId="4" fillId="11" borderId="0" xfId="0" applyNumberFormat="1" applyFont="1" applyFill="1" applyAlignment="1">
      <alignment wrapText="1"/>
    </xf>
    <xf numFmtId="0" fontId="9" fillId="12" borderId="0" xfId="0" applyFont="1" applyFill="1" applyAlignment="1">
      <alignment wrapText="1"/>
    </xf>
    <xf numFmtId="0" fontId="14" fillId="0" borderId="0" xfId="0" applyFont="1" applyAlignment="1">
      <alignment wrapText="1"/>
    </xf>
    <xf numFmtId="0" fontId="10" fillId="3" borderId="23" xfId="0" applyFont="1" applyFill="1" applyBorder="1" applyAlignment="1">
      <alignment horizontal="center" vertical="center" wrapText="1"/>
    </xf>
    <xf numFmtId="0" fontId="10" fillId="3" borderId="24" xfId="0" applyFont="1" applyFill="1" applyBorder="1" applyAlignment="1">
      <alignment horizontal="center" vertical="center" wrapText="1"/>
    </xf>
    <xf numFmtId="0" fontId="10" fillId="3" borderId="25" xfId="0" applyFont="1" applyFill="1" applyBorder="1" applyAlignment="1">
      <alignment horizontal="center" vertical="center" textRotation="90" wrapText="1"/>
    </xf>
    <xf numFmtId="0" fontId="10" fillId="3" borderId="23" xfId="0" applyFont="1" applyFill="1" applyBorder="1" applyAlignment="1">
      <alignment horizontal="center" vertical="center" textRotation="90" wrapText="1"/>
    </xf>
    <xf numFmtId="0" fontId="10" fillId="3" borderId="24" xfId="0" applyFont="1" applyFill="1" applyBorder="1" applyAlignment="1">
      <alignment horizontal="center" vertical="center" textRotation="90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1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textRotation="90"/>
    </xf>
    <xf numFmtId="164" fontId="10" fillId="0" borderId="18" xfId="0" applyNumberFormat="1" applyFont="1" applyBorder="1" applyAlignment="1">
      <alignment horizontal="center" vertical="center"/>
    </xf>
    <xf numFmtId="164" fontId="10" fillId="0" borderId="19" xfId="0" applyNumberFormat="1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 textRotation="90"/>
    </xf>
    <xf numFmtId="0" fontId="10" fillId="0" borderId="19" xfId="0" applyFont="1" applyBorder="1" applyAlignment="1">
      <alignment horizontal="center" vertical="center" textRotation="90"/>
    </xf>
    <xf numFmtId="0" fontId="10" fillId="0" borderId="20" xfId="0" applyFont="1" applyBorder="1" applyAlignment="1">
      <alignment horizontal="center" vertical="center" textRotation="90"/>
    </xf>
    <xf numFmtId="0" fontId="10" fillId="0" borderId="21" xfId="0" applyFont="1" applyBorder="1" applyAlignment="1">
      <alignment horizontal="center" vertical="center" textRotation="90"/>
    </xf>
    <xf numFmtId="0" fontId="11" fillId="0" borderId="0" xfId="0" applyFont="1" applyAlignment="1">
      <alignment horizontal="center" vertical="center" textRotation="90"/>
    </xf>
    <xf numFmtId="0" fontId="10" fillId="0" borderId="12" xfId="0" applyFont="1" applyBorder="1" applyAlignment="1">
      <alignment horizontal="center" vertical="center" textRotation="90"/>
    </xf>
    <xf numFmtId="0" fontId="10" fillId="0" borderId="12" xfId="0" applyFont="1" applyBorder="1" applyAlignment="1">
      <alignment horizontal="center" vertical="center"/>
    </xf>
    <xf numFmtId="0" fontId="13" fillId="0" borderId="0" xfId="4" applyNumberFormat="1" applyFill="1" applyBorder="1" applyAlignment="1"/>
    <xf numFmtId="0" fontId="4" fillId="0" borderId="0" xfId="0" applyFont="1"/>
    <xf numFmtId="0" fontId="0" fillId="0" borderId="0" xfId="0"/>
    <xf numFmtId="0" fontId="1" fillId="2" borderId="13" xfId="2" applyFont="1" applyBorder="1" applyAlignment="1">
      <alignment horizontal="centerContinuous" vertical="center" wrapText="1"/>
    </xf>
    <xf numFmtId="0" fontId="1" fillId="2" borderId="5" xfId="2" applyFont="1" applyBorder="1" applyAlignment="1">
      <alignment horizontal="center" wrapText="1"/>
    </xf>
    <xf numFmtId="0" fontId="1" fillId="2" borderId="5" xfId="2" applyFont="1" applyBorder="1" applyAlignment="1">
      <alignment horizontal="center" vertical="center" wrapText="1"/>
    </xf>
    <xf numFmtId="20" fontId="1" fillId="2" borderId="5" xfId="2" applyNumberFormat="1" applyFont="1" applyBorder="1" applyAlignment="1">
      <alignment horizontal="center" wrapText="1"/>
    </xf>
    <xf numFmtId="20" fontId="1" fillId="2" borderId="6" xfId="2" applyNumberFormat="1" applyFont="1" applyBorder="1" applyAlignment="1">
      <alignment horizontal="center" wrapText="1"/>
    </xf>
    <xf numFmtId="0" fontId="1" fillId="2" borderId="5" xfId="2" applyFont="1" applyBorder="1" applyAlignment="1">
      <alignment horizontal="left" wrapText="1"/>
    </xf>
    <xf numFmtId="0" fontId="9" fillId="0" borderId="0" xfId="4" applyNumberFormat="1" applyFont="1" applyFill="1" applyBorder="1" applyAlignment="1"/>
    <xf numFmtId="0" fontId="9" fillId="13" borderId="0" xfId="0" applyFont="1" applyFill="1" applyAlignment="1">
      <alignment wrapText="1"/>
    </xf>
    <xf numFmtId="0" fontId="10" fillId="0" borderId="18" xfId="0" applyFont="1" applyBorder="1" applyAlignment="1">
      <alignment horizontal="center" vertical="center" textRotation="90" wrapText="1"/>
    </xf>
    <xf numFmtId="0" fontId="10" fillId="0" borderId="19" xfId="0" applyFont="1" applyBorder="1" applyAlignment="1">
      <alignment horizontal="center" vertical="center" wrapText="1"/>
    </xf>
    <xf numFmtId="0" fontId="19" fillId="0" borderId="0" xfId="0" applyFont="1"/>
    <xf numFmtId="10" fontId="0" fillId="0" borderId="0" xfId="8" applyNumberFormat="1" applyFont="1" applyAlignment="1">
      <alignment wrapText="1"/>
    </xf>
    <xf numFmtId="10" fontId="0" fillId="11" borderId="0" xfId="8" applyNumberFormat="1" applyFont="1" applyFill="1" applyAlignment="1">
      <alignment wrapText="1"/>
    </xf>
    <xf numFmtId="10" fontId="16" fillId="11" borderId="22" xfId="8" applyNumberFormat="1" applyFont="1" applyFill="1" applyBorder="1" applyAlignment="1">
      <alignment wrapText="1"/>
    </xf>
    <xf numFmtId="167" fontId="0" fillId="0" borderId="0" xfId="0" applyNumberFormat="1" applyAlignment="1">
      <alignment wrapText="1"/>
    </xf>
    <xf numFmtId="167" fontId="0" fillId="11" borderId="0" xfId="0" applyNumberFormat="1" applyFill="1" applyAlignment="1">
      <alignment wrapText="1"/>
    </xf>
    <xf numFmtId="168" fontId="0" fillId="0" borderId="0" xfId="8" applyNumberFormat="1" applyFont="1" applyAlignment="1">
      <alignment wrapText="1"/>
    </xf>
    <xf numFmtId="168" fontId="0" fillId="11" borderId="0" xfId="8" applyNumberFormat="1" applyFont="1" applyFill="1" applyAlignment="1">
      <alignment wrapText="1"/>
    </xf>
    <xf numFmtId="0" fontId="22" fillId="0" borderId="0" xfId="0" applyFont="1" applyAlignment="1">
      <alignment wrapText="1"/>
    </xf>
    <xf numFmtId="167" fontId="22" fillId="0" borderId="0" xfId="0" applyNumberFormat="1" applyFont="1" applyAlignment="1">
      <alignment wrapText="1"/>
    </xf>
    <xf numFmtId="168" fontId="22" fillId="0" borderId="0" xfId="8" applyNumberFormat="1" applyFont="1" applyAlignment="1">
      <alignment wrapText="1"/>
    </xf>
    <xf numFmtId="1" fontId="0" fillId="11" borderId="0" xfId="0" applyNumberFormat="1" applyFill="1" applyAlignment="1">
      <alignment wrapText="1"/>
    </xf>
    <xf numFmtId="1" fontId="0" fillId="0" borderId="0" xfId="0" applyNumberFormat="1" applyAlignment="1">
      <alignment wrapText="1"/>
    </xf>
    <xf numFmtId="0" fontId="14" fillId="0" borderId="0" xfId="4" applyNumberFormat="1" applyFont="1" applyFill="1" applyBorder="1" applyAlignment="1">
      <alignment horizontal="center" vertical="center"/>
    </xf>
    <xf numFmtId="0" fontId="21" fillId="0" borderId="0" xfId="4" applyNumberFormat="1" applyFont="1" applyFill="1" applyBorder="1" applyAlignment="1"/>
    <xf numFmtId="0" fontId="14" fillId="0" borderId="0" xfId="0" applyFont="1" applyAlignment="1">
      <alignment horizontal="center"/>
    </xf>
    <xf numFmtId="0" fontId="13" fillId="0" borderId="0" xfId="4" applyNumberFormat="1" applyFill="1" applyBorder="1" applyAlignment="1">
      <alignment horizontal="center"/>
    </xf>
    <xf numFmtId="2" fontId="13" fillId="0" borderId="0" xfId="4" applyNumberFormat="1" applyFill="1" applyBorder="1" applyAlignment="1">
      <alignment horizontal="center"/>
    </xf>
    <xf numFmtId="0" fontId="23" fillId="0" borderId="0" xfId="0" applyFont="1"/>
    <xf numFmtId="0" fontId="23" fillId="0" borderId="0" xfId="0" applyFont="1" applyAlignment="1">
      <alignment horizontal="center" vertical="center" wrapText="1"/>
    </xf>
    <xf numFmtId="164" fontId="14" fillId="0" borderId="0" xfId="0" applyNumberFormat="1" applyFont="1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3" fillId="0" borderId="0" xfId="4" applyFill="1" applyBorder="1" applyAlignment="1">
      <alignment horizontal="center"/>
    </xf>
    <xf numFmtId="0" fontId="9" fillId="4" borderId="10" xfId="0" applyFont="1" applyFill="1" applyBorder="1" applyAlignment="1">
      <alignment horizontal="center" wrapText="1"/>
    </xf>
    <xf numFmtId="0" fontId="10" fillId="14" borderId="0" xfId="0" applyFont="1" applyFill="1" applyAlignment="1">
      <alignment horizontal="center" vertical="center" wrapText="1"/>
    </xf>
    <xf numFmtId="0" fontId="10" fillId="0" borderId="0" xfId="0" applyFont="1" applyAlignment="1">
      <alignment horizontal="center" vertical="center" textRotation="90" wrapText="1"/>
    </xf>
    <xf numFmtId="0" fontId="24" fillId="0" borderId="0" xfId="0" applyFont="1" applyAlignment="1">
      <alignment wrapText="1"/>
    </xf>
    <xf numFmtId="0" fontId="25" fillId="0" borderId="0" xfId="0" applyFont="1" applyAlignment="1">
      <alignment horizontal="center" wrapText="1"/>
    </xf>
    <xf numFmtId="0" fontId="9" fillId="0" borderId="0" xfId="0" quotePrefix="1" applyFont="1" applyAlignment="1">
      <alignment wrapText="1"/>
    </xf>
    <xf numFmtId="0" fontId="25" fillId="0" borderId="0" xfId="0" applyFont="1" applyAlignment="1">
      <alignment wrapText="1"/>
    </xf>
    <xf numFmtId="0" fontId="27" fillId="0" borderId="0" xfId="0" quotePrefix="1" applyFont="1" applyAlignment="1">
      <alignment wrapText="1"/>
    </xf>
    <xf numFmtId="0" fontId="9" fillId="0" borderId="0" xfId="0" quotePrefix="1" applyFont="1" applyAlignment="1">
      <alignment horizontal="center" wrapText="1"/>
    </xf>
    <xf numFmtId="0" fontId="10" fillId="15" borderId="9" xfId="0" applyFont="1" applyFill="1" applyBorder="1" applyAlignment="1">
      <alignment horizontal="center" vertical="center" textRotation="90" wrapText="1"/>
    </xf>
    <xf numFmtId="0" fontId="10" fillId="14" borderId="12" xfId="0" applyFont="1" applyFill="1" applyBorder="1" applyAlignment="1">
      <alignment horizontal="center" vertical="center" textRotation="90" wrapText="1"/>
    </xf>
    <xf numFmtId="0" fontId="10" fillId="0" borderId="12" xfId="0" applyFont="1" applyBorder="1" applyAlignment="1">
      <alignment horizontal="center" vertical="center" wrapText="1"/>
    </xf>
    <xf numFmtId="165" fontId="9" fillId="0" borderId="0" xfId="0" quotePrefix="1" applyNumberFormat="1" applyFont="1" applyAlignment="1">
      <alignment horizontal="center" wrapText="1"/>
    </xf>
    <xf numFmtId="0" fontId="14" fillId="0" borderId="5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9" fillId="0" borderId="0" xfId="0" applyFont="1" applyAlignment="1">
      <alignment wrapText="1"/>
    </xf>
    <xf numFmtId="0" fontId="29" fillId="0" borderId="0" xfId="0" applyFont="1" applyAlignment="1">
      <alignment horizontal="center" vertical="center" wrapText="1"/>
    </xf>
    <xf numFmtId="0" fontId="30" fillId="18" borderId="5" xfId="0" applyFont="1" applyFill="1" applyBorder="1" applyAlignment="1">
      <alignment vertical="center" wrapText="1"/>
    </xf>
    <xf numFmtId="0" fontId="30" fillId="18" borderId="5" xfId="0" applyFont="1" applyFill="1" applyBorder="1" applyAlignment="1">
      <alignment horizontal="center" vertical="center" wrapText="1"/>
    </xf>
    <xf numFmtId="0" fontId="30" fillId="18" borderId="0" xfId="0" applyFont="1" applyFill="1" applyAlignment="1">
      <alignment horizontal="center" vertical="center" wrapText="1"/>
    </xf>
    <xf numFmtId="0" fontId="29" fillId="16" borderId="5" xfId="0" applyFont="1" applyFill="1" applyBorder="1" applyAlignment="1">
      <alignment vertical="center" wrapText="1"/>
    </xf>
    <xf numFmtId="0" fontId="29" fillId="16" borderId="5" xfId="0" applyFont="1" applyFill="1" applyBorder="1" applyAlignment="1">
      <alignment horizontal="center" vertical="center" wrapText="1"/>
    </xf>
    <xf numFmtId="0" fontId="29" fillId="16" borderId="0" xfId="0" applyFont="1" applyFill="1" applyAlignment="1">
      <alignment horizontal="center" vertical="center" wrapText="1"/>
    </xf>
    <xf numFmtId="0" fontId="29" fillId="16" borderId="0" xfId="0" applyFont="1" applyFill="1" applyAlignment="1">
      <alignment vertical="center" wrapText="1"/>
    </xf>
    <xf numFmtId="0" fontId="29" fillId="16" borderId="0" xfId="0" applyFont="1" applyFill="1" applyAlignment="1">
      <alignment wrapText="1"/>
    </xf>
    <xf numFmtId="0" fontId="29" fillId="17" borderId="5" xfId="0" applyFont="1" applyFill="1" applyBorder="1" applyAlignment="1">
      <alignment vertical="center" wrapText="1"/>
    </xf>
    <xf numFmtId="0" fontId="29" fillId="17" borderId="5" xfId="0" applyFont="1" applyFill="1" applyBorder="1" applyAlignment="1">
      <alignment horizontal="center" vertical="center" wrapText="1"/>
    </xf>
    <xf numFmtId="0" fontId="29" fillId="17" borderId="0" xfId="0" applyFont="1" applyFill="1" applyAlignment="1">
      <alignment horizontal="center" vertical="center" wrapText="1"/>
    </xf>
    <xf numFmtId="0" fontId="29" fillId="17" borderId="0" xfId="0" applyFont="1" applyFill="1" applyAlignment="1">
      <alignment vertical="center" wrapText="1"/>
    </xf>
    <xf numFmtId="0" fontId="29" fillId="17" borderId="0" xfId="0" applyFont="1" applyFill="1" applyAlignment="1">
      <alignment wrapText="1"/>
    </xf>
    <xf numFmtId="17" fontId="29" fillId="17" borderId="5" xfId="0" applyNumberFormat="1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wrapText="1"/>
    </xf>
    <xf numFmtId="0" fontId="31" fillId="0" borderId="5" xfId="0" applyFont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32" fillId="0" borderId="0" xfId="0" applyFont="1" applyAlignment="1">
      <alignment horizontal="left" vertical="center" wrapText="1"/>
    </xf>
    <xf numFmtId="0" fontId="0" fillId="0" borderId="0" xfId="0" applyAlignment="1">
      <alignment horizontal="left" wrapText="1"/>
    </xf>
    <xf numFmtId="0" fontId="4" fillId="0" borderId="0" xfId="0" applyFont="1" applyAlignment="1">
      <alignment horizontal="center" wrapText="1"/>
    </xf>
    <xf numFmtId="0" fontId="29" fillId="19" borderId="5" xfId="0" applyFont="1" applyFill="1" applyBorder="1" applyAlignment="1">
      <alignment horizontal="center" vertical="center" wrapText="1"/>
    </xf>
    <xf numFmtId="0" fontId="33" fillId="16" borderId="5" xfId="0" applyFont="1" applyFill="1" applyBorder="1" applyAlignment="1">
      <alignment wrapText="1"/>
    </xf>
    <xf numFmtId="0" fontId="29" fillId="0" borderId="5" xfId="0" applyFont="1" applyBorder="1" applyAlignment="1">
      <alignment horizontal="center" vertical="center" wrapText="1"/>
    </xf>
    <xf numFmtId="17" fontId="29" fillId="0" borderId="5" xfId="0" applyNumberFormat="1" applyFont="1" applyBorder="1" applyAlignment="1">
      <alignment horizontal="center" vertical="center" wrapText="1"/>
    </xf>
    <xf numFmtId="0" fontId="28" fillId="20" borderId="0" xfId="0" applyFont="1" applyFill="1" applyAlignment="1">
      <alignment vertical="center" wrapText="1"/>
    </xf>
    <xf numFmtId="0" fontId="29" fillId="20" borderId="0" xfId="0" applyFont="1" applyFill="1" applyAlignment="1">
      <alignment vertical="center" wrapText="1"/>
    </xf>
    <xf numFmtId="0" fontId="29" fillId="20" borderId="0" xfId="0" applyFont="1" applyFill="1" applyAlignment="1">
      <alignment horizontal="center" vertical="center" wrapText="1"/>
    </xf>
    <xf numFmtId="0" fontId="29" fillId="0" borderId="7" xfId="0" applyFont="1" applyBorder="1" applyAlignment="1">
      <alignment vertical="center" wrapText="1"/>
    </xf>
    <xf numFmtId="0" fontId="29" fillId="0" borderId="6" xfId="0" applyFont="1" applyBorder="1" applyAlignment="1">
      <alignment horizontal="center" vertical="center" wrapText="1"/>
    </xf>
    <xf numFmtId="0" fontId="30" fillId="20" borderId="26" xfId="0" applyFont="1" applyFill="1" applyBorder="1" applyAlignment="1">
      <alignment vertical="center" wrapText="1"/>
    </xf>
    <xf numFmtId="0" fontId="30" fillId="20" borderId="27" xfId="0" applyFont="1" applyFill="1" applyBorder="1" applyAlignment="1">
      <alignment horizontal="center" vertical="center" wrapText="1"/>
    </xf>
    <xf numFmtId="0" fontId="30" fillId="20" borderId="28" xfId="0" applyFont="1" applyFill="1" applyBorder="1" applyAlignment="1">
      <alignment horizontal="center" vertical="center" wrapText="1"/>
    </xf>
    <xf numFmtId="0" fontId="29" fillId="0" borderId="29" xfId="0" applyFont="1" applyBorder="1" applyAlignment="1">
      <alignment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30" xfId="0" applyFont="1" applyBorder="1" applyAlignment="1">
      <alignment horizontal="center" vertical="center" wrapText="1"/>
    </xf>
    <xf numFmtId="0" fontId="29" fillId="5" borderId="7" xfId="0" applyFont="1" applyFill="1" applyBorder="1" applyAlignment="1">
      <alignment vertical="center" wrapText="1"/>
    </xf>
    <xf numFmtId="0" fontId="29" fillId="5" borderId="5" xfId="0" applyFont="1" applyFill="1" applyBorder="1" applyAlignment="1">
      <alignment horizontal="center" vertical="center" wrapText="1"/>
    </xf>
    <xf numFmtId="0" fontId="29" fillId="5" borderId="6" xfId="0" applyFont="1" applyFill="1" applyBorder="1" applyAlignment="1">
      <alignment horizontal="center" vertical="center" wrapText="1"/>
    </xf>
    <xf numFmtId="0" fontId="29" fillId="8" borderId="5" xfId="0" applyFont="1" applyFill="1" applyBorder="1" applyAlignment="1">
      <alignment vertical="center" wrapText="1"/>
    </xf>
    <xf numFmtId="0" fontId="29" fillId="8" borderId="5" xfId="0" applyFont="1" applyFill="1" applyBorder="1" applyAlignment="1">
      <alignment horizontal="center" vertical="center" wrapText="1"/>
    </xf>
    <xf numFmtId="0" fontId="29" fillId="8" borderId="0" xfId="0" applyFont="1" applyFill="1" applyAlignment="1">
      <alignment horizontal="center" vertical="center" wrapText="1"/>
    </xf>
    <xf numFmtId="0" fontId="29" fillId="8" borderId="0" xfId="0" applyFont="1" applyFill="1" applyAlignment="1">
      <alignment vertical="center" wrapText="1"/>
    </xf>
    <xf numFmtId="0" fontId="29" fillId="8" borderId="0" xfId="0" applyFont="1" applyFill="1" applyAlignment="1">
      <alignment wrapText="1"/>
    </xf>
    <xf numFmtId="0" fontId="29" fillId="8" borderId="7" xfId="0" applyFont="1" applyFill="1" applyBorder="1" applyAlignment="1">
      <alignment vertical="center" wrapText="1"/>
    </xf>
    <xf numFmtId="0" fontId="29" fillId="8" borderId="6" xfId="0" applyFont="1" applyFill="1" applyBorder="1" applyAlignment="1">
      <alignment horizontal="center" vertical="center" wrapText="1"/>
    </xf>
    <xf numFmtId="0" fontId="29" fillId="0" borderId="27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wrapText="1"/>
    </xf>
    <xf numFmtId="0" fontId="29" fillId="21" borderId="5" xfId="0" applyFont="1" applyFill="1" applyBorder="1" applyAlignment="1">
      <alignment horizontal="center" vertical="center" wrapText="1"/>
    </xf>
    <xf numFmtId="0" fontId="29" fillId="21" borderId="0" xfId="0" applyFont="1" applyFill="1" applyAlignment="1">
      <alignment horizontal="center" vertical="center" wrapText="1"/>
    </xf>
    <xf numFmtId="0" fontId="29" fillId="13" borderId="5" xfId="0" applyFont="1" applyFill="1" applyBorder="1" applyAlignment="1">
      <alignment horizontal="center" vertical="center" wrapText="1"/>
    </xf>
    <xf numFmtId="0" fontId="23" fillId="7" borderId="0" xfId="0" applyFont="1" applyFill="1" applyAlignment="1">
      <alignment horizontal="center" vertical="center" wrapText="1"/>
    </xf>
    <xf numFmtId="0" fontId="14" fillId="7" borderId="0" xfId="0" applyFont="1" applyFill="1" applyAlignment="1">
      <alignment horizontal="center"/>
    </xf>
    <xf numFmtId="0" fontId="9" fillId="22" borderId="5" xfId="0" applyFont="1" applyFill="1" applyBorder="1" applyAlignment="1">
      <alignment horizontal="center" vertical="center" wrapText="1"/>
    </xf>
    <xf numFmtId="0" fontId="14" fillId="5" borderId="0" xfId="0" applyFont="1" applyFill="1" applyAlignment="1">
      <alignment horizontal="center"/>
    </xf>
    <xf numFmtId="0" fontId="14" fillId="5" borderId="0" xfId="4" applyNumberFormat="1" applyFont="1" applyFill="1" applyBorder="1" applyAlignment="1">
      <alignment horizontal="center" vertical="center"/>
    </xf>
    <xf numFmtId="0" fontId="14" fillId="23" borderId="0" xfId="0" applyFont="1" applyFill="1" applyAlignment="1">
      <alignment horizontal="center"/>
    </xf>
    <xf numFmtId="0" fontId="9" fillId="0" borderId="0" xfId="4" applyFont="1" applyFill="1" applyBorder="1" applyAlignment="1"/>
    <xf numFmtId="0" fontId="21" fillId="0" borderId="0" xfId="4" applyFont="1" applyFill="1" applyBorder="1" applyAlignment="1"/>
    <xf numFmtId="0" fontId="14" fillId="0" borderId="0" xfId="4" applyFont="1" applyFill="1" applyBorder="1" applyAlignment="1">
      <alignment horizontal="center" vertical="center"/>
    </xf>
    <xf numFmtId="0" fontId="14" fillId="7" borderId="0" xfId="4" applyNumberFormat="1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 wrapText="1"/>
    </xf>
    <xf numFmtId="0" fontId="1" fillId="2" borderId="1" xfId="2" applyFont="1" applyBorder="1" applyAlignment="1">
      <alignment horizontal="center" vertical="center" wrapText="1"/>
    </xf>
    <xf numFmtId="0" fontId="1" fillId="2" borderId="2" xfId="2" applyFont="1" applyBorder="1" applyAlignment="1">
      <alignment wrapText="1"/>
    </xf>
    <xf numFmtId="0" fontId="5" fillId="0" borderId="6" xfId="1" applyFill="1" applyBorder="1" applyAlignment="1">
      <alignment horizontal="left" vertical="center" wrapText="1"/>
    </xf>
    <xf numFmtId="0" fontId="5" fillId="0" borderId="7" xfId="1" applyFill="1" applyBorder="1" applyAlignment="1">
      <alignment horizontal="left" vertical="center" wrapText="1"/>
    </xf>
    <xf numFmtId="0" fontId="1" fillId="2" borderId="6" xfId="2" applyFont="1" applyBorder="1" applyAlignment="1">
      <alignment horizontal="left" wrapText="1"/>
    </xf>
    <xf numFmtId="0" fontId="1" fillId="2" borderId="16" xfId="2" applyFont="1" applyBorder="1" applyAlignment="1">
      <alignment horizontal="left" wrapText="1"/>
    </xf>
    <xf numFmtId="0" fontId="1" fillId="2" borderId="7" xfId="2" applyFont="1" applyBorder="1" applyAlignment="1">
      <alignment horizontal="left" wrapText="1"/>
    </xf>
    <xf numFmtId="0" fontId="27" fillId="0" borderId="0" xfId="0" applyFont="1" applyAlignment="1">
      <alignment horizontal="center" wrapText="1"/>
    </xf>
    <xf numFmtId="0" fontId="26" fillId="0" borderId="0" xfId="0" applyFont="1" applyAlignment="1">
      <alignment horizontal="center" wrapText="1"/>
    </xf>
    <xf numFmtId="0" fontId="9" fillId="0" borderId="0" xfId="0" applyFont="1" applyAlignment="1">
      <alignment horizontal="center" wrapText="1"/>
    </xf>
    <xf numFmtId="0" fontId="28" fillId="0" borderId="0" xfId="0" applyFont="1" applyAlignment="1">
      <alignment horizontal="center" vertical="center" wrapText="1"/>
    </xf>
    <xf numFmtId="0" fontId="28" fillId="20" borderId="0" xfId="0" applyFont="1" applyFill="1" applyAlignment="1">
      <alignment horizontal="center" vertical="center" wrapText="1"/>
    </xf>
    <xf numFmtId="0" fontId="34" fillId="0" borderId="0" xfId="0" applyFont="1" applyAlignment="1">
      <alignment wrapText="1"/>
    </xf>
    <xf numFmtId="0" fontId="35" fillId="0" borderId="0" xfId="0" applyFont="1" applyAlignment="1">
      <alignment wrapText="1"/>
    </xf>
  </cellXfs>
  <cellStyles count="9">
    <cellStyle name="20% - Énfasis1" xfId="2" builtinId="30"/>
    <cellStyle name="20% - Énfasis1 2" xfId="6" xr:uid="{8E600CA2-C908-44D4-A081-4E1D9A6E9C0A}"/>
    <cellStyle name="Cálculo" xfId="4" builtinId="22" customBuiltin="1"/>
    <cellStyle name="Normal" xfId="0" builtinId="0"/>
    <cellStyle name="Normal 2" xfId="3" xr:uid="{F511A375-05E4-4C7A-A320-CAE040443608}"/>
    <cellStyle name="Normal 2 2" xfId="7" xr:uid="{770A5B4F-2ACD-4E52-82F4-67BE1F065976}"/>
    <cellStyle name="Porcentaje" xfId="8" builtinId="5"/>
    <cellStyle name="Título 2" xfId="1" builtinId="17"/>
    <cellStyle name="Título 3" xfId="5" builtinId="18"/>
  </cellStyles>
  <dxfs count="1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 tint="-4.9989318521683403E-2"/>
        <name val="Calibri Light"/>
        <family val="2"/>
        <scheme val="maj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9" formatCode="hh:mm\ AM/PM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9" formatCode="hh:mm\ AM/PM"/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9" formatCode="hh:mm\ AM/PM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</dxf>
    <dxf>
      <border outline="0">
        <top style="thin">
          <color theme="6" tint="0.39997558519241921"/>
        </top>
      </border>
    </dxf>
    <dxf>
      <border outline="0"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center" vertical="center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border outline="0">
        <top style="thin">
          <color theme="6" tint="0.39997558519241921"/>
        </top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border outline="0">
        <top style="thin">
          <color theme="6" tint="0.39997558519241921"/>
        </top>
      </border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2" formatCode="0.00"/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[$-80A]hh:mm\ AM/PM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[$-80A]hh:mm\ AM/PM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wrapText="0" indent="0" justifyLastLine="0" shrinkToFit="0" readingOrder="0"/>
    </dxf>
    <dxf>
      <border outline="0">
        <top style="thin">
          <color theme="6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auto="1"/>
      </font>
      <fill>
        <patternFill>
          <fgColor rgb="FFFF8989"/>
          <bgColor theme="5" tint="0.79998168889431442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auto="1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CC99FF"/>
      <color rgb="FFFF8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0</xdr:row>
          <xdr:rowOff>152400</xdr:rowOff>
        </xdr:from>
        <xdr:to>
          <xdr:col>9</xdr:col>
          <xdr:colOff>1828800</xdr:colOff>
          <xdr:row>1</xdr:row>
          <xdr:rowOff>215900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482600</xdr:colOff>
          <xdr:row>0</xdr:row>
          <xdr:rowOff>152400</xdr:rowOff>
        </xdr:from>
        <xdr:to>
          <xdr:col>9</xdr:col>
          <xdr:colOff>1828800</xdr:colOff>
          <xdr:row>2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152400</xdr:rowOff>
        </xdr:from>
        <xdr:to>
          <xdr:col>7</xdr:col>
          <xdr:colOff>1828800</xdr:colOff>
          <xdr:row>1</xdr:row>
          <xdr:rowOff>215900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285750</xdr:colOff>
      <xdr:row>0</xdr:row>
      <xdr:rowOff>47625</xdr:rowOff>
    </xdr:from>
    <xdr:to>
      <xdr:col>24</xdr:col>
      <xdr:colOff>284701</xdr:colOff>
      <xdr:row>26</xdr:row>
      <xdr:rowOff>294588</xdr:rowOff>
    </xdr:to>
    <xdr:pic>
      <xdr:nvPicPr>
        <xdr:cNvPr id="4" name="Imagen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67550" y="47625"/>
          <a:ext cx="8390476" cy="549523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ia Teresa Orvananos Guerrero" id="{E5CC3CD7-7907-46C7-AB9C-682D23A3D049}" userId="Maria Teresa Orvananos Guerrero" providerId="None"/>
  <person displayName="Begona Noriega Olalde" id="{D2D8617A-7471-4D00-8015-FCE83F00881A}" userId="S::bnoriegao@up.edu.mx::72c30395-ceab-46b0-a09e-b79c44ef28de" providerId="AD"/>
  <person displayName="Laura Patricia Renteria Solis" id="{8079AA11-23E2-46B7-BACF-4A32A5F4AD6A}" userId="S::lrenteria@up.edu.mx::3ac73998-666c-4404-bc35-90ca7806c93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base_de_datos" displayName="base_de_datos" ref="B2:AX256" totalsRowShown="0" headerRowDxfId="177" dataDxfId="175" totalsRowDxfId="173" headerRowBorderDxfId="176" tableBorderDxfId="174">
  <autoFilter ref="B2:AX256" xr:uid="{00000000-000C-0000-FFFF-FFFF00000000}"/>
  <tableColumns count="49">
    <tableColumn id="1" xr3:uid="{00000000-0010-0000-0000-000001000000}" name="Profesor" dataDxfId="172" totalsRowDxfId="171"/>
    <tableColumn id="2" xr3:uid="{00000000-0010-0000-0000-000002000000}" name="Materia" dataDxfId="170" totalsRowDxfId="169"/>
    <tableColumn id="20" xr3:uid="{00000000-0010-0000-0000-000014000000}" name="Número de grupo " dataDxfId="168" totalsRowDxfId="167"/>
    <tableColumn id="3" xr3:uid="{00000000-0010-0000-0000-000003000000}" name="Hora inicio" dataDxfId="166" totalsRowDxfId="165"/>
    <tableColumn id="4" xr3:uid="{00000000-0010-0000-0000-000004000000}" name="Hora fin" dataDxfId="164" totalsRowDxfId="163"/>
    <tableColumn id="7" xr3:uid="{00000000-0010-0000-0000-000007000000}" name="Se paga" dataDxfId="162" totalsRowDxfId="161"/>
    <tableColumn id="21" xr3:uid="{00000000-0010-0000-0000-000015000000}" name="Aula" dataDxfId="160" totalsRowDxfId="159"/>
    <tableColumn id="49" xr3:uid="{4F92F078-2BDF-4F7E-A214-9809087AB1C6}" name="Capacidad" dataDxfId="158" totalsRowDxfId="157">
      <calculatedColumnFormula>INDEX(Aulas_capacidad,MATCH(base_de_datos[[#This Row],[Aula]],Aulas,0),2)</calculatedColumnFormula>
    </tableColumn>
    <tableColumn id="31" xr3:uid="{450FC873-2698-4198-969C-3589A2457771}" name="Inscritos" dataDxfId="156" totalsRowDxfId="155"/>
    <tableColumn id="47" xr3:uid="{679BB7F3-9C04-4367-A697-497A007F6B2A}" name="Cap 1.5" dataDxfId="154" totalsRowDxfId="153">
      <calculatedColumnFormula>INDEX(Aulas_capacidad,MATCH(base_de_datos[[#This Row],[Aula]],Aulas,0),4)</calculatedColumnFormula>
    </tableColumn>
    <tableColumn id="6" xr3:uid="{0AE47002-7715-418E-BE5D-C2F99303B594}" name="Diferencia 1.5" dataDxfId="152" totalsRowDxfId="151">
      <calculatedColumnFormula>base_de_datos[[#This Row],[Cap 1.5]]-base_de_datos[[#This Row],[Inscritos]]</calculatedColumnFormula>
    </tableColumn>
    <tableColumn id="46" xr3:uid="{72968632-C368-40EB-843E-0B865FEDF061}" name="Cap .90" dataDxfId="150" totalsRowDxfId="149">
      <calculatedColumnFormula>INDEX(Aulas_capacidad,MATCH(base_de_datos[[#This Row],[Aula]],Aulas,0),5)</calculatedColumnFormula>
    </tableColumn>
    <tableColumn id="45" xr3:uid="{1B92A662-284F-4CAE-B959-A6280274E2EF}" name="Diferencia .90" dataDxfId="148" totalsRowDxfId="147">
      <calculatedColumnFormula>base_de_datos[[#This Row],[Cap .90]]-base_de_datos[[#This Row],[Inscritos]]</calculatedColumnFormula>
    </tableColumn>
    <tableColumn id="22" xr3:uid="{00000000-0010-0000-0000-000016000000}" name="No clase" dataDxfId="146" totalsRowDxfId="145"/>
    <tableColumn id="8" xr3:uid="{00000000-0010-0000-0000-000008000000}" name="Lunes" dataDxfId="144" totalsRowDxfId="143"/>
    <tableColumn id="9" xr3:uid="{00000000-0010-0000-0000-000009000000}" name="Martes" dataDxfId="142" totalsRowDxfId="141"/>
    <tableColumn id="10" xr3:uid="{00000000-0010-0000-0000-00000A000000}" name="Miércoles" dataDxfId="140" totalsRowDxfId="139"/>
    <tableColumn id="11" xr3:uid="{00000000-0010-0000-0000-00000B000000}" name="Jueves" dataDxfId="138" totalsRowDxfId="137"/>
    <tableColumn id="12" xr3:uid="{00000000-0010-0000-0000-00000C000000}" name="Viernes" dataDxfId="136" totalsRowDxfId="135"/>
    <tableColumn id="32" xr3:uid="{1A282C38-A7C2-4B62-884A-36F74F5D4452}" name="Sábado" dataDxfId="134" totalsRowDxfId="133"/>
    <tableColumn id="28" xr3:uid="{58ADEBED-DF4D-4CD5-AF32-AE5E8CAD41E2}" name="Inglés" dataDxfId="132" totalsRowDxfId="131"/>
    <tableColumn id="34" xr3:uid="{E6E2F771-32C0-452F-95BE-80D990BBF384}" name="Examen" dataDxfId="130" totalsRowDxfId="129"/>
    <tableColumn id="27" xr3:uid="{00000000-0010-0000-0000-00001B000000}" name="HT Plan" dataDxfId="128" totalsRowDxfId="127">
      <calculatedColumnFormula>_xlfn.XLOOKUP(base_de_datos[[#This Row],[Materia]],Materias,Horas)/16</calculatedColumnFormula>
    </tableColumn>
    <tableColumn id="5" xr3:uid="{00000000-0010-0000-0000-000005000000}" name="Horas" dataDxfId="126" totalsRowDxfId="125">
      <calculatedColumnFormula>ROUND(((base_de_datos[[#This Row],[Hora fin]]-base_de_datos[[#This Row],[Hora inicio]])*24)*(COUNTA(base_de_datos[[#This Row],[Lunes]:[Sábado]])),1)</calculatedColumnFormula>
    </tableColumn>
    <tableColumn id="35" xr3:uid="{79049B1A-FD42-4CDC-9279-B12A65C342CA}" name="Horas totales" dataDxfId="124" totalsRowDxfId="123">
      <calculatedColumnFormula>IF(base_de_datos[[#This Row],[Misma o no]]=0,"N/A",IF((OFFSET(base_de_datos[[#This Row],[Misma o no]],1,0))=0,base_de_datos[[#This Row],[Horas]]+(OFFSET(base_de_datos[[#This Row],[Horas]],1,0)),base_de_datos[[#This Row],[Horas]]))</calculatedColumnFormula>
    </tableColumn>
    <tableColumn id="33" xr3:uid="{CDFB2D4D-F9E1-4826-9207-288E46924B7C}" name="Misma o no" dataDxfId="122" totalsRowDxfId="121">
      <calculatedColumnFormula>IF(base_de_datos[[#This Row],[No clase]]=OFFSET(base_de_datos[[#This Row],[No clase]],-1,0),0,1)</calculatedColumnFormula>
    </tableColumn>
    <tableColumn id="36" xr3:uid="{88BD8E82-967D-405B-93F9-4E7E8995EAA9}" name="Error en horas" dataDxfId="120" totalsRowDxfId="119">
      <calculatedColumnFormula>IF(NOT(OR(base_de_datos[[#This Row],[Horas totales]]=base_de_datos[[#This Row],[HT Plan]],base_de_datos[[#This Row],[Horas totales]]="N/A")),1,0)</calculatedColumnFormula>
    </tableColumn>
    <tableColumn id="23" xr3:uid="{00000000-0010-0000-0000-000017000000}" name="Grado de profesor" dataDxfId="118" totalsRowDxfId="117">
      <calculatedColumnFormula>_xlfn.XLOOKUP(base_de_datos[[#This Row],[Profesor]],Nombre,Grado)</calculatedColumnFormula>
    </tableColumn>
    <tableColumn id="24" xr3:uid="{00000000-0010-0000-0000-000018000000}" name="Tipo" dataDxfId="116" totalsRowDxfId="115">
      <calculatedColumnFormula>_xlfn.XLOOKUP(base_de_datos[[#This Row],[Profesor]],Nombre,Tipo)</calculatedColumnFormula>
    </tableColumn>
    <tableColumn id="13" xr3:uid="{00000000-0010-0000-0000-00000D000000}" name="Industrial" dataDxfId="114" totalsRowDxfId="113">
      <calculatedColumnFormula>IF(IFERROR(VLOOKUP($C3,Planes_de_estudio[],MATCH($AE$2,Carreras,0)+2,0),"")&gt;0,IFERROR(VLOOKUP($C3,Planes_de_estudio[],MATCH($AE$2,Carreras,0)+2,0),""),"")</calculatedColumnFormula>
    </tableColumn>
    <tableColumn id="14" xr3:uid="{00000000-0010-0000-0000-00000E000000}" name="Mecatrónica" dataDxfId="112" totalsRowDxfId="111">
      <calculatedColumnFormula>IF(IFERROR(VLOOKUP($C3,Planes_de_estudio[],MATCH($AF$2,Carreras,0)+2,0),"")&gt;0,IFERROR(VLOOKUP($C3,Planes_de_estudio[],MATCH($AF$2,Carreras,0)+2,0),""),"")</calculatedColumnFormula>
    </tableColumn>
    <tableColumn id="15" xr3:uid="{00000000-0010-0000-0000-00000F000000}" name="Innovación y Diseño" dataDxfId="110" totalsRowDxfId="109">
      <calculatedColumnFormula>IF(IFERROR(VLOOKUP($C3,Planes_de_estudio[],MATCH($AG$2,Carreras,0)+2,0),"")&gt;0,IFERROR(VLOOKUP($C3,Planes_de_estudio[],MATCH($AG$2,Carreras,0)+2,0),""),"")</calculatedColumnFormula>
    </tableColumn>
    <tableColumn id="16" xr3:uid="{00000000-0010-0000-0000-000010000000}" name="Inteligencia Artificial" dataDxfId="108" totalsRowDxfId="107">
      <calculatedColumnFormula>IF(IFERROR(VLOOKUP($C3,Planes_de_estudio[],MATCH($AH$2,Carreras,0)+2,0),"")&gt;0,IFERROR(VLOOKUP($C3,Planes_de_estudio[],MATCH($AH$2,Carreras,0)+2,0),""),"")</calculatedColumnFormula>
    </tableColumn>
    <tableColumn id="17" xr3:uid="{00000000-0010-0000-0000-000011000000}" name="Tecnologías Energéticas" dataDxfId="106" totalsRowDxfId="105">
      <calculatedColumnFormula>IF(IFERROR(VLOOKUP($C3,Planes_de_estudio[],MATCH($AI$2,Carreras,0)+2,0),"")&gt;0,IFERROR(VLOOKUP($C3,Planes_de_estudio[],MATCH($AI$2,Carreras,0)+2,0),""),"")</calculatedColumnFormula>
    </tableColumn>
    <tableColumn id="18" xr3:uid="{00000000-0010-0000-0000-000012000000}" name="Civil y Administración" dataDxfId="104" totalsRowDxfId="103">
      <calculatedColumnFormula>IF(IFERROR(VLOOKUP($C3,Planes_de_estudio[],MATCH($AJ$2,Carreras,0)+2,0),"")&gt;0,IFERROR(VLOOKUP($C3,Planes_de_estudio[],MATCH($AJ$2,Carreras,0)+2,0),""),"")</calculatedColumnFormula>
    </tableColumn>
    <tableColumn id="19" xr3:uid="{00000000-0010-0000-0000-000013000000}" name="Bioelectrónica" dataDxfId="102" totalsRowDxfId="101">
      <calculatedColumnFormula>IF(IFERROR(VLOOKUP($C3,Planes_de_estudio[],MATCH($AK$2,Carreras,0)+2,0),"")&gt;0,IFERROR(VLOOKUP($C3,Planes_de_estudio[],MATCH($AK$2,Carreras,0)+2,0),""),"")</calculatedColumnFormula>
    </tableColumn>
    <tableColumn id="37" xr3:uid="{143545DA-7A67-4F33-A418-CD0EAAC9ECCA}" name="Índice" dataDxfId="100" totalsRowDxfId="99">
      <calculatedColumnFormula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calculatedColumnFormula>
    </tableColumn>
    <tableColumn id="29" xr3:uid="{74048100-2592-487E-9840-38073E1E7F1B}" name="Pronóstico" dataDxfId="98" totalsRowDxfId="97">
      <calculatedColumnFormula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calculatedColumnFormula>
    </tableColumn>
    <tableColumn id="30" xr3:uid="{A9AA1B51-4B55-4B75-91D3-AC99D7C6E890}" name="Grupos 25" dataDxfId="96" totalsRowDxfId="95">
      <calculatedColumnFormula>base_de_datos[[#This Row],[Pronóstico]]/25</calculatedColumnFormula>
    </tableColumn>
    <tableColumn id="25" xr3:uid="{00000000-0010-0000-0000-000019000000}" name="Academia" dataDxfId="94" totalsRowDxfId="93">
      <calculatedColumnFormula>VLOOKUP($C3,Planes_de_estudio[],2)</calculatedColumnFormula>
    </tableColumn>
    <tableColumn id="38" xr3:uid="{62386185-C4B9-40C1-835D-493146A56411}" name="ICA II" dataDxfId="92" totalsRowDxfId="91">
      <calculatedColumnFormula>IF(AND(base_de_datos[[#This Row],[Industrial]]&lt;&gt;"",base_de_datos[[#This Row],[Misma o no]]=1),base_de_datos[[#This Row],[Índice]],"")</calculatedColumnFormula>
    </tableColumn>
    <tableColumn id="39" xr3:uid="{510EBA44-6BC7-446E-BAC9-631BF54FBBDB}" name="ICA IM" dataDxfId="90" totalsRowDxfId="89">
      <calculatedColumnFormula>IF(AND(base_de_datos[[#This Row],[Mecatrónica]]&lt;&gt;"",base_de_datos[[#This Row],[Misma o no]]=1),base_de_datos[[#This Row],[Índice]],"")</calculatedColumnFormula>
    </tableColumn>
    <tableColumn id="40" xr3:uid="{A0B4E0BE-93CB-4D7A-909D-22C0195ED580}" name="ICA IID" dataDxfId="88" totalsRowDxfId="87">
      <calculatedColumnFormula>IF(AND(base_de_datos[[#This Row],[Innovación y Diseño]]&lt;&gt;"",base_de_datos[[#This Row],[Misma o no]]=1),base_de_datos[[#This Row],[Índice]],"")</calculatedColumnFormula>
    </tableColumn>
    <tableColumn id="41" xr3:uid="{73AF69BB-62F6-4733-A44F-7A2BE33DB3F5}" name="ICA IIA" dataDxfId="86" totalsRowDxfId="85">
      <calculatedColumnFormula>IF(AND(base_de_datos[[#This Row],[Inteligencia Artificial]]&lt;&gt;"",base_de_datos[[#This Row],[Misma o no]]=1),base_de_datos[[#This Row],[Índice]],"")</calculatedColumnFormula>
    </tableColumn>
    <tableColumn id="42" xr3:uid="{B58E6916-E8AA-4939-96A1-39773EDF3A0B}" name="ICA ITE" dataDxfId="84" totalsRowDxfId="83">
      <calculatedColumnFormula>IF(AND(base_de_datos[[#This Row],[Tecnologías Energéticas]]&lt;&gt;"",base_de_datos[[#This Row],[Misma o no]]=1),base_de_datos[[#This Row],[Índice]],"")</calculatedColumnFormula>
    </tableColumn>
    <tableColumn id="43" xr3:uid="{D77482D1-BF27-4EF1-9FE2-843086EC2274}" name="ICA ICA" dataDxfId="82" totalsRowDxfId="81">
      <calculatedColumnFormula>IF(AND(base_de_datos[[#This Row],[Civil y Administración]]&lt;&gt;"",base_de_datos[[#This Row],[Misma o no]]=1),base_de_datos[[#This Row],[Índice]],"")</calculatedColumnFormula>
    </tableColumn>
    <tableColumn id="44" xr3:uid="{00DAD73C-E9CF-47EC-9C3B-90CF5C3AF5EF}" name="ICA IBE" dataDxfId="80" totalsRowDxfId="79">
      <calculatedColumnFormula>IF(AND(base_de_datos[[#This Row],[Bioelectrónica]]&lt;&gt;"",base_de_datos[[#This Row],[Misma o no]]=1),base_de_datos[[#This Row],[Índice]],"")</calculatedColumnFormula>
    </tableColumn>
    <tableColumn id="48" xr3:uid="{57FBB4CD-2403-4E54-B7E7-A9B7BA7F192B}" name="Liga de zoom" dataDxfId="78" totalsRowDxfId="77"/>
    <tableColumn id="26" xr3:uid="{1F6737E1-550C-4E7F-9393-44D3F533958E}" name="Columna1" dataDxfId="76" totalsRowDxfId="75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997230-A568-44C4-9C4F-4BED4F24A96C}" name="Pronóstico" displayName="Pronóstico" ref="D3:L23" headerRowCount="0" totalsRowShown="0" headerRowDxfId="74" dataDxfId="73" tableBorderDxfId="72">
  <tableColumns count="9">
    <tableColumn id="1" xr3:uid="{9B55D487-F113-4099-BA8C-306D0C699A1D}" name="Columna1" headerRowDxfId="71" dataDxfId="70"/>
    <tableColumn id="2" xr3:uid="{7DDB31E6-A3E9-4EFE-ADD1-FED08D99A33D}" name="Columna2" headerRowDxfId="69" dataDxfId="68"/>
    <tableColumn id="3" xr3:uid="{977A142B-5261-44C1-88DD-62EA8E73DBD1}" name="Columna3" headerRowDxfId="67" dataDxfId="66"/>
    <tableColumn id="4" xr3:uid="{D1F46AB5-ACDA-47F2-80FC-071CC7118CFE}" name="Columna4" headerRowDxfId="65" dataDxfId="64"/>
    <tableColumn id="5" xr3:uid="{1894AA8F-BF89-4A73-B2F9-3265A33A502F}" name="Columna5" headerRowDxfId="63" dataDxfId="62"/>
    <tableColumn id="6" xr3:uid="{F00768E7-7D5F-4B69-9A67-BA7797C9A4B9}" name="Columna6" headerRowDxfId="61" dataDxfId="60"/>
    <tableColumn id="7" xr3:uid="{4A962FAE-271B-466A-B405-4337190445A4}" name="Columna7" headerRowDxfId="59" dataDxfId="58"/>
    <tableColumn id="9" xr3:uid="{08EE6E13-218B-4FF1-9322-3E2FC40A7C72}" name="Columna9" headerRowDxfId="57" dataDxfId="56">
      <calculatedColumnFormula>SUM(D3:J3)</calculatedColumnFormula>
    </tableColumn>
    <tableColumn id="8" xr3:uid="{05E992C4-0218-4C90-A50B-C161E6D84CC9}" name="Columna8" headerRowDxfId="55" dataDxfId="54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Planes_de_estudio" displayName="Planes_de_estudio" ref="B2:Z227" totalsRowShown="0" headerRowDxfId="53" dataDxfId="51" headerRowBorderDxfId="52" tableBorderDxfId="50">
  <tableColumns count="25">
    <tableColumn id="1" xr3:uid="{00000000-0010-0000-0200-000001000000}" name="Materias" dataDxfId="49"/>
    <tableColumn id="9" xr3:uid="{00000000-0010-0000-0200-000009000000}" name="Academia" dataDxfId="48"/>
    <tableColumn id="2" xr3:uid="{00000000-0010-0000-0200-000002000000}" name="Industrial" dataDxfId="47"/>
    <tableColumn id="3" xr3:uid="{00000000-0010-0000-0200-000003000000}" name="Mecatrónica" dataDxfId="46"/>
    <tableColumn id="4" xr3:uid="{00000000-0010-0000-0200-000004000000}" name="Innovación y Diseño" dataDxfId="45"/>
    <tableColumn id="5" xr3:uid="{00000000-0010-0000-0200-000005000000}" name="Inteligencia Artificial" dataDxfId="44"/>
    <tableColumn id="6" xr3:uid="{00000000-0010-0000-0200-000006000000}" name="Tecnologías Energéticas" dataDxfId="43"/>
    <tableColumn id="7" xr3:uid="{00000000-0010-0000-0200-000007000000}" name="Civil y Administración" dataDxfId="42"/>
    <tableColumn id="8" xr3:uid="{00000000-0010-0000-0200-000008000000}" name="Bioelectrónica" dataDxfId="41"/>
    <tableColumn id="10" xr3:uid="{00000000-0010-0000-0200-00000A000000}" name="Horas" dataDxfId="40"/>
    <tableColumn id="11" xr3:uid="{00000000-0010-0000-0200-00000B000000}" name="Optativa" dataDxfId="39"/>
    <tableColumn id="25" xr3:uid="{00000000-0010-0000-0200-000019000000}" name="ID II" dataDxfId="38"/>
    <tableColumn id="24" xr3:uid="{00000000-0010-0000-0200-000018000000}" name="ID IM" dataDxfId="37"/>
    <tableColumn id="23" xr3:uid="{00000000-0010-0000-0200-000017000000}" name="ID IID" dataDxfId="36"/>
    <tableColumn id="22" xr3:uid="{00000000-0010-0000-0200-000016000000}" name="ID IIA" dataDxfId="35"/>
    <tableColumn id="21" xr3:uid="{00000000-0010-0000-0200-000015000000}" name="ID ITE" dataDxfId="34"/>
    <tableColumn id="20" xr3:uid="{00000000-0010-0000-0200-000014000000}" name="ID ICA" dataDxfId="33"/>
    <tableColumn id="19" xr3:uid="{00000000-0010-0000-0200-000013000000}" name="ID IBE" dataDxfId="32"/>
    <tableColumn id="18" xr3:uid="{00000000-0010-0000-0200-000012000000}" name="Créditos II" dataDxfId="31"/>
    <tableColumn id="17" xr3:uid="{00000000-0010-0000-0200-000011000000}" name="Créditos IM" dataDxfId="30"/>
    <tableColumn id="16" xr3:uid="{00000000-0010-0000-0200-000010000000}" name="Créditos IID" dataDxfId="29"/>
    <tableColumn id="15" xr3:uid="{00000000-0010-0000-0200-00000F000000}" name="Créditos IIA" dataDxfId="28"/>
    <tableColumn id="14" xr3:uid="{00000000-0010-0000-0200-00000E000000}" name="Créditos ITE" dataDxfId="27"/>
    <tableColumn id="13" xr3:uid="{00000000-0010-0000-0200-00000D000000}" name="Créditos ICA" dataDxfId="26"/>
    <tableColumn id="12" xr3:uid="{00000000-0010-0000-0200-00000C000000}" name="Créditos IBE" dataDxfId="25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4" displayName="Tabla4" ref="AB2:AB12" totalsRowShown="0" headerRowDxfId="24" dataDxfId="22" headerRowBorderDxfId="23" tableBorderDxfId="21" totalsRowBorderDxfId="20">
  <autoFilter ref="AB2:AB12" xr:uid="{00000000-0009-0000-0100-000004000000}"/>
  <tableColumns count="1">
    <tableColumn id="1" xr3:uid="{00000000-0010-0000-0300-000001000000}" name="Semestres" dataDxfId="1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a3" displayName="Tabla3" ref="AD2:AE32" totalsRowShown="0" headerRowDxfId="18" dataDxfId="17" tableBorderDxfId="16">
  <autoFilter ref="AD2:AE32" xr:uid="{00000000-0009-0000-0100-000003000000}"/>
  <tableColumns count="2">
    <tableColumn id="1" xr3:uid="{00000000-0010-0000-0400-000001000000}" name="Hora de inicio" dataDxfId="15"/>
    <tableColumn id="2" xr3:uid="{00000000-0010-0000-0400-000002000000}" name="Hora de fin" dataDxfId="14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49AA13B-C416-4C52-BFC5-7B8D3A1EE0C1}" name="Tabla7" displayName="Tabla7" ref="A3:G28" totalsRowShown="0" headerRowDxfId="11" dataDxfId="9" headerRowBorderDxfId="10" tableBorderDxfId="8" totalsRowBorderDxfId="7">
  <autoFilter ref="A3:G28" xr:uid="{904B9C6C-8A22-4AFB-B5B6-BD293C2EEC83}"/>
  <tableColumns count="7">
    <tableColumn id="1" xr3:uid="{D29F1522-01CE-42EE-8F79-5ACC6290A2E8}" name="Materia" dataDxfId="6"/>
    <tableColumn id="2" xr3:uid="{FE2630D7-9C6C-41BA-A2B6-CBAE2890D5EC}" name="Créditos" dataDxfId="5"/>
    <tableColumn id="3" xr3:uid="{FC55E56B-1931-4C84-ADBC-5FAD06515989}" name="Profesor *" dataDxfId="4"/>
    <tableColumn id="4" xr3:uid="{56652202-BB60-4795-A9F5-E9C855A73BBC}" name="Fechas" dataDxfId="3"/>
    <tableColumn id="5" xr3:uid="{F10495B3-C233-4CD3-B864-82AB72129416}" name="Horarios" dataDxfId="2"/>
    <tableColumn id="6" xr3:uid="{6E66CB83-29F0-43E1-BC9F-FE56192D758E}" name="AULA" dataDxfId="1"/>
    <tableColumn id="7" xr3:uid="{BF108450-66D1-451D-AB4B-BB230EA478B8}" name="Columna1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5" dT="2022-07-27T18:06:17.78" personId="{8079AA11-23E2-46B7-BACF-4A32A5F4AD6A}" id="{009EC1C7-52CA-495C-B432-0DB9CD794DFD}">
    <text>Sale del A24 por cambio de horario (día y hora)</text>
  </threadedComment>
  <threadedComment ref="H5" dT="2022-08-02T23:45:12.62" personId="{8079AA11-23E2-46B7-BACF-4A32A5F4AD6A}" id="{AF46F947-7BC9-40BA-86DE-D851A8D0A451}" parentId="{009EC1C7-52CA-495C-B432-0DB9CD794DFD}">
    <text>Se queda en la MIT, porque no hay aulas disponibles.</text>
  </threadedComment>
  <threadedComment ref="H6" dT="2022-08-02T17:33:00.57" personId="{8079AA11-23E2-46B7-BACF-4A32A5F4AD6A}" id="{E8B754A5-4BA9-4DE6-8FB5-D967D5356DC1}">
    <text>Se solicito por correo extender el horario por media hora 17-19 para utilizar el C11</text>
  </threadedComment>
  <threadedComment ref="H6" dT="2022-08-02T23:44:42.70" personId="{8079AA11-23E2-46B7-BACF-4A32A5F4AD6A}" id="{CA415BE7-2647-4618-8577-A0282159DE6F}" parentId="{E8B754A5-4BA9-4DE6-8FB5-D967D5356DC1}">
    <text>No puede hacerce el movimiento, ocupada 18:30-20:00 por la Esc. de administración. Por lo tanto se mantiene en la MIT</text>
  </threadedComment>
  <threadedComment ref="H23" dT="2022-08-31T14:45:00.65" personId="{8079AA11-23E2-46B7-BACF-4A32A5F4AD6A}" id="{93F75D48-684A-4353-BBF3-14147CE94964}">
    <text>Sale del C14</text>
  </threadedComment>
  <threadedComment ref="C29" dT="2022-03-04T20:21:26.07" personId="{E5CC3CD7-7907-46C7-AB9C-682D23A3D049}" id="{D7267710-8518-4E27-B8E4-B1FA017A96FF}">
    <text>Para los industriales</text>
  </threadedComment>
  <threadedComment ref="H31" dT="2022-08-31T14:42:08.49" personId="{8079AA11-23E2-46B7-BACF-4A32A5F4AD6A}" id="{E5D34755-1A46-48AB-A4ED-91036E2E9782}">
    <text>Sale del aula A16</text>
  </threadedComment>
  <threadedComment ref="J51" dT="2022-09-21T22:15:02.74" personId="{8079AA11-23E2-46B7-BACF-4A32A5F4AD6A}" id="{EC874D21-0D79-49BD-83C9-18B2A55695E3}">
    <text>+ 3 alumnos en la clase 2170</text>
  </threadedComment>
  <threadedComment ref="C52" dT="2022-08-24T23:21:00.58" personId="{E5CC3CD7-7907-46C7-AB9C-682D23A3D049}" id="{97EDB631-08EB-4CCC-BB1D-6843D2490925}">
    <text>Para ICA en la mañana</text>
  </threadedComment>
  <threadedComment ref="J54" dT="2022-09-21T21:44:18.12" personId="{8079AA11-23E2-46B7-BACF-4A32A5F4AD6A}" id="{8985C74C-07AC-4DB1-9B1F-4AA7203CA9A6}">
    <text>+ 1 inscrito el día viernes 5-7</text>
  </threadedComment>
  <threadedComment ref="H72" dT="2022-10-12T18:55:29.79" personId="{8079AA11-23E2-46B7-BACF-4A32A5F4AD6A}" id="{A8061937-4911-45ED-9F70-85960FEB1E38}">
    <text>Sale de Innovación</text>
  </threadedComment>
  <threadedComment ref="H94" dT="2022-08-01T18:04:18.44" personId="{8079AA11-23E2-46B7-BACF-4A32A5F4AD6A}" id="{1F291F85-C12B-4AAF-8835-44B10AA38629}">
    <text>Buscar un espacio más grande, quizás un intercambio ITE</text>
  </threadedComment>
  <threadedComment ref="H95" dT="2022-10-04T21:55:33.74" personId="{8079AA11-23E2-46B7-BACF-4A32A5F4AD6A}" id="{6F60460B-BBC5-4E2C-9067-F4C333DC28EF}">
    <text xml:space="preserve">Por un tiempo por cuestiones de recuperación para el alumno Jorge Antonio Velazco sale de A15 para entrar a ICA
</text>
  </threadedComment>
  <threadedComment ref="H96" dT="2022-10-04T21:56:18.77" personId="{8079AA11-23E2-46B7-BACF-4A32A5F4AD6A}" id="{E2373CB6-5BC2-4E5B-8BC1-526E0E29B92A}">
    <text xml:space="preserve">Por un tiempo por cuestiones de recuperación para el alumno Jorge Antonio Velazco sale de A11 para entrar a ICA
</text>
  </threadedComment>
  <threadedComment ref="B99" dT="2022-07-04T17:12:12.19" personId="{8079AA11-23E2-46B7-BACF-4A32A5F4AD6A}" id="{498D9C43-79A9-4A8D-A761-BEE14D62660D}">
    <text>Solicita el jefe de la academia el cierre el 2do. grupo (Mtra. Mercedes)</text>
  </threadedComment>
  <threadedComment ref="H127" dT="2022-08-26T17:54:08.01" personId="{8079AA11-23E2-46B7-BACF-4A32A5F4AD6A}" id="{E8C4E597-4CEA-4B14-A820-7DB07967AFFC}">
    <text>Sale del Lab. Innova para irse CC001</text>
  </threadedComment>
  <threadedComment ref="H141" dT="2022-07-29T16:15:28.76" personId="{8079AA11-23E2-46B7-BACF-4A32A5F4AD6A}" id="{89C950CA-E45F-4000-B487-0BC258E1E5DA}">
    <text>Se hace intercambio manufactura esbelta pasa a Scholas y Diseño de Experimentos al Lab. ITE</text>
  </threadedComment>
  <threadedComment ref="H146" dT="2022-07-07T17:06:21.98" personId="{8079AA11-23E2-46B7-BACF-4A32A5F4AD6A}" id="{E897A4EB-7FFD-448E-9858-3A55525A0C9A}">
    <text>Queda pendiente la respuesta, si las máquinas soportan el software, por tanto softwere que se ingresaron de otras materias.</text>
  </threadedComment>
  <threadedComment ref="H147" dT="2022-08-02T17:24:28.49" personId="{8079AA11-23E2-46B7-BACF-4A32A5F4AD6A}" id="{10F43698-48CA-4B62-944A-A59896F04FBA}">
    <text>Se solicito aula CC001 (correo 02082002)</text>
  </threadedComment>
  <threadedComment ref="H147" dT="2022-08-03T23:13:01.99" personId="{8079AA11-23E2-46B7-BACF-4A32A5F4AD6A}" id="{91616D4C-DFAF-42C1-92C9-A47EE5E625F3}" parentId="{10F43698-48CA-4B62-944A-A59896F04FBA}">
    <text>Lo tengo apartado con el Folio 69497</text>
  </threadedComment>
  <threadedComment ref="H148" dT="2022-08-04T17:59:35.04" personId="{8079AA11-23E2-46B7-BACF-4A32A5F4AD6A}" id="{04507214-390B-42E1-8BA4-CFB5D0E8D399}">
    <text>Cambia la primera Semana (A21)</text>
  </threadedComment>
  <threadedComment ref="H149" dT="2022-07-25T18:36:40.72" personId="{8079AA11-23E2-46B7-BACF-4A32A5F4AD6A}" id="{CD2FBB6B-736D-46F1-8C2E-D76A9896C9AA}">
    <text>confirmado con Cesár de TI (250722)</text>
  </threadedComment>
  <threadedComment ref="H157" dT="2022-10-04T21:44:21.18" personId="{8079AA11-23E2-46B7-BACF-4A32A5F4AD6A}" id="{581AC1B9-33E0-43D1-A16C-02892892EB2B}">
    <text xml:space="preserve">Por un tiempo por cuestiones de recuperación para el alumno Jorge Antonio Velazco sale de A13 para entrar a ICA
</text>
  </threadedComment>
  <threadedComment ref="H158" dT="2022-07-25T18:36:50.48" personId="{8079AA11-23E2-46B7-BACF-4A32A5F4AD6A}" id="{2DEE05CE-C675-4391-8EAC-53B545DD0C55}">
    <text>confirmado con Cesár de TI (250722)</text>
  </threadedComment>
  <threadedComment ref="H159" dT="2022-08-04T18:00:44.05" personId="{8079AA11-23E2-46B7-BACF-4A32A5F4AD6A}" id="{13F94836-7510-4488-BBE8-1BE7232D778D}">
    <text>A24, cambia por una semana</text>
  </threadedComment>
  <threadedComment ref="H160" dT="2022-08-01T18:01:35.52" personId="{8079AA11-23E2-46B7-BACF-4A32A5F4AD6A}" id="{ACB3B606-EAD4-4B45-AADB-E32FC4BF28A9}">
    <text>Se hace intercambio manufactura esbelta pasa a Scholas y Diseño de Experimentos al Lab. ITE</text>
  </threadedComment>
  <threadedComment ref="H160" dT="2022-08-04T18:02:46.29" personId="{8079AA11-23E2-46B7-BACF-4A32A5F4AD6A}" id="{9D8383EA-2E21-425A-8C13-DCD4E5F32A45}" parentId="{ACB3B606-EAD4-4B45-AADB-E32FC4BF28A9}">
    <text>Sale Scholas por una semana</text>
  </threadedComment>
  <threadedComment ref="H162" dT="2022-10-04T21:45:51.29" personId="{8079AA11-23E2-46B7-BACF-4A32A5F4AD6A}" id="{3F06B402-F537-4FC3-B792-84DEA6FE28DB}">
    <text xml:space="preserve">Por un tiempo por cuestiones de recuperación para el alumno Jorge Antonio Velazco sale de A11 para entrar a ICA
</text>
  </threadedComment>
  <threadedComment ref="H172" dT="2022-08-31T14:37:57.83" personId="{8079AA11-23E2-46B7-BACF-4A32A5F4AD6A}" id="{780D23CC-67F3-4A01-9028-7C7C6172BAB1}">
    <text>Sale del aula A17</text>
  </threadedComment>
  <threadedComment ref="H174" dT="2022-08-04T18:09:14.62" personId="{8079AA11-23E2-46B7-BACF-4A32A5F4AD6A}" id="{0C0B64EB-5336-495B-AA02-A47B994324D9}">
    <text>Sale de Electrónica por una semana para irse a Scholas</text>
  </threadedComment>
  <threadedComment ref="B176" dT="2022-05-05T18:39:04.91" personId="{8079AA11-23E2-46B7-BACF-4A32A5F4AD6A}" id="{F269F72C-B8CC-444F-AF63-460D605902B9}">
    <text>Nueva contratación</text>
  </threadedComment>
  <threadedComment ref="B176" dT="2022-08-03T23:08:21.26" personId="{8079AA11-23E2-46B7-BACF-4A32A5F4AD6A}" id="{3FA46060-0F1B-409D-90AE-A94432C7766C}" parentId="{F269F72C-B8CC-444F-AF63-460D605902B9}">
    <text>Quedo como profr. Adjunta</text>
  </threadedComment>
  <threadedComment ref="H190" dT="2022-07-25T18:42:46.88" personId="{8079AA11-23E2-46B7-BACF-4A32A5F4AD6A}" id="{AD9B1CB6-947F-48E4-80D7-7C6F772DB84B}">
    <text>Confirmado con César de TI (250722)</text>
  </threadedComment>
  <threadedComment ref="H190" dT="2022-08-22T18:11:22.82" personId="{8079AA11-23E2-46B7-BACF-4A32A5F4AD6A}" id="{8A83FD39-0761-4B7F-A847-E0897BB62E72}" parentId="{AD9B1CB6-947F-48E4-80D7-7C6F772DB84B}">
    <text>Sale del aula CC010</text>
  </threadedComment>
  <threadedComment ref="H197" dT="2022-08-31T14:42:45.55" personId="{8079AA11-23E2-46B7-BACF-4A32A5F4AD6A}" id="{632620FB-BB74-43FD-888F-24DF13C0B556}">
    <text>Sale de Química</text>
  </threadedComment>
  <threadedComment ref="H198" dT="2022-08-31T14:39:44.75" personId="{8079AA11-23E2-46B7-BACF-4A32A5F4AD6A}" id="{831B8F84-137B-4165-97BB-C832E32B111A}">
    <text>sale de ICA 1</text>
  </threadedComment>
  <threadedComment ref="H202" dT="2022-08-31T14:44:26.67" personId="{8079AA11-23E2-46B7-BACF-4A32A5F4AD6A}" id="{3185560A-0D43-4B9F-8156-60311B33B197}">
    <text>Sale de Química</text>
  </threadedComment>
  <threadedComment ref="J202" dT="2022-08-25T15:52:12.86" personId="{8079AA11-23E2-46B7-BACF-4A32A5F4AD6A}" id="{FC54F48C-A8CB-4B2F-B48F-7AEEDB770D22}">
    <text>va ser uno menos porque el alumno Miguel Pedroza de TI, su materia tiene que aprecer de Intercambio</text>
  </threadedComment>
  <threadedComment ref="H203" dT="2022-08-30T23:27:50.61" personId="{8079AA11-23E2-46B7-BACF-4A32A5F4AD6A}" id="{A555082A-7973-458F-9DF1-C4D6992194A8}">
    <text>Sale lab. ICA 1 DE 7-9 viernes</text>
  </threadedComment>
  <threadedComment ref="H216" dT="2022-08-10T16:54:05.15" personId="{8079AA11-23E2-46B7-BACF-4A32A5F4AD6A}" id="{8F99BE7E-18F3-4570-9159-9D55F26C4F26}">
    <text>Sale A22</text>
  </threadedComment>
  <threadedComment ref="H217" dT="2022-08-10T16:53:46.24" personId="{8079AA11-23E2-46B7-BACF-4A32A5F4AD6A}" id="{A180BA65-88D4-40ED-9E82-18A445AFD211}">
    <text>Sale A23</text>
  </threadedComment>
  <threadedComment ref="H224" dT="2022-07-22T17:43:34.28" personId="{8079AA11-23E2-46B7-BACF-4A32A5F4AD6A}" id="{93615EF7-D075-4DCB-86FE-F254B9F220C5}">
    <text>Piden de Operaciones salir con puntualidad, porque enseguida de esa clase dan incio los posgrados.</text>
  </threadedComment>
  <threadedComment ref="H225" dT="2022-05-13T23:08:52.58" personId="{8079AA11-23E2-46B7-BACF-4A32A5F4AD6A}" id="{FC6B7C1A-BD77-4889-BB9D-80AA60905FFA}">
    <text>Solicitud aula de Posgrados</text>
  </threadedComment>
  <threadedComment ref="H225" dT="2022-08-02T23:31:30.50" personId="{8079AA11-23E2-46B7-BACF-4A32A5F4AD6A}" id="{39A846D2-3899-4915-96F2-634198A1E25D}" parentId="{FC6B7C1A-BD77-4889-BB9D-80AA60905FFA}">
    <text>listo aceptado</text>
  </threadedComment>
  <threadedComment ref="H225" dT="2022-10-04T21:40:21.68" personId="{8079AA11-23E2-46B7-BACF-4A32A5F4AD6A}" id="{3888F976-B0FE-4845-9C28-A94937F2E710}" parentId="{FC6B7C1A-BD77-4889-BB9D-80AA60905FFA}">
    <text>Por un tiempo por cuestiones de recuperación para el alumno Jorge Antonio Velazco sale de Jesús María para entrar a ICA</text>
  </threadedComment>
  <threadedComment ref="H229" dT="2022-05-13T23:09:06.92" personId="{8079AA11-23E2-46B7-BACF-4A32A5F4AD6A}" id="{F1D48FB4-EF88-40D4-B61E-5D0248E7A70C}">
    <text>Solicitud aula de Posgrados.</text>
  </threadedComment>
  <threadedComment ref="H229" dT="2022-08-02T23:31:38.80" personId="{8079AA11-23E2-46B7-BACF-4A32A5F4AD6A}" id="{D1FD8317-8C34-4286-A7F1-DFD6B06DAC99}" parentId="{F1D48FB4-EF88-40D4-B61E-5D0248E7A70C}">
    <text>listo aceptado</text>
  </threadedComment>
  <threadedComment ref="H232" dT="2022-08-05T16:04:48.35" personId="{8079AA11-23E2-46B7-BACF-4A32A5F4AD6A}" id="{698CEAE6-A471-4744-AA40-908F581A7B5E}">
    <text>Sale C21 para irse A15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31" dT="2022-06-30T21:22:05.82" personId="{8079AA11-23E2-46B7-BACF-4A32A5F4AD6A}" id="{DFAB6337-DA00-4924-A41F-029349F1CF14}">
    <text>1228, esta materia es optiva, se toma la decisión de abrir otras.</text>
  </threadedComment>
  <threadedComment ref="C37" dT="2021-12-02T23:25:24.89" personId="{8079AA11-23E2-46B7-BACF-4A32A5F4AD6A}" id="{36F4509D-FAE5-4348-B79B-85BA59F0A54D}">
    <text>Eran de la academia EEC y pasan Civil (Isaí)</text>
  </threadedComment>
  <threadedComment ref="C37" dT="2021-12-02T23:26:01.23" personId="{8079AA11-23E2-46B7-BACF-4A32A5F4AD6A}" id="{B77BAC8E-C823-41E4-A8A6-73A5B2A05743}" parentId="{36F4509D-FAE5-4348-B79B-85BA59F0A54D}">
    <text>Aunque en Upsite aparecen para EEC</text>
  </threadedComment>
  <threadedComment ref="E48" dT="2022-05-11T16:36:20.55" personId="{8079AA11-23E2-46B7-BACF-4A32A5F4AD6A}" id="{754CCBD8-4D70-4336-A704-81DD02E5F74C}">
    <text>optativa</text>
  </threadedComment>
  <threadedComment ref="E48" dT="2022-05-11T16:36:57.26" personId="{8079AA11-23E2-46B7-BACF-4A32A5F4AD6A}" id="{FE2192A5-E9BB-439B-BC03-A74EB06176F7}" parentId="{754CCBD8-4D70-4336-A704-81DD02E5F74C}">
    <text>ciclo 1228, no llevarán la materia (7mo.)</text>
  </threadedComment>
  <threadedComment ref="I70" dT="2021-10-15T21:46:10.87" personId="{8079AA11-23E2-46B7-BACF-4A32A5F4AD6A}" id="{F93F9756-B0CC-4C45-A780-94334BFE4F75}">
    <text>Es materia de primer semestre y se darán en segundo semestre, ciclo 1222</text>
  </threadedComment>
  <threadedComment ref="E74" dT="2022-05-04T21:18:47.12" personId="{8079AA11-23E2-46B7-BACF-4A32A5F4AD6A}" id="{27F68019-6BAC-4F6C-8B6A-F57CA96CB5B7}">
    <text>No se lleva en este ciclo escolar 1228, pero efectivamente es de 7mo. semestre.</text>
  </threadedComment>
  <threadedComment ref="H75" dT="2021-07-21T15:10:40.41" personId="{D2D8617A-7471-4D00-8015-FCE83F00881A}" id="{CA7A506D-1CED-46B0-942B-0D28DB2534F8}">
    <text>Esta materia se debe ofertar en 3eroaunque en ruta aparece de 4to</text>
  </threadedComment>
  <threadedComment ref="I80" dT="2021-10-21T18:16:19.65" personId="{8079AA11-23E2-46B7-BACF-4A32A5F4AD6A}" id="{F2A8545F-5009-4755-890B-21EB754FF99E}">
    <text>Optativa</text>
  </threadedComment>
  <threadedComment ref="I80" dT="2022-05-09T17:13:52.31" personId="{8079AA11-23E2-46B7-BACF-4A32A5F4AD6A}" id="{E5A2A879-4275-4006-9EA9-D5F959EFFCED}" parentId="{F2A8545F-5009-4755-890B-21EB754FF99E}">
    <text>En este ciclo, civil decidio no llevar emprendedores.</text>
  </threadedComment>
  <threadedComment ref="I80" dT="2022-05-09T17:14:45.13" personId="{8079AA11-23E2-46B7-BACF-4A32A5F4AD6A}" id="{EA246CE0-97ED-4B89-9FC3-0DFE0EDDA75E}" parentId="{F2A8545F-5009-4755-890B-21EB754FF99E}">
    <text>7mo. semes (1228)</text>
  </threadedComment>
  <threadedComment ref="I84" dT="2021-10-22T15:46:44.05" personId="{8079AA11-23E2-46B7-BACF-4A32A5F4AD6A}" id="{A0EF9814-9550-4452-A919-3D2F3B9896A3}">
    <text>Materia de 9no. Semestre (optativa)</text>
  </threadedComment>
  <threadedComment ref="I88" dT="2021-10-21T16:27:42.75" personId="{8079AA11-23E2-46B7-BACF-4A32A5F4AD6A}" id="{AF5434D4-EAAB-48DC-979A-437A82FD15C6}">
    <text>Optativa</text>
  </threadedComment>
  <threadedComment ref="I88" dT="2021-10-21T22:40:40.79" personId="{8079AA11-23E2-46B7-BACF-4A32A5F4AD6A}" id="{7E312025-A736-4DDE-9D2B-D00AC48C462E}" parentId="{AF5434D4-EAAB-48DC-979A-437A82FD15C6}">
    <text>Es de 10mo. semestre y no se oferta</text>
  </threadedComment>
  <threadedComment ref="I117" dT="2021-10-22T15:49:03.80" personId="{8079AA11-23E2-46B7-BACF-4A32A5F4AD6A}" id="{097C7817-C50B-4C22-8F5D-48B58C854027}">
    <text>Materia de 9no. Semestre (optativa)</text>
  </threadedComment>
  <threadedComment ref="C125" dT="2021-05-26T16:06:49.52" personId="{8079AA11-23E2-46B7-BACF-4A32A5F4AD6A}" id="{B08269CD-0407-46FD-9481-C6DE958E5BF8}">
    <text>En Upsite, dice que le pertenece a la academia DIOP?</text>
  </threadedComment>
  <threadedComment ref="I130" dT="2021-11-17T17:14:46.70" personId="{8079AA11-23E2-46B7-BACF-4A32A5F4AD6A}" id="{A73D0277-B97D-467E-BA4F-2F7FD88DB3C6}">
    <text>Optativa</text>
  </threadedComment>
  <threadedComment ref="I130" dT="2021-11-17T17:15:17.85" personId="{8079AA11-23E2-46B7-BACF-4A32A5F4AD6A}" id="{7962AB72-B6AF-43EE-9BA5-798B06AA17C3}" parentId="{A73D0277-B97D-467E-BA4F-2F7FD88DB3C6}">
    <text>No abrira</text>
  </threadedComment>
  <threadedComment ref="F157" dT="2021-04-22T14:45:19.29" personId="{D2D8617A-7471-4D00-8015-FCE83F00881A}" id="{2D4F2B91-3A3F-48AB-9C9C-3096C66663EA}">
    <text>Definitiva</text>
  </threadedComment>
  <threadedComment ref="D160" dT="2022-05-03T16:46:39.86" personId="{8079AA11-23E2-46B7-BACF-4A32A5F4AD6A}" id="{10972E3D-4AAA-4C42-9A76-971A58C27794}">
    <text>Para Industrial aparece en la academía de Administración en Upsite</text>
  </threadedComment>
  <threadedComment ref="D160" dT="2022-05-05T14:56:03.53" personId="{8079AA11-23E2-46B7-BACF-4A32A5F4AD6A}" id="{D3EEA212-569D-448F-B00B-E16B5C3F2F60}" parentId="{10972E3D-4AAA-4C42-9A76-971A58C27794}">
    <text>Para este ciclo 1228 se elimina la materia de Optimización y Control Energético</text>
  </threadedComment>
  <threadedComment ref="I164" dT="2021-02-15T19:31:14.63" personId="{D2D8617A-7471-4D00-8015-FCE83F00881A}" id="{059A2DB0-352F-457C-9096-E24556F3FA04}">
    <text>No estaba, lo puse</text>
  </threadedComment>
  <threadedComment ref="C165" dT="2022-01-18T23:32:11.90" personId="{8079AA11-23E2-46B7-BACF-4A32A5F4AD6A}" id="{837D64DB-57C6-4B53-8895-ADF6F4E1D755}">
    <text>Aparece en la academia de Civil pero Rocío Contrato</text>
  </threadedComment>
  <threadedComment ref="K180" dT="2021-02-09T00:41:47.90" personId="{D2D8617A-7471-4D00-8015-FCE83F00881A}" id="{4FC8D050-4347-438C-9953-C950FF760742}">
    <text>Revisar</text>
  </threadedComment>
  <threadedComment ref="K180" dT="2021-11-03T15:58:02.57" personId="{8079AA11-23E2-46B7-BACF-4A32A5F4AD6A}" id="{7A140928-3A9D-42DC-B095-1D0DEB2E6182}" parentId="{4FC8D050-4347-438C-9953-C950FF760742}">
    <text>Corrigí el No. de horas, según el plan de estudios es de 80 horas</text>
  </threadedComment>
  <threadedComment ref="I181" dT="2021-06-14T18:14:33.97" personId="{8079AA11-23E2-46B7-BACF-4A32A5F4AD6A}" id="{DAC1048F-1DB8-4C27-A047-C0BEDB01D257}">
    <text>Es de décimo y se va da en noveno para el ciclo 1218</text>
  </threadedComment>
  <threadedComment ref="C191" dT="2022-03-30T16:55:56.49" personId="{8079AA11-23E2-46B7-BACF-4A32A5F4AD6A}" id="{34C1528C-3A9F-458E-B6F2-CCE233AC34C5}">
    <text>La gestión, será IID para el ciclo 1228</text>
  </threadedComment>
  <threadedComment ref="F191" dT="2022-04-11T16:51:47.98" personId="{8079AA11-23E2-46B7-BACF-4A32A5F4AD6A}" id="{56E02B86-69CE-423D-8BC9-8BE8EA05DE03}">
    <text>Se abre para 5to. semestre ciclo 1228</text>
  </threadedComment>
  <threadedComment ref="C192" dT="2022-03-30T16:55:56.49" personId="{8079AA11-23E2-46B7-BACF-4A32A5F4AD6A}" id="{D5C81F4D-AF4F-428F-962E-3A937A07D994}">
    <text>La gestión, será IID para el ciclo 1228</text>
  </threadedComment>
  <threadedComment ref="I193" dT="2021-10-22T15:52:16.21" personId="{8079AA11-23E2-46B7-BACF-4A32A5F4AD6A}" id="{E20E2352-1657-48AA-936B-CB18EF092AD9}">
    <text>Materia de 9no. Semestre (optativa)</text>
  </threadedComment>
  <threadedComment ref="I198" dT="2021-10-22T15:50:48.92" personId="{8079AA11-23E2-46B7-BACF-4A32A5F4AD6A}" id="{8494A38A-50BA-493C-870A-20BC8D499862}">
    <text>Materia de 10mo. Semestre (optativa)</text>
  </threadedComment>
  <threadedComment ref="F203" dT="2021-01-12T05:24:56.35" personId="{8079AA11-23E2-46B7-BACF-4A32A5F4AD6A}" id="{65422061-DE33-4EB7-8D72-E9451EBA3CBF}">
    <text>Optativa</text>
  </threadedComment>
  <threadedComment ref="F204" dT="2021-07-20T16:14:12.52" personId="{8079AA11-23E2-46B7-BACF-4A32A5F4AD6A}" id="{FE25BC45-B4FE-4ABA-BE30-0279E3732559}">
    <text>Realmente es de 8vo. semestre pero en este ciclo 1218 se adelanta</text>
  </threadedComment>
  <threadedComment ref="B210" dT="2021-10-13T17:28:37.00" personId="{8079AA11-23E2-46B7-BACF-4A32A5F4AD6A}" id="{14B6EF98-DA6C-42D3-A64F-1CDF9FE958B4}">
    <text>Por ajustes de pandemia</text>
  </threadedComment>
  <threadedComment ref="C225" dT="2021-12-02T23:25:32.10" personId="{8079AA11-23E2-46B7-BACF-4A32A5F4AD6A}" id="{25975C4D-B325-4AC1-9F92-427F3533199F}">
    <text>Eran de la academia EEC y pasan Civil (Isaí)</text>
  </threadedComment>
  <threadedComment ref="C225" dT="2021-12-02T23:26:42.27" personId="{8079AA11-23E2-46B7-BACF-4A32A5F4AD6A}" id="{34C680B3-EC59-4789-A743-ED61A8A68E6B}" parentId="{25975C4D-B325-4AC1-9F92-427F3533199F}">
    <text>Aunque en Upsite aparecerán en EEC</text>
  </threadedComment>
  <threadedComment ref="F227" dT="2022-03-22T15:38:06.76" personId="{8079AA11-23E2-46B7-BACF-4A32A5F4AD6A}" id="{DDEF3613-85A3-48CB-B897-9D90EDBF2923}">
    <text>se oferta ciclo 1228 5to. semestre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15" dT="2022-06-21T16:21:11.47" personId="{8079AA11-23E2-46B7-BACF-4A32A5F4AD6A}" id="{2959C8EC-852E-4FCE-A15D-3F5E2A620F75}">
    <text>Hice un cambio de última horo de aula.</text>
  </threadedComment>
  <threadedComment ref="G17" dT="2022-05-30T17:26:36.07" personId="{8079AA11-23E2-46B7-BACF-4A32A5F4AD6A}" id="{1311C140-AEAB-4F25-91B8-81491385901E}">
    <text>cambio de horario y aula</text>
  </threadedComment>
  <threadedComment ref="F22" dT="2022-06-30T23:09:25.64" personId="{8079AA11-23E2-46B7-BACF-4A32A5F4AD6A}" id="{CF880B35-450F-47FC-B421-7710C0D2E6A2}">
    <text>Correción de horario el programa tiene 64 hrs, plan de estudio dividido en 3 semanas (15 días), sería de 4 hrs. 30 minutos.</text>
  </threadedComment>
  <threadedComment ref="D23" dT="2022-06-30T22:40:31.74" personId="{8079AA11-23E2-46B7-BACF-4A32A5F4AD6A}" id="{B3CFDD90-8F89-46AA-BD6D-688F18CE3A76}">
    <text>Pendiente en activar en Upsite</text>
  </threadedComment>
  <threadedComment ref="M24" dT="2022-06-24T14:17:22.37" personId="{8079AA11-23E2-46B7-BACF-4A32A5F4AD6A}" id="{253A48F6-F71B-48B8-81BA-D1893BCAD77F}">
    <text>En total son 12, los 4 restantes son de empresariales</text>
  </threadedComment>
  <threadedComment ref="C25" dT="2022-05-12T13:33:17.31" personId="{E5CC3CD7-7907-46C7-AB9C-682D23A3D049}" id="{97962220-BD34-46DE-8F07-246B6284FDE0}">
    <text>Administración de proyectos (RUTA IDEAL) / Dirección de proyectos (REVOE)</text>
  </threadedComment>
  <threadedComment ref="G25" dT="2022-06-27T21:05:09.42" personId="{8079AA11-23E2-46B7-BACF-4A32A5F4AD6A}" id="{F883C7EA-B73D-421A-B5C3-AD5F9FF40314}">
    <text>Cambio de aulas sale de la MIT, para irse B15 y C02</text>
  </threadedComment>
  <threadedComment ref="B26" dT="2022-04-13T23:30:56.51" personId="{E5CC3CD7-7907-46C7-AB9C-682D23A3D049}" id="{4D731E16-FCE0-4257-8A97-5E1FD4B20A59}">
    <text>Únicamente para reprobados</text>
  </threadedComment>
  <threadedComment ref="B27" dT="2022-04-13T23:32:05.69" personId="{E5CC3CD7-7907-46C7-AB9C-682D23A3D049}" id="{4F0B270C-9CDF-4CBF-9CB3-22839BBBD4E8}">
    <text>únicamente para reprobados, salvo ITEs que la necesiten para terminar...</text>
  </threadedComment>
  <threadedComment ref="F27" dT="2022-06-30T23:07:51.36" personId="{8079AA11-23E2-46B7-BACF-4A32A5F4AD6A}" id="{307222DE-8880-462B-9453-DABB407F8075}">
    <text>Correción de horario el programa tiene 48 hrs, plan de estudio dividido en 4 semanas (20 días), sería de 2 hrs. 40 minutos.</text>
  </threadedComment>
  <threadedComment ref="B28" dT="2022-03-29T15:59:59.46" personId="{E5CC3CD7-7907-46C7-AB9C-682D23A3D049}" id="{AEEE466B-292C-48FC-B89D-161065917C98}">
    <text>Pendiente por definir si será para todos los alumnos o únicamente para reprobados...</text>
  </threadedComment>
  <threadedComment ref="D28" dT="2022-05-06T16:39:07.87" personId="{8079AA11-23E2-46B7-BACF-4A32A5F4AD6A}" id="{7528AA35-A3E1-4608-94BD-43878B9A325C}">
    <text>Nueva Contratación</text>
  </threadedComment>
  <threadedComment ref="D28" dT="2022-06-28T18:11:49.27" personId="{8079AA11-23E2-46B7-BACF-4A32A5F4AD6A}" id="{18F017CA-AFA5-48D9-B1C4-760D2CAE1A8E}" parentId="{7528AA35-A3E1-4608-94BD-43878B9A325C}">
    <text>Listo, queda asignado en Upsite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15" dT="2022-06-21T16:21:11.47" personId="{8079AA11-23E2-46B7-BACF-4A32A5F4AD6A}" id="{D3BCD980-1FA3-4261-952B-C00C836060F0}">
    <text>Hice un cambio de última horo de aula.</text>
  </threadedComment>
  <threadedComment ref="F16" dT="2022-06-21T16:21:11.47" personId="{8079AA11-23E2-46B7-BACF-4A32A5F4AD6A}" id="{285CFA73-5D40-4EC9-BAED-90EC2812C1C8}">
    <text>Hice un cambio de última horo de aula.</text>
  </threadedComment>
  <threadedComment ref="F17" dT="2022-05-30T17:26:36.07" personId="{8079AA11-23E2-46B7-BACF-4A32A5F4AD6A}" id="{DF8740CC-B5CE-444D-A9EE-F9AC38CA872F}">
    <text>cambio de horario y aula</text>
  </threadedComment>
  <threadedComment ref="F19" dT="2022-06-22T16:26:20.09" personId="{8079AA11-23E2-46B7-BACF-4A32A5F4AD6A}" id="{C1B914CE-637F-4999-BB75-6BA9A0572A53}">
    <text>Folio 67529</text>
  </threadedComment>
  <threadedComment ref="B25" dT="2022-05-12T13:33:17.31" personId="{E5CC3CD7-7907-46C7-AB9C-682D23A3D049}" id="{4A32B68F-4C6B-4B2B-B3AC-CC13D12083C5}">
    <text>Administración de proyectos (RUTA IDEAL) / Dirección de proyectos (REVOE)</text>
  </threadedComment>
  <threadedComment ref="A26" dT="2022-04-13T23:30:56.51" personId="{E5CC3CD7-7907-46C7-AB9C-682D23A3D049}" id="{BD755A68-F198-4376-B375-2E83BBB58222}">
    <text>Únicamente para reprobados</text>
  </threadedComment>
  <threadedComment ref="A27" dT="2022-04-13T23:32:05.69" personId="{E5CC3CD7-7907-46C7-AB9C-682D23A3D049}" id="{D7271B5C-917F-4B3B-80A3-5BCF661C0322}">
    <text>únicamente para reprobados, salvo ITEs que la necesiten para terminar...</text>
  </threadedComment>
  <threadedComment ref="A28" dT="2022-03-29T15:59:59.46" personId="{E5CC3CD7-7907-46C7-AB9C-682D23A3D049}" id="{CA38D328-02E4-47B6-8AF8-044B86154B81}">
    <text>Pendiente por definir si será para todos los alumnos o únicamente para reprobados...</text>
  </threadedComment>
  <threadedComment ref="C28" dT="2022-05-06T16:39:07.87" personId="{8079AA11-23E2-46B7-BACF-4A32A5F4AD6A}" id="{5CDC821A-20A2-4098-BF8B-3E6206740B65}">
    <text>Nueva Contratación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D08DD9F-6017-4B39-9672-35C5C3D650C8}">
  <we:reference id="wa104381504" version="1.0.0.0" store="es-ES" storeType="OMEX"/>
  <we:alternateReferences>
    <we:reference id="WA104381504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microsoft.com/office/2017/10/relationships/threadedComment" Target="../threadedComments/threadedComment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4" Type="http://schemas.microsoft.com/office/2017/10/relationships/threadedComment" Target="../threadedComments/threadedComment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2:AF941"/>
  <sheetViews>
    <sheetView zoomScale="85" zoomScaleNormal="85" workbookViewId="0">
      <selection activeCell="G16" sqref="G16"/>
    </sheetView>
  </sheetViews>
  <sheetFormatPr baseColWidth="10" defaultColWidth="14.5" defaultRowHeight="14"/>
  <cols>
    <col min="1" max="1" width="4" style="1" customWidth="1"/>
    <col min="2" max="3" width="7.5" style="2" customWidth="1"/>
    <col min="4" max="4" width="28.5" style="1" customWidth="1"/>
    <col min="5" max="5" width="15.5" style="1" customWidth="1"/>
    <col min="6" max="6" width="12.1640625" style="1" customWidth="1"/>
    <col min="7" max="7" width="28.5" style="1" customWidth="1"/>
    <col min="8" max="8" width="6.6640625" style="1" customWidth="1"/>
    <col min="9" max="9" width="12.1640625" style="1" customWidth="1"/>
    <col min="10" max="10" width="28.5" style="1" customWidth="1"/>
    <col min="11" max="11" width="6.6640625" style="1" customWidth="1"/>
    <col min="12" max="12" width="12.1640625" style="1" customWidth="1"/>
    <col min="13" max="13" width="28.5" style="1" customWidth="1"/>
    <col min="14" max="14" width="6.6640625" style="1" customWidth="1"/>
    <col min="15" max="15" width="12.1640625" style="1" customWidth="1"/>
    <col min="16" max="16" width="28.5" style="1" customWidth="1"/>
    <col min="17" max="17" width="6.6640625" style="1" customWidth="1"/>
    <col min="18" max="18" width="12.1640625" style="1" customWidth="1"/>
    <col min="19" max="19" width="28.5" style="1" customWidth="1"/>
    <col min="20" max="20" width="6.6640625" style="1" customWidth="1"/>
    <col min="21" max="21" width="12.1640625" style="1" customWidth="1"/>
    <col min="22" max="22" width="13" style="1" bestFit="1" customWidth="1"/>
    <col min="23" max="23" width="24.5" style="1" customWidth="1"/>
    <col min="24" max="24" width="13" style="1" bestFit="1" customWidth="1"/>
    <col min="25" max="25" width="10.6640625" style="1" customWidth="1"/>
    <col min="26" max="26" width="12" style="1" customWidth="1"/>
    <col min="27" max="30" width="10.6640625" style="1" customWidth="1"/>
    <col min="31" max="16384" width="14.5" style="1"/>
  </cols>
  <sheetData>
    <row r="2" spans="1:32" ht="17">
      <c r="A2" s="22"/>
      <c r="B2" s="185" t="s">
        <v>0</v>
      </c>
      <c r="C2" s="186"/>
      <c r="D2" s="187" t="s">
        <v>1</v>
      </c>
      <c r="E2" s="188"/>
      <c r="F2" s="188"/>
      <c r="G2" s="189"/>
      <c r="H2" s="27"/>
      <c r="I2" s="22"/>
      <c r="L2" s="22"/>
      <c r="M2" s="22"/>
      <c r="N2" s="22"/>
      <c r="O2" s="22"/>
      <c r="P2" s="22"/>
      <c r="Q2" s="22"/>
      <c r="R2" s="22"/>
      <c r="S2" s="22"/>
      <c r="T2" s="22"/>
      <c r="U2" s="22"/>
      <c r="AB2" s="22"/>
      <c r="AC2" s="22"/>
      <c r="AD2" s="22"/>
      <c r="AE2" s="22"/>
      <c r="AF2" s="22"/>
    </row>
    <row r="4" spans="1:32" ht="16">
      <c r="B4" s="183" t="s">
        <v>2</v>
      </c>
      <c r="C4" s="184"/>
      <c r="D4" s="67" t="s">
        <v>3</v>
      </c>
      <c r="E4" s="68" t="s">
        <v>4</v>
      </c>
      <c r="F4" s="67" t="s">
        <v>5</v>
      </c>
      <c r="G4" s="69" t="s">
        <v>6</v>
      </c>
      <c r="H4" s="68" t="s">
        <v>4</v>
      </c>
      <c r="I4" s="67" t="s">
        <v>5</v>
      </c>
      <c r="J4" s="69" t="s">
        <v>7</v>
      </c>
      <c r="K4" s="68" t="s">
        <v>4</v>
      </c>
      <c r="L4" s="67" t="s">
        <v>5</v>
      </c>
      <c r="M4" s="69" t="s">
        <v>8</v>
      </c>
      <c r="N4" s="68" t="s">
        <v>4</v>
      </c>
      <c r="O4" s="67" t="s">
        <v>5</v>
      </c>
      <c r="P4" s="69" t="s">
        <v>9</v>
      </c>
      <c r="Q4" s="68" t="s">
        <v>4</v>
      </c>
      <c r="R4" s="67" t="s">
        <v>5</v>
      </c>
      <c r="S4" s="69" t="s">
        <v>10</v>
      </c>
      <c r="T4" s="68" t="s">
        <v>4</v>
      </c>
      <c r="U4" s="67" t="s">
        <v>5</v>
      </c>
      <c r="AB4" s="23"/>
      <c r="AC4" s="23"/>
      <c r="AD4" s="23"/>
    </row>
    <row r="5" spans="1:32" ht="15">
      <c r="B5" s="70">
        <v>0.29166666666666669</v>
      </c>
      <c r="C5" s="71">
        <v>0.3125</v>
      </c>
      <c r="D5" s="24" t="str" cm="1">
        <f t="array" ref="D5">_xlfn.TEXTJOIN(CHAR(10),TRUE,IF(Profesor=base_de_datos[Profesor],IF("x"=base_de_datos[Lunes],IF(base_de_datos[Hora inicio]&lt;=$B5,IF(base_de_datos[Hora fin]&gt;=$C5,base_de_datos[Materia]&amp;" "&amp;base_de_datos[[Número de grupo ]],""),""),""),""),"")</f>
        <v/>
      </c>
      <c r="E5" s="24" t="str" cm="1">
        <f t="array" ref="E5">_xlfn.TEXTJOIN(CHAR(10),TRUE,IF(Profesor=base_de_datos[Profesor],IF("x"=base_de_datos[Lunes],IF(base_de_datos[Hora inicio]&lt;=$B5,IF(base_de_datos[Hora fin]&gt;=$C5,base_de_datos[Aula]&amp;" "&amp;#REF!,""),""),""),""),"")</f>
        <v/>
      </c>
      <c r="F5" s="24" t="str" cm="1">
        <f t="array" ref="F5">_xlfn.TEXTJOIN(CHAR(10),TRUE,IF(Profesor=base_de_datos[Profesor],IF("x"=base_de_datos[Lunes],IF(base_de_datos[Hora inicio]&lt;=$B5,IF(base_de_datos[Hora fin]&gt;=$C5,base_de_datos[No clase],""),""),""),""),"")</f>
        <v/>
      </c>
      <c r="G5" s="24" t="str" cm="1">
        <f t="array" ref="G5">_xlfn.TEXTJOIN(CHAR(10),TRUE,IF(Profesor=base_de_datos[Profesor],IF("x"=base_de_datos[Martes],IF(base_de_datos[Hora inicio]&lt;=$B5,IF(base_de_datos[Hora fin]&gt;=$C5,base_de_datos[Materia]&amp;" "&amp;base_de_datos[[Número de grupo ]],""),""),""),""),"")</f>
        <v/>
      </c>
      <c r="H5" s="24" t="str" cm="1">
        <f t="array" ref="H5">_xlfn.TEXTJOIN(CHAR(10),TRUE,IF(Profesor=base_de_datos[Profesor],IF("x"=base_de_datos[Martes],IF(base_de_datos[Hora inicio]&lt;=$B5,IF(base_de_datos[Hora fin]&gt;=$C5,base_de_datos[Aula]&amp;" "&amp;#REF!,""),""),""),""),"")</f>
        <v/>
      </c>
      <c r="I5" s="24" t="str" cm="1">
        <f t="array" ref="I5">_xlfn.TEXTJOIN(CHAR(10),TRUE,IF(Profesor=base_de_datos[Profesor],IF("x"=base_de_datos[Martes],IF(base_de_datos[Hora inicio]&lt;=$B5,IF(base_de_datos[Hora fin]&gt;=$C5,base_de_datos[No clase],""),""),""),""),"")</f>
        <v/>
      </c>
      <c r="J5" s="24" t="str" cm="1">
        <f t="array" ref="J5">_xlfn.TEXTJOIN(CHAR(10),TRUE,IF(Profesor=base_de_datos[Profesor],IF("x"=base_de_datos[Miércoles],IF(base_de_datos[Hora inicio]&lt;=$B5,IF(base_de_datos[Hora fin]&gt;=$C5,base_de_datos[Materia]&amp;" "&amp;base_de_datos[[Número de grupo ]],""),""),""),""),"")</f>
        <v/>
      </c>
      <c r="K5" s="24" t="str" cm="1">
        <f t="array" ref="K5">_xlfn.TEXTJOIN(CHAR(10),TRUE,IF(Profesor=base_de_datos[Profesor],IF("x"=base_de_datos[Miércoles],IF(base_de_datos[Hora inicio]&lt;=$B5,IF(base_de_datos[Hora fin]&gt;=$C5,base_de_datos[Aula]&amp;" "&amp;#REF!,""),""),""),""),"")</f>
        <v/>
      </c>
      <c r="L5" s="24" t="str" cm="1">
        <f t="array" ref="L5">_xlfn.TEXTJOIN(CHAR(10),TRUE,IF(Profesor=base_de_datos[Profesor],IF("x"=base_de_datos[Miércoles],IF(base_de_datos[Hora inicio]&lt;=$B5,IF(base_de_datos[Hora fin]&gt;=$C5,base_de_datos[No clase],""),""),""),""),"")</f>
        <v/>
      </c>
      <c r="M5" s="24" t="str" cm="1">
        <f t="array" ref="M5">_xlfn.TEXTJOIN(CHAR(10),TRUE,IF(Profesor=base_de_datos[Profesor],IF("x"=base_de_datos[Jueves],IF(base_de_datos[Hora inicio]&lt;=$B5,IF(base_de_datos[Hora fin]&gt;=$C5,base_de_datos[Materia]&amp;" "&amp;base_de_datos[[Número de grupo ]],""),""),""),""),"")</f>
        <v/>
      </c>
      <c r="N5" s="24" t="str" cm="1">
        <f t="array" ref="N5">_xlfn.TEXTJOIN(CHAR(10),TRUE,IF(Profesor=base_de_datos[Profesor],IF("x"=base_de_datos[Jueves],IF(base_de_datos[Hora inicio]&lt;=$B5,IF(base_de_datos[Hora fin]&gt;=$C5,base_de_datos[Aula]&amp;" "&amp;#REF!,""),""),""),""),"")</f>
        <v/>
      </c>
      <c r="O5" s="24" t="str" cm="1">
        <f t="array" ref="O5">_xlfn.TEXTJOIN(CHAR(10),TRUE,IF(Profesor=base_de_datos[Profesor],IF("x"=base_de_datos[Jueves],IF(base_de_datos[Hora inicio]&lt;=$B5,IF(base_de_datos[Hora fin]&gt;=$C5,base_de_datos[No clase],""),""),""),""),"")</f>
        <v/>
      </c>
      <c r="P5" s="24" t="str" cm="1">
        <f t="array" ref="P5">_xlfn.TEXTJOIN(CHAR(10),TRUE,IF(Profesor=base_de_datos[Profesor],IF("x"=base_de_datos[Viernes],IF(base_de_datos[Hora inicio]&lt;=$B5,IF(base_de_datos[Hora fin]&gt;=$C5,base_de_datos[Materia]&amp;" "&amp;base_de_datos[[Número de grupo ]],""),""),""),""),"")</f>
        <v/>
      </c>
      <c r="Q5" s="24" t="str" cm="1">
        <f t="array" ref="Q5">_xlfn.TEXTJOIN(CHAR(10),TRUE,IF(Profesor=base_de_datos[Profesor],IF("x"=base_de_datos[Viernes],IF(base_de_datos[Hora inicio]&lt;=$B5,IF(base_de_datos[Hora fin]&gt;=$C5,base_de_datos[Aula]&amp;" "&amp;#REF!,""),""),""),""),"")</f>
        <v/>
      </c>
      <c r="R5" s="24" t="str" cm="1">
        <f t="array" ref="R5">_xlfn.TEXTJOIN(CHAR(10),TRUE,IF(Profesor=base_de_datos[Profesor],IF("x"=base_de_datos[Viernes],IF(base_de_datos[Hora inicio]&lt;=$B5,IF(base_de_datos[Hora fin]&gt;=$C5,base_de_datos[No clase],""),""),""),""),"")</f>
        <v/>
      </c>
      <c r="S5" s="24" t="str" cm="1">
        <f t="array" ref="S5">_xlfn.TEXTJOIN(CHAR(10),TRUE,IF(Profesor=base_de_datos[Profesor],IF("x"=base_de_datos[Sábado],IF(base_de_datos[Hora inicio]&lt;=$B5,IF(base_de_datos[Hora fin]&gt;=$C5,base_de_datos[Materia]&amp;" "&amp;base_de_datos[[Número de grupo ]],""),""),""),""),"")</f>
        <v/>
      </c>
      <c r="T5" s="24" t="str" cm="1">
        <f t="array" ref="T5">_xlfn.TEXTJOIN(CHAR(10),TRUE,IF(Profesor=base_de_datos[Profesor],IF("x"=base_de_datos[Sábado],IF(base_de_datos[Hora inicio]&lt;=$B5,IF(base_de_datos[Hora fin]&gt;=$C5,base_de_datos[Aula]&amp;" "&amp;#REF!,""),""),""),""),"")</f>
        <v/>
      </c>
      <c r="U5" s="24" t="str" cm="1">
        <f t="array" ref="U5">_xlfn.TEXTJOIN(CHAR(10),TRUE,IF(Profesor=base_de_datos[Profesor],IF("x"=base_de_datos[Sábado],IF(base_de_datos[Hora inicio]&lt;=$B5,IF(base_de_datos[Hora fin]&gt;=$C5,base_de_datos[No clase],""),""),""),""),"")</f>
        <v/>
      </c>
      <c r="AB5" s="23"/>
      <c r="AC5" s="23"/>
      <c r="AD5" s="23"/>
    </row>
    <row r="6" spans="1:32" ht="15">
      <c r="B6" s="70">
        <v>0.3125</v>
      </c>
      <c r="C6" s="70">
        <v>0.33333333333333298</v>
      </c>
      <c r="D6" s="24" t="str" cm="1">
        <f t="array" ref="D6">_xlfn.TEXTJOIN(CHAR(10),TRUE,IF(Profesor=base_de_datos[Profesor],IF("x"=base_de_datos[Lunes],IF(base_de_datos[Hora inicio]&lt;=$B6,IF(base_de_datos[Hora fin]&gt;=$C6,base_de_datos[Materia]&amp;" "&amp;base_de_datos[[Número de grupo ]],""),""),""),""),"")</f>
        <v/>
      </c>
      <c r="E6" s="24" t="str" cm="1">
        <f t="array" ref="E6">_xlfn.TEXTJOIN(CHAR(10),TRUE,IF(Profesor=base_de_datos[Profesor],IF("x"=base_de_datos[Lunes],IF(base_de_datos[Hora inicio]&lt;=$B6,IF(base_de_datos[Hora fin]&gt;=$C6,base_de_datos[Aula]&amp;" "&amp;#REF!,""),""),""),""),"")</f>
        <v/>
      </c>
      <c r="F6" s="24" t="str" cm="1">
        <f t="array" ref="F6">_xlfn.TEXTJOIN(CHAR(10),TRUE,IF(Profesor=base_de_datos[Profesor],IF("x"=base_de_datos[Lunes],IF(base_de_datos[Hora inicio]&lt;=$B6,IF(base_de_datos[Hora fin]&gt;=$C6,base_de_datos[No clase],""),""),""),""),"")</f>
        <v/>
      </c>
      <c r="G6" s="24" t="str" cm="1">
        <f t="array" ref="G6">_xlfn.TEXTJOIN(CHAR(10),TRUE,IF(Profesor=base_de_datos[Profesor],IF("x"=base_de_datos[Martes],IF(base_de_datos[Hora inicio]&lt;=$B6,IF(base_de_datos[Hora fin]&gt;=$C6,base_de_datos[Materia]&amp;" "&amp;base_de_datos[[Número de grupo ]],""),""),""),""),"")</f>
        <v/>
      </c>
      <c r="H6" s="24" t="str" cm="1">
        <f t="array" ref="H6">_xlfn.TEXTJOIN(CHAR(10),TRUE,IF(Profesor=base_de_datos[Profesor],IF("x"=base_de_datos[Martes],IF(base_de_datos[Hora inicio]&lt;=$B6,IF(base_de_datos[Hora fin]&gt;=$C6,base_de_datos[Aula]&amp;" "&amp;#REF!,""),""),""),""),"")</f>
        <v/>
      </c>
      <c r="I6" s="24" t="str" cm="1">
        <f t="array" ref="I6">_xlfn.TEXTJOIN(CHAR(10),TRUE,IF(Profesor=base_de_datos[Profesor],IF("x"=base_de_datos[Martes],IF(base_de_datos[Hora inicio]&lt;=$B6,IF(base_de_datos[Hora fin]&gt;=$C6,base_de_datos[No clase],""),""),""),""),"")</f>
        <v/>
      </c>
      <c r="J6" s="24" t="str" cm="1">
        <f t="array" ref="J6">_xlfn.TEXTJOIN(CHAR(10),TRUE,IF(Profesor=base_de_datos[Profesor],IF("x"=base_de_datos[Miércoles],IF(base_de_datos[Hora inicio]&lt;=$B6,IF(base_de_datos[Hora fin]&gt;=$C6,base_de_datos[Materia]&amp;" "&amp;base_de_datos[[Número de grupo ]],""),""),""),""),"")</f>
        <v/>
      </c>
      <c r="K6" s="24" t="str" cm="1">
        <f t="array" ref="K6">_xlfn.TEXTJOIN(CHAR(10),TRUE,IF(Profesor=base_de_datos[Profesor],IF("x"=base_de_datos[Miércoles],IF(base_de_datos[Hora inicio]&lt;=$B6,IF(base_de_datos[Hora fin]&gt;=$C6,base_de_datos[Aula]&amp;" "&amp;#REF!,""),""),""),""),"")</f>
        <v/>
      </c>
      <c r="L6" s="24" t="str" cm="1">
        <f t="array" ref="L6">_xlfn.TEXTJOIN(CHAR(10),TRUE,IF(Profesor=base_de_datos[Profesor],IF("x"=base_de_datos[Miércoles],IF(base_de_datos[Hora inicio]&lt;=$B6,IF(base_de_datos[Hora fin]&gt;=$C6,base_de_datos[No clase],""),""),""),""),"")</f>
        <v/>
      </c>
      <c r="M6" s="24" t="str" cm="1">
        <f t="array" ref="M6">_xlfn.TEXTJOIN(CHAR(10),TRUE,IF(Profesor=base_de_datos[Profesor],IF("x"=base_de_datos[Jueves],IF(base_de_datos[Hora inicio]&lt;=$B6,IF(base_de_datos[Hora fin]&gt;=$C6,base_de_datos[Materia]&amp;" "&amp;base_de_datos[[Número de grupo ]],""),""),""),""),"")</f>
        <v/>
      </c>
      <c r="N6" s="24" t="str" cm="1">
        <f t="array" ref="N6">_xlfn.TEXTJOIN(CHAR(10),TRUE,IF(Profesor=base_de_datos[Profesor],IF("x"=base_de_datos[Jueves],IF(base_de_datos[Hora inicio]&lt;=$B6,IF(base_de_datos[Hora fin]&gt;=$C6,base_de_datos[Aula]&amp;" "&amp;#REF!,""),""),""),""),"")</f>
        <v/>
      </c>
      <c r="O6" s="24" t="str" cm="1">
        <f t="array" ref="O6">_xlfn.TEXTJOIN(CHAR(10),TRUE,IF(Profesor=base_de_datos[Profesor],IF("x"=base_de_datos[Jueves],IF(base_de_datos[Hora inicio]&lt;=$B6,IF(base_de_datos[Hora fin]&gt;=$C6,base_de_datos[No clase],""),""),""),""),"")</f>
        <v/>
      </c>
      <c r="P6" s="24" t="str" cm="1">
        <f t="array" ref="P6">_xlfn.TEXTJOIN(CHAR(10),TRUE,IF(Profesor=base_de_datos[Profesor],IF("x"=base_de_datos[Viernes],IF(base_de_datos[Hora inicio]&lt;=$B6,IF(base_de_datos[Hora fin]&gt;=$C6,base_de_datos[Materia]&amp;" "&amp;base_de_datos[[Número de grupo ]],""),""),""),""),"")</f>
        <v/>
      </c>
      <c r="Q6" s="24" t="str" cm="1">
        <f t="array" ref="Q6">_xlfn.TEXTJOIN(CHAR(10),TRUE,IF(Profesor=base_de_datos[Profesor],IF("x"=base_de_datos[Viernes],IF(base_de_datos[Hora inicio]&lt;=$B6,IF(base_de_datos[Hora fin]&gt;=$C6,base_de_datos[Aula]&amp;" "&amp;#REF!,""),""),""),""),"")</f>
        <v/>
      </c>
      <c r="R6" s="24" t="str" cm="1">
        <f t="array" ref="R6">_xlfn.TEXTJOIN(CHAR(10),TRUE,IF(Profesor=base_de_datos[Profesor],IF("x"=base_de_datos[Viernes],IF(base_de_datos[Hora inicio]&lt;=$B6,IF(base_de_datos[Hora fin]&gt;=$C6,base_de_datos[No clase],""),""),""),""),"")</f>
        <v/>
      </c>
      <c r="S6" s="24" t="str" cm="1">
        <f t="array" ref="S6">_xlfn.TEXTJOIN(CHAR(10),TRUE,IF(Profesor=base_de_datos[Profesor],IF("x"=base_de_datos[Sábado],IF(base_de_datos[Hora inicio]&lt;=$B6,IF(base_de_datos[Hora fin]&gt;=$C6,base_de_datos[Materia]&amp;" "&amp;base_de_datos[[Número de grupo ]],""),""),""),""),"")</f>
        <v/>
      </c>
      <c r="T6" s="24" t="str" cm="1">
        <f t="array" ref="T6">_xlfn.TEXTJOIN(CHAR(10),TRUE,IF(Profesor=base_de_datos[Profesor],IF("x"=base_de_datos[Sábado],IF(base_de_datos[Hora inicio]&lt;=$B6,IF(base_de_datos[Hora fin]&gt;=$C6,base_de_datos[Aula]&amp;" "&amp;#REF!,""),""),""),""),"")</f>
        <v/>
      </c>
      <c r="U6" s="24" t="str" cm="1">
        <f t="array" ref="U6">_xlfn.TEXTJOIN(CHAR(10),TRUE,IF(Profesor=base_de_datos[Profesor],IF("x"=base_de_datos[Sábado],IF(base_de_datos[Hora inicio]&lt;=$B6,IF(base_de_datos[Hora fin]&gt;=$C6,base_de_datos[No clase],""),""),""),""),"")</f>
        <v/>
      </c>
      <c r="AB6" s="23"/>
      <c r="AC6" s="23"/>
      <c r="AD6" s="23"/>
    </row>
    <row r="7" spans="1:32" ht="15">
      <c r="B7" s="70">
        <v>0.33333333333333298</v>
      </c>
      <c r="C7" s="70">
        <v>0.35416666666666602</v>
      </c>
      <c r="D7" s="24" t="str" cm="1">
        <f t="array" ref="D7">_xlfn.TEXTJOIN(CHAR(10),TRUE,IF(Profesor=base_de_datos[Profesor],IF("x"=base_de_datos[Lunes],IF(base_de_datos[Hora inicio]&lt;=$B7,IF(base_de_datos[Hora fin]&gt;=$C7,base_de_datos[Materia]&amp;" "&amp;base_de_datos[[Número de grupo ]],""),""),""),""),"")</f>
        <v/>
      </c>
      <c r="E7" s="24" t="str" cm="1">
        <f t="array" ref="E7">_xlfn.TEXTJOIN(CHAR(10),TRUE,IF(Profesor=base_de_datos[Profesor],IF("x"=base_de_datos[Lunes],IF(base_de_datos[Hora inicio]&lt;=$B7,IF(base_de_datos[Hora fin]&gt;=$C7,base_de_datos[Aula]&amp;" "&amp;#REF!,""),""),""),""),"")</f>
        <v/>
      </c>
      <c r="F7" s="24" t="str" cm="1">
        <f t="array" ref="F7">_xlfn.TEXTJOIN(CHAR(10),TRUE,IF(Profesor=base_de_datos[Profesor],IF("x"=base_de_datos[Lunes],IF(base_de_datos[Hora inicio]&lt;=$B7,IF(base_de_datos[Hora fin]&gt;=$C7,base_de_datos[No clase],""),""),""),""),"")</f>
        <v/>
      </c>
      <c r="G7" s="24" t="str" cm="1">
        <f t="array" ref="G7">_xlfn.TEXTJOIN(CHAR(10),TRUE,IF(Profesor=base_de_datos[Profesor],IF("x"=base_de_datos[Martes],IF(base_de_datos[Hora inicio]&lt;=$B7,IF(base_de_datos[Hora fin]&gt;=$C7,base_de_datos[Materia]&amp;" "&amp;base_de_datos[[Número de grupo ]],""),""),""),""),"")</f>
        <v/>
      </c>
      <c r="H7" s="24" t="str" cm="1">
        <f t="array" ref="H7">_xlfn.TEXTJOIN(CHAR(10),TRUE,IF(Profesor=base_de_datos[Profesor],IF("x"=base_de_datos[Martes],IF(base_de_datos[Hora inicio]&lt;=$B7,IF(base_de_datos[Hora fin]&gt;=$C7,base_de_datos[Aula]&amp;" "&amp;#REF!,""),""),""),""),"")</f>
        <v/>
      </c>
      <c r="I7" s="24" t="str" cm="1">
        <f t="array" ref="I7">_xlfn.TEXTJOIN(CHAR(10),TRUE,IF(Profesor=base_de_datos[Profesor],IF("x"=base_de_datos[Martes],IF(base_de_datos[Hora inicio]&lt;=$B7,IF(base_de_datos[Hora fin]&gt;=$C7,base_de_datos[No clase],""),""),""),""),"")</f>
        <v/>
      </c>
      <c r="J7" s="24" t="str" cm="1">
        <f t="array" ref="J7">_xlfn.TEXTJOIN(CHAR(10),TRUE,IF(Profesor=base_de_datos[Profesor],IF("x"=base_de_datos[Miércoles],IF(base_de_datos[Hora inicio]&lt;=$B7,IF(base_de_datos[Hora fin]&gt;=$C7,base_de_datos[Materia]&amp;" "&amp;base_de_datos[[Número de grupo ]],""),""),""),""),"")</f>
        <v/>
      </c>
      <c r="K7" s="24" t="str" cm="1">
        <f t="array" ref="K7">_xlfn.TEXTJOIN(CHAR(10),TRUE,IF(Profesor=base_de_datos[Profesor],IF("x"=base_de_datos[Miércoles],IF(base_de_datos[Hora inicio]&lt;=$B7,IF(base_de_datos[Hora fin]&gt;=$C7,base_de_datos[Aula]&amp;" "&amp;#REF!,""),""),""),""),"")</f>
        <v/>
      </c>
      <c r="L7" s="24" t="str" cm="1">
        <f t="array" ref="L7">_xlfn.TEXTJOIN(CHAR(10),TRUE,IF(Profesor=base_de_datos[Profesor],IF("x"=base_de_datos[Miércoles],IF(base_de_datos[Hora inicio]&lt;=$B7,IF(base_de_datos[Hora fin]&gt;=$C7,base_de_datos[No clase],""),""),""),""),"")</f>
        <v/>
      </c>
      <c r="M7" s="24" t="str" cm="1">
        <f t="array" ref="M7">_xlfn.TEXTJOIN(CHAR(10),TRUE,IF(Profesor=base_de_datos[Profesor],IF("x"=base_de_datos[Jueves],IF(base_de_datos[Hora inicio]&lt;=$B7,IF(base_de_datos[Hora fin]&gt;=$C7,base_de_datos[Materia]&amp;" "&amp;base_de_datos[[Número de grupo ]],""),""),""),""),"")</f>
        <v/>
      </c>
      <c r="N7" s="24" t="str" cm="1">
        <f t="array" ref="N7">_xlfn.TEXTJOIN(CHAR(10),TRUE,IF(Profesor=base_de_datos[Profesor],IF("x"=base_de_datos[Jueves],IF(base_de_datos[Hora inicio]&lt;=$B7,IF(base_de_datos[Hora fin]&gt;=$C7,base_de_datos[Aula]&amp;" "&amp;#REF!,""),""),""),""),"")</f>
        <v/>
      </c>
      <c r="O7" s="24" t="str" cm="1">
        <f t="array" ref="O7">_xlfn.TEXTJOIN(CHAR(10),TRUE,IF(Profesor=base_de_datos[Profesor],IF("x"=base_de_datos[Jueves],IF(base_de_datos[Hora inicio]&lt;=$B7,IF(base_de_datos[Hora fin]&gt;=$C7,base_de_datos[No clase],""),""),""),""),"")</f>
        <v/>
      </c>
      <c r="P7" s="24" t="str" cm="1">
        <f t="array" ref="P7">_xlfn.TEXTJOIN(CHAR(10),TRUE,IF(Profesor=base_de_datos[Profesor],IF("x"=base_de_datos[Viernes],IF(base_de_datos[Hora inicio]&lt;=$B7,IF(base_de_datos[Hora fin]&gt;=$C7,base_de_datos[Materia]&amp;" "&amp;base_de_datos[[Número de grupo ]],""),""),""),""),"")</f>
        <v/>
      </c>
      <c r="Q7" s="24" t="str" cm="1">
        <f t="array" ref="Q7">_xlfn.TEXTJOIN(CHAR(10),TRUE,IF(Profesor=base_de_datos[Profesor],IF("x"=base_de_datos[Viernes],IF(base_de_datos[Hora inicio]&lt;=$B7,IF(base_de_datos[Hora fin]&gt;=$C7,base_de_datos[Aula]&amp;" "&amp;#REF!,""),""),""),""),"")</f>
        <v/>
      </c>
      <c r="R7" s="24" t="str" cm="1">
        <f t="array" ref="R7">_xlfn.TEXTJOIN(CHAR(10),TRUE,IF(Profesor=base_de_datos[Profesor],IF("x"=base_de_datos[Viernes],IF(base_de_datos[Hora inicio]&lt;=$B7,IF(base_de_datos[Hora fin]&gt;=$C7,base_de_datos[No clase],""),""),""),""),"")</f>
        <v/>
      </c>
      <c r="S7" s="24" t="str" cm="1">
        <f t="array" ref="S7">_xlfn.TEXTJOIN(CHAR(10),TRUE,IF(Profesor=base_de_datos[Profesor],IF("x"=base_de_datos[Sábado],IF(base_de_datos[Hora inicio]&lt;=$B7,IF(base_de_datos[Hora fin]&gt;=$C7,base_de_datos[Materia]&amp;" "&amp;base_de_datos[[Número de grupo ]],""),""),""),""),"")</f>
        <v/>
      </c>
      <c r="T7" s="24" t="str" cm="1">
        <f t="array" ref="T7">_xlfn.TEXTJOIN(CHAR(10),TRUE,IF(Profesor=base_de_datos[Profesor],IF("x"=base_de_datos[Sábado],IF(base_de_datos[Hora inicio]&lt;=$B7,IF(base_de_datos[Hora fin]&gt;=$C7,base_de_datos[Aula]&amp;" "&amp;#REF!,""),""),""),""),"")</f>
        <v/>
      </c>
      <c r="U7" s="24" t="str" cm="1">
        <f t="array" ref="U7">_xlfn.TEXTJOIN(CHAR(10),TRUE,IF(Profesor=base_de_datos[Profesor],IF("x"=base_de_datos[Sábado],IF(base_de_datos[Hora inicio]&lt;=$B7,IF(base_de_datos[Hora fin]&gt;=$C7,base_de_datos[No clase],""),""),""),""),"")</f>
        <v/>
      </c>
      <c r="AB7" s="23"/>
      <c r="AC7" s="23"/>
      <c r="AD7" s="23"/>
    </row>
    <row r="8" spans="1:32" ht="15">
      <c r="B8" s="70">
        <v>0.35416666666666702</v>
      </c>
      <c r="C8" s="70">
        <v>0.374999999999999</v>
      </c>
      <c r="D8" s="24" t="str" cm="1">
        <f t="array" ref="D8">_xlfn.TEXTJOIN(CHAR(10),TRUE,IF(Profesor=base_de_datos[Profesor],IF("x"=base_de_datos[Lunes],IF(base_de_datos[Hora inicio]&lt;=$B8,IF(base_de_datos[Hora fin]&gt;=$C8,base_de_datos[Materia]&amp;" "&amp;base_de_datos[[Número de grupo ]],""),""),""),""),"")</f>
        <v/>
      </c>
      <c r="E8" s="24" t="str" cm="1">
        <f t="array" ref="E8">_xlfn.TEXTJOIN(CHAR(10),TRUE,IF(Profesor=base_de_datos[Profesor],IF("x"=base_de_datos[Lunes],IF(base_de_datos[Hora inicio]&lt;=$B8,IF(base_de_datos[Hora fin]&gt;=$C8,base_de_datos[Aula]&amp;" "&amp;#REF!,""),""),""),""),"")</f>
        <v/>
      </c>
      <c r="F8" s="24" t="str" cm="1">
        <f t="array" ref="F8">_xlfn.TEXTJOIN(CHAR(10),TRUE,IF(Profesor=base_de_datos[Profesor],IF("x"=base_de_datos[Lunes],IF(base_de_datos[Hora inicio]&lt;=$B8,IF(base_de_datos[Hora fin]&gt;=$C8,base_de_datos[No clase],""),""),""),""),"")</f>
        <v/>
      </c>
      <c r="G8" s="24" t="str" cm="1">
        <f t="array" ref="G8">_xlfn.TEXTJOIN(CHAR(10),TRUE,IF(Profesor=base_de_datos[Profesor],IF("x"=base_de_datos[Martes],IF(base_de_datos[Hora inicio]&lt;=$B8,IF(base_de_datos[Hora fin]&gt;=$C8,base_de_datos[Materia]&amp;" "&amp;base_de_datos[[Número de grupo ]],""),""),""),""),"")</f>
        <v/>
      </c>
      <c r="H8" s="24" t="str" cm="1">
        <f t="array" ref="H8">_xlfn.TEXTJOIN(CHAR(10),TRUE,IF(Profesor=base_de_datos[Profesor],IF("x"=base_de_datos[Martes],IF(base_de_datos[Hora inicio]&lt;=$B8,IF(base_de_datos[Hora fin]&gt;=$C8,base_de_datos[Aula]&amp;" "&amp;#REF!,""),""),""),""),"")</f>
        <v/>
      </c>
      <c r="I8" s="24" t="str" cm="1">
        <f t="array" ref="I8">_xlfn.TEXTJOIN(CHAR(10),TRUE,IF(Profesor=base_de_datos[Profesor],IF("x"=base_de_datos[Martes],IF(base_de_datos[Hora inicio]&lt;=$B8,IF(base_de_datos[Hora fin]&gt;=$C8,base_de_datos[No clase],""),""),""),""),"")</f>
        <v/>
      </c>
      <c r="J8" s="24" t="str" cm="1">
        <f t="array" ref="J8">_xlfn.TEXTJOIN(CHAR(10),TRUE,IF(Profesor=base_de_datos[Profesor],IF("x"=base_de_datos[Miércoles],IF(base_de_datos[Hora inicio]&lt;=$B8,IF(base_de_datos[Hora fin]&gt;=$C8,base_de_datos[Materia]&amp;" "&amp;base_de_datos[[Número de grupo ]],""),""),""),""),"")</f>
        <v/>
      </c>
      <c r="K8" s="24" t="str" cm="1">
        <f t="array" ref="K8">_xlfn.TEXTJOIN(CHAR(10),TRUE,IF(Profesor=base_de_datos[Profesor],IF("x"=base_de_datos[Miércoles],IF(base_de_datos[Hora inicio]&lt;=$B8,IF(base_de_datos[Hora fin]&gt;=$C8,base_de_datos[Aula]&amp;" "&amp;#REF!,""),""),""),""),"")</f>
        <v/>
      </c>
      <c r="L8" s="24" t="str" cm="1">
        <f t="array" ref="L8">_xlfn.TEXTJOIN(CHAR(10),TRUE,IF(Profesor=base_de_datos[Profesor],IF("x"=base_de_datos[Miércoles],IF(base_de_datos[Hora inicio]&lt;=$B8,IF(base_de_datos[Hora fin]&gt;=$C8,base_de_datos[No clase],""),""),""),""),"")</f>
        <v/>
      </c>
      <c r="M8" s="24" t="str" cm="1">
        <f t="array" ref="M8">_xlfn.TEXTJOIN(CHAR(10),TRUE,IF(Profesor=base_de_datos[Profesor],IF("x"=base_de_datos[Jueves],IF(base_de_datos[Hora inicio]&lt;=$B8,IF(base_de_datos[Hora fin]&gt;=$C8,base_de_datos[Materia]&amp;" "&amp;base_de_datos[[Número de grupo ]],""),""),""),""),"")</f>
        <v/>
      </c>
      <c r="N8" s="24" t="str" cm="1">
        <f t="array" ref="N8">_xlfn.TEXTJOIN(CHAR(10),TRUE,IF(Profesor=base_de_datos[Profesor],IF("x"=base_de_datos[Jueves],IF(base_de_datos[Hora inicio]&lt;=$B8,IF(base_de_datos[Hora fin]&gt;=$C8,base_de_datos[Aula]&amp;" "&amp;#REF!,""),""),""),""),"")</f>
        <v/>
      </c>
      <c r="O8" s="24" t="str" cm="1">
        <f t="array" ref="O8">_xlfn.TEXTJOIN(CHAR(10),TRUE,IF(Profesor=base_de_datos[Profesor],IF("x"=base_de_datos[Jueves],IF(base_de_datos[Hora inicio]&lt;=$B8,IF(base_de_datos[Hora fin]&gt;=$C8,base_de_datos[No clase],""),""),""),""),"")</f>
        <v/>
      </c>
      <c r="P8" s="24" t="str" cm="1">
        <f t="array" ref="P8">_xlfn.TEXTJOIN(CHAR(10),TRUE,IF(Profesor=base_de_datos[Profesor],IF("x"=base_de_datos[Viernes],IF(base_de_datos[Hora inicio]&lt;=$B8,IF(base_de_datos[Hora fin]&gt;=$C8,base_de_datos[Materia]&amp;" "&amp;base_de_datos[[Número de grupo ]],""),""),""),""),"")</f>
        <v/>
      </c>
      <c r="Q8" s="24" t="str" cm="1">
        <f t="array" ref="Q8">_xlfn.TEXTJOIN(CHAR(10),TRUE,IF(Profesor=base_de_datos[Profesor],IF("x"=base_de_datos[Viernes],IF(base_de_datos[Hora inicio]&lt;=$B8,IF(base_de_datos[Hora fin]&gt;=$C8,base_de_datos[Aula]&amp;" "&amp;#REF!,""),""),""),""),"")</f>
        <v/>
      </c>
      <c r="R8" s="24" t="str" cm="1">
        <f t="array" ref="R8">_xlfn.TEXTJOIN(CHAR(10),TRUE,IF(Profesor=base_de_datos[Profesor],IF("x"=base_de_datos[Viernes],IF(base_de_datos[Hora inicio]&lt;=$B8,IF(base_de_datos[Hora fin]&gt;=$C8,base_de_datos[No clase],""),""),""),""),"")</f>
        <v/>
      </c>
      <c r="S8" s="24" t="str" cm="1">
        <f t="array" ref="S8">_xlfn.TEXTJOIN(CHAR(10),TRUE,IF(Profesor=base_de_datos[Profesor],IF("x"=base_de_datos[Sábado],IF(base_de_datos[Hora inicio]&lt;=$B8,IF(base_de_datos[Hora fin]&gt;=$C8,base_de_datos[Materia]&amp;" "&amp;base_de_datos[[Número de grupo ]],""),""),""),""),"")</f>
        <v/>
      </c>
      <c r="T8" s="24" t="str" cm="1">
        <f t="array" ref="T8">_xlfn.TEXTJOIN(CHAR(10),TRUE,IF(Profesor=base_de_datos[Profesor],IF("x"=base_de_datos[Sábado],IF(base_de_datos[Hora inicio]&lt;=$B8,IF(base_de_datos[Hora fin]&gt;=$C8,base_de_datos[Aula]&amp;" "&amp;#REF!,""),""),""),""),"")</f>
        <v/>
      </c>
      <c r="U8" s="24" t="str" cm="1">
        <f t="array" ref="U8">_xlfn.TEXTJOIN(CHAR(10),TRUE,IF(Profesor=base_de_datos[Profesor],IF("x"=base_de_datos[Sábado],IF(base_de_datos[Hora inicio]&lt;=$B8,IF(base_de_datos[Hora fin]&gt;=$C8,base_de_datos[No clase],""),""),""),""),"")</f>
        <v/>
      </c>
      <c r="AB8" s="23"/>
      <c r="AC8" s="23"/>
      <c r="AD8" s="23"/>
    </row>
    <row r="9" spans="1:32" ht="15">
      <c r="B9" s="70">
        <v>0.375</v>
      </c>
      <c r="C9" s="70">
        <v>0.39583333333333198</v>
      </c>
      <c r="D9" s="24" t="str" cm="1">
        <f t="array" ref="D9">_xlfn.TEXTJOIN(CHAR(10),TRUE,IF(Profesor=base_de_datos[Profesor],IF("x"=base_de_datos[Lunes],IF(base_de_datos[Hora inicio]&lt;=$B9,IF(base_de_datos[Hora fin]&gt;=$C9,base_de_datos[Materia]&amp;" "&amp;base_de_datos[[Número de grupo ]],""),""),""),""),"")</f>
        <v>Introducción a la ingeniería 1</v>
      </c>
      <c r="E9" s="24" t="e" cm="1">
        <f t="array" ref="E9">_xlfn.TEXTJOIN(CHAR(10),TRUE,IF(Profesor=base_de_datos[Profesor],IF("x"=base_de_datos[Lunes],IF(base_de_datos[Hora inicio]&lt;=$B9,IF(base_de_datos[Hora fin]&gt;=$C9,base_de_datos[Aula]&amp;" "&amp;#REF!,""),""),""),""),"")</f>
        <v>#REF!</v>
      </c>
      <c r="F9" s="24" t="str" cm="1">
        <f t="array" ref="F9">_xlfn.TEXTJOIN(CHAR(10),TRUE,IF(Profesor=base_de_datos[Profesor],IF("x"=base_de_datos[Lunes],IF(base_de_datos[Hora inicio]&lt;=$B9,IF(base_de_datos[Hora fin]&gt;=$C9,base_de_datos[No clase],""),""),""),""),"")</f>
        <v>1627</v>
      </c>
      <c r="G9" s="24" t="str" cm="1">
        <f t="array" ref="G9">_xlfn.TEXTJOIN(CHAR(10),TRUE,IF(Profesor=base_de_datos[Profesor],IF("x"=base_de_datos[Martes],IF(base_de_datos[Hora inicio]&lt;=$B9,IF(base_de_datos[Hora fin]&gt;=$C9,base_de_datos[Materia]&amp;" "&amp;base_de_datos[[Número de grupo ]],""),""),""),""),"")</f>
        <v/>
      </c>
      <c r="H9" s="24" t="str" cm="1">
        <f t="array" ref="H9">_xlfn.TEXTJOIN(CHAR(10),TRUE,IF(Profesor=base_de_datos[Profesor],IF("x"=base_de_datos[Martes],IF(base_de_datos[Hora inicio]&lt;=$B9,IF(base_de_datos[Hora fin]&gt;=$C9,base_de_datos[Aula]&amp;" "&amp;#REF!,""),""),""),""),"")</f>
        <v/>
      </c>
      <c r="I9" s="24" t="str" cm="1">
        <f t="array" ref="I9">_xlfn.TEXTJOIN(CHAR(10),TRUE,IF(Profesor=base_de_datos[Profesor],IF("x"=base_de_datos[Martes],IF(base_de_datos[Hora inicio]&lt;=$B9,IF(base_de_datos[Hora fin]&gt;=$C9,base_de_datos[No clase],""),""),""),""),"")</f>
        <v/>
      </c>
      <c r="J9" s="24" t="str" cm="1">
        <f t="array" ref="J9">_xlfn.TEXTJOIN(CHAR(10),TRUE,IF(Profesor=base_de_datos[Profesor],IF("x"=base_de_datos[Miércoles],IF(base_de_datos[Hora inicio]&lt;=$B9,IF(base_de_datos[Hora fin]&gt;=$C9,base_de_datos[Materia]&amp;" "&amp;base_de_datos[[Número de grupo ]],""),""),""),""),"")</f>
        <v/>
      </c>
      <c r="K9" s="24" t="str" cm="1">
        <f t="array" ref="K9">_xlfn.TEXTJOIN(CHAR(10),TRUE,IF(Profesor=base_de_datos[Profesor],IF("x"=base_de_datos[Miércoles],IF(base_de_datos[Hora inicio]&lt;=$B9,IF(base_de_datos[Hora fin]&gt;=$C9,base_de_datos[Aula]&amp;" "&amp;#REF!,""),""),""),""),"")</f>
        <v/>
      </c>
      <c r="L9" s="24" t="str" cm="1">
        <f t="array" ref="L9">_xlfn.TEXTJOIN(CHAR(10),TRUE,IF(Profesor=base_de_datos[Profesor],IF("x"=base_de_datos[Miércoles],IF(base_de_datos[Hora inicio]&lt;=$B9,IF(base_de_datos[Hora fin]&gt;=$C9,base_de_datos[No clase],""),""),""),""),"")</f>
        <v/>
      </c>
      <c r="M9" s="24" t="str" cm="1">
        <f t="array" ref="M9">_xlfn.TEXTJOIN(CHAR(10),TRUE,IF(Profesor=base_de_datos[Profesor],IF("x"=base_de_datos[Jueves],IF(base_de_datos[Hora inicio]&lt;=$B9,IF(base_de_datos[Hora fin]&gt;=$C9,base_de_datos[Materia]&amp;" "&amp;base_de_datos[[Número de grupo ]],""),""),""),""),"")</f>
        <v/>
      </c>
      <c r="N9" s="24" t="str" cm="1">
        <f t="array" ref="N9">_xlfn.TEXTJOIN(CHAR(10),TRUE,IF(Profesor=base_de_datos[Profesor],IF("x"=base_de_datos[Jueves],IF(base_de_datos[Hora inicio]&lt;=$B9,IF(base_de_datos[Hora fin]&gt;=$C9,base_de_datos[Aula]&amp;" "&amp;#REF!,""),""),""),""),"")</f>
        <v/>
      </c>
      <c r="O9" s="24" t="str" cm="1">
        <f t="array" ref="O9">_xlfn.TEXTJOIN(CHAR(10),TRUE,IF(Profesor=base_de_datos[Profesor],IF("x"=base_de_datos[Jueves],IF(base_de_datos[Hora inicio]&lt;=$B9,IF(base_de_datos[Hora fin]&gt;=$C9,base_de_datos[No clase],""),""),""),""),"")</f>
        <v/>
      </c>
      <c r="P9" s="24" t="str" cm="1">
        <f t="array" ref="P9">_xlfn.TEXTJOIN(CHAR(10),TRUE,IF(Profesor=base_de_datos[Profesor],IF("x"=base_de_datos[Viernes],IF(base_de_datos[Hora inicio]&lt;=$B9,IF(base_de_datos[Hora fin]&gt;=$C9,base_de_datos[Materia]&amp;" "&amp;base_de_datos[[Número de grupo ]],""),""),""),""),"")</f>
        <v/>
      </c>
      <c r="Q9" s="24" t="str" cm="1">
        <f t="array" ref="Q9">_xlfn.TEXTJOIN(CHAR(10),TRUE,IF(Profesor=base_de_datos[Profesor],IF("x"=base_de_datos[Viernes],IF(base_de_datos[Hora inicio]&lt;=$B9,IF(base_de_datos[Hora fin]&gt;=$C9,base_de_datos[Aula]&amp;" "&amp;#REF!,""),""),""),""),"")</f>
        <v/>
      </c>
      <c r="R9" s="24" t="str" cm="1">
        <f t="array" ref="R9">_xlfn.TEXTJOIN(CHAR(10),TRUE,IF(Profesor=base_de_datos[Profesor],IF("x"=base_de_datos[Viernes],IF(base_de_datos[Hora inicio]&lt;=$B9,IF(base_de_datos[Hora fin]&gt;=$C9,base_de_datos[No clase],""),""),""),""),"")</f>
        <v/>
      </c>
      <c r="S9" s="24" t="str" cm="1">
        <f t="array" ref="S9">_xlfn.TEXTJOIN(CHAR(10),TRUE,IF(Profesor=base_de_datos[Profesor],IF("x"=base_de_datos[Sábado],IF(base_de_datos[Hora inicio]&lt;=$B9,IF(base_de_datos[Hora fin]&gt;=$C9,base_de_datos[Materia]&amp;" "&amp;base_de_datos[[Número de grupo ]],""),""),""),""),"")</f>
        <v/>
      </c>
      <c r="T9" s="24" t="str" cm="1">
        <f t="array" ref="T9">_xlfn.TEXTJOIN(CHAR(10),TRUE,IF(Profesor=base_de_datos[Profesor],IF("x"=base_de_datos[Sábado],IF(base_de_datos[Hora inicio]&lt;=$B9,IF(base_de_datos[Hora fin]&gt;=$C9,base_de_datos[Aula]&amp;" "&amp;#REF!,""),""),""),""),"")</f>
        <v/>
      </c>
      <c r="U9" s="24" t="str" cm="1">
        <f t="array" ref="U9">_xlfn.TEXTJOIN(CHAR(10),TRUE,IF(Profesor=base_de_datos[Profesor],IF("x"=base_de_datos[Sábado],IF(base_de_datos[Hora inicio]&lt;=$B9,IF(base_de_datos[Hora fin]&gt;=$C9,base_de_datos[No clase],""),""),""),""),"")</f>
        <v/>
      </c>
      <c r="AB9" s="23"/>
      <c r="AC9" s="23"/>
      <c r="AD9" s="23"/>
    </row>
    <row r="10" spans="1:32" ht="15">
      <c r="B10" s="70">
        <v>0.39583333333333398</v>
      </c>
      <c r="C10" s="70">
        <v>0.41666666666666502</v>
      </c>
      <c r="D10" s="24" t="str" cm="1">
        <f t="array" ref="D10">_xlfn.TEXTJOIN(CHAR(10),TRUE,IF(Profesor=base_de_datos[Profesor],IF("x"=base_de_datos[Lunes],IF(base_de_datos[Hora inicio]&lt;=$B10,IF(base_de_datos[Hora fin]&gt;=$C10,base_de_datos[Materia]&amp;" "&amp;base_de_datos[[Número de grupo ]],""),""),""),""),"")</f>
        <v>Introducción a la ingeniería 1</v>
      </c>
      <c r="E10" s="24" t="e" cm="1">
        <f t="array" ref="E10">_xlfn.TEXTJOIN(CHAR(10),TRUE,IF(Profesor=base_de_datos[Profesor],IF("x"=base_de_datos[Lunes],IF(base_de_datos[Hora inicio]&lt;=$B10,IF(base_de_datos[Hora fin]&gt;=$C10,base_de_datos[Aula]&amp;" "&amp;#REF!,""),""),""),""),"")</f>
        <v>#REF!</v>
      </c>
      <c r="F10" s="24" t="str" cm="1">
        <f t="array" ref="F10">_xlfn.TEXTJOIN(CHAR(10),TRUE,IF(Profesor=base_de_datos[Profesor],IF("x"=base_de_datos[Lunes],IF(base_de_datos[Hora inicio]&lt;=$B10,IF(base_de_datos[Hora fin]&gt;=$C10,base_de_datos[No clase],""),""),""),""),"")</f>
        <v>1627</v>
      </c>
      <c r="G10" s="24" t="str" cm="1">
        <f t="array" ref="G10">_xlfn.TEXTJOIN(CHAR(10),TRUE,IF(Profesor=base_de_datos[Profesor],IF("x"=base_de_datos[Martes],IF(base_de_datos[Hora inicio]&lt;=$B10,IF(base_de_datos[Hora fin]&gt;=$C10,base_de_datos[Materia]&amp;" "&amp;base_de_datos[[Número de grupo ]],""),""),""),""),"")</f>
        <v/>
      </c>
      <c r="H10" s="24" t="str" cm="1">
        <f t="array" ref="H10">_xlfn.TEXTJOIN(CHAR(10),TRUE,IF(Profesor=base_de_datos[Profesor],IF("x"=base_de_datos[Martes],IF(base_de_datos[Hora inicio]&lt;=$B10,IF(base_de_datos[Hora fin]&gt;=$C10,base_de_datos[Aula]&amp;" "&amp;#REF!,""),""),""),""),"")</f>
        <v/>
      </c>
      <c r="I10" s="24" t="str" cm="1">
        <f t="array" ref="I10">_xlfn.TEXTJOIN(CHAR(10),TRUE,IF(Profesor=base_de_datos[Profesor],IF("x"=base_de_datos[Martes],IF(base_de_datos[Hora inicio]&lt;=$B10,IF(base_de_datos[Hora fin]&gt;=$C10,base_de_datos[No clase],""),""),""),""),"")</f>
        <v/>
      </c>
      <c r="J10" s="24" t="str" cm="1">
        <f t="array" ref="J10">_xlfn.TEXTJOIN(CHAR(10),TRUE,IF(Profesor=base_de_datos[Profesor],IF("x"=base_de_datos[Miércoles],IF(base_de_datos[Hora inicio]&lt;=$B10,IF(base_de_datos[Hora fin]&gt;=$C10,base_de_datos[Materia]&amp;" "&amp;base_de_datos[[Número de grupo ]],""),""),""),""),"")</f>
        <v/>
      </c>
      <c r="K10" s="24" t="str" cm="1">
        <f t="array" ref="K10">_xlfn.TEXTJOIN(CHAR(10),TRUE,IF(Profesor=base_de_datos[Profesor],IF("x"=base_de_datos[Miércoles],IF(base_de_datos[Hora inicio]&lt;=$B10,IF(base_de_datos[Hora fin]&gt;=$C10,base_de_datos[Aula]&amp;" "&amp;#REF!,""),""),""),""),"")</f>
        <v/>
      </c>
      <c r="L10" s="24" t="str" cm="1">
        <f t="array" ref="L10">_xlfn.TEXTJOIN(CHAR(10),TRUE,IF(Profesor=base_de_datos[Profesor],IF("x"=base_de_datos[Miércoles],IF(base_de_datos[Hora inicio]&lt;=$B10,IF(base_de_datos[Hora fin]&gt;=$C10,base_de_datos[No clase],""),""),""),""),"")</f>
        <v/>
      </c>
      <c r="M10" s="24" t="str" cm="1">
        <f t="array" ref="M10">_xlfn.TEXTJOIN(CHAR(10),TRUE,IF(Profesor=base_de_datos[Profesor],IF("x"=base_de_datos[Jueves],IF(base_de_datos[Hora inicio]&lt;=$B10,IF(base_de_datos[Hora fin]&gt;=$C10,base_de_datos[Materia]&amp;" "&amp;base_de_datos[[Número de grupo ]],""),""),""),""),"")</f>
        <v/>
      </c>
      <c r="N10" s="24" t="str" cm="1">
        <f t="array" ref="N10">_xlfn.TEXTJOIN(CHAR(10),TRUE,IF(Profesor=base_de_datos[Profesor],IF("x"=base_de_datos[Jueves],IF(base_de_datos[Hora inicio]&lt;=$B10,IF(base_de_datos[Hora fin]&gt;=$C10,base_de_datos[Aula]&amp;" "&amp;#REF!,""),""),""),""),"")</f>
        <v/>
      </c>
      <c r="O10" s="24" t="str" cm="1">
        <f t="array" ref="O10">_xlfn.TEXTJOIN(CHAR(10),TRUE,IF(Profesor=base_de_datos[Profesor],IF("x"=base_de_datos[Jueves],IF(base_de_datos[Hora inicio]&lt;=$B10,IF(base_de_datos[Hora fin]&gt;=$C10,base_de_datos[No clase],""),""),""),""),"")</f>
        <v/>
      </c>
      <c r="P10" s="24" t="str" cm="1">
        <f t="array" ref="P10">_xlfn.TEXTJOIN(CHAR(10),TRUE,IF(Profesor=base_de_datos[Profesor],IF("x"=base_de_datos[Viernes],IF(base_de_datos[Hora inicio]&lt;=$B10,IF(base_de_datos[Hora fin]&gt;=$C10,base_de_datos[Materia]&amp;" "&amp;base_de_datos[[Número de grupo ]],""),""),""),""),"")</f>
        <v/>
      </c>
      <c r="Q10" s="24" t="str" cm="1">
        <f t="array" ref="Q10">_xlfn.TEXTJOIN(CHAR(10),TRUE,IF(Profesor=base_de_datos[Profesor],IF("x"=base_de_datos[Viernes],IF(base_de_datos[Hora inicio]&lt;=$B10,IF(base_de_datos[Hora fin]&gt;=$C10,base_de_datos[Aula]&amp;" "&amp;#REF!,""),""),""),""),"")</f>
        <v/>
      </c>
      <c r="R10" s="24" t="str" cm="1">
        <f t="array" ref="R10">_xlfn.TEXTJOIN(CHAR(10),TRUE,IF(Profesor=base_de_datos[Profesor],IF("x"=base_de_datos[Viernes],IF(base_de_datos[Hora inicio]&lt;=$B10,IF(base_de_datos[Hora fin]&gt;=$C10,base_de_datos[No clase],""),""),""),""),"")</f>
        <v/>
      </c>
      <c r="S10" s="24" t="str" cm="1">
        <f t="array" ref="S10">_xlfn.TEXTJOIN(CHAR(10),TRUE,IF(Profesor=base_de_datos[Profesor],IF("x"=base_de_datos[Sábado],IF(base_de_datos[Hora inicio]&lt;=$B10,IF(base_de_datos[Hora fin]&gt;=$C10,base_de_datos[Materia]&amp;" "&amp;base_de_datos[[Número de grupo ]],""),""),""),""),"")</f>
        <v/>
      </c>
      <c r="T10" s="24" t="str" cm="1">
        <f t="array" ref="T10">_xlfn.TEXTJOIN(CHAR(10),TRUE,IF(Profesor=base_de_datos[Profesor],IF("x"=base_de_datos[Sábado],IF(base_de_datos[Hora inicio]&lt;=$B10,IF(base_de_datos[Hora fin]&gt;=$C10,base_de_datos[Aula]&amp;" "&amp;#REF!,""),""),""),""),"")</f>
        <v/>
      </c>
      <c r="U10" s="24" t="str" cm="1">
        <f t="array" ref="U10">_xlfn.TEXTJOIN(CHAR(10),TRUE,IF(Profesor=base_de_datos[Profesor],IF("x"=base_de_datos[Sábado],IF(base_de_datos[Hora inicio]&lt;=$B10,IF(base_de_datos[Hora fin]&gt;=$C10,base_de_datos[No clase],""),""),""),""),"")</f>
        <v/>
      </c>
      <c r="AB10" s="23"/>
      <c r="AC10" s="23"/>
      <c r="AD10" s="23"/>
    </row>
    <row r="11" spans="1:32" ht="15">
      <c r="B11" s="70">
        <v>0.41666666666666702</v>
      </c>
      <c r="C11" s="70">
        <v>0.437499999999998</v>
      </c>
      <c r="D11" s="24" t="str" cm="1">
        <f t="array" ref="D11">_xlfn.TEXTJOIN(CHAR(10),TRUE,IF(Profesor=base_de_datos[Profesor],IF("x"=base_de_datos[Lunes],IF(base_de_datos[Hora inicio]&lt;=$B11,IF(base_de_datos[Hora fin]&gt;=$C11,base_de_datos[Materia]&amp;" "&amp;base_de_datos[[Número de grupo ]],""),""),""),""),"")</f>
        <v>Introducción a la ingeniería 1</v>
      </c>
      <c r="E11" s="24" t="e" cm="1">
        <f t="array" ref="E11">_xlfn.TEXTJOIN(CHAR(10),TRUE,IF(Profesor=base_de_datos[Profesor],IF("x"=base_de_datos[Lunes],IF(base_de_datos[Hora inicio]&lt;=$B11,IF(base_de_datos[Hora fin]&gt;=$C11,base_de_datos[Aula]&amp;" "&amp;#REF!,""),""),""),""),"")</f>
        <v>#REF!</v>
      </c>
      <c r="F11" s="24" t="str" cm="1">
        <f t="array" ref="F11">_xlfn.TEXTJOIN(CHAR(10),TRUE,IF(Profesor=base_de_datos[Profesor],IF("x"=base_de_datos[Lunes],IF(base_de_datos[Hora inicio]&lt;=$B11,IF(base_de_datos[Hora fin]&gt;=$C11,base_de_datos[No clase],""),""),""),""),"")</f>
        <v>1627</v>
      </c>
      <c r="G11" s="24" t="str" cm="1">
        <f t="array" ref="G11">_xlfn.TEXTJOIN(CHAR(10),TRUE,IF(Profesor=base_de_datos[Profesor],IF("x"=base_de_datos[Martes],IF(base_de_datos[Hora inicio]&lt;=$B11,IF(base_de_datos[Hora fin]&gt;=$C11,base_de_datos[Materia]&amp;" "&amp;base_de_datos[[Número de grupo ]],""),""),""),""),"")</f>
        <v/>
      </c>
      <c r="H11" s="24" t="str" cm="1">
        <f t="array" ref="H11">_xlfn.TEXTJOIN(CHAR(10),TRUE,IF(Profesor=base_de_datos[Profesor],IF("x"=base_de_datos[Martes],IF(base_de_datos[Hora inicio]&lt;=$B11,IF(base_de_datos[Hora fin]&gt;=$C11,base_de_datos[Aula]&amp;" "&amp;#REF!,""),""),""),""),"")</f>
        <v/>
      </c>
      <c r="I11" s="24" t="str" cm="1">
        <f t="array" ref="I11">_xlfn.TEXTJOIN(CHAR(10),TRUE,IF(Profesor=base_de_datos[Profesor],IF("x"=base_de_datos[Martes],IF(base_de_datos[Hora inicio]&lt;=$B11,IF(base_de_datos[Hora fin]&gt;=$C11,base_de_datos[No clase],""),""),""),""),"")</f>
        <v/>
      </c>
      <c r="J11" s="24" t="str" cm="1">
        <f t="array" ref="J11">_xlfn.TEXTJOIN(CHAR(10),TRUE,IF(Profesor=base_de_datos[Profesor],IF("x"=base_de_datos[Miércoles],IF(base_de_datos[Hora inicio]&lt;=$B11,IF(base_de_datos[Hora fin]&gt;=$C11,base_de_datos[Materia]&amp;" "&amp;base_de_datos[[Número de grupo ]],""),""),""),""),"")</f>
        <v/>
      </c>
      <c r="K11" s="24" t="str" cm="1">
        <f t="array" ref="K11">_xlfn.TEXTJOIN(CHAR(10),TRUE,IF(Profesor=base_de_datos[Profesor],IF("x"=base_de_datos[Miércoles],IF(base_de_datos[Hora inicio]&lt;=$B11,IF(base_de_datos[Hora fin]&gt;=$C11,base_de_datos[Aula]&amp;" "&amp;#REF!,""),""),""),""),"")</f>
        <v/>
      </c>
      <c r="L11" s="24" t="str" cm="1">
        <f t="array" ref="L11">_xlfn.TEXTJOIN(CHAR(10),TRUE,IF(Profesor=base_de_datos[Profesor],IF("x"=base_de_datos[Miércoles],IF(base_de_datos[Hora inicio]&lt;=$B11,IF(base_de_datos[Hora fin]&gt;=$C11,base_de_datos[No clase],""),""),""),""),"")</f>
        <v/>
      </c>
      <c r="M11" s="24" t="str" cm="1">
        <f t="array" ref="M11">_xlfn.TEXTJOIN(CHAR(10),TRUE,IF(Profesor=base_de_datos[Profesor],IF("x"=base_de_datos[Jueves],IF(base_de_datos[Hora inicio]&lt;=$B11,IF(base_de_datos[Hora fin]&gt;=$C11,base_de_datos[Materia]&amp;" "&amp;base_de_datos[[Número de grupo ]],""),""),""),""),"")</f>
        <v/>
      </c>
      <c r="N11" s="24" t="str" cm="1">
        <f t="array" ref="N11">_xlfn.TEXTJOIN(CHAR(10),TRUE,IF(Profesor=base_de_datos[Profesor],IF("x"=base_de_datos[Jueves],IF(base_de_datos[Hora inicio]&lt;=$B11,IF(base_de_datos[Hora fin]&gt;=$C11,base_de_datos[Aula]&amp;" "&amp;#REF!,""),""),""),""),"")</f>
        <v/>
      </c>
      <c r="O11" s="24" t="str" cm="1">
        <f t="array" ref="O11">_xlfn.TEXTJOIN(CHAR(10),TRUE,IF(Profesor=base_de_datos[Profesor],IF("x"=base_de_datos[Jueves],IF(base_de_datos[Hora inicio]&lt;=$B11,IF(base_de_datos[Hora fin]&gt;=$C11,base_de_datos[No clase],""),""),""),""),"")</f>
        <v/>
      </c>
      <c r="P11" s="24" t="str" cm="1">
        <f t="array" ref="P11">_xlfn.TEXTJOIN(CHAR(10),TRUE,IF(Profesor=base_de_datos[Profesor],IF("x"=base_de_datos[Viernes],IF(base_de_datos[Hora inicio]&lt;=$B11,IF(base_de_datos[Hora fin]&gt;=$C11,base_de_datos[Materia]&amp;" "&amp;base_de_datos[[Número de grupo ]],""),""),""),""),"")</f>
        <v/>
      </c>
      <c r="Q11" s="24" t="str" cm="1">
        <f t="array" ref="Q11">_xlfn.TEXTJOIN(CHAR(10),TRUE,IF(Profesor=base_de_datos[Profesor],IF("x"=base_de_datos[Viernes],IF(base_de_datos[Hora inicio]&lt;=$B11,IF(base_de_datos[Hora fin]&gt;=$C11,base_de_datos[Aula]&amp;" "&amp;#REF!,""),""),""),""),"")</f>
        <v/>
      </c>
      <c r="R11" s="24" t="str" cm="1">
        <f t="array" ref="R11">_xlfn.TEXTJOIN(CHAR(10),TRUE,IF(Profesor=base_de_datos[Profesor],IF("x"=base_de_datos[Viernes],IF(base_de_datos[Hora inicio]&lt;=$B11,IF(base_de_datos[Hora fin]&gt;=$C11,base_de_datos[No clase],""),""),""),""),"")</f>
        <v/>
      </c>
      <c r="S11" s="24" t="str" cm="1">
        <f t="array" ref="S11">_xlfn.TEXTJOIN(CHAR(10),TRUE,IF(Profesor=base_de_datos[Profesor],IF("x"=base_de_datos[Sábado],IF(base_de_datos[Hora inicio]&lt;=$B11,IF(base_de_datos[Hora fin]&gt;=$C11,base_de_datos[Materia]&amp;" "&amp;base_de_datos[[Número de grupo ]],""),""),""),""),"")</f>
        <v/>
      </c>
      <c r="T11" s="24" t="str" cm="1">
        <f t="array" ref="T11">_xlfn.TEXTJOIN(CHAR(10),TRUE,IF(Profesor=base_de_datos[Profesor],IF("x"=base_de_datos[Sábado],IF(base_de_datos[Hora inicio]&lt;=$B11,IF(base_de_datos[Hora fin]&gt;=$C11,base_de_datos[Aula]&amp;" "&amp;#REF!,""),""),""),""),"")</f>
        <v/>
      </c>
      <c r="U11" s="24" t="str" cm="1">
        <f t="array" ref="U11">_xlfn.TEXTJOIN(CHAR(10),TRUE,IF(Profesor=base_de_datos[Profesor],IF("x"=base_de_datos[Sábado],IF(base_de_datos[Hora inicio]&lt;=$B11,IF(base_de_datos[Hora fin]&gt;=$C11,base_de_datos[No clase],""),""),""),""),"")</f>
        <v/>
      </c>
      <c r="AB11" s="23"/>
      <c r="AC11" s="23"/>
      <c r="AD11" s="23"/>
    </row>
    <row r="12" spans="1:32" ht="15">
      <c r="B12" s="70">
        <v>0.4375</v>
      </c>
      <c r="C12" s="70">
        <v>0.45833333333333098</v>
      </c>
      <c r="D12" s="24" t="str" cm="1">
        <f t="array" ref="D12">_xlfn.TEXTJOIN(CHAR(10),TRUE,IF(Profesor=base_de_datos[Profesor],IF("x"=base_de_datos[Lunes],IF(base_de_datos[Hora inicio]&lt;=$B12,IF(base_de_datos[Hora fin]&gt;=$C12,base_de_datos[Materia]&amp;" "&amp;base_de_datos[[Número de grupo ]],""),""),""),""),"")</f>
        <v>Introducción a la ingeniería 1</v>
      </c>
      <c r="E12" s="24" t="e" cm="1">
        <f t="array" ref="E12">_xlfn.TEXTJOIN(CHAR(10),TRUE,IF(Profesor=base_de_datos[Profesor],IF("x"=base_de_datos[Lunes],IF(base_de_datos[Hora inicio]&lt;=$B12,IF(base_de_datos[Hora fin]&gt;=$C12,base_de_datos[Aula]&amp;" "&amp;#REF!,""),""),""),""),"")</f>
        <v>#REF!</v>
      </c>
      <c r="F12" s="24" t="str" cm="1">
        <f t="array" ref="F12">_xlfn.TEXTJOIN(CHAR(10),TRUE,IF(Profesor=base_de_datos[Profesor],IF("x"=base_de_datos[Lunes],IF(base_de_datos[Hora inicio]&lt;=$B12,IF(base_de_datos[Hora fin]&gt;=$C12,base_de_datos[No clase],""),""),""),""),"")</f>
        <v>1627</v>
      </c>
      <c r="G12" s="24" t="str" cm="1">
        <f t="array" ref="G12">_xlfn.TEXTJOIN(CHAR(10),TRUE,IF(Profesor=base_de_datos[Profesor],IF("x"=base_de_datos[Martes],IF(base_de_datos[Hora inicio]&lt;=$B12,IF(base_de_datos[Hora fin]&gt;=$C12,base_de_datos[Materia]&amp;" "&amp;base_de_datos[[Número de grupo ]],""),""),""),""),"")</f>
        <v/>
      </c>
      <c r="H12" s="24" t="str" cm="1">
        <f t="array" ref="H12">_xlfn.TEXTJOIN(CHAR(10),TRUE,IF(Profesor=base_de_datos[Profesor],IF("x"=base_de_datos[Martes],IF(base_de_datos[Hora inicio]&lt;=$B12,IF(base_de_datos[Hora fin]&gt;=$C12,base_de_datos[Aula]&amp;" "&amp;#REF!,""),""),""),""),"")</f>
        <v/>
      </c>
      <c r="I12" s="24" t="str" cm="1">
        <f t="array" ref="I12">_xlfn.TEXTJOIN(CHAR(10),TRUE,IF(Profesor=base_de_datos[Profesor],IF("x"=base_de_datos[Martes],IF(base_de_datos[Hora inicio]&lt;=$B12,IF(base_de_datos[Hora fin]&gt;=$C12,base_de_datos[No clase],""),""),""),""),"")</f>
        <v/>
      </c>
      <c r="J12" s="24" t="str" cm="1">
        <f t="array" ref="J12">_xlfn.TEXTJOIN(CHAR(10),TRUE,IF(Profesor=base_de_datos[Profesor],IF("x"=base_de_datos[Miércoles],IF(base_de_datos[Hora inicio]&lt;=$B12,IF(base_de_datos[Hora fin]&gt;=$C12,base_de_datos[Materia]&amp;" "&amp;base_de_datos[[Número de grupo ]],""),""),""),""),"")</f>
        <v/>
      </c>
      <c r="K12" s="24" t="str" cm="1">
        <f t="array" ref="K12">_xlfn.TEXTJOIN(CHAR(10),TRUE,IF(Profesor=base_de_datos[Profesor],IF("x"=base_de_datos[Miércoles],IF(base_de_datos[Hora inicio]&lt;=$B12,IF(base_de_datos[Hora fin]&gt;=$C12,base_de_datos[Aula]&amp;" "&amp;#REF!,""),""),""),""),"")</f>
        <v/>
      </c>
      <c r="L12" s="24" t="str" cm="1">
        <f t="array" ref="L12">_xlfn.TEXTJOIN(CHAR(10),TRUE,IF(Profesor=base_de_datos[Profesor],IF("x"=base_de_datos[Miércoles],IF(base_de_datos[Hora inicio]&lt;=$B12,IF(base_de_datos[Hora fin]&gt;=$C12,base_de_datos[No clase],""),""),""),""),"")</f>
        <v/>
      </c>
      <c r="M12" s="24" t="str" cm="1">
        <f t="array" ref="M12">_xlfn.TEXTJOIN(CHAR(10),TRUE,IF(Profesor=base_de_datos[Profesor],IF("x"=base_de_datos[Jueves],IF(base_de_datos[Hora inicio]&lt;=$B12,IF(base_de_datos[Hora fin]&gt;=$C12,base_de_datos[Materia]&amp;" "&amp;base_de_datos[[Número de grupo ]],""),""),""),""),"")</f>
        <v/>
      </c>
      <c r="N12" s="24" t="str" cm="1">
        <f t="array" ref="N12">_xlfn.TEXTJOIN(CHAR(10),TRUE,IF(Profesor=base_de_datos[Profesor],IF("x"=base_de_datos[Jueves],IF(base_de_datos[Hora inicio]&lt;=$B12,IF(base_de_datos[Hora fin]&gt;=$C12,base_de_datos[Aula]&amp;" "&amp;#REF!,""),""),""),""),"")</f>
        <v/>
      </c>
      <c r="O12" s="24" t="str" cm="1">
        <f t="array" ref="O12">_xlfn.TEXTJOIN(CHAR(10),TRUE,IF(Profesor=base_de_datos[Profesor],IF("x"=base_de_datos[Jueves],IF(base_de_datos[Hora inicio]&lt;=$B12,IF(base_de_datos[Hora fin]&gt;=$C12,base_de_datos[No clase],""),""),""),""),"")</f>
        <v/>
      </c>
      <c r="P12" s="24" t="str" cm="1">
        <f t="array" ref="P12">_xlfn.TEXTJOIN(CHAR(10),TRUE,IF(Profesor=base_de_datos[Profesor],IF("x"=base_de_datos[Viernes],IF(base_de_datos[Hora inicio]&lt;=$B12,IF(base_de_datos[Hora fin]&gt;=$C12,base_de_datos[Materia]&amp;" "&amp;base_de_datos[[Número de grupo ]],""),""),""),""),"")</f>
        <v/>
      </c>
      <c r="Q12" s="24" t="str" cm="1">
        <f t="array" ref="Q12">_xlfn.TEXTJOIN(CHAR(10),TRUE,IF(Profesor=base_de_datos[Profesor],IF("x"=base_de_datos[Viernes],IF(base_de_datos[Hora inicio]&lt;=$B12,IF(base_de_datos[Hora fin]&gt;=$C12,base_de_datos[Aula]&amp;" "&amp;#REF!,""),""),""),""),"")</f>
        <v/>
      </c>
      <c r="R12" s="24" t="str" cm="1">
        <f t="array" ref="R12">_xlfn.TEXTJOIN(CHAR(10),TRUE,IF(Profesor=base_de_datos[Profesor],IF("x"=base_de_datos[Viernes],IF(base_de_datos[Hora inicio]&lt;=$B12,IF(base_de_datos[Hora fin]&gt;=$C12,base_de_datos[No clase],""),""),""),""),"")</f>
        <v/>
      </c>
      <c r="S12" s="24" t="str" cm="1">
        <f t="array" ref="S12">_xlfn.TEXTJOIN(CHAR(10),TRUE,IF(Profesor=base_de_datos[Profesor],IF("x"=base_de_datos[Sábado],IF(base_de_datos[Hora inicio]&lt;=$B12,IF(base_de_datos[Hora fin]&gt;=$C12,base_de_datos[Materia]&amp;" "&amp;base_de_datos[[Número de grupo ]],""),""),""),""),"")</f>
        <v/>
      </c>
      <c r="T12" s="24" t="str" cm="1">
        <f t="array" ref="T12">_xlfn.TEXTJOIN(CHAR(10),TRUE,IF(Profesor=base_de_datos[Profesor],IF("x"=base_de_datos[Sábado],IF(base_de_datos[Hora inicio]&lt;=$B12,IF(base_de_datos[Hora fin]&gt;=$C12,base_de_datos[Aula]&amp;" "&amp;#REF!,""),""),""),""),"")</f>
        <v/>
      </c>
      <c r="U12" s="24" t="str" cm="1">
        <f t="array" ref="U12">_xlfn.TEXTJOIN(CHAR(10),TRUE,IF(Profesor=base_de_datos[Profesor],IF("x"=base_de_datos[Sábado],IF(base_de_datos[Hora inicio]&lt;=$B12,IF(base_de_datos[Hora fin]&gt;=$C12,base_de_datos[No clase],""),""),""),""),"")</f>
        <v/>
      </c>
      <c r="AB12" s="23"/>
      <c r="AC12" s="23"/>
      <c r="AD12" s="23"/>
    </row>
    <row r="13" spans="1:32" ht="15">
      <c r="B13" s="70">
        <v>0.45833333333333398</v>
      </c>
      <c r="C13" s="70">
        <v>0.47916666666666402</v>
      </c>
      <c r="D13" s="25" t="str" cm="1">
        <f t="array" ref="D13">_xlfn.TEXTJOIN(CHAR(10),TRUE,IF(Profesor=base_de_datos[Profesor],IF("x"=base_de_datos[Lunes],IF(base_de_datos[Hora inicio]&lt;=$B13,IF(base_de_datos[Hora fin]&gt;=$C13,base_de_datos[Materia]&amp;" "&amp;base_de_datos[[Número de grupo ]],""),""),""),""),"")</f>
        <v/>
      </c>
      <c r="E13" s="25" t="str" cm="1">
        <f t="array" ref="E13">_xlfn.TEXTJOIN(CHAR(10),TRUE,IF(Profesor=base_de_datos[Profesor],IF("x"=base_de_datos[Lunes],IF(base_de_datos[Hora inicio]&lt;=$B13,IF(base_de_datos[Hora fin]&gt;=$C13,base_de_datos[Aula]&amp;" "&amp;#REF!,""),""),""),""),"")</f>
        <v/>
      </c>
      <c r="F13" s="25" t="str" cm="1">
        <f t="array" ref="F13">_xlfn.TEXTJOIN(CHAR(10),TRUE,IF(Profesor=base_de_datos[Profesor],IF("x"=base_de_datos[Lunes],IF(base_de_datos[Hora inicio]&lt;=$B13,IF(base_de_datos[Hora fin]&gt;=$C13,base_de_datos[No clase],""),""),""),""),"")</f>
        <v/>
      </c>
      <c r="G13" s="25" t="str" cm="1">
        <f t="array" ref="G13">_xlfn.TEXTJOIN(CHAR(10),TRUE,IF(Profesor=base_de_datos[Profesor],IF("x"=base_de_datos[Martes],IF(base_de_datos[Hora inicio]&lt;=$B13,IF(base_de_datos[Hora fin]&gt;=$C13,base_de_datos[Materia]&amp;" "&amp;base_de_datos[[Número de grupo ]],""),""),""),""),"")</f>
        <v/>
      </c>
      <c r="H13" s="25" t="str" cm="1">
        <f t="array" ref="H13">_xlfn.TEXTJOIN(CHAR(10),TRUE,IF(Profesor=base_de_datos[Profesor],IF("x"=base_de_datos[Martes],IF(base_de_datos[Hora inicio]&lt;=$B13,IF(base_de_datos[Hora fin]&gt;=$C13,base_de_datos[Aula]&amp;" "&amp;#REF!,""),""),""),""),"")</f>
        <v/>
      </c>
      <c r="I13" s="25" t="str" cm="1">
        <f t="array" ref="I13">_xlfn.TEXTJOIN(CHAR(10),TRUE,IF(Profesor=base_de_datos[Profesor],IF("x"=base_de_datos[Martes],IF(base_de_datos[Hora inicio]&lt;=$B13,IF(base_de_datos[Hora fin]&gt;=$C13,base_de_datos[No clase],""),""),""),""),"")</f>
        <v/>
      </c>
      <c r="J13" s="25" t="str" cm="1">
        <f t="array" ref="J13">_xlfn.TEXTJOIN(CHAR(10),TRUE,IF(Profesor=base_de_datos[Profesor],IF("x"=base_de_datos[Miércoles],IF(base_de_datos[Hora inicio]&lt;=$B13,IF(base_de_datos[Hora fin]&gt;=$C13,base_de_datos[Materia]&amp;" "&amp;base_de_datos[[Número de grupo ]],""),""),""),""),"")</f>
        <v/>
      </c>
      <c r="K13" s="25" t="str" cm="1">
        <f t="array" ref="K13">_xlfn.TEXTJOIN(CHAR(10),TRUE,IF(Profesor=base_de_datos[Profesor],IF("x"=base_de_datos[Miércoles],IF(base_de_datos[Hora inicio]&lt;=$B13,IF(base_de_datos[Hora fin]&gt;=$C13,base_de_datos[Aula]&amp;" "&amp;#REF!,""),""),""),""),"")</f>
        <v/>
      </c>
      <c r="L13" s="25" t="str" cm="1">
        <f t="array" ref="L13">_xlfn.TEXTJOIN(CHAR(10),TRUE,IF(Profesor=base_de_datos[Profesor],IF("x"=base_de_datos[Miércoles],IF(base_de_datos[Hora inicio]&lt;=$B13,IF(base_de_datos[Hora fin]&gt;=$C13,base_de_datos[No clase],""),""),""),""),"")</f>
        <v/>
      </c>
      <c r="M13" s="25" t="str" cm="1">
        <f t="array" ref="M13">_xlfn.TEXTJOIN(CHAR(10),TRUE,IF(Profesor=base_de_datos[Profesor],IF("x"=base_de_datos[Jueves],IF(base_de_datos[Hora inicio]&lt;=$B13,IF(base_de_datos[Hora fin]&gt;=$C13,base_de_datos[Materia]&amp;" "&amp;base_de_datos[[Número de grupo ]],""),""),""),""),"")</f>
        <v/>
      </c>
      <c r="N13" s="25" t="str" cm="1">
        <f t="array" ref="N13">_xlfn.TEXTJOIN(CHAR(10),TRUE,IF(Profesor=base_de_datos[Profesor],IF("x"=base_de_datos[Jueves],IF(base_de_datos[Hora inicio]&lt;=$B13,IF(base_de_datos[Hora fin]&gt;=$C13,base_de_datos[Aula]&amp;" "&amp;#REF!,""),""),""),""),"")</f>
        <v/>
      </c>
      <c r="O13" s="25" t="str" cm="1">
        <f t="array" ref="O13">_xlfn.TEXTJOIN(CHAR(10),TRUE,IF(Profesor=base_de_datos[Profesor],IF("x"=base_de_datos[Jueves],IF(base_de_datos[Hora inicio]&lt;=$B13,IF(base_de_datos[Hora fin]&gt;=$C13,base_de_datos[No clase],""),""),""),""),"")</f>
        <v/>
      </c>
      <c r="P13" s="25" t="str" cm="1">
        <f t="array" ref="P13">_xlfn.TEXTJOIN(CHAR(10),TRUE,IF(Profesor=base_de_datos[Profesor],IF("x"=base_de_datos[Viernes],IF(base_de_datos[Hora inicio]&lt;=$B13,IF(base_de_datos[Hora fin]&gt;=$C13,base_de_datos[Materia]&amp;" "&amp;base_de_datos[[Número de grupo ]],""),""),""),""),"")</f>
        <v/>
      </c>
      <c r="Q13" s="24" t="str" cm="1">
        <f t="array" ref="Q13">_xlfn.TEXTJOIN(CHAR(10),TRUE,IF(Profesor=base_de_datos[Profesor],IF("x"=base_de_datos[Viernes],IF(base_de_datos[Hora inicio]&lt;=$B13,IF(base_de_datos[Hora fin]&gt;=$C13,base_de_datos[Aula]&amp;" "&amp;#REF!,""),""),""),""),"")</f>
        <v/>
      </c>
      <c r="R13" s="24" t="str" cm="1">
        <f t="array" ref="R13">_xlfn.TEXTJOIN(CHAR(10),TRUE,IF(Profesor=base_de_datos[Profesor],IF("x"=base_de_datos[Viernes],IF(base_de_datos[Hora inicio]&lt;=$B13,IF(base_de_datos[Hora fin]&gt;=$C13,base_de_datos[No clase],""),""),""),""),"")</f>
        <v/>
      </c>
      <c r="S13" s="24" t="str" cm="1">
        <f t="array" ref="S13">_xlfn.TEXTJOIN(CHAR(10),TRUE,IF(Profesor=base_de_datos[Profesor],IF("x"=base_de_datos[Sábado],IF(base_de_datos[Hora inicio]&lt;=$B13,IF(base_de_datos[Hora fin]&gt;=$C13,base_de_datos[Materia]&amp;" "&amp;base_de_datos[[Número de grupo ]],""),""),""),""),"")</f>
        <v/>
      </c>
      <c r="T13" s="24" t="str" cm="1">
        <f t="array" ref="T13">_xlfn.TEXTJOIN(CHAR(10),TRUE,IF(Profesor=base_de_datos[Profesor],IF("x"=base_de_datos[Sábado],IF(base_de_datos[Hora inicio]&lt;=$B13,IF(base_de_datos[Hora fin]&gt;=$C13,base_de_datos[Aula]&amp;" "&amp;#REF!,""),""),""),""),"")</f>
        <v/>
      </c>
      <c r="U13" s="24" t="str" cm="1">
        <f t="array" ref="U13">_xlfn.TEXTJOIN(CHAR(10),TRUE,IF(Profesor=base_de_datos[Profesor],IF("x"=base_de_datos[Sábado],IF(base_de_datos[Hora inicio]&lt;=$B13,IF(base_de_datos[Hora fin]&gt;=$C13,base_de_datos[No clase],""),""),""),""),"")</f>
        <v/>
      </c>
      <c r="AB13" s="23"/>
      <c r="AC13" s="23"/>
      <c r="AD13" s="23"/>
    </row>
    <row r="14" spans="1:32" ht="15">
      <c r="B14" s="70">
        <v>0.47916666666666702</v>
      </c>
      <c r="C14" s="70">
        <v>0.499999999999997</v>
      </c>
      <c r="D14" s="25" t="str" cm="1">
        <f t="array" ref="D14">_xlfn.TEXTJOIN(CHAR(10),TRUE,IF(Profesor=base_de_datos[Profesor],IF("x"=base_de_datos[Lunes],IF(base_de_datos[Hora inicio]&lt;=$B14,IF(base_de_datos[Hora fin]&gt;=$C14,base_de_datos[Materia]&amp;" "&amp;base_de_datos[[Número de grupo ]],""),""),""),""),"")</f>
        <v/>
      </c>
      <c r="E14" s="25" t="str" cm="1">
        <f t="array" ref="E14">_xlfn.TEXTJOIN(CHAR(10),TRUE,IF(Profesor=base_de_datos[Profesor],IF("x"=base_de_datos[Lunes],IF(base_de_datos[Hora inicio]&lt;=$B14,IF(base_de_datos[Hora fin]&gt;=$C14,base_de_datos[Aula]&amp;" "&amp;#REF!,""),""),""),""),"")</f>
        <v/>
      </c>
      <c r="F14" s="25" t="str" cm="1">
        <f t="array" ref="F14">_xlfn.TEXTJOIN(CHAR(10),TRUE,IF(Profesor=base_de_datos[Profesor],IF("x"=base_de_datos[Lunes],IF(base_de_datos[Hora inicio]&lt;=$B14,IF(base_de_datos[Hora fin]&gt;=$C14,base_de_datos[No clase],""),""),""),""),"")</f>
        <v/>
      </c>
      <c r="G14" s="25" t="str" cm="1">
        <f t="array" ref="G14">_xlfn.TEXTJOIN(CHAR(10),TRUE,IF(Profesor=base_de_datos[Profesor],IF("x"=base_de_datos[Martes],IF(base_de_datos[Hora inicio]&lt;=$B14,IF(base_de_datos[Hora fin]&gt;=$C14,base_de_datos[Materia]&amp;" "&amp;base_de_datos[[Número de grupo ]],""),""),""),""),"")</f>
        <v/>
      </c>
      <c r="H14" s="25" t="str" cm="1">
        <f t="array" ref="H14">_xlfn.TEXTJOIN(CHAR(10),TRUE,IF(Profesor=base_de_datos[Profesor],IF("x"=base_de_datos[Martes],IF(base_de_datos[Hora inicio]&lt;=$B14,IF(base_de_datos[Hora fin]&gt;=$C14,base_de_datos[Aula]&amp;" "&amp;#REF!,""),""),""),""),"")</f>
        <v/>
      </c>
      <c r="I14" s="25" t="str" cm="1">
        <f t="array" ref="I14">_xlfn.TEXTJOIN(CHAR(10),TRUE,IF(Profesor=base_de_datos[Profesor],IF("x"=base_de_datos[Martes],IF(base_de_datos[Hora inicio]&lt;=$B14,IF(base_de_datos[Hora fin]&gt;=$C14,base_de_datos[No clase],""),""),""),""),"")</f>
        <v/>
      </c>
      <c r="J14" s="25" t="str" cm="1">
        <f t="array" ref="J14">_xlfn.TEXTJOIN(CHAR(10),TRUE,IF(Profesor=base_de_datos[Profesor],IF("x"=base_de_datos[Miércoles],IF(base_de_datos[Hora inicio]&lt;=$B14,IF(base_de_datos[Hora fin]&gt;=$C14,base_de_datos[Materia]&amp;" "&amp;base_de_datos[[Número de grupo ]],""),""),""),""),"")</f>
        <v/>
      </c>
      <c r="K14" s="25" t="str" cm="1">
        <f t="array" ref="K14">_xlfn.TEXTJOIN(CHAR(10),TRUE,IF(Profesor=base_de_datos[Profesor],IF("x"=base_de_datos[Miércoles],IF(base_de_datos[Hora inicio]&lt;=$B14,IF(base_de_datos[Hora fin]&gt;=$C14,base_de_datos[Aula]&amp;" "&amp;#REF!,""),""),""),""),"")</f>
        <v/>
      </c>
      <c r="L14" s="25" t="str" cm="1">
        <f t="array" ref="L14">_xlfn.TEXTJOIN(CHAR(10),TRUE,IF(Profesor=base_de_datos[Profesor],IF("x"=base_de_datos[Miércoles],IF(base_de_datos[Hora inicio]&lt;=$B14,IF(base_de_datos[Hora fin]&gt;=$C14,base_de_datos[No clase],""),""),""),""),"")</f>
        <v/>
      </c>
      <c r="M14" s="25" t="str" cm="1">
        <f t="array" ref="M14">_xlfn.TEXTJOIN(CHAR(10),TRUE,IF(Profesor=base_de_datos[Profesor],IF("x"=base_de_datos[Jueves],IF(base_de_datos[Hora inicio]&lt;=$B14,IF(base_de_datos[Hora fin]&gt;=$C14,base_de_datos[Materia]&amp;" "&amp;base_de_datos[[Número de grupo ]],""),""),""),""),"")</f>
        <v/>
      </c>
      <c r="N14" s="25" t="str" cm="1">
        <f t="array" ref="N14">_xlfn.TEXTJOIN(CHAR(10),TRUE,IF(Profesor=base_de_datos[Profesor],IF("x"=base_de_datos[Jueves],IF(base_de_datos[Hora inicio]&lt;=$B14,IF(base_de_datos[Hora fin]&gt;=$C14,base_de_datos[Aula]&amp;" "&amp;#REF!,""),""),""),""),"")</f>
        <v/>
      </c>
      <c r="O14" s="25" t="str" cm="1">
        <f t="array" ref="O14">_xlfn.TEXTJOIN(CHAR(10),TRUE,IF(Profesor=base_de_datos[Profesor],IF("x"=base_de_datos[Jueves],IF(base_de_datos[Hora inicio]&lt;=$B14,IF(base_de_datos[Hora fin]&gt;=$C14,base_de_datos[No clase],""),""),""),""),"")</f>
        <v/>
      </c>
      <c r="P14" s="25" t="str" cm="1">
        <f t="array" ref="P14">_xlfn.TEXTJOIN(CHAR(10),TRUE,IF(Profesor=base_de_datos[Profesor],IF("x"=base_de_datos[Viernes],IF(base_de_datos[Hora inicio]&lt;=$B14,IF(base_de_datos[Hora fin]&gt;=$C14,base_de_datos[Materia]&amp;" "&amp;base_de_datos[[Número de grupo ]],""),""),""),""),"")</f>
        <v/>
      </c>
      <c r="Q14" s="24" t="str" cm="1">
        <f t="array" ref="Q14">_xlfn.TEXTJOIN(CHAR(10),TRUE,IF(Profesor=base_de_datos[Profesor],IF("x"=base_de_datos[Viernes],IF(base_de_datos[Hora inicio]&lt;=$B14,IF(base_de_datos[Hora fin]&gt;=$C14,base_de_datos[Aula]&amp;" "&amp;#REF!,""),""),""),""),"")</f>
        <v/>
      </c>
      <c r="R14" s="24" t="str" cm="1">
        <f t="array" ref="R14">_xlfn.TEXTJOIN(CHAR(10),TRUE,IF(Profesor=base_de_datos[Profesor],IF("x"=base_de_datos[Viernes],IF(base_de_datos[Hora inicio]&lt;=$B14,IF(base_de_datos[Hora fin]&gt;=$C14,base_de_datos[No clase],""),""),""),""),"")</f>
        <v/>
      </c>
      <c r="S14" s="24" t="str" cm="1">
        <f t="array" ref="S14">_xlfn.TEXTJOIN(CHAR(10),TRUE,IF(Profesor=base_de_datos[Profesor],IF("x"=base_de_datos[Sábado],IF(base_de_datos[Hora inicio]&lt;=$B14,IF(base_de_datos[Hora fin]&gt;=$C14,base_de_datos[Materia]&amp;" "&amp;base_de_datos[[Número de grupo ]],""),""),""),""),"")</f>
        <v/>
      </c>
      <c r="T14" s="24" t="str" cm="1">
        <f t="array" ref="T14">_xlfn.TEXTJOIN(CHAR(10),TRUE,IF(Profesor=base_de_datos[Profesor],IF("x"=base_de_datos[Sábado],IF(base_de_datos[Hora inicio]&lt;=$B14,IF(base_de_datos[Hora fin]&gt;=$C14,base_de_datos[Aula]&amp;" "&amp;#REF!,""),""),""),""),"")</f>
        <v/>
      </c>
      <c r="U14" s="24" t="str" cm="1">
        <f t="array" ref="U14">_xlfn.TEXTJOIN(CHAR(10),TRUE,IF(Profesor=base_de_datos[Profesor],IF("x"=base_de_datos[Sábado],IF(base_de_datos[Hora inicio]&lt;=$B14,IF(base_de_datos[Hora fin]&gt;=$C14,base_de_datos[No clase],""),""),""),""),"")</f>
        <v/>
      </c>
      <c r="AB14" s="23"/>
      <c r="AC14" s="23"/>
      <c r="AD14" s="23"/>
    </row>
    <row r="15" spans="1:32" ht="15">
      <c r="B15" s="70">
        <v>0.5</v>
      </c>
      <c r="C15" s="70">
        <v>0.52083333333333004</v>
      </c>
      <c r="D15" s="24" t="str" cm="1">
        <f t="array" ref="D15">_xlfn.TEXTJOIN(CHAR(10),TRUE,IF(Profesor=base_de_datos[Profesor],IF("x"=base_de_datos[Lunes],IF(base_de_datos[Hora inicio]&lt;=$B15,IF(base_de_datos[Hora fin]&gt;=$C15,base_de_datos[Materia]&amp;" "&amp;base_de_datos[[Número de grupo ]],""),""),""),""),"")</f>
        <v/>
      </c>
      <c r="E15" s="24" t="str" cm="1">
        <f t="array" ref="E15">_xlfn.TEXTJOIN(CHAR(10),TRUE,IF(Profesor=base_de_datos[Profesor],IF("x"=base_de_datos[Lunes],IF(base_de_datos[Hora inicio]&lt;=$B15,IF(base_de_datos[Hora fin]&gt;=$C15,base_de_datos[Aula]&amp;" "&amp;#REF!,""),""),""),""),"")</f>
        <v/>
      </c>
      <c r="F15" s="24" t="str" cm="1">
        <f t="array" ref="F15">_xlfn.TEXTJOIN(CHAR(10),TRUE,IF(Profesor=base_de_datos[Profesor],IF("x"=base_de_datos[Lunes],IF(base_de_datos[Hora inicio]&lt;=$B15,IF(base_de_datos[Hora fin]&gt;=$C15,base_de_datos[No clase],""),""),""),""),"")</f>
        <v/>
      </c>
      <c r="G15" s="24" t="str" cm="1">
        <f t="array" ref="G15">_xlfn.TEXTJOIN(CHAR(10),TRUE,IF(Profesor=base_de_datos[Profesor],IF("x"=base_de_datos[Martes],IF(base_de_datos[Hora inicio]&lt;=$B15,IF(base_de_datos[Hora fin]&gt;=$C15,base_de_datos[Materia]&amp;" "&amp;base_de_datos[[Número de grupo ]],""),""),""),""),"")</f>
        <v/>
      </c>
      <c r="H15" s="24" t="str" cm="1">
        <f t="array" ref="H15">_xlfn.TEXTJOIN(CHAR(10),TRUE,IF(Profesor=base_de_datos[Profesor],IF("x"=base_de_datos[Martes],IF(base_de_datos[Hora inicio]&lt;=$B15,IF(base_de_datos[Hora fin]&gt;=$C15,base_de_datos[Aula]&amp;" "&amp;#REF!,""),""),""),""),"")</f>
        <v/>
      </c>
      <c r="I15" s="24" t="str" cm="1">
        <f t="array" ref="I15">_xlfn.TEXTJOIN(CHAR(10),TRUE,IF(Profesor=base_de_datos[Profesor],IF("x"=base_de_datos[Martes],IF(base_de_datos[Hora inicio]&lt;=$B15,IF(base_de_datos[Hora fin]&gt;=$C15,base_de_datos[No clase],""),""),""),""),"")</f>
        <v/>
      </c>
      <c r="J15" s="24" t="str" cm="1">
        <f t="array" ref="J15">_xlfn.TEXTJOIN(CHAR(10),TRUE,IF(Profesor=base_de_datos[Profesor],IF("x"=base_de_datos[Miércoles],IF(base_de_datos[Hora inicio]&lt;=$B15,IF(base_de_datos[Hora fin]&gt;=$C15,base_de_datos[Materia]&amp;" "&amp;base_de_datos[[Número de grupo ]],""),""),""),""),"")</f>
        <v/>
      </c>
      <c r="K15" s="24" t="str" cm="1">
        <f t="array" ref="K15">_xlfn.TEXTJOIN(CHAR(10),TRUE,IF(Profesor=base_de_datos[Profesor],IF("x"=base_de_datos[Miércoles],IF(base_de_datos[Hora inicio]&lt;=$B15,IF(base_de_datos[Hora fin]&gt;=$C15,base_de_datos[Aula]&amp;" "&amp;#REF!,""),""),""),""),"")</f>
        <v/>
      </c>
      <c r="L15" s="24" t="str" cm="1">
        <f t="array" ref="L15">_xlfn.TEXTJOIN(CHAR(10),TRUE,IF(Profesor=base_de_datos[Profesor],IF("x"=base_de_datos[Miércoles],IF(base_de_datos[Hora inicio]&lt;=$B15,IF(base_de_datos[Hora fin]&gt;=$C15,base_de_datos[No clase],""),""),""),""),"")</f>
        <v/>
      </c>
      <c r="M15" s="24" t="str" cm="1">
        <f t="array" ref="M15">_xlfn.TEXTJOIN(CHAR(10),TRUE,IF(Profesor=base_de_datos[Profesor],IF("x"=base_de_datos[Jueves],IF(base_de_datos[Hora inicio]&lt;=$B15,IF(base_de_datos[Hora fin]&gt;=$C15,base_de_datos[Materia]&amp;" "&amp;base_de_datos[[Número de grupo ]],""),""),""),""),"")</f>
        <v/>
      </c>
      <c r="N15" s="24" t="str" cm="1">
        <f t="array" ref="N15">_xlfn.TEXTJOIN(CHAR(10),TRUE,IF(Profesor=base_de_datos[Profesor],IF("x"=base_de_datos[Jueves],IF(base_de_datos[Hora inicio]&lt;=$B15,IF(base_de_datos[Hora fin]&gt;=$C15,base_de_datos[Aula]&amp;" "&amp;#REF!,""),""),""),""),"")</f>
        <v/>
      </c>
      <c r="O15" s="24" t="str" cm="1">
        <f t="array" ref="O15">_xlfn.TEXTJOIN(CHAR(10),TRUE,IF(Profesor=base_de_datos[Profesor],IF("x"=base_de_datos[Jueves],IF(base_de_datos[Hora inicio]&lt;=$B15,IF(base_de_datos[Hora fin]&gt;=$C15,base_de_datos[No clase],""),""),""),""),"")</f>
        <v/>
      </c>
      <c r="P15" s="24" t="str" cm="1">
        <f t="array" ref="P15">_xlfn.TEXTJOIN(CHAR(10),TRUE,IF(Profesor=base_de_datos[Profesor],IF("x"=base_de_datos[Viernes],IF(base_de_datos[Hora inicio]&lt;=$B15,IF(base_de_datos[Hora fin]&gt;=$C15,base_de_datos[Materia]&amp;" "&amp;base_de_datos[[Número de grupo ]],""),""),""),""),"")</f>
        <v/>
      </c>
      <c r="Q15" s="24" t="str" cm="1">
        <f t="array" ref="Q15">_xlfn.TEXTJOIN(CHAR(10),TRUE,IF(Profesor=base_de_datos[Profesor],IF("x"=base_de_datos[Viernes],IF(base_de_datos[Hora inicio]&lt;=$B15,IF(base_de_datos[Hora fin]&gt;=$C15,base_de_datos[Aula]&amp;" "&amp;#REF!,""),""),""),""),"")</f>
        <v/>
      </c>
      <c r="R15" s="24" t="str" cm="1">
        <f t="array" ref="R15">_xlfn.TEXTJOIN(CHAR(10),TRUE,IF(Profesor=base_de_datos[Profesor],IF("x"=base_de_datos[Viernes],IF(base_de_datos[Hora inicio]&lt;=$B15,IF(base_de_datos[Hora fin]&gt;=$C15,base_de_datos[No clase],""),""),""),""),"")</f>
        <v/>
      </c>
      <c r="S15" s="24" t="str" cm="1">
        <f t="array" ref="S15">_xlfn.TEXTJOIN(CHAR(10),TRUE,IF(Profesor=base_de_datos[Profesor],IF("x"=base_de_datos[Sábado],IF(base_de_datos[Hora inicio]&lt;=$B15,IF(base_de_datos[Hora fin]&gt;=$C15,base_de_datos[Materia]&amp;" "&amp;base_de_datos[[Número de grupo ]],""),""),""),""),"")</f>
        <v/>
      </c>
      <c r="T15" s="24" t="str" cm="1">
        <f t="array" ref="T15">_xlfn.TEXTJOIN(CHAR(10),TRUE,IF(Profesor=base_de_datos[Profesor],IF("x"=base_de_datos[Sábado],IF(base_de_datos[Hora inicio]&lt;=$B15,IF(base_de_datos[Hora fin]&gt;=$C15,base_de_datos[Aula]&amp;" "&amp;#REF!,""),""),""),""),"")</f>
        <v/>
      </c>
      <c r="U15" s="24" t="str" cm="1">
        <f t="array" ref="U15">_xlfn.TEXTJOIN(CHAR(10),TRUE,IF(Profesor=base_de_datos[Profesor],IF("x"=base_de_datos[Sábado],IF(base_de_datos[Hora inicio]&lt;=$B15,IF(base_de_datos[Hora fin]&gt;=$C15,base_de_datos[No clase],""),""),""),""),"")</f>
        <v/>
      </c>
      <c r="AB15" s="23"/>
      <c r="AC15" s="23"/>
      <c r="AD15" s="23"/>
    </row>
    <row r="16" spans="1:32" ht="15">
      <c r="B16" s="70">
        <v>0.52083333333333304</v>
      </c>
      <c r="C16" s="70">
        <v>0.54166666666666297</v>
      </c>
      <c r="D16" s="24" t="str" cm="1">
        <f t="array" ref="D16">_xlfn.TEXTJOIN(CHAR(10),TRUE,IF(Profesor=base_de_datos[Profesor],IF("x"=base_de_datos[Lunes],IF(base_de_datos[Hora inicio]&lt;=$B16,IF(base_de_datos[Hora fin]&gt;=$C16,base_de_datos[Materia]&amp;" "&amp;base_de_datos[[Número de grupo ]],""),""),""),""),"")</f>
        <v/>
      </c>
      <c r="E16" s="24" t="str" cm="1">
        <f t="array" ref="E16">_xlfn.TEXTJOIN(CHAR(10),TRUE,IF(Profesor=base_de_datos[Profesor],IF("x"=base_de_datos[Lunes],IF(base_de_datos[Hora inicio]&lt;=$B16,IF(base_de_datos[Hora fin]&gt;=$C16,base_de_datos[Aula]&amp;" "&amp;#REF!,""),""),""),""),"")</f>
        <v/>
      </c>
      <c r="F16" s="24" t="str" cm="1">
        <f t="array" ref="F16">_xlfn.TEXTJOIN(CHAR(10),TRUE,IF(Profesor=base_de_datos[Profesor],IF("x"=base_de_datos[Lunes],IF(base_de_datos[Hora inicio]&lt;=$B16,IF(base_de_datos[Hora fin]&gt;=$C16,base_de_datos[No clase],""),""),""),""),"")</f>
        <v/>
      </c>
      <c r="G16" s="24" t="str" cm="1">
        <f t="array" ref="G16">_xlfn.TEXTJOIN(CHAR(10),TRUE,IF(Profesor=base_de_datos[Profesor],IF("x"=base_de_datos[Martes],IF(base_de_datos[Hora inicio]&lt;=$B16,IF(base_de_datos[Hora fin]&gt;=$C16,base_de_datos[Materia]&amp;" "&amp;base_de_datos[[Número de grupo ]],""),""),""),""),"")</f>
        <v/>
      </c>
      <c r="H16" s="24" t="str" cm="1">
        <f t="array" ref="H16">_xlfn.TEXTJOIN(CHAR(10),TRUE,IF(Profesor=base_de_datos[Profesor],IF("x"=base_de_datos[Martes],IF(base_de_datos[Hora inicio]&lt;=$B16,IF(base_de_datos[Hora fin]&gt;=$C16,base_de_datos[Aula]&amp;" "&amp;#REF!,""),""),""),""),"")</f>
        <v/>
      </c>
      <c r="I16" s="24" t="str" cm="1">
        <f t="array" ref="I16">_xlfn.TEXTJOIN(CHAR(10),TRUE,IF(Profesor=base_de_datos[Profesor],IF("x"=base_de_datos[Martes],IF(base_de_datos[Hora inicio]&lt;=$B16,IF(base_de_datos[Hora fin]&gt;=$C16,base_de_datos[No clase],""),""),""),""),"")</f>
        <v/>
      </c>
      <c r="J16" s="24" t="str" cm="1">
        <f t="array" ref="J16">_xlfn.TEXTJOIN(CHAR(10),TRUE,IF(Profesor=base_de_datos[Profesor],IF("x"=base_de_datos[Miércoles],IF(base_de_datos[Hora inicio]&lt;=$B16,IF(base_de_datos[Hora fin]&gt;=$C16,base_de_datos[Materia]&amp;" "&amp;base_de_datos[[Número de grupo ]],""),""),""),""),"")</f>
        <v/>
      </c>
      <c r="K16" s="24" t="str" cm="1">
        <f t="array" ref="K16">_xlfn.TEXTJOIN(CHAR(10),TRUE,IF(Profesor=base_de_datos[Profesor],IF("x"=base_de_datos[Miércoles],IF(base_de_datos[Hora inicio]&lt;=$B16,IF(base_de_datos[Hora fin]&gt;=$C16,base_de_datos[Aula]&amp;" "&amp;#REF!,""),""),""),""),"")</f>
        <v/>
      </c>
      <c r="L16" s="24" t="str" cm="1">
        <f t="array" ref="L16">_xlfn.TEXTJOIN(CHAR(10),TRUE,IF(Profesor=base_de_datos[Profesor],IF("x"=base_de_datos[Miércoles],IF(base_de_datos[Hora inicio]&lt;=$B16,IF(base_de_datos[Hora fin]&gt;=$C16,base_de_datos[No clase],""),""),""),""),"")</f>
        <v/>
      </c>
      <c r="M16" s="24" t="str" cm="1">
        <f t="array" ref="M16">_xlfn.TEXTJOIN(CHAR(10),TRUE,IF(Profesor=base_de_datos[Profesor],IF("x"=base_de_datos[Jueves],IF(base_de_datos[Hora inicio]&lt;=$B16,IF(base_de_datos[Hora fin]&gt;=$C16,base_de_datos[Materia]&amp;" "&amp;base_de_datos[[Número de grupo ]],""),""),""),""),"")</f>
        <v/>
      </c>
      <c r="N16" s="24" t="str" cm="1">
        <f t="array" ref="N16">_xlfn.TEXTJOIN(CHAR(10),TRUE,IF(Profesor=base_de_datos[Profesor],IF("x"=base_de_datos[Jueves],IF(base_de_datos[Hora inicio]&lt;=$B16,IF(base_de_datos[Hora fin]&gt;=$C16,base_de_datos[Aula]&amp;" "&amp;#REF!,""),""),""),""),"")</f>
        <v/>
      </c>
      <c r="O16" s="24" t="str" cm="1">
        <f t="array" ref="O16">_xlfn.TEXTJOIN(CHAR(10),TRUE,IF(Profesor=base_de_datos[Profesor],IF("x"=base_de_datos[Jueves],IF(base_de_datos[Hora inicio]&lt;=$B16,IF(base_de_datos[Hora fin]&gt;=$C16,base_de_datos[No clase],""),""),""),""),"")</f>
        <v/>
      </c>
      <c r="P16" s="24" t="str" cm="1">
        <f t="array" ref="P16">_xlfn.TEXTJOIN(CHAR(10),TRUE,IF(Profesor=base_de_datos[Profesor],IF("x"=base_de_datos[Viernes],IF(base_de_datos[Hora inicio]&lt;=$B16,IF(base_de_datos[Hora fin]&gt;=$C16,base_de_datos[Materia]&amp;" "&amp;base_de_datos[[Número de grupo ]],""),""),""),""),"")</f>
        <v/>
      </c>
      <c r="Q16" s="24" t="str" cm="1">
        <f t="array" ref="Q16">_xlfn.TEXTJOIN(CHAR(10),TRUE,IF(Profesor=base_de_datos[Profesor],IF("x"=base_de_datos[Viernes],IF(base_de_datos[Hora inicio]&lt;=$B16,IF(base_de_datos[Hora fin]&gt;=$C16,base_de_datos[Aula]&amp;" "&amp;#REF!,""),""),""),""),"")</f>
        <v/>
      </c>
      <c r="R16" s="24" t="str" cm="1">
        <f t="array" ref="R16">_xlfn.TEXTJOIN(CHAR(10),TRUE,IF(Profesor=base_de_datos[Profesor],IF("x"=base_de_datos[Viernes],IF(base_de_datos[Hora inicio]&lt;=$B16,IF(base_de_datos[Hora fin]&gt;=$C16,base_de_datos[No clase],""),""),""),""),"")</f>
        <v/>
      </c>
      <c r="S16" s="24" t="str" cm="1">
        <f t="array" ref="S16">_xlfn.TEXTJOIN(CHAR(10),TRUE,IF(Profesor=base_de_datos[Profesor],IF("x"=base_de_datos[Sábado],IF(base_de_datos[Hora inicio]&lt;=$B16,IF(base_de_datos[Hora fin]&gt;=$C16,base_de_datos[Materia]&amp;" "&amp;base_de_datos[[Número de grupo ]],""),""),""),""),"")</f>
        <v/>
      </c>
      <c r="T16" s="24" t="str" cm="1">
        <f t="array" ref="T16">_xlfn.TEXTJOIN(CHAR(10),TRUE,IF(Profesor=base_de_datos[Profesor],IF("x"=base_de_datos[Sábado],IF(base_de_datos[Hora inicio]&lt;=$B16,IF(base_de_datos[Hora fin]&gt;=$C16,base_de_datos[Aula]&amp;" "&amp;#REF!,""),""),""),""),"")</f>
        <v/>
      </c>
      <c r="U16" s="24" t="str" cm="1">
        <f t="array" ref="U16">_xlfn.TEXTJOIN(CHAR(10),TRUE,IF(Profesor=base_de_datos[Profesor],IF("x"=base_de_datos[Sábado],IF(base_de_datos[Hora inicio]&lt;=$B16,IF(base_de_datos[Hora fin]&gt;=$C16,base_de_datos[No clase],""),""),""),""),"")</f>
        <v/>
      </c>
      <c r="AB16" s="23"/>
      <c r="AC16" s="23"/>
      <c r="AD16" s="23"/>
    </row>
    <row r="17" spans="2:30" ht="15">
      <c r="B17" s="70">
        <v>0.54166666666666696</v>
      </c>
      <c r="C17" s="70">
        <v>0.562499999999996</v>
      </c>
      <c r="D17" s="24" t="str" cm="1">
        <f t="array" ref="D17">_xlfn.TEXTJOIN(CHAR(10),TRUE,IF(Profesor=base_de_datos[Profesor],IF("x"=base_de_datos[Lunes],IF(base_de_datos[Hora inicio]&lt;=$B17,IF(base_de_datos[Hora fin]&gt;=$C17,base_de_datos[Materia]&amp;" "&amp;base_de_datos[[Número de grupo ]],""),""),""),""),"")</f>
        <v/>
      </c>
      <c r="E17" s="24" t="str" cm="1">
        <f t="array" ref="E17">_xlfn.TEXTJOIN(CHAR(10),TRUE,IF(Profesor=base_de_datos[Profesor],IF("x"=base_de_datos[Lunes],IF(base_de_datos[Hora inicio]&lt;=$B17,IF(base_de_datos[Hora fin]&gt;=$C17,base_de_datos[Aula]&amp;" "&amp;#REF!,""),""),""),""),"")</f>
        <v/>
      </c>
      <c r="F17" s="24" t="str" cm="1">
        <f t="array" ref="F17">_xlfn.TEXTJOIN(CHAR(10),TRUE,IF(Profesor=base_de_datos[Profesor],IF("x"=base_de_datos[Lunes],IF(base_de_datos[Hora inicio]&lt;=$B17,IF(base_de_datos[Hora fin]&gt;=$C17,base_de_datos[No clase],""),""),""),""),"")</f>
        <v/>
      </c>
      <c r="G17" s="24" t="str" cm="1">
        <f t="array" ref="G17">_xlfn.TEXTJOIN(CHAR(10),TRUE,IF(Profesor=base_de_datos[Profesor],IF("x"=base_de_datos[Martes],IF(base_de_datos[Hora inicio]&lt;=$B17,IF(base_de_datos[Hora fin]&gt;=$C17,base_de_datos[Materia]&amp;" "&amp;base_de_datos[[Número de grupo ]],""),""),""),""),"")</f>
        <v/>
      </c>
      <c r="H17" s="24" t="str" cm="1">
        <f t="array" ref="H17">_xlfn.TEXTJOIN(CHAR(10),TRUE,IF(Profesor=base_de_datos[Profesor],IF("x"=base_de_datos[Martes],IF(base_de_datos[Hora inicio]&lt;=$B17,IF(base_de_datos[Hora fin]&gt;=$C17,base_de_datos[Aula]&amp;" "&amp;#REF!,""),""),""),""),"")</f>
        <v/>
      </c>
      <c r="I17" s="24" t="str" cm="1">
        <f t="array" ref="I17">_xlfn.TEXTJOIN(CHAR(10),TRUE,IF(Profesor=base_de_datos[Profesor],IF("x"=base_de_datos[Martes],IF(base_de_datos[Hora inicio]&lt;=$B17,IF(base_de_datos[Hora fin]&gt;=$C17,base_de_datos[No clase],""),""),""),""),"")</f>
        <v/>
      </c>
      <c r="J17" s="24" t="str" cm="1">
        <f t="array" ref="J17">_xlfn.TEXTJOIN(CHAR(10),TRUE,IF(Profesor=base_de_datos[Profesor],IF("x"=base_de_datos[Miércoles],IF(base_de_datos[Hora inicio]&lt;=$B17,IF(base_de_datos[Hora fin]&gt;=$C17,base_de_datos[Materia]&amp;" "&amp;base_de_datos[[Número de grupo ]],""),""),""),""),"")</f>
        <v/>
      </c>
      <c r="K17" s="24" t="str" cm="1">
        <f t="array" ref="K17">_xlfn.TEXTJOIN(CHAR(10),TRUE,IF(Profesor=base_de_datos[Profesor],IF("x"=base_de_datos[Miércoles],IF(base_de_datos[Hora inicio]&lt;=$B17,IF(base_de_datos[Hora fin]&gt;=$C17,base_de_datos[Aula]&amp;" "&amp;#REF!,""),""),""),""),"")</f>
        <v/>
      </c>
      <c r="L17" s="24" t="str" cm="1">
        <f t="array" ref="L17">_xlfn.TEXTJOIN(CHAR(10),TRUE,IF(Profesor=base_de_datos[Profesor],IF("x"=base_de_datos[Miércoles],IF(base_de_datos[Hora inicio]&lt;=$B17,IF(base_de_datos[Hora fin]&gt;=$C17,base_de_datos[No clase],""),""),""),""),"")</f>
        <v/>
      </c>
      <c r="M17" s="24" t="str" cm="1">
        <f t="array" ref="M17">_xlfn.TEXTJOIN(CHAR(10),TRUE,IF(Profesor=base_de_datos[Profesor],IF("x"=base_de_datos[Jueves],IF(base_de_datos[Hora inicio]&lt;=$B17,IF(base_de_datos[Hora fin]&gt;=$C17,base_de_datos[Materia]&amp;" "&amp;base_de_datos[[Número de grupo ]],""),""),""),""),"")</f>
        <v/>
      </c>
      <c r="N17" s="24" t="str" cm="1">
        <f t="array" ref="N17">_xlfn.TEXTJOIN(CHAR(10),TRUE,IF(Profesor=base_de_datos[Profesor],IF("x"=base_de_datos[Jueves],IF(base_de_datos[Hora inicio]&lt;=$B17,IF(base_de_datos[Hora fin]&gt;=$C17,base_de_datos[Aula]&amp;" "&amp;#REF!,""),""),""),""),"")</f>
        <v/>
      </c>
      <c r="O17" s="24" t="str" cm="1">
        <f t="array" ref="O17">_xlfn.TEXTJOIN(CHAR(10),TRUE,IF(Profesor=base_de_datos[Profesor],IF("x"=base_de_datos[Jueves],IF(base_de_datos[Hora inicio]&lt;=$B17,IF(base_de_datos[Hora fin]&gt;=$C17,base_de_datos[No clase],""),""),""),""),"")</f>
        <v/>
      </c>
      <c r="P17" s="24" t="str" cm="1">
        <f t="array" ref="P17">_xlfn.TEXTJOIN(CHAR(10),TRUE,IF(Profesor=base_de_datos[Profesor],IF("x"=base_de_datos[Viernes],IF(base_de_datos[Hora inicio]&lt;=$B17,IF(base_de_datos[Hora fin]&gt;=$C17,base_de_datos[Materia]&amp;" "&amp;base_de_datos[[Número de grupo ]],""),""),""),""),"")</f>
        <v/>
      </c>
      <c r="Q17" s="24" t="str" cm="1">
        <f t="array" ref="Q17">_xlfn.TEXTJOIN(CHAR(10),TRUE,IF(Profesor=base_de_datos[Profesor],IF("x"=base_de_datos[Viernes],IF(base_de_datos[Hora inicio]&lt;=$B17,IF(base_de_datos[Hora fin]&gt;=$C17,base_de_datos[Aula]&amp;" "&amp;#REF!,""),""),""),""),"")</f>
        <v/>
      </c>
      <c r="R17" s="24" t="str" cm="1">
        <f t="array" ref="R17">_xlfn.TEXTJOIN(CHAR(10),TRUE,IF(Profesor=base_de_datos[Profesor],IF("x"=base_de_datos[Viernes],IF(base_de_datos[Hora inicio]&lt;=$B17,IF(base_de_datos[Hora fin]&gt;=$C17,base_de_datos[No clase],""),""),""),""),"")</f>
        <v/>
      </c>
      <c r="S17" s="24" t="str" cm="1">
        <f t="array" ref="S17">_xlfn.TEXTJOIN(CHAR(10),TRUE,IF(Profesor=base_de_datos[Profesor],IF("x"=base_de_datos[Sábado],IF(base_de_datos[Hora inicio]&lt;=$B17,IF(base_de_datos[Hora fin]&gt;=$C17,base_de_datos[Materia]&amp;" "&amp;base_de_datos[[Número de grupo ]],""),""),""),""),"")</f>
        <v/>
      </c>
      <c r="T17" s="24" t="str" cm="1">
        <f t="array" ref="T17">_xlfn.TEXTJOIN(CHAR(10),TRUE,IF(Profesor=base_de_datos[Profesor],IF("x"=base_de_datos[Sábado],IF(base_de_datos[Hora inicio]&lt;=$B17,IF(base_de_datos[Hora fin]&gt;=$C17,base_de_datos[Aula]&amp;" "&amp;#REF!,""),""),""),""),"")</f>
        <v/>
      </c>
      <c r="U17" s="24" t="str" cm="1">
        <f t="array" ref="U17">_xlfn.TEXTJOIN(CHAR(10),TRUE,IF(Profesor=base_de_datos[Profesor],IF("x"=base_de_datos[Sábado],IF(base_de_datos[Hora inicio]&lt;=$B17,IF(base_de_datos[Hora fin]&gt;=$C17,base_de_datos[No clase],""),""),""),""),"")</f>
        <v/>
      </c>
      <c r="AB17" s="23"/>
      <c r="AC17" s="23"/>
      <c r="AD17" s="23"/>
    </row>
    <row r="18" spans="2:30" ht="15">
      <c r="B18" s="70">
        <v>0.5625</v>
      </c>
      <c r="C18" s="70">
        <v>0.58333333333332904</v>
      </c>
      <c r="D18" s="24" t="str" cm="1">
        <f t="array" ref="D18">_xlfn.TEXTJOIN(CHAR(10),TRUE,IF(Profesor=base_de_datos[Profesor],IF("x"=base_de_datos[Lunes],IF(base_de_datos[Hora inicio]&lt;=$B18,IF(base_de_datos[Hora fin]&gt;=$C18,base_de_datos[Materia]&amp;" "&amp;base_de_datos[[Número de grupo ]],""),""),""),""),"")</f>
        <v/>
      </c>
      <c r="E18" s="24" t="str" cm="1">
        <f t="array" ref="E18">_xlfn.TEXTJOIN(CHAR(10),TRUE,IF(Profesor=base_de_datos[Profesor],IF("x"=base_de_datos[Lunes],IF(base_de_datos[Hora inicio]&lt;=$B18,IF(base_de_datos[Hora fin]&gt;=$C18,base_de_datos[Aula]&amp;" "&amp;#REF!,""),""),""),""),"")</f>
        <v/>
      </c>
      <c r="F18" s="24" t="str" cm="1">
        <f t="array" ref="F18">_xlfn.TEXTJOIN(CHAR(10),TRUE,IF(Profesor=base_de_datos[Profesor],IF("x"=base_de_datos[Lunes],IF(base_de_datos[Hora inicio]&lt;=$B18,IF(base_de_datos[Hora fin]&gt;=$C18,base_de_datos[No clase],""),""),""),""),"")</f>
        <v/>
      </c>
      <c r="G18" s="24" t="str" cm="1">
        <f t="array" ref="G18">_xlfn.TEXTJOIN(CHAR(10),TRUE,IF(Profesor=base_de_datos[Profesor],IF("x"=base_de_datos[Martes],IF(base_de_datos[Hora inicio]&lt;=$B18,IF(base_de_datos[Hora fin]&gt;=$C18,base_de_datos[Materia]&amp;" "&amp;base_de_datos[[Número de grupo ]],""),""),""),""),"")</f>
        <v/>
      </c>
      <c r="H18" s="24" t="str" cm="1">
        <f t="array" ref="H18">_xlfn.TEXTJOIN(CHAR(10),TRUE,IF(Profesor=base_de_datos[Profesor],IF("x"=base_de_datos[Martes],IF(base_de_datos[Hora inicio]&lt;=$B18,IF(base_de_datos[Hora fin]&gt;=$C18,base_de_datos[Aula]&amp;" "&amp;#REF!,""),""),""),""),"")</f>
        <v/>
      </c>
      <c r="I18" s="24" t="str" cm="1">
        <f t="array" ref="I18">_xlfn.TEXTJOIN(CHAR(10),TRUE,IF(Profesor=base_de_datos[Profesor],IF("x"=base_de_datos[Martes],IF(base_de_datos[Hora inicio]&lt;=$B18,IF(base_de_datos[Hora fin]&gt;=$C18,base_de_datos[No clase],""),""),""),""),"")</f>
        <v/>
      </c>
      <c r="J18" s="24" t="str" cm="1">
        <f t="array" ref="J18">_xlfn.TEXTJOIN(CHAR(10),TRUE,IF(Profesor=base_de_datos[Profesor],IF("x"=base_de_datos[Miércoles],IF(base_de_datos[Hora inicio]&lt;=$B18,IF(base_de_datos[Hora fin]&gt;=$C18,base_de_datos[Materia]&amp;" "&amp;base_de_datos[[Número de grupo ]],""),""),""),""),"")</f>
        <v/>
      </c>
      <c r="K18" s="24" t="str" cm="1">
        <f t="array" ref="K18">_xlfn.TEXTJOIN(CHAR(10),TRUE,IF(Profesor=base_de_datos[Profesor],IF("x"=base_de_datos[Miércoles],IF(base_de_datos[Hora inicio]&lt;=$B18,IF(base_de_datos[Hora fin]&gt;=$C18,base_de_datos[Aula]&amp;" "&amp;#REF!,""),""),""),""),"")</f>
        <v/>
      </c>
      <c r="L18" s="24" t="str" cm="1">
        <f t="array" ref="L18">_xlfn.TEXTJOIN(CHAR(10),TRUE,IF(Profesor=base_de_datos[Profesor],IF("x"=base_de_datos[Miércoles],IF(base_de_datos[Hora inicio]&lt;=$B18,IF(base_de_datos[Hora fin]&gt;=$C18,base_de_datos[No clase],""),""),""),""),"")</f>
        <v/>
      </c>
      <c r="M18" s="24" t="str" cm="1">
        <f t="array" ref="M18">_xlfn.TEXTJOIN(CHAR(10),TRUE,IF(Profesor=base_de_datos[Profesor],IF("x"=base_de_datos[Jueves],IF(base_de_datos[Hora inicio]&lt;=$B18,IF(base_de_datos[Hora fin]&gt;=$C18,base_de_datos[Materia]&amp;" "&amp;base_de_datos[[Número de grupo ]],""),""),""),""),"")</f>
        <v/>
      </c>
      <c r="N18" s="24" t="str" cm="1">
        <f t="array" ref="N18">_xlfn.TEXTJOIN(CHAR(10),TRUE,IF(Profesor=base_de_datos[Profesor],IF("x"=base_de_datos[Jueves],IF(base_de_datos[Hora inicio]&lt;=$B18,IF(base_de_datos[Hora fin]&gt;=$C18,base_de_datos[Aula]&amp;" "&amp;#REF!,""),""),""),""),"")</f>
        <v/>
      </c>
      <c r="O18" s="24" t="str" cm="1">
        <f t="array" ref="O18">_xlfn.TEXTJOIN(CHAR(10),TRUE,IF(Profesor=base_de_datos[Profesor],IF("x"=base_de_datos[Jueves],IF(base_de_datos[Hora inicio]&lt;=$B18,IF(base_de_datos[Hora fin]&gt;=$C18,base_de_datos[No clase],""),""),""),""),"")</f>
        <v/>
      </c>
      <c r="P18" s="24" t="str" cm="1">
        <f t="array" ref="P18">_xlfn.TEXTJOIN(CHAR(10),TRUE,IF(Profesor=base_de_datos[Profesor],IF("x"=base_de_datos[Viernes],IF(base_de_datos[Hora inicio]&lt;=$B18,IF(base_de_datos[Hora fin]&gt;=$C18,base_de_datos[Materia]&amp;" "&amp;base_de_datos[[Número de grupo ]],""),""),""),""),"")</f>
        <v/>
      </c>
      <c r="Q18" s="24" t="str" cm="1">
        <f t="array" ref="Q18">_xlfn.TEXTJOIN(CHAR(10),TRUE,IF(Profesor=base_de_datos[Profesor],IF("x"=base_de_datos[Viernes],IF(base_de_datos[Hora inicio]&lt;=$B18,IF(base_de_datos[Hora fin]&gt;=$C18,base_de_datos[Aula]&amp;" "&amp;#REF!,""),""),""),""),"")</f>
        <v/>
      </c>
      <c r="R18" s="24" t="str" cm="1">
        <f t="array" ref="R18">_xlfn.TEXTJOIN(CHAR(10),TRUE,IF(Profesor=base_de_datos[Profesor],IF("x"=base_de_datos[Viernes],IF(base_de_datos[Hora inicio]&lt;=$B18,IF(base_de_datos[Hora fin]&gt;=$C18,base_de_datos[No clase],""),""),""),""),"")</f>
        <v/>
      </c>
      <c r="S18" s="24" t="str" cm="1">
        <f t="array" ref="S18">_xlfn.TEXTJOIN(CHAR(10),TRUE,IF(Profesor=base_de_datos[Profesor],IF("x"=base_de_datos[Sábado],IF(base_de_datos[Hora inicio]&lt;=$B18,IF(base_de_datos[Hora fin]&gt;=$C18,base_de_datos[Materia]&amp;" "&amp;base_de_datos[[Número de grupo ]],""),""),""),""),"")</f>
        <v/>
      </c>
      <c r="T18" s="24" t="str" cm="1">
        <f t="array" ref="T18">_xlfn.TEXTJOIN(CHAR(10),TRUE,IF(Profesor=base_de_datos[Profesor],IF("x"=base_de_datos[Sábado],IF(base_de_datos[Hora inicio]&lt;=$B18,IF(base_de_datos[Hora fin]&gt;=$C18,base_de_datos[Aula]&amp;" "&amp;#REF!,""),""),""),""),"")</f>
        <v/>
      </c>
      <c r="U18" s="24" t="str" cm="1">
        <f t="array" ref="U18">_xlfn.TEXTJOIN(CHAR(10),TRUE,IF(Profesor=base_de_datos[Profesor],IF("x"=base_de_datos[Sábado],IF(base_de_datos[Hora inicio]&lt;=$B18,IF(base_de_datos[Hora fin]&gt;=$C18,base_de_datos[No clase],""),""),""),""),"")</f>
        <v/>
      </c>
    </row>
    <row r="19" spans="2:30" ht="15">
      <c r="B19" s="70">
        <v>0.58333333333333304</v>
      </c>
      <c r="C19" s="70">
        <v>0.60416666666666197</v>
      </c>
      <c r="D19" s="24" t="str" cm="1">
        <f t="array" ref="D19">_xlfn.TEXTJOIN(CHAR(10),TRUE,IF(Profesor=base_de_datos[Profesor],IF("x"=base_de_datos[Lunes],IF(base_de_datos[Hora inicio]&lt;=$B19,IF(base_de_datos[Hora fin]&gt;=$C19,base_de_datos[Materia]&amp;" "&amp;base_de_datos[[Número de grupo ]],""),""),""),""),"")</f>
        <v/>
      </c>
      <c r="E19" s="24" t="str" cm="1">
        <f t="array" ref="E19">_xlfn.TEXTJOIN(CHAR(10),TRUE,IF(Profesor=base_de_datos[Profesor],IF("x"=base_de_datos[Lunes],IF(base_de_datos[Hora inicio]&lt;=$B19,IF(base_de_datos[Hora fin]&gt;=$C19,base_de_datos[Aula]&amp;" "&amp;#REF!,""),""),""),""),"")</f>
        <v/>
      </c>
      <c r="F19" s="24" t="str" cm="1">
        <f t="array" ref="F19">_xlfn.TEXTJOIN(CHAR(10),TRUE,IF(Profesor=base_de_datos[Profesor],IF("x"=base_de_datos[Lunes],IF(base_de_datos[Hora inicio]&lt;=$B19,IF(base_de_datos[Hora fin]&gt;=$C19,base_de_datos[No clase],""),""),""),""),"")</f>
        <v/>
      </c>
      <c r="G19" s="24" t="str" cm="1">
        <f t="array" ref="G19">_xlfn.TEXTJOIN(CHAR(10),TRUE,IF(Profesor=base_de_datos[Profesor],IF("x"=base_de_datos[Martes],IF(base_de_datos[Hora inicio]&lt;=$B19,IF(base_de_datos[Hora fin]&gt;=$C19,base_de_datos[Materia]&amp;" "&amp;base_de_datos[[Número de grupo ]],""),""),""),""),"")</f>
        <v/>
      </c>
      <c r="H19" s="24" t="str" cm="1">
        <f t="array" ref="H19">_xlfn.TEXTJOIN(CHAR(10),TRUE,IF(Profesor=base_de_datos[Profesor],IF("x"=base_de_datos[Martes],IF(base_de_datos[Hora inicio]&lt;=$B19,IF(base_de_datos[Hora fin]&gt;=$C19,base_de_datos[Aula]&amp;" "&amp;#REF!,""),""),""),""),"")</f>
        <v/>
      </c>
      <c r="I19" s="24" t="str" cm="1">
        <f t="array" ref="I19">_xlfn.TEXTJOIN(CHAR(10),TRUE,IF(Profesor=base_de_datos[Profesor],IF("x"=base_de_datos[Martes],IF(base_de_datos[Hora inicio]&lt;=$B19,IF(base_de_datos[Hora fin]&gt;=$C19,base_de_datos[No clase],""),""),""),""),"")</f>
        <v/>
      </c>
      <c r="J19" s="24" t="str" cm="1">
        <f t="array" ref="J19">_xlfn.TEXTJOIN(CHAR(10),TRUE,IF(Profesor=base_de_datos[Profesor],IF("x"=base_de_datos[Miércoles],IF(base_de_datos[Hora inicio]&lt;=$B19,IF(base_de_datos[Hora fin]&gt;=$C19,base_de_datos[Materia]&amp;" "&amp;base_de_datos[[Número de grupo ]],""),""),""),""),"")</f>
        <v/>
      </c>
      <c r="K19" s="24" t="str" cm="1">
        <f t="array" ref="K19">_xlfn.TEXTJOIN(CHAR(10),TRUE,IF(Profesor=base_de_datos[Profesor],IF("x"=base_de_datos[Miércoles],IF(base_de_datos[Hora inicio]&lt;=$B19,IF(base_de_datos[Hora fin]&gt;=$C19,base_de_datos[Aula]&amp;" "&amp;#REF!,""),""),""),""),"")</f>
        <v/>
      </c>
      <c r="L19" s="24" t="str" cm="1">
        <f t="array" ref="L19">_xlfn.TEXTJOIN(CHAR(10),TRUE,IF(Profesor=base_de_datos[Profesor],IF("x"=base_de_datos[Miércoles],IF(base_de_datos[Hora inicio]&lt;=$B19,IF(base_de_datos[Hora fin]&gt;=$C19,base_de_datos[No clase],""),""),""),""),"")</f>
        <v/>
      </c>
      <c r="M19" s="24" t="str" cm="1">
        <f t="array" ref="M19">_xlfn.TEXTJOIN(CHAR(10),TRUE,IF(Profesor=base_de_datos[Profesor],IF("x"=base_de_datos[Jueves],IF(base_de_datos[Hora inicio]&lt;=$B19,IF(base_de_datos[Hora fin]&gt;=$C19,base_de_datos[Materia]&amp;" "&amp;base_de_datos[[Número de grupo ]],""),""),""),""),"")</f>
        <v/>
      </c>
      <c r="N19" s="24" t="str" cm="1">
        <f t="array" ref="N19">_xlfn.TEXTJOIN(CHAR(10),TRUE,IF(Profesor=base_de_datos[Profesor],IF("x"=base_de_datos[Jueves],IF(base_de_datos[Hora inicio]&lt;=$B19,IF(base_de_datos[Hora fin]&gt;=$C19,base_de_datos[Aula]&amp;" "&amp;#REF!,""),""),""),""),"")</f>
        <v/>
      </c>
      <c r="O19" s="24" t="str" cm="1">
        <f t="array" ref="O19">_xlfn.TEXTJOIN(CHAR(10),TRUE,IF(Profesor=base_de_datos[Profesor],IF("x"=base_de_datos[Jueves],IF(base_de_datos[Hora inicio]&lt;=$B19,IF(base_de_datos[Hora fin]&gt;=$C19,base_de_datos[No clase],""),""),""),""),"")</f>
        <v/>
      </c>
      <c r="P19" s="24" t="str" cm="1">
        <f t="array" ref="P19">_xlfn.TEXTJOIN(CHAR(10),TRUE,IF(Profesor=base_de_datos[Profesor],IF("x"=base_de_datos[Viernes],IF(base_de_datos[Hora inicio]&lt;=$B19,IF(base_de_datos[Hora fin]&gt;=$C19,base_de_datos[Materia]&amp;" "&amp;base_de_datos[[Número de grupo ]],""),""),""),""),"")</f>
        <v/>
      </c>
      <c r="Q19" s="24" t="str" cm="1">
        <f t="array" ref="Q19">_xlfn.TEXTJOIN(CHAR(10),TRUE,IF(Profesor=base_de_datos[Profesor],IF("x"=base_de_datos[Viernes],IF(base_de_datos[Hora inicio]&lt;=$B19,IF(base_de_datos[Hora fin]&gt;=$C19,base_de_datos[Aula]&amp;" "&amp;#REF!,""),""),""),""),"")</f>
        <v/>
      </c>
      <c r="R19" s="24" t="str" cm="1">
        <f t="array" ref="R19">_xlfn.TEXTJOIN(CHAR(10),TRUE,IF(Profesor=base_de_datos[Profesor],IF("x"=base_de_datos[Viernes],IF(base_de_datos[Hora inicio]&lt;=$B19,IF(base_de_datos[Hora fin]&gt;=$C19,base_de_datos[No clase],""),""),""),""),"")</f>
        <v/>
      </c>
      <c r="S19" s="24" t="str" cm="1">
        <f t="array" ref="S19">_xlfn.TEXTJOIN(CHAR(10),TRUE,IF(Profesor=base_de_datos[Profesor],IF("x"=base_de_datos[Sábado],IF(base_de_datos[Hora inicio]&lt;=$B19,IF(base_de_datos[Hora fin]&gt;=$C19,base_de_datos[Materia]&amp;" "&amp;base_de_datos[[Número de grupo ]],""),""),""),""),"")</f>
        <v/>
      </c>
      <c r="T19" s="24" t="str" cm="1">
        <f t="array" ref="T19">_xlfn.TEXTJOIN(CHAR(10),TRUE,IF(Profesor=base_de_datos[Profesor],IF("x"=base_de_datos[Sábado],IF(base_de_datos[Hora inicio]&lt;=$B19,IF(base_de_datos[Hora fin]&gt;=$C19,base_de_datos[Aula]&amp;" "&amp;#REF!,""),""),""),""),"")</f>
        <v/>
      </c>
      <c r="U19" s="24" t="str" cm="1">
        <f t="array" ref="U19">_xlfn.TEXTJOIN(CHAR(10),TRUE,IF(Profesor=base_de_datos[Profesor],IF("x"=base_de_datos[Sábado],IF(base_de_datos[Hora inicio]&lt;=$B19,IF(base_de_datos[Hora fin]&gt;=$C19,base_de_datos[No clase],""),""),""),""),"")</f>
        <v/>
      </c>
    </row>
    <row r="20" spans="2:30" ht="15">
      <c r="B20" s="70">
        <v>0.60416666666666696</v>
      </c>
      <c r="C20" s="70">
        <v>0.624999999999995</v>
      </c>
      <c r="D20" s="24" t="str" cm="1">
        <f t="array" ref="D20">_xlfn.TEXTJOIN(CHAR(10),TRUE,IF(Profesor=base_de_datos[Profesor],IF("x"=base_de_datos[Lunes],IF(base_de_datos[Hora inicio]&lt;=$B20,IF(base_de_datos[Hora fin]&gt;=$C20,base_de_datos[Materia]&amp;" "&amp;base_de_datos[[Número de grupo ]],""),""),""),""),"")</f>
        <v/>
      </c>
      <c r="E20" s="24" t="str" cm="1">
        <f t="array" ref="E20">_xlfn.TEXTJOIN(CHAR(10),TRUE,IF(Profesor=base_de_datos[Profesor],IF("x"=base_de_datos[Lunes],IF(base_de_datos[Hora inicio]&lt;=$B20,IF(base_de_datos[Hora fin]&gt;=$C20,base_de_datos[Aula]&amp;" "&amp;#REF!,""),""),""),""),"")</f>
        <v/>
      </c>
      <c r="F20" s="24" t="str" cm="1">
        <f t="array" ref="F20">_xlfn.TEXTJOIN(CHAR(10),TRUE,IF(Profesor=base_de_datos[Profesor],IF("x"=base_de_datos[Lunes],IF(base_de_datos[Hora inicio]&lt;=$B20,IF(base_de_datos[Hora fin]&gt;=$C20,base_de_datos[No clase],""),""),""),""),"")</f>
        <v/>
      </c>
      <c r="G20" s="24" t="str" cm="1">
        <f t="array" ref="G20">_xlfn.TEXTJOIN(CHAR(10),TRUE,IF(Profesor=base_de_datos[Profesor],IF("x"=base_de_datos[Martes],IF(base_de_datos[Hora inicio]&lt;=$B20,IF(base_de_datos[Hora fin]&gt;=$C20,base_de_datos[Materia]&amp;" "&amp;base_de_datos[[Número de grupo ]],""),""),""),""),"")</f>
        <v/>
      </c>
      <c r="H20" s="24" t="str" cm="1">
        <f t="array" ref="H20">_xlfn.TEXTJOIN(CHAR(10),TRUE,IF(Profesor=base_de_datos[Profesor],IF("x"=base_de_datos[Martes],IF(base_de_datos[Hora inicio]&lt;=$B20,IF(base_de_datos[Hora fin]&gt;=$C20,base_de_datos[Aula]&amp;" "&amp;#REF!,""),""),""),""),"")</f>
        <v/>
      </c>
      <c r="I20" s="24" t="str" cm="1">
        <f t="array" ref="I20">_xlfn.TEXTJOIN(CHAR(10),TRUE,IF(Profesor=base_de_datos[Profesor],IF("x"=base_de_datos[Martes],IF(base_de_datos[Hora inicio]&lt;=$B20,IF(base_de_datos[Hora fin]&gt;=$C20,base_de_datos[No clase],""),""),""),""),"")</f>
        <v/>
      </c>
      <c r="J20" s="24" t="str" cm="1">
        <f t="array" ref="J20">_xlfn.TEXTJOIN(CHAR(10),TRUE,IF(Profesor=base_de_datos[Profesor],IF("x"=base_de_datos[Miércoles],IF(base_de_datos[Hora inicio]&lt;=$B20,IF(base_de_datos[Hora fin]&gt;=$C20,base_de_datos[Materia]&amp;" "&amp;base_de_datos[[Número de grupo ]],""),""),""),""),"")</f>
        <v/>
      </c>
      <c r="K20" s="24" t="str" cm="1">
        <f t="array" ref="K20">_xlfn.TEXTJOIN(CHAR(10),TRUE,IF(Profesor=base_de_datos[Profesor],IF("x"=base_de_datos[Miércoles],IF(base_de_datos[Hora inicio]&lt;=$B20,IF(base_de_datos[Hora fin]&gt;=$C20,base_de_datos[Aula]&amp;" "&amp;#REF!,""),""),""),""),"")</f>
        <v/>
      </c>
      <c r="L20" s="24" t="str" cm="1">
        <f t="array" ref="L20">_xlfn.TEXTJOIN(CHAR(10),TRUE,IF(Profesor=base_de_datos[Profesor],IF("x"=base_de_datos[Miércoles],IF(base_de_datos[Hora inicio]&lt;=$B20,IF(base_de_datos[Hora fin]&gt;=$C20,base_de_datos[No clase],""),""),""),""),"")</f>
        <v/>
      </c>
      <c r="M20" s="24" t="str" cm="1">
        <f t="array" ref="M20">_xlfn.TEXTJOIN(CHAR(10),TRUE,IF(Profesor=base_de_datos[Profesor],IF("x"=base_de_datos[Jueves],IF(base_de_datos[Hora inicio]&lt;=$B20,IF(base_de_datos[Hora fin]&gt;=$C20,base_de_datos[Materia]&amp;" "&amp;base_de_datos[[Número de grupo ]],""),""),""),""),"")</f>
        <v/>
      </c>
      <c r="N20" s="24" t="str" cm="1">
        <f t="array" ref="N20">_xlfn.TEXTJOIN(CHAR(10),TRUE,IF(Profesor=base_de_datos[Profesor],IF("x"=base_de_datos[Jueves],IF(base_de_datos[Hora inicio]&lt;=$B20,IF(base_de_datos[Hora fin]&gt;=$C20,base_de_datos[Aula]&amp;" "&amp;#REF!,""),""),""),""),"")</f>
        <v/>
      </c>
      <c r="O20" s="24" t="str" cm="1">
        <f t="array" ref="O20">_xlfn.TEXTJOIN(CHAR(10),TRUE,IF(Profesor=base_de_datos[Profesor],IF("x"=base_de_datos[Jueves],IF(base_de_datos[Hora inicio]&lt;=$B20,IF(base_de_datos[Hora fin]&gt;=$C20,base_de_datos[No clase],""),""),""),""),"")</f>
        <v/>
      </c>
      <c r="P20" s="24" t="str" cm="1">
        <f t="array" ref="P20">_xlfn.TEXTJOIN(CHAR(10),TRUE,IF(Profesor=base_de_datos[Profesor],IF("x"=base_de_datos[Viernes],IF(base_de_datos[Hora inicio]&lt;=$B20,IF(base_de_datos[Hora fin]&gt;=$C20,base_de_datos[Materia]&amp;" "&amp;base_de_datos[[Número de grupo ]],""),""),""),""),"")</f>
        <v/>
      </c>
      <c r="Q20" s="24" t="str" cm="1">
        <f t="array" ref="Q20">_xlfn.TEXTJOIN(CHAR(10),TRUE,IF(Profesor=base_de_datos[Profesor],IF("x"=base_de_datos[Viernes],IF(base_de_datos[Hora inicio]&lt;=$B20,IF(base_de_datos[Hora fin]&gt;=$C20,base_de_datos[Aula]&amp;" "&amp;#REF!,""),""),""),""),"")</f>
        <v/>
      </c>
      <c r="R20" s="24" t="str" cm="1">
        <f t="array" ref="R20">_xlfn.TEXTJOIN(CHAR(10),TRUE,IF(Profesor=base_de_datos[Profesor],IF("x"=base_de_datos[Viernes],IF(base_de_datos[Hora inicio]&lt;=$B20,IF(base_de_datos[Hora fin]&gt;=$C20,base_de_datos[No clase],""),""),""),""),"")</f>
        <v/>
      </c>
      <c r="S20" s="24" t="str" cm="1">
        <f t="array" ref="S20">_xlfn.TEXTJOIN(CHAR(10),TRUE,IF(Profesor=base_de_datos[Profesor],IF("x"=base_de_datos[Sábado],IF(base_de_datos[Hora inicio]&lt;=$B20,IF(base_de_datos[Hora fin]&gt;=$C20,base_de_datos[Materia]&amp;" "&amp;base_de_datos[[Número de grupo ]],""),""),""),""),"")</f>
        <v/>
      </c>
      <c r="T20" s="24" t="str" cm="1">
        <f t="array" ref="T20">_xlfn.TEXTJOIN(CHAR(10),TRUE,IF(Profesor=base_de_datos[Profesor],IF("x"=base_de_datos[Sábado],IF(base_de_datos[Hora inicio]&lt;=$B20,IF(base_de_datos[Hora fin]&gt;=$C20,base_de_datos[Aula]&amp;" "&amp;#REF!,""),""),""),""),"")</f>
        <v/>
      </c>
      <c r="U20" s="24" t="str" cm="1">
        <f t="array" ref="U20">_xlfn.TEXTJOIN(CHAR(10),TRUE,IF(Profesor=base_de_datos[Profesor],IF("x"=base_de_datos[Sábado],IF(base_de_datos[Hora inicio]&lt;=$B20,IF(base_de_datos[Hora fin]&gt;=$C20,base_de_datos[No clase],""),""),""),""),"")</f>
        <v/>
      </c>
    </row>
    <row r="21" spans="2:30" ht="15">
      <c r="B21" s="70">
        <v>0.625</v>
      </c>
      <c r="C21" s="70">
        <v>0.64583333333332804</v>
      </c>
      <c r="D21" s="25" t="str" cm="1">
        <f t="array" ref="D21">_xlfn.TEXTJOIN(CHAR(10),TRUE,IF(Profesor=base_de_datos[Profesor],IF("x"=base_de_datos[Lunes],IF(base_de_datos[Hora inicio]&lt;=$B21,IF(base_de_datos[Hora fin]&gt;=$C21,base_de_datos[Materia]&amp;" "&amp;base_de_datos[[Número de grupo ]],""),""),""),""),"")</f>
        <v/>
      </c>
      <c r="E21" s="25" t="str" cm="1">
        <f t="array" ref="E21">_xlfn.TEXTJOIN(CHAR(10),TRUE,IF(Profesor=base_de_datos[Profesor],IF("x"=base_de_datos[Lunes],IF(base_de_datos[Hora inicio]&lt;=$B21,IF(base_de_datos[Hora fin]&gt;=$C21,base_de_datos[Aula]&amp;" "&amp;#REF!,""),""),""),""),"")</f>
        <v/>
      </c>
      <c r="F21" s="25" t="str" cm="1">
        <f t="array" ref="F21">_xlfn.TEXTJOIN(CHAR(10),TRUE,IF(Profesor=base_de_datos[Profesor],IF("x"=base_de_datos[Lunes],IF(base_de_datos[Hora inicio]&lt;=$B21,IF(base_de_datos[Hora fin]&gt;=$C21,base_de_datos[No clase],""),""),""),""),"")</f>
        <v/>
      </c>
      <c r="G21" s="24" t="str" cm="1">
        <f t="array" ref="G21">_xlfn.TEXTJOIN(CHAR(10),TRUE,IF(Profesor=base_de_datos[Profesor],IF("x"=base_de_datos[Martes],IF(base_de_datos[Hora inicio]&lt;=$B21,IF(base_de_datos[Hora fin]&gt;=$C21,base_de_datos[Materia]&amp;" "&amp;base_de_datos[[Número de grupo ]],""),""),""),""),"")</f>
        <v/>
      </c>
      <c r="H21" s="24" t="str" cm="1">
        <f t="array" ref="H21">_xlfn.TEXTJOIN(CHAR(10),TRUE,IF(Profesor=base_de_datos[Profesor],IF("x"=base_de_datos[Martes],IF(base_de_datos[Hora inicio]&lt;=$B21,IF(base_de_datos[Hora fin]&gt;=$C21,base_de_datos[Aula]&amp;" "&amp;#REF!,""),""),""),""),"")</f>
        <v/>
      </c>
      <c r="I21" s="24" t="str" cm="1">
        <f t="array" ref="I21">_xlfn.TEXTJOIN(CHAR(10),TRUE,IF(Profesor=base_de_datos[Profesor],IF("x"=base_de_datos[Martes],IF(base_de_datos[Hora inicio]&lt;=$B21,IF(base_de_datos[Hora fin]&gt;=$C21,base_de_datos[No clase],""),""),""),""),"")</f>
        <v/>
      </c>
      <c r="J21" s="25" t="str" cm="1">
        <f t="array" ref="J21">_xlfn.TEXTJOIN(CHAR(10),TRUE,IF(Profesor=base_de_datos[Profesor],IF("x"=base_de_datos[Lunes],IF(base_de_datos[Hora inicio]&lt;=$B21,IF(base_de_datos[Hora fin]&gt;=$C21,base_de_datos[Materia]&amp;" "&amp;base_de_datos[[Número de grupo ]],""),""),""),""),"")</f>
        <v/>
      </c>
      <c r="K21" s="25" t="str" cm="1">
        <f t="array" ref="K21">_xlfn.TEXTJOIN(CHAR(10),TRUE,IF(Profesor=base_de_datos[Profesor],IF("x"=base_de_datos[Lunes],IF(base_de_datos[Hora inicio]&lt;=$B21,IF(base_de_datos[Hora fin]&gt;=$C21,base_de_datos[Aula]&amp;" "&amp;#REF!,""),""),""),""),"")</f>
        <v/>
      </c>
      <c r="L21" s="25" t="str" cm="1">
        <f t="array" ref="L21">_xlfn.TEXTJOIN(CHAR(10),TRUE,IF(Profesor=base_de_datos[Profesor],IF("x"=base_de_datos[Lunes],IF(base_de_datos[Hora inicio]&lt;=$B21,IF(base_de_datos[Hora fin]&gt;=$C21,base_de_datos[No clase],""),""),""),""),"")</f>
        <v/>
      </c>
      <c r="M21" s="24" t="str" cm="1">
        <f t="array" ref="M21">_xlfn.TEXTJOIN(CHAR(10),TRUE,IF(Profesor=base_de_datos[Profesor],IF("x"=base_de_datos[Jueves],IF(base_de_datos[Hora inicio]&lt;=$B21,IF(base_de_datos[Hora fin]&gt;=$C21,base_de_datos[Materia]&amp;" "&amp;base_de_datos[[Número de grupo ]],""),""),""),""),"")</f>
        <v/>
      </c>
      <c r="N21" s="24" t="str" cm="1">
        <f t="array" ref="N21">_xlfn.TEXTJOIN(CHAR(10),TRUE,IF(Profesor=base_de_datos[Profesor],IF("x"=base_de_datos[Jueves],IF(base_de_datos[Hora inicio]&lt;=$B21,IF(base_de_datos[Hora fin]&gt;=$C21,base_de_datos[Aula]&amp;" "&amp;#REF!,""),""),""),""),"")</f>
        <v/>
      </c>
      <c r="O21" s="24" t="str" cm="1">
        <f t="array" ref="O21">_xlfn.TEXTJOIN(CHAR(10),TRUE,IF(Profesor=base_de_datos[Profesor],IF("x"=base_de_datos[Jueves],IF(base_de_datos[Hora inicio]&lt;=$B21,IF(base_de_datos[Hora fin]&gt;=$C21,base_de_datos[No clase],""),""),""),""),"")</f>
        <v/>
      </c>
      <c r="P21" s="25" t="str" cm="1">
        <f t="array" ref="P21">_xlfn.TEXTJOIN(CHAR(10),TRUE,IF(Profesor=base_de_datos[Profesor],IF("x"=base_de_datos[Viernes],IF(base_de_datos[Hora inicio]&lt;=$B21,IF(base_de_datos[Hora fin]&gt;=$C21,base_de_datos[Materia]&amp;" "&amp;base_de_datos[[Número de grupo ]],""),""),""),""),"")</f>
        <v/>
      </c>
      <c r="Q21" s="25" t="str" cm="1">
        <f t="array" ref="Q21">_xlfn.TEXTJOIN(CHAR(10),TRUE,IF(Profesor=base_de_datos[Profesor],IF("x"=base_de_datos[Viernes],IF(base_de_datos[Hora inicio]&lt;=$B21,IF(base_de_datos[Hora fin]&gt;=$C21,base_de_datos[Aula]&amp;" "&amp;#REF!,""),""),""),""),"")</f>
        <v/>
      </c>
      <c r="R21" s="25" t="str" cm="1">
        <f t="array" ref="R21">_xlfn.TEXTJOIN(CHAR(10),TRUE,IF(Profesor=base_de_datos[Profesor],IF("x"=base_de_datos[Viernes],IF(base_de_datos[Hora inicio]&lt;=$B21,IF(base_de_datos[Hora fin]&gt;=$C21,base_de_datos[No clase],""),""),""),""),"")</f>
        <v/>
      </c>
      <c r="S21" s="24" t="str" cm="1">
        <f t="array" ref="S21">_xlfn.TEXTJOIN(CHAR(10),TRUE,IF(Profesor=base_de_datos[Profesor],IF("x"=base_de_datos[Sábado],IF(base_de_datos[Hora inicio]&lt;=$B21,IF(base_de_datos[Hora fin]&gt;=$C21,base_de_datos[Materia]&amp;" "&amp;base_de_datos[[Número de grupo ]],""),""),""),""),"")</f>
        <v/>
      </c>
      <c r="T21" s="24" t="str" cm="1">
        <f t="array" ref="T21">_xlfn.TEXTJOIN(CHAR(10),TRUE,IF(Profesor=base_de_datos[Profesor],IF("x"=base_de_datos[Sábado],IF(base_de_datos[Hora inicio]&lt;=$B21,IF(base_de_datos[Hora fin]&gt;=$C21,base_de_datos[Aula]&amp;" "&amp;#REF!,""),""),""),""),"")</f>
        <v/>
      </c>
      <c r="U21" s="24" t="str" cm="1">
        <f t="array" ref="U21">_xlfn.TEXTJOIN(CHAR(10),TRUE,IF(Profesor=base_de_datos[Profesor],IF("x"=base_de_datos[Sábado],IF(base_de_datos[Hora inicio]&lt;=$B21,IF(base_de_datos[Hora fin]&gt;=$C21,base_de_datos[No clase],""),""),""),""),"")</f>
        <v/>
      </c>
    </row>
    <row r="22" spans="2:30" ht="15">
      <c r="B22" s="70">
        <v>0.64583333333333304</v>
      </c>
      <c r="C22" s="70">
        <v>0.66666666666666097</v>
      </c>
      <c r="D22" s="25" t="str" cm="1">
        <f t="array" ref="D22">_xlfn.TEXTJOIN(CHAR(10),TRUE,IF(Profesor=base_de_datos[Profesor],IF("x"=base_de_datos[Lunes],IF(base_de_datos[Hora inicio]&lt;=$B22,IF(base_de_datos[Hora fin]&gt;=$C22,base_de_datos[Materia]&amp;" "&amp;base_de_datos[[Número de grupo ]],""),""),""),""),"")</f>
        <v/>
      </c>
      <c r="E22" s="25" t="str" cm="1">
        <f t="array" ref="E22">_xlfn.TEXTJOIN(CHAR(10),TRUE,IF(Profesor=base_de_datos[Profesor],IF("x"=base_de_datos[Lunes],IF(base_de_datos[Hora inicio]&lt;=$B22,IF(base_de_datos[Hora fin]&gt;=$C22,base_de_datos[Aula]&amp;" "&amp;#REF!,""),""),""),""),"")</f>
        <v/>
      </c>
      <c r="F22" s="25" t="str" cm="1">
        <f t="array" ref="F22">_xlfn.TEXTJOIN(CHAR(10),TRUE,IF(Profesor=base_de_datos[Profesor],IF("x"=base_de_datos[Lunes],IF(base_de_datos[Hora inicio]&lt;=$B22,IF(base_de_datos[Hora fin]&gt;=$C22,base_de_datos[No clase],""),""),""),""),"")</f>
        <v/>
      </c>
      <c r="G22" s="24" t="str" cm="1">
        <f t="array" ref="G22">_xlfn.TEXTJOIN(CHAR(10),TRUE,IF(Profesor=base_de_datos[Profesor],IF("x"=base_de_datos[Martes],IF(base_de_datos[Hora inicio]&lt;=$B22,IF(base_de_datos[Hora fin]&gt;=$C22,base_de_datos[Materia]&amp;" "&amp;base_de_datos[[Número de grupo ]],""),""),""),""),"")</f>
        <v/>
      </c>
      <c r="H22" s="24" t="str" cm="1">
        <f t="array" ref="H22">_xlfn.TEXTJOIN(CHAR(10),TRUE,IF(Profesor=base_de_datos[Profesor],IF("x"=base_de_datos[Martes],IF(base_de_datos[Hora inicio]&lt;=$B22,IF(base_de_datos[Hora fin]&gt;=$C22,base_de_datos[Aula]&amp;" "&amp;#REF!,""),""),""),""),"")</f>
        <v/>
      </c>
      <c r="I22" s="24" t="str" cm="1">
        <f t="array" ref="I22">_xlfn.TEXTJOIN(CHAR(10),TRUE,IF(Profesor=base_de_datos[Profesor],IF("x"=base_de_datos[Martes],IF(base_de_datos[Hora inicio]&lt;=$B22,IF(base_de_datos[Hora fin]&gt;=$C22,base_de_datos[No clase],""),""),""),""),"")</f>
        <v/>
      </c>
      <c r="J22" s="25" t="str" cm="1">
        <f t="array" ref="J22">_xlfn.TEXTJOIN(CHAR(10),TRUE,IF(Profesor=base_de_datos[Profesor],IF("x"=base_de_datos[Lunes],IF(base_de_datos[Hora inicio]&lt;=$B22,IF(base_de_datos[Hora fin]&gt;=$C22,base_de_datos[Materia]&amp;" "&amp;base_de_datos[[Número de grupo ]],""),""),""),""),"")</f>
        <v/>
      </c>
      <c r="K22" s="25" t="str" cm="1">
        <f t="array" ref="K22">_xlfn.TEXTJOIN(CHAR(10),TRUE,IF(Profesor=base_de_datos[Profesor],IF("x"=base_de_datos[Lunes],IF(base_de_datos[Hora inicio]&lt;=$B22,IF(base_de_datos[Hora fin]&gt;=$C22,base_de_datos[Aula]&amp;" "&amp;#REF!,""),""),""),""),"")</f>
        <v/>
      </c>
      <c r="L22" s="25" t="str" cm="1">
        <f t="array" ref="L22">_xlfn.TEXTJOIN(CHAR(10),TRUE,IF(Profesor=base_de_datos[Profesor],IF("x"=base_de_datos[Lunes],IF(base_de_datos[Hora inicio]&lt;=$B22,IF(base_de_datos[Hora fin]&gt;=$C22,base_de_datos[No clase],""),""),""),""),"")</f>
        <v/>
      </c>
      <c r="M22" s="24" t="str" cm="1">
        <f t="array" ref="M22">_xlfn.TEXTJOIN(CHAR(10),TRUE,IF(Profesor=base_de_datos[Profesor],IF("x"=base_de_datos[Jueves],IF(base_de_datos[Hora inicio]&lt;=$B22,IF(base_de_datos[Hora fin]&gt;=$C22,base_de_datos[Materia]&amp;" "&amp;base_de_datos[[Número de grupo ]],""),""),""),""),"")</f>
        <v/>
      </c>
      <c r="N22" s="24" t="str" cm="1">
        <f t="array" ref="N22">_xlfn.TEXTJOIN(CHAR(10),TRUE,IF(Profesor=base_de_datos[Profesor],IF("x"=base_de_datos[Jueves],IF(base_de_datos[Hora inicio]&lt;=$B22,IF(base_de_datos[Hora fin]&gt;=$C22,base_de_datos[Aula]&amp;" "&amp;#REF!,""),""),""),""),"")</f>
        <v/>
      </c>
      <c r="O22" s="24" t="str" cm="1">
        <f t="array" ref="O22">_xlfn.TEXTJOIN(CHAR(10),TRUE,IF(Profesor=base_de_datos[Profesor],IF("x"=base_de_datos[Jueves],IF(base_de_datos[Hora inicio]&lt;=$B22,IF(base_de_datos[Hora fin]&gt;=$C22,base_de_datos[No clase],""),""),""),""),"")</f>
        <v/>
      </c>
      <c r="P22" s="25" t="str" cm="1">
        <f t="array" ref="P22">_xlfn.TEXTJOIN(CHAR(10),TRUE,IF(Profesor=base_de_datos[Profesor],IF("x"=base_de_datos[Viernes],IF(base_de_datos[Hora inicio]&lt;=$B22,IF(base_de_datos[Hora fin]&gt;=$C22,base_de_datos[Materia]&amp;" "&amp;base_de_datos[[Número de grupo ]],""),""),""),""),"")</f>
        <v/>
      </c>
      <c r="Q22" s="25" t="str" cm="1">
        <f t="array" ref="Q22">_xlfn.TEXTJOIN(CHAR(10),TRUE,IF(Profesor=base_de_datos[Profesor],IF("x"=base_de_datos[Viernes],IF(base_de_datos[Hora inicio]&lt;=$B22,IF(base_de_datos[Hora fin]&gt;=$C22,base_de_datos[Aula]&amp;" "&amp;#REF!,""),""),""),""),"")</f>
        <v/>
      </c>
      <c r="R22" s="25" t="str" cm="1">
        <f t="array" ref="R22">_xlfn.TEXTJOIN(CHAR(10),TRUE,IF(Profesor=base_de_datos[Profesor],IF("x"=base_de_datos[Viernes],IF(base_de_datos[Hora inicio]&lt;=$B22,IF(base_de_datos[Hora fin]&gt;=$C22,base_de_datos[No clase],""),""),""),""),"")</f>
        <v/>
      </c>
      <c r="S22" s="24" t="str" cm="1">
        <f t="array" ref="S22">_xlfn.TEXTJOIN(CHAR(10),TRUE,IF(Profesor=base_de_datos[Profesor],IF("x"=base_de_datos[Sábado],IF(base_de_datos[Hora inicio]&lt;=$B22,IF(base_de_datos[Hora fin]&gt;=$C22,base_de_datos[Materia]&amp;" "&amp;base_de_datos[[Número de grupo ]],""),""),""),""),"")</f>
        <v/>
      </c>
      <c r="T22" s="24" t="str" cm="1">
        <f t="array" ref="T22">_xlfn.TEXTJOIN(CHAR(10),TRUE,IF(Profesor=base_de_datos[Profesor],IF("x"=base_de_datos[Sábado],IF(base_de_datos[Hora inicio]&lt;=$B22,IF(base_de_datos[Hora fin]&gt;=$C22,base_de_datos[Aula]&amp;" "&amp;#REF!,""),""),""),""),"")</f>
        <v/>
      </c>
      <c r="U22" s="24" t="str" cm="1">
        <f t="array" ref="U22">_xlfn.TEXTJOIN(CHAR(10),TRUE,IF(Profesor=base_de_datos[Profesor],IF("x"=base_de_datos[Sábado],IF(base_de_datos[Hora inicio]&lt;=$B22,IF(base_de_datos[Hora fin]&gt;=$C22,base_de_datos[No clase],""),""),""),""),"")</f>
        <v/>
      </c>
    </row>
    <row r="23" spans="2:30" ht="15">
      <c r="B23" s="70">
        <v>0.66666666666666696</v>
      </c>
      <c r="C23" s="70">
        <v>0.687499999999994</v>
      </c>
      <c r="D23" s="25" t="str" cm="1">
        <f t="array" ref="D23">_xlfn.TEXTJOIN(CHAR(10),TRUE,IF(Profesor=base_de_datos[Profesor],IF("x"=base_de_datos[Lunes],IF(base_de_datos[Hora inicio]&lt;=$B23,IF(base_de_datos[Hora fin]&gt;=$C23,base_de_datos[Materia]&amp;" "&amp;base_de_datos[[Número de grupo ]],""),""),""),""),"")</f>
        <v/>
      </c>
      <c r="E23" s="25" t="str" cm="1">
        <f t="array" ref="E23">_xlfn.TEXTJOIN(CHAR(10),TRUE,IF(Profesor=base_de_datos[Profesor],IF("x"=base_de_datos[Lunes],IF(base_de_datos[Hora inicio]&lt;=$B23,IF(base_de_datos[Hora fin]&gt;=$C23,base_de_datos[Aula]&amp;" "&amp;#REF!,""),""),""),""),"")</f>
        <v/>
      </c>
      <c r="F23" s="25" t="str" cm="1">
        <f t="array" ref="F23">_xlfn.TEXTJOIN(CHAR(10),TRUE,IF(Profesor=base_de_datos[Profesor],IF("x"=base_de_datos[Lunes],IF(base_de_datos[Hora inicio]&lt;=$B23,IF(base_de_datos[Hora fin]&gt;=$C23,base_de_datos[No clase],""),""),""),""),"")</f>
        <v/>
      </c>
      <c r="G23" s="24" t="str" cm="1">
        <f t="array" ref="G23">_xlfn.TEXTJOIN(CHAR(10),TRUE,IF(Profesor=base_de_datos[Profesor],IF("x"=base_de_datos[Martes],IF(base_de_datos[Hora inicio]&lt;=$B23,IF(base_de_datos[Hora fin]&gt;=$C23,base_de_datos[Materia]&amp;" "&amp;base_de_datos[[Número de grupo ]],""),""),""),""),"")</f>
        <v/>
      </c>
      <c r="H23" s="24" t="str" cm="1">
        <f t="array" ref="H23">_xlfn.TEXTJOIN(CHAR(10),TRUE,IF(Profesor=base_de_datos[Profesor],IF("x"=base_de_datos[Martes],IF(base_de_datos[Hora inicio]&lt;=$B23,IF(base_de_datos[Hora fin]&gt;=$C23,base_de_datos[Aula]&amp;" "&amp;#REF!,""),""),""),""),"")</f>
        <v/>
      </c>
      <c r="I23" s="24" t="str" cm="1">
        <f t="array" ref="I23">_xlfn.TEXTJOIN(CHAR(10),TRUE,IF(Profesor=base_de_datos[Profesor],IF("x"=base_de_datos[Martes],IF(base_de_datos[Hora inicio]&lt;=$B23,IF(base_de_datos[Hora fin]&gt;=$C23,base_de_datos[No clase],""),""),""),""),"")</f>
        <v/>
      </c>
      <c r="J23" s="25" t="str" cm="1">
        <f t="array" ref="J23">_xlfn.TEXTJOIN(CHAR(10),TRUE,IF(Profesor=base_de_datos[Profesor],IF("x"=base_de_datos[Lunes],IF(base_de_datos[Hora inicio]&lt;=$B23,IF(base_de_datos[Hora fin]&gt;=$C23,base_de_datos[Materia]&amp;" "&amp;base_de_datos[[Número de grupo ]],""),""),""),""),"")</f>
        <v/>
      </c>
      <c r="K23" s="25" t="str" cm="1">
        <f t="array" ref="K23">_xlfn.TEXTJOIN(CHAR(10),TRUE,IF(Profesor=base_de_datos[Profesor],IF("x"=base_de_datos[Lunes],IF(base_de_datos[Hora inicio]&lt;=$B23,IF(base_de_datos[Hora fin]&gt;=$C23,base_de_datos[Aula]&amp;" "&amp;#REF!,""),""),""),""),"")</f>
        <v/>
      </c>
      <c r="L23" s="25" t="str" cm="1">
        <f t="array" ref="L23">_xlfn.TEXTJOIN(CHAR(10),TRUE,IF(Profesor=base_de_datos[Profesor],IF("x"=base_de_datos[Lunes],IF(base_de_datos[Hora inicio]&lt;=$B23,IF(base_de_datos[Hora fin]&gt;=$C23,base_de_datos[No clase],""),""),""),""),"")</f>
        <v/>
      </c>
      <c r="M23" s="24" t="str" cm="1">
        <f t="array" ref="M23">_xlfn.TEXTJOIN(CHAR(10),TRUE,IF(Profesor=base_de_datos[Profesor],IF("x"=base_de_datos[Jueves],IF(base_de_datos[Hora inicio]&lt;=$B23,IF(base_de_datos[Hora fin]&gt;=$C23,base_de_datos[Materia]&amp;" "&amp;base_de_datos[[Número de grupo ]],""),""),""),""),"")</f>
        <v/>
      </c>
      <c r="N23" s="24" t="str" cm="1">
        <f t="array" ref="N23">_xlfn.TEXTJOIN(CHAR(10),TRUE,IF(Profesor=base_de_datos[Profesor],IF("x"=base_de_datos[Jueves],IF(base_de_datos[Hora inicio]&lt;=$B23,IF(base_de_datos[Hora fin]&gt;=$C23,base_de_datos[Aula]&amp;" "&amp;#REF!,""),""),""),""),"")</f>
        <v/>
      </c>
      <c r="O23" s="24" t="str" cm="1">
        <f t="array" ref="O23">_xlfn.TEXTJOIN(CHAR(10),TRUE,IF(Profesor=base_de_datos[Profesor],IF("x"=base_de_datos[Jueves],IF(base_de_datos[Hora inicio]&lt;=$B23,IF(base_de_datos[Hora fin]&gt;=$C23,base_de_datos[No clase],""),""),""),""),"")</f>
        <v/>
      </c>
      <c r="P23" s="24" t="str" cm="1">
        <f t="array" ref="P23">_xlfn.TEXTJOIN(CHAR(10),TRUE,IF(Profesor=base_de_datos[Profesor],IF("x"=base_de_datos[Viernes],IF(base_de_datos[Hora inicio]&lt;=$B23,IF(base_de_datos[Hora fin]&gt;=$C23,base_de_datos[Materia]&amp;" "&amp;base_de_datos[[Número de grupo ]],""),""),""),""),"")</f>
        <v>Diseño de elementos de máquinas 1</v>
      </c>
      <c r="Q23" s="24" t="e" cm="1">
        <f t="array" ref="Q23">_xlfn.TEXTJOIN(CHAR(10),TRUE,IF(Profesor=base_de_datos[Profesor],IF("x"=base_de_datos[Viernes],IF(base_de_datos[Hora inicio]&lt;=$B23,IF(base_de_datos[Hora fin]&gt;=$C23,base_de_datos[Aula]&amp;" "&amp;#REF!,""),""),""),""),"")</f>
        <v>#REF!</v>
      </c>
      <c r="R23" s="24" t="str" cm="1">
        <f t="array" ref="R23">_xlfn.TEXTJOIN(CHAR(10),TRUE,IF(Profesor=base_de_datos[Profesor],IF("x"=base_de_datos[Viernes],IF(base_de_datos[Hora inicio]&lt;=$B23,IF(base_de_datos[Hora fin]&gt;=$C23,base_de_datos[No clase],""),""),""),""),"")</f>
        <v>1644</v>
      </c>
      <c r="S23" s="24" t="str" cm="1">
        <f t="array" ref="S23">_xlfn.TEXTJOIN(CHAR(10),TRUE,IF(Profesor=base_de_datos[Profesor],IF("x"=base_de_datos[Sábado],IF(base_de_datos[Hora inicio]&lt;=$B23,IF(base_de_datos[Hora fin]&gt;=$C23,base_de_datos[Materia]&amp;" "&amp;base_de_datos[[Número de grupo ]],""),""),""),""),"")</f>
        <v/>
      </c>
      <c r="T23" s="24" t="str" cm="1">
        <f t="array" ref="T23">_xlfn.TEXTJOIN(CHAR(10),TRUE,IF(Profesor=base_de_datos[Profesor],IF("x"=base_de_datos[Sábado],IF(base_de_datos[Hora inicio]&lt;=$B23,IF(base_de_datos[Hora fin]&gt;=$C23,base_de_datos[Aula]&amp;" "&amp;#REF!,""),""),""),""),"")</f>
        <v/>
      </c>
      <c r="U23" s="24" t="str" cm="1">
        <f t="array" ref="U23">_xlfn.TEXTJOIN(CHAR(10),TRUE,IF(Profesor=base_de_datos[Profesor],IF("x"=base_de_datos[Sábado],IF(base_de_datos[Hora inicio]&lt;=$B23,IF(base_de_datos[Hora fin]&gt;=$C23,base_de_datos[No clase],""),""),""),""),"")</f>
        <v/>
      </c>
    </row>
    <row r="24" spans="2:30" ht="15">
      <c r="B24" s="70">
        <v>0.6875</v>
      </c>
      <c r="C24" s="70">
        <v>0.70833333333332704</v>
      </c>
      <c r="D24" s="25" t="str" cm="1">
        <f t="array" ref="D24">_xlfn.TEXTJOIN(CHAR(10),TRUE,IF(Profesor=base_de_datos[Profesor],IF("x"=base_de_datos[Lunes],IF(base_de_datos[Hora inicio]&lt;=$B24,IF(base_de_datos[Hora fin]&gt;=$C24,base_de_datos[Materia]&amp;" "&amp;base_de_datos[[Número de grupo ]],""),""),""),""),"")</f>
        <v/>
      </c>
      <c r="E24" s="25" t="str" cm="1">
        <f t="array" ref="E24">_xlfn.TEXTJOIN(CHAR(10),TRUE,IF(Profesor=base_de_datos[Profesor],IF("x"=base_de_datos[Lunes],IF(base_de_datos[Hora inicio]&lt;=$B24,IF(base_de_datos[Hora fin]&gt;=$C24,base_de_datos[Aula]&amp;" "&amp;#REF!,""),""),""),""),"")</f>
        <v/>
      </c>
      <c r="F24" s="25" t="str" cm="1">
        <f t="array" ref="F24">_xlfn.TEXTJOIN(CHAR(10),TRUE,IF(Profesor=base_de_datos[Profesor],IF("x"=base_de_datos[Lunes],IF(base_de_datos[Hora inicio]&lt;=$B24,IF(base_de_datos[Hora fin]&gt;=$C24,base_de_datos[No clase],""),""),""),""),"")</f>
        <v/>
      </c>
      <c r="G24" s="24" t="str" cm="1">
        <f t="array" ref="G24">_xlfn.TEXTJOIN(CHAR(10),TRUE,IF(Profesor=base_de_datos[Profesor],IF("x"=base_de_datos[Martes],IF(base_de_datos[Hora inicio]&lt;=$B24,IF(base_de_datos[Hora fin]&gt;=$C24,base_de_datos[Materia]&amp;" "&amp;base_de_datos[[Número de grupo ]],""),""),""),""),"")</f>
        <v/>
      </c>
      <c r="H24" s="24" t="str" cm="1">
        <f t="array" ref="H24">_xlfn.TEXTJOIN(CHAR(10),TRUE,IF(Profesor=base_de_datos[Profesor],IF("x"=base_de_datos[Martes],IF(base_de_datos[Hora inicio]&lt;=$B24,IF(base_de_datos[Hora fin]&gt;=$C24,base_de_datos[Aula]&amp;" "&amp;#REF!,""),""),""),""),"")</f>
        <v/>
      </c>
      <c r="I24" s="24" t="str" cm="1">
        <f t="array" ref="I24">_xlfn.TEXTJOIN(CHAR(10),TRUE,IF(Profesor=base_de_datos[Profesor],IF("x"=base_de_datos[Martes],IF(base_de_datos[Hora inicio]&lt;=$B24,IF(base_de_datos[Hora fin]&gt;=$C24,base_de_datos[No clase],""),""),""),""),"")</f>
        <v/>
      </c>
      <c r="J24" s="25" t="str" cm="1">
        <f t="array" ref="J24">_xlfn.TEXTJOIN(CHAR(10),TRUE,IF(Profesor=base_de_datos[Profesor],IF("x"=base_de_datos[Lunes],IF(base_de_datos[Hora inicio]&lt;=$B24,IF(base_de_datos[Hora fin]&gt;=$C24,base_de_datos[Materia]&amp;" "&amp;base_de_datos[[Número de grupo ]],""),""),""),""),"")</f>
        <v/>
      </c>
      <c r="K24" s="25" t="str" cm="1">
        <f t="array" ref="K24">_xlfn.TEXTJOIN(CHAR(10),TRUE,IF(Profesor=base_de_datos[Profesor],IF("x"=base_de_datos[Lunes],IF(base_de_datos[Hora inicio]&lt;=$B24,IF(base_de_datos[Hora fin]&gt;=$C24,base_de_datos[Aula]&amp;" "&amp;#REF!,""),""),""),""),"")</f>
        <v/>
      </c>
      <c r="L24" s="25" t="str" cm="1">
        <f t="array" ref="L24">_xlfn.TEXTJOIN(CHAR(10),TRUE,IF(Profesor=base_de_datos[Profesor],IF("x"=base_de_datos[Lunes],IF(base_de_datos[Hora inicio]&lt;=$B24,IF(base_de_datos[Hora fin]&gt;=$C24,base_de_datos[No clase],""),""),""),""),"")</f>
        <v/>
      </c>
      <c r="M24" s="24" t="str" cm="1">
        <f t="array" ref="M24">_xlfn.TEXTJOIN(CHAR(10),TRUE,IF(Profesor=base_de_datos[Profesor],IF("x"=base_de_datos[Jueves],IF(base_de_datos[Hora inicio]&lt;=$B24,IF(base_de_datos[Hora fin]&gt;=$C24,base_de_datos[Materia]&amp;" "&amp;base_de_datos[[Número de grupo ]],""),""),""),""),"")</f>
        <v/>
      </c>
      <c r="N24" s="24" t="str" cm="1">
        <f t="array" ref="N24">_xlfn.TEXTJOIN(CHAR(10),TRUE,IF(Profesor=base_de_datos[Profesor],IF("x"=base_de_datos[Jueves],IF(base_de_datos[Hora inicio]&lt;=$B24,IF(base_de_datos[Hora fin]&gt;=$C24,base_de_datos[Aula]&amp;" "&amp;#REF!,""),""),""),""),"")</f>
        <v/>
      </c>
      <c r="O24" s="24" t="str" cm="1">
        <f t="array" ref="O24">_xlfn.TEXTJOIN(CHAR(10),TRUE,IF(Profesor=base_de_datos[Profesor],IF("x"=base_de_datos[Jueves],IF(base_de_datos[Hora inicio]&lt;=$B24,IF(base_de_datos[Hora fin]&gt;=$C24,base_de_datos[No clase],""),""),""),""),"")</f>
        <v/>
      </c>
      <c r="P24" s="24" t="str" cm="1">
        <f t="array" ref="P24">_xlfn.TEXTJOIN(CHAR(10),TRUE,IF(Profesor=base_de_datos[Profesor],IF("x"=base_de_datos[Viernes],IF(base_de_datos[Hora inicio]&lt;=$B24,IF(base_de_datos[Hora fin]&gt;=$C24,base_de_datos[Materia]&amp;" "&amp;base_de_datos[[Número de grupo ]],""),""),""),""),"")</f>
        <v>Diseño de elementos de máquinas 1</v>
      </c>
      <c r="Q24" s="24" t="e" cm="1">
        <f t="array" ref="Q24">_xlfn.TEXTJOIN(CHAR(10),TRUE,IF(Profesor=base_de_datos[Profesor],IF("x"=base_de_datos[Viernes],IF(base_de_datos[Hora inicio]&lt;=$B24,IF(base_de_datos[Hora fin]&gt;=$C24,base_de_datos[Aula]&amp;" "&amp;#REF!,""),""),""),""),"")</f>
        <v>#REF!</v>
      </c>
      <c r="R24" s="24" t="str" cm="1">
        <f t="array" ref="R24">_xlfn.TEXTJOIN(CHAR(10),TRUE,IF(Profesor=base_de_datos[Profesor],IF("x"=base_de_datos[Viernes],IF(base_de_datos[Hora inicio]&lt;=$B24,IF(base_de_datos[Hora fin]&gt;=$C24,base_de_datos[No clase],""),""),""),""),"")</f>
        <v>1644</v>
      </c>
      <c r="S24" s="24" t="str" cm="1">
        <f t="array" ref="S24">_xlfn.TEXTJOIN(CHAR(10),TRUE,IF(Profesor=base_de_datos[Profesor],IF("x"=base_de_datos[Sábado],IF(base_de_datos[Hora inicio]&lt;=$B24,IF(base_de_datos[Hora fin]&gt;=$C24,base_de_datos[Materia]&amp;" "&amp;base_de_datos[[Número de grupo ]],""),""),""),""),"")</f>
        <v/>
      </c>
      <c r="T24" s="24" t="str" cm="1">
        <f t="array" ref="T24">_xlfn.TEXTJOIN(CHAR(10),TRUE,IF(Profesor=base_de_datos[Profesor],IF("x"=base_de_datos[Sábado],IF(base_de_datos[Hora inicio]&lt;=$B24,IF(base_de_datos[Hora fin]&gt;=$C24,base_de_datos[Aula]&amp;" "&amp;#REF!,""),""),""),""),"")</f>
        <v/>
      </c>
      <c r="U24" s="24" t="str" cm="1">
        <f t="array" ref="U24">_xlfn.TEXTJOIN(CHAR(10),TRUE,IF(Profesor=base_de_datos[Profesor],IF("x"=base_de_datos[Sábado],IF(base_de_datos[Hora inicio]&lt;=$B24,IF(base_de_datos[Hora fin]&gt;=$C24,base_de_datos[No clase],""),""),""),""),"")</f>
        <v/>
      </c>
    </row>
    <row r="25" spans="2:30" ht="15">
      <c r="B25" s="70">
        <v>0.70833333333333304</v>
      </c>
      <c r="C25" s="70">
        <v>0.72916666666665997</v>
      </c>
      <c r="D25" s="24" t="str" cm="1">
        <f t="array" ref="D25">_xlfn.TEXTJOIN(CHAR(10),TRUE,IF(Profesor=base_de_datos[Profesor],IF("x"=base_de_datos[Lunes],IF(base_de_datos[Hora inicio]&lt;=$B25,IF(base_de_datos[Hora fin]&gt;=$C25,base_de_datos[Materia]&amp;" "&amp;base_de_datos[[Número de grupo ]],""),""),""),""),"")</f>
        <v/>
      </c>
      <c r="E25" s="24" t="str" cm="1">
        <f t="array" ref="E25">_xlfn.TEXTJOIN(CHAR(10),TRUE,IF(Profesor=base_de_datos[Profesor],IF("x"=base_de_datos[Lunes],IF(base_de_datos[Hora inicio]&lt;=$B25,IF(base_de_datos[Hora fin]&gt;=$C25,base_de_datos[Aula]&amp;" "&amp;#REF!,""),""),""),""),"")</f>
        <v/>
      </c>
      <c r="F25" s="24" t="str" cm="1">
        <f t="array" ref="F25">_xlfn.TEXTJOIN(CHAR(10),TRUE,IF(Profesor=base_de_datos[Profesor],IF("x"=base_de_datos[Lunes],IF(base_de_datos[Hora inicio]&lt;=$B25,IF(base_de_datos[Hora fin]&gt;=$C25,base_de_datos[No clase],""),""),""),""),"")</f>
        <v/>
      </c>
      <c r="G25" s="24" t="str" cm="1">
        <f t="array" ref="G25">_xlfn.TEXTJOIN(CHAR(10),TRUE,IF(Profesor=base_de_datos[Profesor],IF("x"=base_de_datos[Martes],IF(base_de_datos[Hora inicio]&lt;=$B25,IF(base_de_datos[Hora fin]&gt;=$C25,base_de_datos[Materia]&amp;" "&amp;base_de_datos[[Número de grupo ]],""),""),""),""),"")</f>
        <v/>
      </c>
      <c r="H25" s="24" t="str" cm="1">
        <f t="array" ref="H25">_xlfn.TEXTJOIN(CHAR(10),TRUE,IF(Profesor=base_de_datos[Profesor],IF("x"=base_de_datos[Martes],IF(base_de_datos[Hora inicio]&lt;=$B25,IF(base_de_datos[Hora fin]&gt;=$C25,base_de_datos[Aula]&amp;" "&amp;#REF!,""),""),""),""),"")</f>
        <v/>
      </c>
      <c r="I25" s="24" t="str" cm="1">
        <f t="array" ref="I25">_xlfn.TEXTJOIN(CHAR(10),TRUE,IF(Profesor=base_de_datos[Profesor],IF("x"=base_de_datos[Martes],IF(base_de_datos[Hora inicio]&lt;=$B25,IF(base_de_datos[Hora fin]&gt;=$C25,base_de_datos[No clase],""),""),""),""),"")</f>
        <v/>
      </c>
      <c r="J25" s="24" t="str" cm="1">
        <f t="array" ref="J25">_xlfn.TEXTJOIN(CHAR(10),TRUE,IF(Profesor=base_de_datos[Profesor],IF("x"=base_de_datos[Miércoles],IF(base_de_datos[Hora inicio]&lt;=$B25,IF(base_de_datos[Hora fin]&gt;=$C25,base_de_datos[Materia]&amp;" "&amp;base_de_datos[[Número de grupo ]],""),""),""),""),"")</f>
        <v/>
      </c>
      <c r="K25" s="24" t="str" cm="1">
        <f t="array" ref="K25">_xlfn.TEXTJOIN(CHAR(10),TRUE,IF(Profesor=base_de_datos[Profesor],IF("x"=base_de_datos[Miércoles],IF(base_de_datos[Hora inicio]&lt;=$B25,IF(base_de_datos[Hora fin]&gt;=$C25,base_de_datos[Aula]&amp;" "&amp;#REF!,""),""),""),""),"")</f>
        <v/>
      </c>
      <c r="L25" s="24" t="str" cm="1">
        <f t="array" ref="L25">_xlfn.TEXTJOIN(CHAR(10),TRUE,IF(Profesor=base_de_datos[Profesor],IF("x"=base_de_datos[Miércoles],IF(base_de_datos[Hora inicio]&lt;=$B25,IF(base_de_datos[Hora fin]&gt;=$C25,base_de_datos[No clase],""),""),""),""),"")</f>
        <v/>
      </c>
      <c r="M25" s="24" t="str" cm="1">
        <f t="array" ref="M25">_xlfn.TEXTJOIN(CHAR(10),TRUE,IF(Profesor=base_de_datos[Profesor],IF("x"=base_de_datos[Jueves],IF(base_de_datos[Hora inicio]&lt;=$B25,IF(base_de_datos[Hora fin]&gt;=$C25,base_de_datos[Materia]&amp;" "&amp;base_de_datos[[Número de grupo ]],""),""),""),""),"")</f>
        <v/>
      </c>
      <c r="N25" s="24" t="str" cm="1">
        <f t="array" ref="N25">_xlfn.TEXTJOIN(CHAR(10),TRUE,IF(Profesor=base_de_datos[Profesor],IF("x"=base_de_datos[Jueves],IF(base_de_datos[Hora inicio]&lt;=$B25,IF(base_de_datos[Hora fin]&gt;=$C25,base_de_datos[Aula]&amp;" "&amp;#REF!,""),""),""),""),"")</f>
        <v/>
      </c>
      <c r="O25" s="24" t="str" cm="1">
        <f t="array" ref="O25">_xlfn.TEXTJOIN(CHAR(10),TRUE,IF(Profesor=base_de_datos[Profesor],IF("x"=base_de_datos[Jueves],IF(base_de_datos[Hora inicio]&lt;=$B25,IF(base_de_datos[Hora fin]&gt;=$C25,base_de_datos[No clase],""),""),""),""),"")</f>
        <v/>
      </c>
      <c r="P25" s="24" t="str" cm="1">
        <f t="array" ref="P25">_xlfn.TEXTJOIN(CHAR(10),TRUE,IF(Profesor=base_de_datos[Profesor],IF("x"=base_de_datos[Viernes],IF(base_de_datos[Hora inicio]&lt;=$B25,IF(base_de_datos[Hora fin]&gt;=$C25,base_de_datos[Materia]&amp;" "&amp;base_de_datos[[Número de grupo ]],""),""),""),""),"")</f>
        <v/>
      </c>
      <c r="Q25" s="24" t="str" cm="1">
        <f t="array" ref="Q25">_xlfn.TEXTJOIN(CHAR(10),TRUE,IF(Profesor=base_de_datos[Profesor],IF("x"=base_de_datos[Viernes],IF(base_de_datos[Hora inicio]&lt;=$B25,IF(base_de_datos[Hora fin]&gt;=$C25,base_de_datos[Aula]&amp;" "&amp;#REF!,""),""),""),""),"")</f>
        <v/>
      </c>
      <c r="R25" s="24" t="str" cm="1">
        <f t="array" ref="R25">_xlfn.TEXTJOIN(CHAR(10),TRUE,IF(Profesor=base_de_datos[Profesor],IF("x"=base_de_datos[Viernes],IF(base_de_datos[Hora inicio]&lt;=$B25,IF(base_de_datos[Hora fin]&gt;=$C25,base_de_datos[No clase],""),""),""),""),"")</f>
        <v/>
      </c>
      <c r="S25" s="24" t="str" cm="1">
        <f t="array" ref="S25">_xlfn.TEXTJOIN(CHAR(10),TRUE,IF(Profesor=base_de_datos[Profesor],IF("x"=base_de_datos[Sábado],IF(base_de_datos[Hora inicio]&lt;=$B25,IF(base_de_datos[Hora fin]&gt;=$C25,base_de_datos[Materia]&amp;" "&amp;base_de_datos[[Número de grupo ]],""),""),""),""),"")</f>
        <v/>
      </c>
      <c r="T25" s="24" t="str" cm="1">
        <f t="array" ref="T25">_xlfn.TEXTJOIN(CHAR(10),TRUE,IF(Profesor=base_de_datos[Profesor],IF("x"=base_de_datos[Sábado],IF(base_de_datos[Hora inicio]&lt;=$B25,IF(base_de_datos[Hora fin]&gt;=$C25,base_de_datos[Aula]&amp;" "&amp;#REF!,""),""),""),""),"")</f>
        <v/>
      </c>
      <c r="U25" s="24" t="str" cm="1">
        <f t="array" ref="U25">_xlfn.TEXTJOIN(CHAR(10),TRUE,IF(Profesor=base_de_datos[Profesor],IF("x"=base_de_datos[Sábado],IF(base_de_datos[Hora inicio]&lt;=$B25,IF(base_de_datos[Hora fin]&gt;=$C25,base_de_datos[No clase],""),""),""),""),"")</f>
        <v/>
      </c>
    </row>
    <row r="26" spans="2:30" ht="15">
      <c r="B26" s="70">
        <v>0.72916666666666696</v>
      </c>
      <c r="C26" s="70">
        <v>0.74999999999999301</v>
      </c>
      <c r="D26" s="24" t="str" cm="1">
        <f t="array" ref="D26">_xlfn.TEXTJOIN(CHAR(10),TRUE,IF(Profesor=base_de_datos[Profesor],IF("x"=base_de_datos[Lunes],IF(base_de_datos[Hora inicio]&lt;=$B26,IF(base_de_datos[Hora fin]&gt;=$C26,base_de_datos[Materia]&amp;" "&amp;base_de_datos[[Número de grupo ]],""),""),""),""),"")</f>
        <v/>
      </c>
      <c r="E26" s="24" t="str" cm="1">
        <f t="array" ref="E26">_xlfn.TEXTJOIN(CHAR(10),TRUE,IF(Profesor=base_de_datos[Profesor],IF("x"=base_de_datos[Lunes],IF(base_de_datos[Hora inicio]&lt;=$B26,IF(base_de_datos[Hora fin]&gt;=$C26,base_de_datos[Aula]&amp;" "&amp;#REF!,""),""),""),""),"")</f>
        <v/>
      </c>
      <c r="F26" s="24" t="str" cm="1">
        <f t="array" ref="F26">_xlfn.TEXTJOIN(CHAR(10),TRUE,IF(Profesor=base_de_datos[Profesor],IF("x"=base_de_datos[Lunes],IF(base_de_datos[Hora inicio]&lt;=$B26,IF(base_de_datos[Hora fin]&gt;=$C26,base_de_datos[No clase],""),""),""),""),"")</f>
        <v/>
      </c>
      <c r="G26" s="24" t="str" cm="1">
        <f t="array" ref="G26">_xlfn.TEXTJOIN(CHAR(10),TRUE,IF(Profesor=base_de_datos[Profesor],IF("x"=base_de_datos[Martes],IF(base_de_datos[Hora inicio]&lt;=$B26,IF(base_de_datos[Hora fin]&gt;=$C26,base_de_datos[Materia]&amp;" "&amp;base_de_datos[[Número de grupo ]],""),""),""),""),"")</f>
        <v/>
      </c>
      <c r="H26" s="24" t="str" cm="1">
        <f t="array" ref="H26">_xlfn.TEXTJOIN(CHAR(10),TRUE,IF(Profesor=base_de_datos[Profesor],IF("x"=base_de_datos[Martes],IF(base_de_datos[Hora inicio]&lt;=$B26,IF(base_de_datos[Hora fin]&gt;=$C26,base_de_datos[Aula]&amp;" "&amp;#REF!,""),""),""),""),"")</f>
        <v/>
      </c>
      <c r="I26" s="24" t="str" cm="1">
        <f t="array" ref="I26">_xlfn.TEXTJOIN(CHAR(10),TRUE,IF(Profesor=base_de_datos[Profesor],IF("x"=base_de_datos[Martes],IF(base_de_datos[Hora inicio]&lt;=$B26,IF(base_de_datos[Hora fin]&gt;=$C26,base_de_datos[No clase],""),""),""),""),"")</f>
        <v/>
      </c>
      <c r="J26" s="24" t="str" cm="1">
        <f t="array" ref="J26">_xlfn.TEXTJOIN(CHAR(10),TRUE,IF(Profesor=base_de_datos[Profesor],IF("x"=base_de_datos[Miércoles],IF(base_de_datos[Hora inicio]&lt;=$B26,IF(base_de_datos[Hora fin]&gt;=$C26,base_de_datos[Materia]&amp;" "&amp;base_de_datos[[Número de grupo ]],""),""),""),""),"")</f>
        <v/>
      </c>
      <c r="K26" s="24" t="str" cm="1">
        <f t="array" ref="K26">_xlfn.TEXTJOIN(CHAR(10),TRUE,IF(Profesor=base_de_datos[Profesor],IF("x"=base_de_datos[Miércoles],IF(base_de_datos[Hora inicio]&lt;=$B26,IF(base_de_datos[Hora fin]&gt;=$C26,base_de_datos[Aula]&amp;" "&amp;#REF!,""),""),""),""),"")</f>
        <v/>
      </c>
      <c r="L26" s="24" t="str" cm="1">
        <f t="array" ref="L26">_xlfn.TEXTJOIN(CHAR(10),TRUE,IF(Profesor=base_de_datos[Profesor],IF("x"=base_de_datos[Miércoles],IF(base_de_datos[Hora inicio]&lt;=$B26,IF(base_de_datos[Hora fin]&gt;=$C26,base_de_datos[No clase],""),""),""),""),"")</f>
        <v/>
      </c>
      <c r="M26" s="24" t="str" cm="1">
        <f t="array" ref="M26">_xlfn.TEXTJOIN(CHAR(10),TRUE,IF(Profesor=base_de_datos[Profesor],IF("x"=base_de_datos[Jueves],IF(base_de_datos[Hora inicio]&lt;=$B26,IF(base_de_datos[Hora fin]&gt;=$C26,base_de_datos[Materia]&amp;" "&amp;base_de_datos[[Número de grupo ]],""),""),""),""),"")</f>
        <v/>
      </c>
      <c r="N26" s="24" t="str" cm="1">
        <f t="array" ref="N26">_xlfn.TEXTJOIN(CHAR(10),TRUE,IF(Profesor=base_de_datos[Profesor],IF("x"=base_de_datos[Jueves],IF(base_de_datos[Hora inicio]&lt;=$B26,IF(base_de_datos[Hora fin]&gt;=$C26,base_de_datos[Aula]&amp;" "&amp;#REF!,""),""),""),""),"")</f>
        <v/>
      </c>
      <c r="O26" s="24" t="str" cm="1">
        <f t="array" ref="O26">_xlfn.TEXTJOIN(CHAR(10),TRUE,IF(Profesor=base_de_datos[Profesor],IF("x"=base_de_datos[Jueves],IF(base_de_datos[Hora inicio]&lt;=$B26,IF(base_de_datos[Hora fin]&gt;=$C26,base_de_datos[No clase],""),""),""),""),"")</f>
        <v/>
      </c>
      <c r="P26" s="24" t="str" cm="1">
        <f t="array" ref="P26">_xlfn.TEXTJOIN(CHAR(10),TRUE,IF(Profesor=base_de_datos[Profesor],IF("x"=base_de_datos[Viernes],IF(base_de_datos[Hora inicio]&lt;=$B26,IF(base_de_datos[Hora fin]&gt;=$C26,base_de_datos[Materia]&amp;" "&amp;base_de_datos[[Número de grupo ]],""),""),""),""),"")</f>
        <v/>
      </c>
      <c r="Q26" s="24" t="str" cm="1">
        <f t="array" ref="Q26">_xlfn.TEXTJOIN(CHAR(10),TRUE,IF(Profesor=base_de_datos[Profesor],IF("x"=base_de_datos[Viernes],IF(base_de_datos[Hora inicio]&lt;=$B26,IF(base_de_datos[Hora fin]&gt;=$C26,base_de_datos[Aula]&amp;" "&amp;#REF!,""),""),""),""),"")</f>
        <v/>
      </c>
      <c r="R26" s="24" t="str" cm="1">
        <f t="array" ref="R26">_xlfn.TEXTJOIN(CHAR(10),TRUE,IF(Profesor=base_de_datos[Profesor],IF("x"=base_de_datos[Viernes],IF(base_de_datos[Hora inicio]&lt;=$B26,IF(base_de_datos[Hora fin]&gt;=$C26,base_de_datos[No clase],""),""),""),""),"")</f>
        <v/>
      </c>
      <c r="S26" s="24" t="str" cm="1">
        <f t="array" ref="S26">_xlfn.TEXTJOIN(CHAR(10),TRUE,IF(Profesor=base_de_datos[Profesor],IF("x"=base_de_datos[Sábado],IF(base_de_datos[Hora inicio]&lt;=$B26,IF(base_de_datos[Hora fin]&gt;=$C26,base_de_datos[Materia]&amp;" "&amp;base_de_datos[[Número de grupo ]],""),""),""),""),"")</f>
        <v/>
      </c>
      <c r="T26" s="24" t="str" cm="1">
        <f t="array" ref="T26">_xlfn.TEXTJOIN(CHAR(10),TRUE,IF(Profesor=base_de_datos[Profesor],IF("x"=base_de_datos[Sábado],IF(base_de_datos[Hora inicio]&lt;=$B26,IF(base_de_datos[Hora fin]&gt;=$C26,base_de_datos[Aula]&amp;" "&amp;#REF!,""),""),""),""),"")</f>
        <v/>
      </c>
      <c r="U26" s="24" t="str" cm="1">
        <f t="array" ref="U26">_xlfn.TEXTJOIN(CHAR(10),TRUE,IF(Profesor=base_de_datos[Profesor],IF("x"=base_de_datos[Sábado],IF(base_de_datos[Hora inicio]&lt;=$B26,IF(base_de_datos[Hora fin]&gt;=$C26,base_de_datos[No clase],""),""),""),""),"")</f>
        <v/>
      </c>
    </row>
    <row r="27" spans="2:30" ht="15">
      <c r="B27" s="70">
        <v>0.75</v>
      </c>
      <c r="C27" s="70">
        <v>0.77083333333332604</v>
      </c>
      <c r="D27" s="24" t="str" cm="1">
        <f t="array" ref="D27">_xlfn.TEXTJOIN(CHAR(10),TRUE,IF(Profesor=base_de_datos[Profesor],IF("x"=base_de_datos[Lunes],IF(base_de_datos[Hora inicio]&lt;=$B27,IF(base_de_datos[Hora fin]&gt;=$C27,base_de_datos[Materia]&amp;" "&amp;base_de_datos[[Número de grupo ]],""),""),""),""),"")</f>
        <v/>
      </c>
      <c r="E27" s="24" t="str" cm="1">
        <f t="array" ref="E27">_xlfn.TEXTJOIN(CHAR(10),TRUE,IF(Profesor=base_de_datos[Profesor],IF("x"=base_de_datos[Lunes],IF(base_de_datos[Hora inicio]&lt;=$B27,IF(base_de_datos[Hora fin]&gt;=$C27,base_de_datos[Aula]&amp;" "&amp;#REF!,""),""),""),""),"")</f>
        <v/>
      </c>
      <c r="F27" s="24" t="str" cm="1">
        <f t="array" ref="F27">_xlfn.TEXTJOIN(CHAR(10),TRUE,IF(Profesor=base_de_datos[Profesor],IF("x"=base_de_datos[Lunes],IF(base_de_datos[Hora inicio]&lt;=$B27,IF(base_de_datos[Hora fin]&gt;=$C27,base_de_datos[No clase],""),""),""),""),"")</f>
        <v/>
      </c>
      <c r="G27" s="24" t="str" cm="1">
        <f t="array" ref="G27">_xlfn.TEXTJOIN(CHAR(10),TRUE,IF(Profesor=base_de_datos[Profesor],IF("x"=base_de_datos[Martes],IF(base_de_datos[Hora inicio]&lt;=$B27,IF(base_de_datos[Hora fin]&gt;=$C27,base_de_datos[Materia]&amp;" "&amp;base_de_datos[[Número de grupo ]],""),""),""),""),"")</f>
        <v/>
      </c>
      <c r="H27" s="24" t="str" cm="1">
        <f t="array" ref="H27">_xlfn.TEXTJOIN(CHAR(10),TRUE,IF(Profesor=base_de_datos[Profesor],IF("x"=base_de_datos[Martes],IF(base_de_datos[Hora inicio]&lt;=$B27,IF(base_de_datos[Hora fin]&gt;=$C27,base_de_datos[Aula]&amp;" "&amp;#REF!,""),""),""),""),"")</f>
        <v/>
      </c>
      <c r="I27" s="24" t="str" cm="1">
        <f t="array" ref="I27">_xlfn.TEXTJOIN(CHAR(10),TRUE,IF(Profesor=base_de_datos[Profesor],IF("x"=base_de_datos[Martes],IF(base_de_datos[Hora inicio]&lt;=$B27,IF(base_de_datos[Hora fin]&gt;=$C27,base_de_datos[No clase],""),""),""),""),"")</f>
        <v/>
      </c>
      <c r="J27" s="24" t="str" cm="1">
        <f t="array" ref="J27">_xlfn.TEXTJOIN(CHAR(10),TRUE,IF(Profesor=base_de_datos[Profesor],IF("x"=base_de_datos[Miércoles],IF(base_de_datos[Hora inicio]&lt;=$B27,IF(base_de_datos[Hora fin]&gt;=$C27,base_de_datos[Materia]&amp;" "&amp;base_de_datos[[Número de grupo ]],""),""),""),""),"")</f>
        <v/>
      </c>
      <c r="K27" s="24" t="str" cm="1">
        <f t="array" ref="K27">_xlfn.TEXTJOIN(CHAR(10),TRUE,IF(Profesor=base_de_datos[Profesor],IF("x"=base_de_datos[Miércoles],IF(base_de_datos[Hora inicio]&lt;=$B27,IF(base_de_datos[Hora fin]&gt;=$C27,base_de_datos[Aula]&amp;" "&amp;#REF!,""),""),""),""),"")</f>
        <v/>
      </c>
      <c r="L27" s="24" t="str" cm="1">
        <f t="array" ref="L27">_xlfn.TEXTJOIN(CHAR(10),TRUE,IF(Profesor=base_de_datos[Profesor],IF("x"=base_de_datos[Miércoles],IF(base_de_datos[Hora inicio]&lt;=$B27,IF(base_de_datos[Hora fin]&gt;=$C27,base_de_datos[No clase],""),""),""),""),"")</f>
        <v/>
      </c>
      <c r="M27" s="24" t="str" cm="1">
        <f t="array" ref="M27">_xlfn.TEXTJOIN(CHAR(10),TRUE,IF(Profesor=base_de_datos[Profesor],IF("x"=base_de_datos[Jueves],IF(base_de_datos[Hora inicio]&lt;=$B27,IF(base_de_datos[Hora fin]&gt;=$C27,base_de_datos[Materia]&amp;" "&amp;base_de_datos[[Número de grupo ]],""),""),""),""),"")</f>
        <v/>
      </c>
      <c r="N27" s="24" t="str" cm="1">
        <f t="array" ref="N27">_xlfn.TEXTJOIN(CHAR(10),TRUE,IF(Profesor=base_de_datos[Profesor],IF("x"=base_de_datos[Jueves],IF(base_de_datos[Hora inicio]&lt;=$B27,IF(base_de_datos[Hora fin]&gt;=$C27,base_de_datos[Aula]&amp;" "&amp;#REF!,""),""),""),""),"")</f>
        <v/>
      </c>
      <c r="O27" s="24" t="str" cm="1">
        <f t="array" ref="O27">_xlfn.TEXTJOIN(CHAR(10),TRUE,IF(Profesor=base_de_datos[Profesor],IF("x"=base_de_datos[Jueves],IF(base_de_datos[Hora inicio]&lt;=$B27,IF(base_de_datos[Hora fin]&gt;=$C27,base_de_datos[No clase],""),""),""),""),"")</f>
        <v/>
      </c>
      <c r="P27" s="24" t="str" cm="1">
        <f t="array" ref="P27">_xlfn.TEXTJOIN(CHAR(10),TRUE,IF(Profesor=base_de_datos[Profesor],IF("x"=base_de_datos[Viernes],IF(base_de_datos[Hora inicio]&lt;=$B27,IF(base_de_datos[Hora fin]&gt;=$C27,base_de_datos[Materia]&amp;" "&amp;base_de_datos[[Número de grupo ]],""),""),""),""),"")</f>
        <v/>
      </c>
      <c r="Q27" s="24" t="str" cm="1">
        <f t="array" ref="Q27">_xlfn.TEXTJOIN(CHAR(10),TRUE,IF(Profesor=base_de_datos[Profesor],IF("x"=base_de_datos[Viernes],IF(base_de_datos[Hora inicio]&lt;=$B27,IF(base_de_datos[Hora fin]&gt;=$C27,base_de_datos[Aula]&amp;" "&amp;#REF!,""),""),""),""),"")</f>
        <v/>
      </c>
      <c r="R27" s="24" t="str" cm="1">
        <f t="array" ref="R27">_xlfn.TEXTJOIN(CHAR(10),TRUE,IF(Profesor=base_de_datos[Profesor],IF("x"=base_de_datos[Viernes],IF(base_de_datos[Hora inicio]&lt;=$B27,IF(base_de_datos[Hora fin]&gt;=$C27,base_de_datos[No clase],""),""),""),""),"")</f>
        <v/>
      </c>
      <c r="S27" s="24" t="str" cm="1">
        <f t="array" ref="S27">_xlfn.TEXTJOIN(CHAR(10),TRUE,IF(Profesor=base_de_datos[Profesor],IF("x"=base_de_datos[Sábado],IF(base_de_datos[Hora inicio]&lt;=$B27,IF(base_de_datos[Hora fin]&gt;=$C27,base_de_datos[Materia]&amp;" "&amp;base_de_datos[[Número de grupo ]],""),""),""),""),"")</f>
        <v/>
      </c>
      <c r="T27" s="24" t="str" cm="1">
        <f t="array" ref="T27">_xlfn.TEXTJOIN(CHAR(10),TRUE,IF(Profesor=base_de_datos[Profesor],IF("x"=base_de_datos[Sábado],IF(base_de_datos[Hora inicio]&lt;=$B27,IF(base_de_datos[Hora fin]&gt;=$C27,base_de_datos[Aula]&amp;" "&amp;#REF!,""),""),""),""),"")</f>
        <v/>
      </c>
      <c r="U27" s="24" t="str" cm="1">
        <f t="array" ref="U27">_xlfn.TEXTJOIN(CHAR(10),TRUE,IF(Profesor=base_de_datos[Profesor],IF("x"=base_de_datos[Sábado],IF(base_de_datos[Hora inicio]&lt;=$B27,IF(base_de_datos[Hora fin]&gt;=$C27,base_de_datos[No clase],""),""),""),""),"")</f>
        <v/>
      </c>
    </row>
    <row r="28" spans="2:30" ht="15">
      <c r="B28" s="70">
        <v>0.77083333333333304</v>
      </c>
      <c r="C28" s="70">
        <v>0.79166666666665897</v>
      </c>
      <c r="D28" s="24" t="str" cm="1">
        <f t="array" ref="D28">_xlfn.TEXTJOIN(CHAR(10),TRUE,IF(Profesor=base_de_datos[Profesor],IF("x"=base_de_datos[Lunes],IF(base_de_datos[Hora inicio]&lt;=$B28,IF(base_de_datos[Hora fin]&gt;=$C28,base_de_datos[Materia]&amp;" "&amp;base_de_datos[[Número de grupo ]],""),""),""),""),"")</f>
        <v/>
      </c>
      <c r="E28" s="24" t="str" cm="1">
        <f t="array" ref="E28">_xlfn.TEXTJOIN(CHAR(10),TRUE,IF(Profesor=base_de_datos[Profesor],IF("x"=base_de_datos[Lunes],IF(base_de_datos[Hora inicio]&lt;=$B28,IF(base_de_datos[Hora fin]&gt;=$C28,base_de_datos[Aula]&amp;" "&amp;#REF!,""),""),""),""),"")</f>
        <v/>
      </c>
      <c r="F28" s="24" t="str" cm="1">
        <f t="array" ref="F28">_xlfn.TEXTJOIN(CHAR(10),TRUE,IF(Profesor=base_de_datos[Profesor],IF("x"=base_de_datos[Lunes],IF(base_de_datos[Hora inicio]&lt;=$B28,IF(base_de_datos[Hora fin]&gt;=$C28,base_de_datos[No clase],""),""),""),""),"")</f>
        <v/>
      </c>
      <c r="G28" s="24" t="str" cm="1">
        <f t="array" ref="G28">_xlfn.TEXTJOIN(CHAR(10),TRUE,IF(Profesor=base_de_datos[Profesor],IF("x"=base_de_datos[Martes],IF(base_de_datos[Hora inicio]&lt;=$B28,IF(base_de_datos[Hora fin]&gt;=$C28,base_de_datos[Materia]&amp;" "&amp;base_de_datos[[Número de grupo ]],""),""),""),""),"")</f>
        <v/>
      </c>
      <c r="H28" s="24" t="str" cm="1">
        <f t="array" ref="H28">_xlfn.TEXTJOIN(CHAR(10),TRUE,IF(Profesor=base_de_datos[Profesor],IF("x"=base_de_datos[Martes],IF(base_de_datos[Hora inicio]&lt;=$B28,IF(base_de_datos[Hora fin]&gt;=$C28,base_de_datos[Aula]&amp;" "&amp;#REF!,""),""),""),""),"")</f>
        <v/>
      </c>
      <c r="I28" s="24" t="str" cm="1">
        <f t="array" ref="I28">_xlfn.TEXTJOIN(CHAR(10),TRUE,IF(Profesor=base_de_datos[Profesor],IF("x"=base_de_datos[Martes],IF(base_de_datos[Hora inicio]&lt;=$B28,IF(base_de_datos[Hora fin]&gt;=$C28,base_de_datos[No clase],""),""),""),""),"")</f>
        <v/>
      </c>
      <c r="J28" s="24" t="str" cm="1">
        <f t="array" ref="J28">_xlfn.TEXTJOIN(CHAR(10),TRUE,IF(Profesor=base_de_datos[Profesor],IF("x"=base_de_datos[Miércoles],IF(base_de_datos[Hora inicio]&lt;=$B28,IF(base_de_datos[Hora fin]&gt;=$C28,base_de_datos[Materia]&amp;" "&amp;base_de_datos[[Número de grupo ]],""),""),""),""),"")</f>
        <v/>
      </c>
      <c r="K28" s="24" t="str" cm="1">
        <f t="array" ref="K28">_xlfn.TEXTJOIN(CHAR(10),TRUE,IF(Profesor=base_de_datos[Profesor],IF("x"=base_de_datos[Miércoles],IF(base_de_datos[Hora inicio]&lt;=$B28,IF(base_de_datos[Hora fin]&gt;=$C28,base_de_datos[Aula]&amp;" "&amp;#REF!,""),""),""),""),"")</f>
        <v/>
      </c>
      <c r="L28" s="24" t="str" cm="1">
        <f t="array" ref="L28">_xlfn.TEXTJOIN(CHAR(10),TRUE,IF(Profesor=base_de_datos[Profesor],IF("x"=base_de_datos[Miércoles],IF(base_de_datos[Hora inicio]&lt;=$B28,IF(base_de_datos[Hora fin]&gt;=$C28,base_de_datos[No clase],""),""),""),""),"")</f>
        <v/>
      </c>
      <c r="M28" s="24" t="str" cm="1">
        <f t="array" ref="M28">_xlfn.TEXTJOIN(CHAR(10),TRUE,IF(Profesor=base_de_datos[Profesor],IF("x"=base_de_datos[Jueves],IF(base_de_datos[Hora inicio]&lt;=$B28,IF(base_de_datos[Hora fin]&gt;=$C28,base_de_datos[Materia]&amp;" "&amp;base_de_datos[[Número de grupo ]],""),""),""),""),"")</f>
        <v/>
      </c>
      <c r="N28" s="24" t="str" cm="1">
        <f t="array" ref="N28">_xlfn.TEXTJOIN(CHAR(10),TRUE,IF(Profesor=base_de_datos[Profesor],IF("x"=base_de_datos[Jueves],IF(base_de_datos[Hora inicio]&lt;=$B28,IF(base_de_datos[Hora fin]&gt;=$C28,base_de_datos[Aula]&amp;" "&amp;#REF!,""),""),""),""),"")</f>
        <v/>
      </c>
      <c r="O28" s="24" t="str" cm="1">
        <f t="array" ref="O28">_xlfn.TEXTJOIN(CHAR(10),TRUE,IF(Profesor=base_de_datos[Profesor],IF("x"=base_de_datos[Jueves],IF(base_de_datos[Hora inicio]&lt;=$B28,IF(base_de_datos[Hora fin]&gt;=$C28,base_de_datos[No clase],""),""),""),""),"")</f>
        <v/>
      </c>
      <c r="P28" s="24" t="str" cm="1">
        <f t="array" ref="P28">_xlfn.TEXTJOIN(CHAR(10),TRUE,IF(Profesor=base_de_datos[Profesor],IF("x"=base_de_datos[Viernes],IF(base_de_datos[Hora inicio]&lt;=$B28,IF(base_de_datos[Hora fin]&gt;=$C28,base_de_datos[Materia]&amp;" "&amp;base_de_datos[[Número de grupo ]],""),""),""),""),"")</f>
        <v/>
      </c>
      <c r="Q28" s="24" t="str" cm="1">
        <f t="array" ref="Q28">_xlfn.TEXTJOIN(CHAR(10),TRUE,IF(Profesor=base_de_datos[Profesor],IF("x"=base_de_datos[Viernes],IF(base_de_datos[Hora inicio]&lt;=$B28,IF(base_de_datos[Hora fin]&gt;=$C28,base_de_datos[Aula]&amp;" "&amp;#REF!,""),""),""),""),"")</f>
        <v/>
      </c>
      <c r="R28" s="24" t="str" cm="1">
        <f t="array" ref="R28">_xlfn.TEXTJOIN(CHAR(10),TRUE,IF(Profesor=base_de_datos[Profesor],IF("x"=base_de_datos[Viernes],IF(base_de_datos[Hora inicio]&lt;=$B28,IF(base_de_datos[Hora fin]&gt;=$C28,base_de_datos[No clase],""),""),""),""),"")</f>
        <v/>
      </c>
      <c r="S28" s="24" t="str" cm="1">
        <f t="array" ref="S28">_xlfn.TEXTJOIN(CHAR(10),TRUE,IF(Profesor=base_de_datos[Profesor],IF("x"=base_de_datos[Sábado],IF(base_de_datos[Hora inicio]&lt;=$B28,IF(base_de_datos[Hora fin]&gt;=$C28,base_de_datos[Materia]&amp;" "&amp;base_de_datos[[Número de grupo ]],""),""),""),""),"")</f>
        <v/>
      </c>
      <c r="T28" s="24" t="str" cm="1">
        <f t="array" ref="T28">_xlfn.TEXTJOIN(CHAR(10),TRUE,IF(Profesor=base_de_datos[Profesor],IF("x"=base_de_datos[Sábado],IF(base_de_datos[Hora inicio]&lt;=$B28,IF(base_de_datos[Hora fin]&gt;=$C28,base_de_datos[Aula]&amp;" "&amp;#REF!,""),""),""),""),"")</f>
        <v/>
      </c>
      <c r="U28" s="24" t="str" cm="1">
        <f t="array" ref="U28">_xlfn.TEXTJOIN(CHAR(10),TRUE,IF(Profesor=base_de_datos[Profesor],IF("x"=base_de_datos[Sábado],IF(base_de_datos[Hora inicio]&lt;=$B28,IF(base_de_datos[Hora fin]&gt;=$C28,base_de_datos[No clase],""),""),""),""),"")</f>
        <v/>
      </c>
    </row>
    <row r="29" spans="2:30" ht="15">
      <c r="B29" s="70">
        <v>0.79166666666666696</v>
      </c>
      <c r="C29" s="70">
        <v>0.81249999999999201</v>
      </c>
      <c r="D29" s="24" t="str" cm="1">
        <f t="array" ref="D29">_xlfn.TEXTJOIN(CHAR(10),TRUE,IF(Profesor=base_de_datos[Profesor],IF("x"=base_de_datos[Lunes],IF(base_de_datos[Hora inicio]&lt;=$B29,IF(base_de_datos[Hora fin]&gt;=$C29,base_de_datos[Materia]&amp;" "&amp;base_de_datos[[Número de grupo ]],""),""),""),""),"")</f>
        <v/>
      </c>
      <c r="E29" s="24" t="str" cm="1">
        <f t="array" ref="E29">_xlfn.TEXTJOIN(CHAR(10),TRUE,IF(Profesor=base_de_datos[Profesor],IF("x"=base_de_datos[Lunes],IF(base_de_datos[Hora inicio]&lt;=$B29,IF(base_de_datos[Hora fin]&gt;=$C29,base_de_datos[Aula]&amp;" "&amp;#REF!,""),""),""),""),"")</f>
        <v/>
      </c>
      <c r="F29" s="24" t="str" cm="1">
        <f t="array" ref="F29">_xlfn.TEXTJOIN(CHAR(10),TRUE,IF(Profesor=base_de_datos[Profesor],IF("x"=base_de_datos[Lunes],IF(base_de_datos[Hora inicio]&lt;=$B29,IF(base_de_datos[Hora fin]&gt;=$C29,base_de_datos[No clase],""),""),""),""),"")</f>
        <v/>
      </c>
      <c r="G29" s="24" t="str" cm="1">
        <f t="array" ref="G29">_xlfn.TEXTJOIN(CHAR(10),TRUE,IF(Profesor=base_de_datos[Profesor],IF("x"=base_de_datos[Martes],IF(base_de_datos[Hora inicio]&lt;=$B29,IF(base_de_datos[Hora fin]&gt;=$C29,base_de_datos[Materia]&amp;" "&amp;base_de_datos[[Número de grupo ]],""),""),""),""),"")</f>
        <v/>
      </c>
      <c r="H29" s="24" t="str" cm="1">
        <f t="array" ref="H29">_xlfn.TEXTJOIN(CHAR(10),TRUE,IF(Profesor=base_de_datos[Profesor],IF("x"=base_de_datos[Martes],IF(base_de_datos[Hora inicio]&lt;=$B29,IF(base_de_datos[Hora fin]&gt;=$C29,base_de_datos[Aula]&amp;" "&amp;#REF!,""),""),""),""),"")</f>
        <v/>
      </c>
      <c r="I29" s="24" t="str" cm="1">
        <f t="array" ref="I29">_xlfn.TEXTJOIN(CHAR(10),TRUE,IF(Profesor=base_de_datos[Profesor],IF("x"=base_de_datos[Martes],IF(base_de_datos[Hora inicio]&lt;=$B29,IF(base_de_datos[Hora fin]&gt;=$C29,base_de_datos[No clase],""),""),""),""),"")</f>
        <v/>
      </c>
      <c r="J29" s="24" t="str" cm="1">
        <f t="array" ref="J29">_xlfn.TEXTJOIN(CHAR(10),TRUE,IF(Profesor=base_de_datos[Profesor],IF("x"=base_de_datos[Miércoles],IF(base_de_datos[Hora inicio]&lt;=$B29,IF(base_de_datos[Hora fin]&gt;=$C29,base_de_datos[Materia]&amp;" "&amp;base_de_datos[[Número de grupo ]],""),""),""),""),"")</f>
        <v/>
      </c>
      <c r="K29" s="24" t="str" cm="1">
        <f t="array" ref="K29">_xlfn.TEXTJOIN(CHAR(10),TRUE,IF(Profesor=base_de_datos[Profesor],IF("x"=base_de_datos[Miércoles],IF(base_de_datos[Hora inicio]&lt;=$B29,IF(base_de_datos[Hora fin]&gt;=$C29,base_de_datos[Aula]&amp;" "&amp;#REF!,""),""),""),""),"")</f>
        <v/>
      </c>
      <c r="L29" s="24" t="str" cm="1">
        <f t="array" ref="L29">_xlfn.TEXTJOIN(CHAR(10),TRUE,IF(Profesor=base_de_datos[Profesor],IF("x"=base_de_datos[Miércoles],IF(base_de_datos[Hora inicio]&lt;=$B29,IF(base_de_datos[Hora fin]&gt;=$C29,base_de_datos[No clase],""),""),""),""),"")</f>
        <v/>
      </c>
      <c r="M29" s="24" t="str" cm="1">
        <f t="array" ref="M29">_xlfn.TEXTJOIN(CHAR(10),TRUE,IF(Profesor=base_de_datos[Profesor],IF("x"=base_de_datos[Jueves],IF(base_de_datos[Hora inicio]&lt;=$B29,IF(base_de_datos[Hora fin]&gt;=$C29,base_de_datos[Materia]&amp;" "&amp;base_de_datos[[Número de grupo ]],""),""),""),""),"")</f>
        <v>Diseño de elementos de máquinas 1</v>
      </c>
      <c r="N29" s="24" t="e" cm="1">
        <f t="array" ref="N29">_xlfn.TEXTJOIN(CHAR(10),TRUE,IF(Profesor=base_de_datos[Profesor],IF("x"=base_de_datos[Jueves],IF(base_de_datos[Hora inicio]&lt;=$B29,IF(base_de_datos[Hora fin]&gt;=$C29,base_de_datos[Aula]&amp;" "&amp;#REF!,""),""),""),""),"")</f>
        <v>#REF!</v>
      </c>
      <c r="O29" s="24" t="str" cm="1">
        <f t="array" ref="O29">_xlfn.TEXTJOIN(CHAR(10),TRUE,IF(Profesor=base_de_datos[Profesor],IF("x"=base_de_datos[Jueves],IF(base_de_datos[Hora inicio]&lt;=$B29,IF(base_de_datos[Hora fin]&gt;=$C29,base_de_datos[No clase],""),""),""),""),"")</f>
        <v>1644</v>
      </c>
      <c r="P29" s="24" t="str" cm="1">
        <f t="array" ref="P29">_xlfn.TEXTJOIN(CHAR(10),TRUE,IF(Profesor=base_de_datos[Profesor],IF("x"=base_de_datos[Viernes],IF(base_de_datos[Hora inicio]&lt;=$B29,IF(base_de_datos[Hora fin]&gt;=$C29,base_de_datos[Materia]&amp;" "&amp;base_de_datos[[Número de grupo ]],""),""),""),""),"")</f>
        <v/>
      </c>
      <c r="Q29" s="24" t="str" cm="1">
        <f t="array" ref="Q29">_xlfn.TEXTJOIN(CHAR(10),TRUE,IF(Profesor=base_de_datos[Profesor],IF("x"=base_de_datos[Viernes],IF(base_de_datos[Hora inicio]&lt;=$B29,IF(base_de_datos[Hora fin]&gt;=$C29,base_de_datos[Aula]&amp;" "&amp;#REF!,""),""),""),""),"")</f>
        <v/>
      </c>
      <c r="R29" s="24" t="str" cm="1">
        <f t="array" ref="R29">_xlfn.TEXTJOIN(CHAR(10),TRUE,IF(Profesor=base_de_datos[Profesor],IF("x"=base_de_datos[Viernes],IF(base_de_datos[Hora inicio]&lt;=$B29,IF(base_de_datos[Hora fin]&gt;=$C29,base_de_datos[No clase],""),""),""),""),"")</f>
        <v/>
      </c>
      <c r="S29" s="24" t="str" cm="1">
        <f t="array" ref="S29">_xlfn.TEXTJOIN(CHAR(10),TRUE,IF(Profesor=base_de_datos[Profesor],IF("x"=base_de_datos[Sábado],IF(base_de_datos[Hora inicio]&lt;=$B29,IF(base_de_datos[Hora fin]&gt;=$C29,base_de_datos[Materia]&amp;" "&amp;base_de_datos[[Número de grupo ]],""),""),""),""),"")</f>
        <v/>
      </c>
      <c r="T29" s="24" t="str" cm="1">
        <f t="array" ref="T29">_xlfn.TEXTJOIN(CHAR(10),TRUE,IF(Profesor=base_de_datos[Profesor],IF("x"=base_de_datos[Sábado],IF(base_de_datos[Hora inicio]&lt;=$B29,IF(base_de_datos[Hora fin]&gt;=$C29,base_de_datos[Aula]&amp;" "&amp;#REF!,""),""),""),""),"")</f>
        <v/>
      </c>
      <c r="U29" s="24" t="str" cm="1">
        <f t="array" ref="U29">_xlfn.TEXTJOIN(CHAR(10),TRUE,IF(Profesor=base_de_datos[Profesor],IF("x"=base_de_datos[Sábado],IF(base_de_datos[Hora inicio]&lt;=$B29,IF(base_de_datos[Hora fin]&gt;=$C29,base_de_datos[No clase],""),""),""),""),"")</f>
        <v/>
      </c>
    </row>
    <row r="30" spans="2:30" ht="15">
      <c r="B30" s="70">
        <v>0.8125</v>
      </c>
      <c r="C30" s="70">
        <v>0.83333333333332504</v>
      </c>
      <c r="D30" s="24" t="str" cm="1">
        <f t="array" ref="D30">_xlfn.TEXTJOIN(CHAR(10),TRUE,IF(Profesor=base_de_datos[Profesor],IF("x"=base_de_datos[Lunes],IF(base_de_datos[Hora inicio]&lt;=$B30,IF(base_de_datos[Hora fin]&gt;=$C30,base_de_datos[Materia]&amp;" "&amp;base_de_datos[[Número de grupo ]],""),""),""),""),"")</f>
        <v/>
      </c>
      <c r="E30" s="24" t="str" cm="1">
        <f t="array" ref="E30">_xlfn.TEXTJOIN(CHAR(10),TRUE,IF(Profesor=base_de_datos[Profesor],IF("x"=base_de_datos[Lunes],IF(base_de_datos[Hora inicio]&lt;=$B30,IF(base_de_datos[Hora fin]&gt;=$C30,base_de_datos[Aula]&amp;" "&amp;#REF!,""),""),""),""),"")</f>
        <v/>
      </c>
      <c r="F30" s="24" t="str" cm="1">
        <f t="array" ref="F30">_xlfn.TEXTJOIN(CHAR(10),TRUE,IF(Profesor=base_de_datos[Profesor],IF("x"=base_de_datos[Lunes],IF(base_de_datos[Hora inicio]&lt;=$B30,IF(base_de_datos[Hora fin]&gt;=$C30,base_de_datos[No clase],""),""),""),""),"")</f>
        <v/>
      </c>
      <c r="G30" s="24" t="str" cm="1">
        <f t="array" ref="G30">_xlfn.TEXTJOIN(CHAR(10),TRUE,IF(Profesor=base_de_datos[Profesor],IF("x"=base_de_datos[Martes],IF(base_de_datos[Hora inicio]&lt;=$B30,IF(base_de_datos[Hora fin]&gt;=$C30,base_de_datos[Materia]&amp;" "&amp;base_de_datos[[Número de grupo ]],""),""),""),""),"")</f>
        <v/>
      </c>
      <c r="H30" s="24" t="str" cm="1">
        <f t="array" ref="H30">_xlfn.TEXTJOIN(CHAR(10),TRUE,IF(Profesor=base_de_datos[Profesor],IF("x"=base_de_datos[Martes],IF(base_de_datos[Hora inicio]&lt;=$B30,IF(base_de_datos[Hora fin]&gt;=$C30,base_de_datos[Aula]&amp;" "&amp;#REF!,""),""),""),""),"")</f>
        <v/>
      </c>
      <c r="I30" s="24" t="str" cm="1">
        <f t="array" ref="I30">_xlfn.TEXTJOIN(CHAR(10),TRUE,IF(Profesor=base_de_datos[Profesor],IF("x"=base_de_datos[Martes],IF(base_de_datos[Hora inicio]&lt;=$B30,IF(base_de_datos[Hora fin]&gt;=$C30,base_de_datos[No clase],""),""),""),""),"")</f>
        <v/>
      </c>
      <c r="J30" s="24" t="str" cm="1">
        <f t="array" ref="J30">_xlfn.TEXTJOIN(CHAR(10),TRUE,IF(Profesor=base_de_datos[Profesor],IF("x"=base_de_datos[Miércoles],IF(base_de_datos[Hora inicio]&lt;=$B30,IF(base_de_datos[Hora fin]&gt;=$C30,base_de_datos[Materia]&amp;" "&amp;base_de_datos[[Número de grupo ]],""),""),""),""),"")</f>
        <v/>
      </c>
      <c r="K30" s="24" t="str" cm="1">
        <f t="array" ref="K30">_xlfn.TEXTJOIN(CHAR(10),TRUE,IF(Profesor=base_de_datos[Profesor],IF("x"=base_de_datos[Miércoles],IF(base_de_datos[Hora inicio]&lt;=$B30,IF(base_de_datos[Hora fin]&gt;=$C30,base_de_datos[Aula]&amp;" "&amp;#REF!,""),""),""),""),"")</f>
        <v/>
      </c>
      <c r="L30" s="24" t="str" cm="1">
        <f t="array" ref="L30">_xlfn.TEXTJOIN(CHAR(10),TRUE,IF(Profesor=base_de_datos[Profesor],IF("x"=base_de_datos[Miércoles],IF(base_de_datos[Hora inicio]&lt;=$B30,IF(base_de_datos[Hora fin]&gt;=$C30,base_de_datos[No clase],""),""),""),""),"")</f>
        <v/>
      </c>
      <c r="M30" s="24" t="str" cm="1">
        <f t="array" ref="M30">_xlfn.TEXTJOIN(CHAR(10),TRUE,IF(Profesor=base_de_datos[Profesor],IF("x"=base_de_datos[Jueves],IF(base_de_datos[Hora inicio]&lt;=$B30,IF(base_de_datos[Hora fin]&gt;=$C30,base_de_datos[Materia]&amp;" "&amp;base_de_datos[[Número de grupo ]],""),""),""),""),"")</f>
        <v>Diseño de elementos de máquinas 1</v>
      </c>
      <c r="N30" s="24" t="e" cm="1">
        <f t="array" ref="N30">_xlfn.TEXTJOIN(CHAR(10),TRUE,IF(Profesor=base_de_datos[Profesor],IF("x"=base_de_datos[Jueves],IF(base_de_datos[Hora inicio]&lt;=$B30,IF(base_de_datos[Hora fin]&gt;=$C30,base_de_datos[Aula]&amp;" "&amp;#REF!,""),""),""),""),"")</f>
        <v>#REF!</v>
      </c>
      <c r="O30" s="24" t="str" cm="1">
        <f t="array" ref="O30">_xlfn.TEXTJOIN(CHAR(10),TRUE,IF(Profesor=base_de_datos[Profesor],IF("x"=base_de_datos[Jueves],IF(base_de_datos[Hora inicio]&lt;=$B30,IF(base_de_datos[Hora fin]&gt;=$C30,base_de_datos[No clase],""),""),""),""),"")</f>
        <v>1644</v>
      </c>
      <c r="P30" s="24" t="str" cm="1">
        <f t="array" ref="P30">_xlfn.TEXTJOIN(CHAR(10),TRUE,IF(Profesor=base_de_datos[Profesor],IF("x"=base_de_datos[Viernes],IF(base_de_datos[Hora inicio]&lt;=$B30,IF(base_de_datos[Hora fin]&gt;=$C30,base_de_datos[Materia]&amp;" "&amp;base_de_datos[[Número de grupo ]],""),""),""),""),"")</f>
        <v/>
      </c>
      <c r="Q30" s="24" t="str" cm="1">
        <f t="array" ref="Q30">_xlfn.TEXTJOIN(CHAR(10),TRUE,IF(Profesor=base_de_datos[Profesor],IF("x"=base_de_datos[Viernes],IF(base_de_datos[Hora inicio]&lt;=$B30,IF(base_de_datos[Hora fin]&gt;=$C30,base_de_datos[Aula]&amp;" "&amp;#REF!,""),""),""),""),"")</f>
        <v/>
      </c>
      <c r="R30" s="24" t="str" cm="1">
        <f t="array" ref="R30">_xlfn.TEXTJOIN(CHAR(10),TRUE,IF(Profesor=base_de_datos[Profesor],IF("x"=base_de_datos[Viernes],IF(base_de_datos[Hora inicio]&lt;=$B30,IF(base_de_datos[Hora fin]&gt;=$C30,base_de_datos[No clase],""),""),""),""),"")</f>
        <v/>
      </c>
      <c r="S30" s="24" t="str" cm="1">
        <f t="array" ref="S30">_xlfn.TEXTJOIN(CHAR(10),TRUE,IF(Profesor=base_de_datos[Profesor],IF("x"=base_de_datos[Sábado],IF(base_de_datos[Hora inicio]&lt;=$B30,IF(base_de_datos[Hora fin]&gt;=$C30,base_de_datos[Materia]&amp;" "&amp;base_de_datos[[Número de grupo ]],""),""),""),""),"")</f>
        <v/>
      </c>
      <c r="T30" s="24" t="str" cm="1">
        <f t="array" ref="T30">_xlfn.TEXTJOIN(CHAR(10),TRUE,IF(Profesor=base_de_datos[Profesor],IF("x"=base_de_datos[Sábado],IF(base_de_datos[Hora inicio]&lt;=$B30,IF(base_de_datos[Hora fin]&gt;=$C30,base_de_datos[Aula]&amp;" "&amp;#REF!,""),""),""),""),"")</f>
        <v/>
      </c>
      <c r="U30" s="24" t="str" cm="1">
        <f t="array" ref="U30">_xlfn.TEXTJOIN(CHAR(10),TRUE,IF(Profesor=base_de_datos[Profesor],IF("x"=base_de_datos[Sábado],IF(base_de_datos[Hora inicio]&lt;=$B30,IF(base_de_datos[Hora fin]&gt;=$C30,base_de_datos[No clase],""),""),""),""),"")</f>
        <v/>
      </c>
    </row>
    <row r="31" spans="2:30" ht="15">
      <c r="B31" s="70">
        <v>0.83333333333333304</v>
      </c>
      <c r="C31" s="70">
        <v>0.85416666666665797</v>
      </c>
      <c r="D31" s="24" t="str" cm="1">
        <f t="array" ref="D31">_xlfn.TEXTJOIN(CHAR(10),TRUE,IF(Profesor=base_de_datos[Profesor],IF("x"=base_de_datos[Lunes],IF(base_de_datos[Hora inicio]&lt;=$B31,IF(base_de_datos[Hora fin]&gt;=$C31,base_de_datos[Materia]&amp;" "&amp;base_de_datos[[Número de grupo ]],""),""),""),""),"")</f>
        <v/>
      </c>
      <c r="E31" s="24" t="str" cm="1">
        <f t="array" ref="E31">_xlfn.TEXTJOIN(CHAR(10),TRUE,IF(Profesor=base_de_datos[Profesor],IF("x"=base_de_datos[Lunes],IF(base_de_datos[Hora inicio]&lt;=$B31,IF(base_de_datos[Hora fin]&gt;=$C31,base_de_datos[Aula]&amp;" "&amp;#REF!,""),""),""),""),"")</f>
        <v/>
      </c>
      <c r="F31" s="24" t="str" cm="1">
        <f t="array" ref="F31">_xlfn.TEXTJOIN(CHAR(10),TRUE,IF(Profesor=base_de_datos[Profesor],IF("x"=base_de_datos[Lunes],IF(base_de_datos[Hora inicio]&lt;=$B31,IF(base_de_datos[Hora fin]&gt;=$C31,base_de_datos[No clase],""),""),""),""),"")</f>
        <v/>
      </c>
      <c r="G31" s="24" t="str" cm="1">
        <f t="array" ref="G31">_xlfn.TEXTJOIN(CHAR(10),TRUE,IF(Profesor=base_de_datos[Profesor],IF("x"=base_de_datos[Martes],IF(base_de_datos[Hora inicio]&lt;=$B31,IF(base_de_datos[Hora fin]&gt;=$C31,base_de_datos[Materia]&amp;" "&amp;base_de_datos[[Número de grupo ]],""),""),""),""),"")</f>
        <v/>
      </c>
      <c r="H31" s="24" t="str" cm="1">
        <f t="array" ref="H31">_xlfn.TEXTJOIN(CHAR(10),TRUE,IF(Profesor=base_de_datos[Profesor],IF("x"=base_de_datos[Martes],IF(base_de_datos[Hora inicio]&lt;=$B31,IF(base_de_datos[Hora fin]&gt;=$C31,base_de_datos[Aula]&amp;" "&amp;#REF!,""),""),""),""),"")</f>
        <v/>
      </c>
      <c r="I31" s="24" t="str" cm="1">
        <f t="array" ref="I31">_xlfn.TEXTJOIN(CHAR(10),TRUE,IF(Profesor=base_de_datos[Profesor],IF("x"=base_de_datos[Martes],IF(base_de_datos[Hora inicio]&lt;=$B31,IF(base_de_datos[Hora fin]&gt;=$C31,base_de_datos[No clase],""),""),""),""),"")</f>
        <v/>
      </c>
      <c r="J31" s="24" t="str" cm="1">
        <f t="array" ref="J31">_xlfn.TEXTJOIN(CHAR(10),TRUE,IF(Profesor=base_de_datos[Profesor],IF("x"=base_de_datos[Miércoles],IF(base_de_datos[Hora inicio]&lt;=$B31,IF(base_de_datos[Hora fin]&gt;=$C31,base_de_datos[Materia]&amp;" "&amp;base_de_datos[[Número de grupo ]],""),""),""),""),"")</f>
        <v/>
      </c>
      <c r="K31" s="24" t="str" cm="1">
        <f t="array" ref="K31">_xlfn.TEXTJOIN(CHAR(10),TRUE,IF(Profesor=base_de_datos[Profesor],IF("x"=base_de_datos[Miércoles],IF(base_de_datos[Hora inicio]&lt;=$B31,IF(base_de_datos[Hora fin]&gt;=$C31,base_de_datos[Aula]&amp;" "&amp;#REF!,""),""),""),""),"")</f>
        <v/>
      </c>
      <c r="L31" s="24" t="str" cm="1">
        <f t="array" ref="L31">_xlfn.TEXTJOIN(CHAR(10),TRUE,IF(Profesor=base_de_datos[Profesor],IF("x"=base_de_datos[Miércoles],IF(base_de_datos[Hora inicio]&lt;=$B31,IF(base_de_datos[Hora fin]&gt;=$C31,base_de_datos[No clase],""),""),""),""),"")</f>
        <v/>
      </c>
      <c r="M31" s="24" t="str" cm="1">
        <f t="array" ref="M31">_xlfn.TEXTJOIN(CHAR(10),TRUE,IF(Profesor=base_de_datos[Profesor],IF("x"=base_de_datos[Jueves],IF(base_de_datos[Hora inicio]&lt;=$B31,IF(base_de_datos[Hora fin]&gt;=$C31,base_de_datos[Materia]&amp;" "&amp;base_de_datos[[Número de grupo ]],""),""),""),""),"")</f>
        <v>Diseño de elementos de máquinas 1</v>
      </c>
      <c r="N31" s="24" t="e" cm="1">
        <f t="array" ref="N31">_xlfn.TEXTJOIN(CHAR(10),TRUE,IF(Profesor=base_de_datos[Profesor],IF("x"=base_de_datos[Jueves],IF(base_de_datos[Hora inicio]&lt;=$B31,IF(base_de_datos[Hora fin]&gt;=$C31,base_de_datos[Aula]&amp;" "&amp;#REF!,""),""),""),""),"")</f>
        <v>#REF!</v>
      </c>
      <c r="O31" s="24" t="str" cm="1">
        <f t="array" ref="O31">_xlfn.TEXTJOIN(CHAR(10),TRUE,IF(Profesor=base_de_datos[Profesor],IF("x"=base_de_datos[Jueves],IF(base_de_datos[Hora inicio]&lt;=$B31,IF(base_de_datos[Hora fin]&gt;=$C31,base_de_datos[No clase],""),""),""),""),"")</f>
        <v>1644</v>
      </c>
      <c r="P31" s="24" t="str" cm="1">
        <f t="array" ref="P31">_xlfn.TEXTJOIN(CHAR(10),TRUE,IF(Profesor=base_de_datos[Profesor],IF("x"=base_de_datos[Viernes],IF(base_de_datos[Hora inicio]&lt;=$B31,IF(base_de_datos[Hora fin]&gt;=$C31,base_de_datos[Materia]&amp;" "&amp;base_de_datos[[Número de grupo ]],""),""),""),""),"")</f>
        <v/>
      </c>
      <c r="Q31" s="24" t="str" cm="1">
        <f t="array" ref="Q31">_xlfn.TEXTJOIN(CHAR(10),TRUE,IF(Profesor=base_de_datos[Profesor],IF("x"=base_de_datos[Viernes],IF(base_de_datos[Hora inicio]&lt;=$B31,IF(base_de_datos[Hora fin]&gt;=$C31,base_de_datos[Aula]&amp;" "&amp;#REF!,""),""),""),""),"")</f>
        <v/>
      </c>
      <c r="R31" s="24" t="str" cm="1">
        <f t="array" ref="R31">_xlfn.TEXTJOIN(CHAR(10),TRUE,IF(Profesor=base_de_datos[Profesor],IF("x"=base_de_datos[Viernes],IF(base_de_datos[Hora inicio]&lt;=$B31,IF(base_de_datos[Hora fin]&gt;=$C31,base_de_datos[No clase],""),""),""),""),"")</f>
        <v/>
      </c>
      <c r="S31" s="24" t="str" cm="1">
        <f t="array" ref="S31">_xlfn.TEXTJOIN(CHAR(10),TRUE,IF(Profesor=base_de_datos[Profesor],IF("x"=base_de_datos[Sábado],IF(base_de_datos[Hora inicio]&lt;=$B31,IF(base_de_datos[Hora fin]&gt;=$C31,base_de_datos[Materia]&amp;" "&amp;base_de_datos[[Número de grupo ]],""),""),""),""),"")</f>
        <v/>
      </c>
      <c r="T31" s="24" t="str" cm="1">
        <f t="array" ref="T31">_xlfn.TEXTJOIN(CHAR(10),TRUE,IF(Profesor=base_de_datos[Profesor],IF("x"=base_de_datos[Sábado],IF(base_de_datos[Hora inicio]&lt;=$B31,IF(base_de_datos[Hora fin]&gt;=$C31,base_de_datos[Aula]&amp;" "&amp;#REF!,""),""),""),""),"")</f>
        <v/>
      </c>
      <c r="U31" s="24" t="str" cm="1">
        <f t="array" ref="U31">_xlfn.TEXTJOIN(CHAR(10),TRUE,IF(Profesor=base_de_datos[Profesor],IF("x"=base_de_datos[Sábado],IF(base_de_datos[Hora inicio]&lt;=$B31,IF(base_de_datos[Hora fin]&gt;=$C31,base_de_datos[No clase],""),""),""),""),"")</f>
        <v/>
      </c>
    </row>
    <row r="32" spans="2:30" ht="15">
      <c r="B32" s="70">
        <v>0.85416666666666696</v>
      </c>
      <c r="C32" s="70">
        <v>0.87499999999999001</v>
      </c>
      <c r="D32" s="24" t="str" cm="1">
        <f t="array" ref="D32">_xlfn.TEXTJOIN(CHAR(10),TRUE,IF(Profesor=base_de_datos[Profesor],IF("x"=base_de_datos[Lunes],IF(base_de_datos[Hora inicio]&lt;=$B32,IF(base_de_datos[Hora fin]&gt;=$C32,base_de_datos[Materia]&amp;" "&amp;base_de_datos[[Número de grupo ]],""),""),""),""),"")</f>
        <v/>
      </c>
      <c r="E32" s="24" t="str" cm="1">
        <f t="array" ref="E32">_xlfn.TEXTJOIN(CHAR(10),TRUE,IF(Profesor=base_de_datos[Profesor],IF("x"=base_de_datos[Lunes],IF(base_de_datos[Hora inicio]&lt;=$B32,IF(base_de_datos[Hora fin]&gt;=$C32,base_de_datos[Aula]&amp;" "&amp;#REF!,""),""),""),""),"")</f>
        <v/>
      </c>
      <c r="F32" s="24" t="str" cm="1">
        <f t="array" ref="F32">_xlfn.TEXTJOIN(CHAR(10),TRUE,IF(Profesor=base_de_datos[Profesor],IF("x"=base_de_datos[Lunes],IF(base_de_datos[Hora inicio]&lt;=$B32,IF(base_de_datos[Hora fin]&gt;=$C32,base_de_datos[No clase],""),""),""),""),"")</f>
        <v/>
      </c>
      <c r="G32" s="24" t="str" cm="1">
        <f t="array" ref="G32">_xlfn.TEXTJOIN(CHAR(10),TRUE,IF(Profesor=base_de_datos[Profesor],IF("x"=base_de_datos[Martes],IF(base_de_datos[Hora inicio]&lt;=$B32,IF(base_de_datos[Hora fin]&gt;=$C32,base_de_datos[Materia]&amp;" "&amp;base_de_datos[[Número de grupo ]],""),""),""),""),"")</f>
        <v/>
      </c>
      <c r="H32" s="24" t="str" cm="1">
        <f t="array" ref="H32">_xlfn.TEXTJOIN(CHAR(10),TRUE,IF(Profesor=base_de_datos[Profesor],IF("x"=base_de_datos[Martes],IF(base_de_datos[Hora inicio]&lt;=$B32,IF(base_de_datos[Hora fin]&gt;=$C32,base_de_datos[Aula]&amp;" "&amp;#REF!,""),""),""),""),"")</f>
        <v/>
      </c>
      <c r="I32" s="24" t="str" cm="1">
        <f t="array" ref="I32">_xlfn.TEXTJOIN(CHAR(10),TRUE,IF(Profesor=base_de_datos[Profesor],IF("x"=base_de_datos[Martes],IF(base_de_datos[Hora inicio]&lt;=$B32,IF(base_de_datos[Hora fin]&gt;=$C32,base_de_datos[No clase],""),""),""),""),"")</f>
        <v/>
      </c>
      <c r="J32" s="24" t="str" cm="1">
        <f t="array" ref="J32">_xlfn.TEXTJOIN(CHAR(10),TRUE,IF(Profesor=base_de_datos[Profesor],IF("x"=base_de_datos[Miércoles],IF(base_de_datos[Hora inicio]&lt;=$B32,IF(base_de_datos[Hora fin]&gt;=$C32,base_de_datos[Materia]&amp;" "&amp;base_de_datos[[Número de grupo ]],""),""),""),""),"")</f>
        <v/>
      </c>
      <c r="K32" s="24" t="str" cm="1">
        <f t="array" ref="K32">_xlfn.TEXTJOIN(CHAR(10),TRUE,IF(Profesor=base_de_datos[Profesor],IF("x"=base_de_datos[Miércoles],IF(base_de_datos[Hora inicio]&lt;=$B32,IF(base_de_datos[Hora fin]&gt;=$C32,base_de_datos[Aula]&amp;" "&amp;#REF!,""),""),""),""),"")</f>
        <v/>
      </c>
      <c r="L32" s="24" t="str" cm="1">
        <f t="array" ref="L32">_xlfn.TEXTJOIN(CHAR(10),TRUE,IF(Profesor=base_de_datos[Profesor],IF("x"=base_de_datos[Miércoles],IF(base_de_datos[Hora inicio]&lt;=$B32,IF(base_de_datos[Hora fin]&gt;=$C32,base_de_datos[No clase],""),""),""),""),"")</f>
        <v/>
      </c>
      <c r="M32" s="24" t="str" cm="1">
        <f t="array" ref="M32">_xlfn.TEXTJOIN(CHAR(10),TRUE,IF(Profesor=base_de_datos[Profesor],IF("x"=base_de_datos[Jueves],IF(base_de_datos[Hora inicio]&lt;=$B32,IF(base_de_datos[Hora fin]&gt;=$C32,base_de_datos[Materia]&amp;" "&amp;base_de_datos[[Número de grupo ]],""),""),""),""),"")</f>
        <v>Diseño de elementos de máquinas 1</v>
      </c>
      <c r="N32" s="24" t="e" cm="1">
        <f t="array" ref="N32">_xlfn.TEXTJOIN(CHAR(10),TRUE,IF(Profesor=base_de_datos[Profesor],IF("x"=base_de_datos[Jueves],IF(base_de_datos[Hora inicio]&lt;=$B32,IF(base_de_datos[Hora fin]&gt;=$C32,base_de_datos[Aula]&amp;" "&amp;#REF!,""),""),""),""),"")</f>
        <v>#REF!</v>
      </c>
      <c r="O32" s="24" t="str" cm="1">
        <f t="array" ref="O32">_xlfn.TEXTJOIN(CHAR(10),TRUE,IF(Profesor=base_de_datos[Profesor],IF("x"=base_de_datos[Jueves],IF(base_de_datos[Hora inicio]&lt;=$B32,IF(base_de_datos[Hora fin]&gt;=$C32,base_de_datos[No clase],""),""),""),""),"")</f>
        <v>1644</v>
      </c>
      <c r="P32" s="24" t="str" cm="1">
        <f t="array" ref="P32">_xlfn.TEXTJOIN(CHAR(10),TRUE,IF(Profesor=base_de_datos[Profesor],IF("x"=base_de_datos[Viernes],IF(base_de_datos[Hora inicio]&lt;=$B32,IF(base_de_datos[Hora fin]&gt;=$C32,base_de_datos[Materia]&amp;" "&amp;base_de_datos[[Número de grupo ]],""),""),""),""),"")</f>
        <v/>
      </c>
      <c r="Q32" s="24" t="str" cm="1">
        <f t="array" ref="Q32">_xlfn.TEXTJOIN(CHAR(10),TRUE,IF(Profesor=base_de_datos[Profesor],IF("x"=base_de_datos[Viernes],IF(base_de_datos[Hora inicio]&lt;=$B32,IF(base_de_datos[Hora fin]&gt;=$C32,base_de_datos[Aula]&amp;" "&amp;#REF!,""),""),""),""),"")</f>
        <v/>
      </c>
      <c r="R32" s="24" t="str" cm="1">
        <f t="array" ref="R32">_xlfn.TEXTJOIN(CHAR(10),TRUE,IF(Profesor=base_de_datos[Profesor],IF("x"=base_de_datos[Viernes],IF(base_de_datos[Hora inicio]&lt;=$B32,IF(base_de_datos[Hora fin]&gt;=$C32,base_de_datos[No clase],""),""),""),""),"")</f>
        <v/>
      </c>
      <c r="S32" s="24" t="str" cm="1">
        <f t="array" ref="S32">_xlfn.TEXTJOIN(CHAR(10),TRUE,IF(Profesor=base_de_datos[Profesor],IF("x"=base_de_datos[Sábado],IF(base_de_datos[Hora inicio]&lt;=$B32,IF(base_de_datos[Hora fin]&gt;=$C32,base_de_datos[Materia]&amp;" "&amp;base_de_datos[[Número de grupo ]],""),""),""),""),"")</f>
        <v/>
      </c>
      <c r="T32" s="24" t="str" cm="1">
        <f t="array" ref="T32">_xlfn.TEXTJOIN(CHAR(10),TRUE,IF(Profesor=base_de_datos[Profesor],IF("x"=base_de_datos[Sábado],IF(base_de_datos[Hora inicio]&lt;=$B32,IF(base_de_datos[Hora fin]&gt;=$C32,base_de_datos[Aula]&amp;" "&amp;#REF!,""),""),""),""),"")</f>
        <v/>
      </c>
      <c r="U32" s="24" t="str" cm="1">
        <f t="array" ref="U32">_xlfn.TEXTJOIN(CHAR(10),TRUE,IF(Profesor=base_de_datos[Profesor],IF("x"=base_de_datos[Sábado],IF(base_de_datos[Hora inicio]&lt;=$B32,IF(base_de_datos[Hora fin]&gt;=$C32,base_de_datos[No clase],""),""),""),""),"")</f>
        <v/>
      </c>
    </row>
    <row r="33" spans="2:30" ht="15">
      <c r="B33" s="70">
        <v>0.875</v>
      </c>
      <c r="C33" s="70">
        <v>0.89583333333332305</v>
      </c>
      <c r="D33" s="24" t="str" cm="1">
        <f t="array" ref="D33">_xlfn.TEXTJOIN(CHAR(10),TRUE,IF(Profesor=base_de_datos[Profesor],IF("x"=base_de_datos[Lunes],IF(base_de_datos[Hora inicio]&lt;=$B33,IF(base_de_datos[Hora fin]&gt;=$C33,base_de_datos[Materia]&amp;" "&amp;base_de_datos[[Número de grupo ]],""),""),""),""),"")</f>
        <v/>
      </c>
      <c r="E33" s="24" t="str" cm="1">
        <f t="array" ref="E33">_xlfn.TEXTJOIN(CHAR(10),TRUE,IF(Profesor=base_de_datos[Profesor],IF("x"=base_de_datos[Lunes],IF(base_de_datos[Hora inicio]&lt;=$B33,IF(base_de_datos[Hora fin]&gt;=$C33,base_de_datos[Aula]&amp;" "&amp;#REF!,""),""),""),""),"")</f>
        <v/>
      </c>
      <c r="F33" s="24" t="str" cm="1">
        <f t="array" ref="F33">_xlfn.TEXTJOIN(CHAR(10),TRUE,IF(Profesor=base_de_datos[Profesor],IF("x"=base_de_datos[Lunes],IF(base_de_datos[Hora inicio]&lt;=$B33,IF(base_de_datos[Hora fin]&gt;=$C33,base_de_datos[No clase],""),""),""),""),"")</f>
        <v/>
      </c>
      <c r="G33" s="24" t="str" cm="1">
        <f t="array" ref="G33">_xlfn.TEXTJOIN(CHAR(10),TRUE,IF(Profesor=base_de_datos[Profesor],IF("x"=base_de_datos[Martes],IF(base_de_datos[Hora inicio]&lt;=$B33,IF(base_de_datos[Hora fin]&gt;=$C33,base_de_datos[Materia]&amp;" "&amp;base_de_datos[[Número de grupo ]],""),""),""),""),"")</f>
        <v/>
      </c>
      <c r="H33" s="24" t="str" cm="1">
        <f t="array" ref="H33">_xlfn.TEXTJOIN(CHAR(10),TRUE,IF(Profesor=base_de_datos[Profesor],IF("x"=base_de_datos[Martes],IF(base_de_datos[Hora inicio]&lt;=$B33,IF(base_de_datos[Hora fin]&gt;=$C33,base_de_datos[Aula]&amp;" "&amp;#REF!,""),""),""),""),"")</f>
        <v/>
      </c>
      <c r="I33" s="24" t="str" cm="1">
        <f t="array" ref="I33">_xlfn.TEXTJOIN(CHAR(10),TRUE,IF(Profesor=base_de_datos[Profesor],IF("x"=base_de_datos[Martes],IF(base_de_datos[Hora inicio]&lt;=$B33,IF(base_de_datos[Hora fin]&gt;=$C33,base_de_datos[No clase],""),""),""),""),"")</f>
        <v/>
      </c>
      <c r="J33" s="24" t="str" cm="1">
        <f t="array" ref="J33">_xlfn.TEXTJOIN(CHAR(10),TRUE,IF(Profesor=base_de_datos[Profesor],IF("x"=base_de_datos[Miércoles],IF(base_de_datos[Hora inicio]&lt;=$B33,IF(base_de_datos[Hora fin]&gt;=$C33,base_de_datos[Materia]&amp;" "&amp;base_de_datos[[Número de grupo ]],""),""),""),""),"")</f>
        <v/>
      </c>
      <c r="K33" s="24" t="str" cm="1">
        <f t="array" ref="K33">_xlfn.TEXTJOIN(CHAR(10),TRUE,IF(Profesor=base_de_datos[Profesor],IF("x"=base_de_datos[Miércoles],IF(base_de_datos[Hora inicio]&lt;=$B33,IF(base_de_datos[Hora fin]&gt;=$C33,base_de_datos[Aula]&amp;" "&amp;#REF!,""),""),""),""),"")</f>
        <v/>
      </c>
      <c r="L33" s="24" t="str" cm="1">
        <f t="array" ref="L33">_xlfn.TEXTJOIN(CHAR(10),TRUE,IF(Profesor=base_de_datos[Profesor],IF("x"=base_de_datos[Miércoles],IF(base_de_datos[Hora inicio]&lt;=$B33,IF(base_de_datos[Hora fin]&gt;=$C33,base_de_datos[No clase],""),""),""),""),"")</f>
        <v/>
      </c>
      <c r="M33" s="24" t="str" cm="1">
        <f t="array" ref="M33">_xlfn.TEXTJOIN(CHAR(10),TRUE,IF(Profesor=base_de_datos[Profesor],IF("x"=base_de_datos[Jueves],IF(base_de_datos[Hora inicio]&lt;=$B33,IF(base_de_datos[Hora fin]&gt;=$C33,base_de_datos[Materia]&amp;" "&amp;base_de_datos[[Número de grupo ]],""),""),""),""),"")</f>
        <v/>
      </c>
      <c r="N33" s="24" t="str" cm="1">
        <f t="array" ref="N33">_xlfn.TEXTJOIN(CHAR(10),TRUE,IF(Profesor=base_de_datos[Profesor],IF("x"=base_de_datos[Jueves],IF(base_de_datos[Hora inicio]&lt;=$B33,IF(base_de_datos[Hora fin]&gt;=$C33,base_de_datos[Aula]&amp;" "&amp;#REF!,""),""),""),""),"")</f>
        <v/>
      </c>
      <c r="O33" s="24" t="str" cm="1">
        <f t="array" ref="O33">_xlfn.TEXTJOIN(CHAR(10),TRUE,IF(Profesor=base_de_datos[Profesor],IF("x"=base_de_datos[Jueves],IF(base_de_datos[Hora inicio]&lt;=$B33,IF(base_de_datos[Hora fin]&gt;=$C33,base_de_datos[No clase],""),""),""),""),"")</f>
        <v/>
      </c>
      <c r="P33" s="24" t="str" cm="1">
        <f t="array" ref="P33">_xlfn.TEXTJOIN(CHAR(10),TRUE,IF(Profesor=base_de_datos[Profesor],IF("x"=base_de_datos[Viernes],IF(base_de_datos[Hora inicio]&lt;=$B33,IF(base_de_datos[Hora fin]&gt;=$C33,base_de_datos[Materia]&amp;" "&amp;base_de_datos[[Número de grupo ]],""),""),""),""),"")</f>
        <v/>
      </c>
      <c r="Q33" s="24" t="str" cm="1">
        <f t="array" ref="Q33">_xlfn.TEXTJOIN(CHAR(10),TRUE,IF(Profesor=base_de_datos[Profesor],IF("x"=base_de_datos[Viernes],IF(base_de_datos[Hora inicio]&lt;=$B33,IF(base_de_datos[Hora fin]&gt;=$C33,base_de_datos[Aula]&amp;" "&amp;#REF!,""),""),""),""),"")</f>
        <v/>
      </c>
      <c r="R33" s="24" t="str" cm="1">
        <f t="array" ref="R33">_xlfn.TEXTJOIN(CHAR(10),TRUE,IF(Profesor=base_de_datos[Profesor],IF("x"=base_de_datos[Viernes],IF(base_de_datos[Hora inicio]&lt;=$B33,IF(base_de_datos[Hora fin]&gt;=$C33,base_de_datos[No clase],""),""),""),""),"")</f>
        <v/>
      </c>
      <c r="S33" s="24" t="str" cm="1">
        <f t="array" ref="S33">_xlfn.TEXTJOIN(CHAR(10),TRUE,IF(Profesor=base_de_datos[Profesor],IF("x"=base_de_datos[Sábado],IF(base_de_datos[Hora inicio]&lt;=$B33,IF(base_de_datos[Hora fin]&gt;=$C33,base_de_datos[Materia]&amp;" "&amp;base_de_datos[[Número de grupo ]],""),""),""),""),"")</f>
        <v/>
      </c>
      <c r="T33" s="24" t="str" cm="1">
        <f t="array" ref="T33">_xlfn.TEXTJOIN(CHAR(10),TRUE,IF(Profesor=base_de_datos[Profesor],IF("x"=base_de_datos[Sábado],IF(base_de_datos[Hora inicio]&lt;=$B33,IF(base_de_datos[Hora fin]&gt;=$C33,base_de_datos[Aula]&amp;" "&amp;#REF!,""),""),""),""),"")</f>
        <v/>
      </c>
      <c r="U33" s="24" t="str" cm="1">
        <f t="array" ref="U33">_xlfn.TEXTJOIN(CHAR(10),TRUE,IF(Profesor=base_de_datos[Profesor],IF("x"=base_de_datos[Sábado],IF(base_de_datos[Hora inicio]&lt;=$B33,IF(base_de_datos[Hora fin]&gt;=$C33,base_de_datos[No clase],""),""),""),""),"")</f>
        <v/>
      </c>
    </row>
    <row r="34" spans="2:30" ht="15">
      <c r="B34" s="70">
        <v>0.89583333333333304</v>
      </c>
      <c r="C34" s="70">
        <v>0.91666666666665697</v>
      </c>
      <c r="D34" s="24" t="str" cm="1">
        <f t="array" ref="D34">_xlfn.TEXTJOIN(CHAR(10),TRUE,IF(Profesor=base_de_datos[Profesor],IF("x"=base_de_datos[Lunes],IF(base_de_datos[Hora inicio]&lt;=$B34,IF(base_de_datos[Hora fin]&gt;=$C34,base_de_datos[Materia]&amp;" "&amp;base_de_datos[[Número de grupo ]],""),""),""),""),"")</f>
        <v/>
      </c>
      <c r="E34" s="24" t="str" cm="1">
        <f t="array" ref="E34">_xlfn.TEXTJOIN(CHAR(10),TRUE,IF(Profesor=base_de_datos[Profesor],IF("x"=base_de_datos[Lunes],IF(base_de_datos[Hora inicio]&lt;=$B34,IF(base_de_datos[Hora fin]&gt;=$C34,base_de_datos[Aula]&amp;" "&amp;#REF!,""),""),""),""),"")</f>
        <v/>
      </c>
      <c r="F34" s="24" t="str" cm="1">
        <f t="array" ref="F34">_xlfn.TEXTJOIN(CHAR(10),TRUE,IF(Profesor=base_de_datos[Profesor],IF("x"=base_de_datos[Lunes],IF(base_de_datos[Hora inicio]&lt;=$B34,IF(base_de_datos[Hora fin]&gt;=$C34,base_de_datos[No clase],""),""),""),""),"")</f>
        <v/>
      </c>
      <c r="G34" s="24" t="str" cm="1">
        <f t="array" ref="G34">_xlfn.TEXTJOIN(CHAR(10),TRUE,IF(Profesor=base_de_datos[Profesor],IF("x"=base_de_datos[Martes],IF(base_de_datos[Hora inicio]&lt;=$B34,IF(base_de_datos[Hora fin]&gt;=$C34,base_de_datos[Materia]&amp;" "&amp;base_de_datos[[Número de grupo ]],""),""),""),""),"")</f>
        <v/>
      </c>
      <c r="H34" s="24" t="str" cm="1">
        <f t="array" ref="H34">_xlfn.TEXTJOIN(CHAR(10),TRUE,IF(Profesor=base_de_datos[Profesor],IF("x"=base_de_datos[Martes],IF(base_de_datos[Hora inicio]&lt;=$B34,IF(base_de_datos[Hora fin]&gt;=$C34,base_de_datos[Aula]&amp;" "&amp;#REF!,""),""),""),""),"")</f>
        <v/>
      </c>
      <c r="I34" s="24" t="str" cm="1">
        <f t="array" ref="I34">_xlfn.TEXTJOIN(CHAR(10),TRUE,IF(Profesor=base_de_datos[Profesor],IF("x"=base_de_datos[Martes],IF(base_de_datos[Hora inicio]&lt;=$B34,IF(base_de_datos[Hora fin]&gt;=$C34,base_de_datos[No clase],""),""),""),""),"")</f>
        <v/>
      </c>
      <c r="J34" s="24" t="str" cm="1">
        <f t="array" ref="J34">_xlfn.TEXTJOIN(CHAR(10),TRUE,IF(Profesor=base_de_datos[Profesor],IF("x"=base_de_datos[Miércoles],IF(base_de_datos[Hora inicio]&lt;=$B34,IF(base_de_datos[Hora fin]&gt;=$C34,base_de_datos[Materia]&amp;" "&amp;base_de_datos[[Número de grupo ]],""),""),""),""),"")</f>
        <v/>
      </c>
      <c r="K34" s="24" t="str" cm="1">
        <f t="array" ref="K34">_xlfn.TEXTJOIN(CHAR(10),TRUE,IF(Profesor=base_de_datos[Profesor],IF("x"=base_de_datos[Miércoles],IF(base_de_datos[Hora inicio]&lt;=$B34,IF(base_de_datos[Hora fin]&gt;=$C34,base_de_datos[Aula]&amp;" "&amp;#REF!,""),""),""),""),"")</f>
        <v/>
      </c>
      <c r="L34" s="24" t="str" cm="1">
        <f t="array" ref="L34">_xlfn.TEXTJOIN(CHAR(10),TRUE,IF(Profesor=base_de_datos[Profesor],IF("x"=base_de_datos[Miércoles],IF(base_de_datos[Hora inicio]&lt;=$B34,IF(base_de_datos[Hora fin]&gt;=$C34,base_de_datos[No clase],""),""),""),""),"")</f>
        <v/>
      </c>
      <c r="M34" s="24" t="str" cm="1">
        <f t="array" ref="M34">_xlfn.TEXTJOIN(CHAR(10),TRUE,IF(Profesor=base_de_datos[Profesor],IF("x"=base_de_datos[Jueves],IF(base_de_datos[Hora inicio]&lt;=$B34,IF(base_de_datos[Hora fin]&gt;=$C34,base_de_datos[Materia]&amp;" "&amp;base_de_datos[[Número de grupo ]],""),""),""),""),"")</f>
        <v/>
      </c>
      <c r="N34" s="24" t="str" cm="1">
        <f t="array" ref="N34">_xlfn.TEXTJOIN(CHAR(10),TRUE,IF(Profesor=base_de_datos[Profesor],IF("x"=base_de_datos[Jueves],IF(base_de_datos[Hora inicio]&lt;=$B34,IF(base_de_datos[Hora fin]&gt;=$C34,base_de_datos[Aula]&amp;" "&amp;#REF!,""),""),""),""),"")</f>
        <v/>
      </c>
      <c r="O34" s="24" t="str" cm="1">
        <f t="array" ref="O34">_xlfn.TEXTJOIN(CHAR(10),TRUE,IF(Profesor=base_de_datos[Profesor],IF("x"=base_de_datos[Jueves],IF(base_de_datos[Hora inicio]&lt;=$B34,IF(base_de_datos[Hora fin]&gt;=$C34,base_de_datos[No clase],""),""),""),""),"")</f>
        <v/>
      </c>
      <c r="P34" s="24" t="str" cm="1">
        <f t="array" ref="P34">_xlfn.TEXTJOIN(CHAR(10),TRUE,IF(Profesor=base_de_datos[Profesor],IF("x"=base_de_datos[Viernes],IF(base_de_datos[Hora inicio]&lt;=$B34,IF(base_de_datos[Hora fin]&gt;=$C34,base_de_datos[Materia]&amp;" "&amp;base_de_datos[[Número de grupo ]],""),""),""),""),"")</f>
        <v/>
      </c>
      <c r="Q34" s="24" t="str" cm="1">
        <f t="array" ref="Q34">_xlfn.TEXTJOIN(CHAR(10),TRUE,IF(Profesor=base_de_datos[Profesor],IF("x"=base_de_datos[Viernes],IF(base_de_datos[Hora inicio]&lt;=$B34,IF(base_de_datos[Hora fin]&gt;=$C34,base_de_datos[Aula]&amp;" "&amp;#REF!,""),""),""),""),"")</f>
        <v/>
      </c>
      <c r="R34" s="24" t="str" cm="1">
        <f t="array" ref="R34">_xlfn.TEXTJOIN(CHAR(10),TRUE,IF(Profesor=base_de_datos[Profesor],IF("x"=base_de_datos[Viernes],IF(base_de_datos[Hora inicio]&lt;=$B34,IF(base_de_datos[Hora fin]&gt;=$C34,base_de_datos[No clase],""),""),""),""),"")</f>
        <v/>
      </c>
      <c r="S34" s="24" t="str" cm="1">
        <f t="array" ref="S34">_xlfn.TEXTJOIN(CHAR(10),TRUE,IF(Profesor=base_de_datos[Profesor],IF("x"=base_de_datos[Sábado],IF(base_de_datos[Hora inicio]&lt;=$B34,IF(base_de_datos[Hora fin]&gt;=$C34,base_de_datos[Materia]&amp;" "&amp;base_de_datos[[Número de grupo ]],""),""),""),""),"")</f>
        <v/>
      </c>
      <c r="T34" s="24" t="str" cm="1">
        <f t="array" ref="T34">_xlfn.TEXTJOIN(CHAR(10),TRUE,IF(Profesor=base_de_datos[Profesor],IF("x"=base_de_datos[Sábado],IF(base_de_datos[Hora inicio]&lt;=$B34,IF(base_de_datos[Hora fin]&gt;=$C34,base_de_datos[Aula]&amp;" "&amp;#REF!,""),""),""),""),"")</f>
        <v/>
      </c>
      <c r="U34" s="24" t="str" cm="1">
        <f t="array" ref="U34">_xlfn.TEXTJOIN(CHAR(10),TRUE,IF(Profesor=base_de_datos[Profesor],IF("x"=base_de_datos[Sábado],IF(base_de_datos[Hora inicio]&lt;=$B34,IF(base_de_datos[Hora fin]&gt;=$C34,base_de_datos[No clase],""),""),""),""),"")</f>
        <v/>
      </c>
      <c r="AB34" s="23"/>
      <c r="AC34" s="23"/>
      <c r="AD34" s="23"/>
    </row>
    <row r="35" spans="2:30">
      <c r="C35" s="3"/>
      <c r="D35" s="23"/>
      <c r="E35" s="23"/>
      <c r="F35" s="23"/>
      <c r="G35" s="23"/>
      <c r="H35" s="23"/>
      <c r="I35" s="23"/>
      <c r="J35" s="26"/>
      <c r="K35" s="26"/>
      <c r="L35" s="23"/>
      <c r="M35" s="23"/>
      <c r="N35" s="23"/>
      <c r="O35" s="23"/>
      <c r="P35" s="23"/>
      <c r="Q35" s="23"/>
      <c r="R35" s="23"/>
      <c r="S35" s="23"/>
      <c r="T35" s="23"/>
      <c r="U35" s="23"/>
      <c r="AB35" s="23"/>
      <c r="AC35" s="23"/>
      <c r="AD35" s="23"/>
    </row>
    <row r="36" spans="2:30">
      <c r="C36" s="3"/>
      <c r="D36" s="23"/>
      <c r="E36" s="23"/>
      <c r="F36" s="23"/>
      <c r="G36" s="23"/>
      <c r="H36" s="23"/>
      <c r="I36" s="23"/>
      <c r="J36" s="26"/>
      <c r="K36" s="26"/>
      <c r="L36" s="23"/>
      <c r="M36" s="23"/>
      <c r="N36" s="23"/>
      <c r="O36" s="23"/>
      <c r="P36" s="23"/>
      <c r="Q36" s="23"/>
      <c r="R36" s="23"/>
      <c r="S36" s="23"/>
      <c r="T36" s="23"/>
      <c r="U36" s="23"/>
      <c r="AB36" s="23"/>
      <c r="AC36" s="23"/>
      <c r="AD36" s="23"/>
    </row>
    <row r="37" spans="2:30">
      <c r="C37" s="3"/>
      <c r="D37" s="23"/>
      <c r="E37" s="23"/>
      <c r="F37" s="23"/>
      <c r="G37" s="23"/>
      <c r="H37" s="23"/>
      <c r="I37" s="23"/>
      <c r="J37" s="26"/>
      <c r="K37" s="26"/>
      <c r="L37" s="23"/>
      <c r="M37" s="23"/>
      <c r="N37" s="23"/>
      <c r="O37" s="23"/>
      <c r="P37" s="23"/>
      <c r="Q37" s="23"/>
      <c r="R37" s="23"/>
      <c r="S37" s="23"/>
      <c r="T37" s="23"/>
      <c r="U37" s="23"/>
      <c r="AB37" s="23"/>
      <c r="AC37" s="23"/>
      <c r="AD37" s="23"/>
    </row>
    <row r="38" spans="2:30">
      <c r="C38" s="3"/>
      <c r="D38" s="23"/>
      <c r="E38" s="23"/>
      <c r="F38" s="23"/>
      <c r="G38" s="23"/>
      <c r="H38" s="23"/>
      <c r="I38" s="23"/>
      <c r="J38" s="26"/>
      <c r="K38" s="26"/>
      <c r="L38" s="23"/>
      <c r="M38" s="23"/>
      <c r="N38" s="23"/>
      <c r="O38" s="23"/>
      <c r="P38" s="23"/>
      <c r="Q38" s="23"/>
      <c r="R38" s="23"/>
      <c r="S38" s="23"/>
      <c r="T38" s="23"/>
      <c r="U38" s="23"/>
      <c r="AB38" s="23"/>
      <c r="AC38" s="23"/>
      <c r="AD38" s="23"/>
    </row>
    <row r="39" spans="2:30">
      <c r="C39" s="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AB39" s="23"/>
      <c r="AC39" s="23"/>
      <c r="AD39" s="23"/>
    </row>
    <row r="40" spans="2:30">
      <c r="C40" s="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AB40" s="23"/>
      <c r="AC40" s="23"/>
      <c r="AD40" s="23"/>
    </row>
    <row r="41" spans="2:30">
      <c r="C41" s="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AB41" s="23"/>
      <c r="AC41" s="23"/>
      <c r="AD41" s="23"/>
    </row>
    <row r="42" spans="2:30">
      <c r="C42" s="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AB42" s="23"/>
      <c r="AC42" s="23"/>
      <c r="AD42" s="23"/>
    </row>
    <row r="43" spans="2:30">
      <c r="C43" s="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AB43" s="23"/>
      <c r="AC43" s="23"/>
      <c r="AD43" s="23"/>
    </row>
    <row r="44" spans="2:30">
      <c r="C44" s="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AB44" s="23"/>
      <c r="AC44" s="23"/>
      <c r="AD44" s="23"/>
    </row>
    <row r="45" spans="2:30">
      <c r="C45" s="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AB45" s="23"/>
      <c r="AC45" s="23"/>
      <c r="AD45" s="23"/>
    </row>
    <row r="46" spans="2:30">
      <c r="C46" s="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AB46" s="23"/>
      <c r="AC46" s="23"/>
      <c r="AD46" s="23"/>
    </row>
    <row r="47" spans="2:30">
      <c r="C47" s="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AB47" s="23"/>
      <c r="AC47" s="23"/>
      <c r="AD47" s="23"/>
    </row>
    <row r="48" spans="2:30">
      <c r="C48" s="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AB48" s="23"/>
      <c r="AC48" s="23"/>
      <c r="AD48" s="23"/>
    </row>
    <row r="49" spans="3:30">
      <c r="C49" s="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AB49" s="23"/>
      <c r="AC49" s="23"/>
      <c r="AD49" s="23"/>
    </row>
    <row r="50" spans="3:30">
      <c r="C50" s="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AB50" s="23"/>
      <c r="AC50" s="23"/>
      <c r="AD50" s="23"/>
    </row>
    <row r="51" spans="3:30">
      <c r="C51" s="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AB51" s="23"/>
      <c r="AC51" s="23"/>
      <c r="AD51" s="23"/>
    </row>
    <row r="52" spans="3:30">
      <c r="C52" s="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AB52" s="23"/>
      <c r="AC52" s="23"/>
      <c r="AD52" s="23"/>
    </row>
    <row r="53" spans="3:30">
      <c r="C53" s="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AB53" s="23"/>
      <c r="AC53" s="23"/>
      <c r="AD53" s="23"/>
    </row>
    <row r="54" spans="3:30">
      <c r="C54" s="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AB54" s="23"/>
      <c r="AC54" s="23"/>
      <c r="AD54" s="23"/>
    </row>
    <row r="55" spans="3:30">
      <c r="C55" s="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AB55" s="23"/>
      <c r="AC55" s="23"/>
      <c r="AD55" s="23"/>
    </row>
    <row r="56" spans="3:30">
      <c r="C56" s="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AB56" s="23"/>
      <c r="AC56" s="23"/>
      <c r="AD56" s="23"/>
    </row>
    <row r="57" spans="3:30">
      <c r="C57" s="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AB57" s="23"/>
      <c r="AC57" s="23"/>
      <c r="AD57" s="23"/>
    </row>
    <row r="58" spans="3:30">
      <c r="C58" s="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AB58" s="23"/>
      <c r="AC58" s="23"/>
      <c r="AD58" s="23"/>
    </row>
    <row r="59" spans="3:30">
      <c r="C59" s="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AB59" s="23"/>
      <c r="AC59" s="23"/>
      <c r="AD59" s="23"/>
    </row>
    <row r="60" spans="3:30">
      <c r="C60" s="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AB60" s="23"/>
      <c r="AC60" s="23"/>
      <c r="AD60" s="23"/>
    </row>
    <row r="61" spans="3:30">
      <c r="C61" s="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AB61" s="23"/>
      <c r="AC61" s="23"/>
      <c r="AD61" s="23"/>
    </row>
    <row r="62" spans="3:30">
      <c r="C62" s="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AB62" s="23"/>
      <c r="AC62" s="23"/>
      <c r="AD62" s="23"/>
    </row>
    <row r="63" spans="3:30">
      <c r="C63" s="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AB63" s="23"/>
      <c r="AC63" s="23"/>
      <c r="AD63" s="23"/>
    </row>
    <row r="64" spans="3:30">
      <c r="C64" s="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AB64" s="23"/>
      <c r="AC64" s="23"/>
      <c r="AD64" s="23"/>
    </row>
    <row r="65" spans="3:30">
      <c r="C65" s="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AB65" s="23"/>
      <c r="AC65" s="23"/>
      <c r="AD65" s="23"/>
    </row>
    <row r="66" spans="3:30">
      <c r="C66" s="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AB66" s="23"/>
      <c r="AC66" s="23"/>
      <c r="AD66" s="23"/>
    </row>
    <row r="67" spans="3:30">
      <c r="C67" s="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AB67" s="23"/>
      <c r="AC67" s="23"/>
      <c r="AD67" s="23"/>
    </row>
    <row r="68" spans="3:30">
      <c r="C68" s="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AB68" s="23"/>
      <c r="AC68" s="23"/>
      <c r="AD68" s="23"/>
    </row>
    <row r="69" spans="3:30">
      <c r="C69" s="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AB69" s="23"/>
      <c r="AC69" s="23"/>
      <c r="AD69" s="23"/>
    </row>
    <row r="70" spans="3:30">
      <c r="C70" s="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AB70" s="23"/>
      <c r="AC70" s="23"/>
      <c r="AD70" s="23"/>
    </row>
    <row r="71" spans="3:30">
      <c r="C71" s="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AB71" s="23"/>
      <c r="AC71" s="23"/>
      <c r="AD71" s="23"/>
    </row>
    <row r="72" spans="3:30">
      <c r="C72" s="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AB72" s="23"/>
      <c r="AC72" s="23"/>
      <c r="AD72" s="23"/>
    </row>
    <row r="73" spans="3:30">
      <c r="C73" s="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AB73" s="23"/>
      <c r="AC73" s="23"/>
      <c r="AD73" s="23"/>
    </row>
    <row r="74" spans="3:30">
      <c r="C74" s="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AB74" s="23"/>
      <c r="AC74" s="23"/>
      <c r="AD74" s="23"/>
    </row>
    <row r="75" spans="3:30">
      <c r="C75" s="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AB75" s="23"/>
      <c r="AC75" s="23"/>
      <c r="AD75" s="23"/>
    </row>
    <row r="76" spans="3:30">
      <c r="C76" s="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AB76" s="23"/>
      <c r="AC76" s="23"/>
      <c r="AD76" s="23"/>
    </row>
    <row r="77" spans="3:30">
      <c r="C77" s="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AB77" s="23"/>
      <c r="AC77" s="23"/>
      <c r="AD77" s="23"/>
    </row>
    <row r="78" spans="3:30">
      <c r="C78" s="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AB78" s="23"/>
      <c r="AC78" s="23"/>
      <c r="AD78" s="23"/>
    </row>
    <row r="79" spans="3:30">
      <c r="C79" s="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AB79" s="23"/>
      <c r="AC79" s="23"/>
      <c r="AD79" s="23"/>
    </row>
    <row r="80" spans="3:30">
      <c r="C80" s="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AB80" s="23"/>
      <c r="AC80" s="23"/>
      <c r="AD80" s="23"/>
    </row>
    <row r="81" spans="3:30">
      <c r="C81" s="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AB81" s="23"/>
      <c r="AC81" s="23"/>
      <c r="AD81" s="23"/>
    </row>
    <row r="82" spans="3:30">
      <c r="C82" s="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AB82" s="23"/>
      <c r="AC82" s="23"/>
      <c r="AD82" s="23"/>
    </row>
    <row r="83" spans="3:30">
      <c r="C83" s="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AB83" s="23"/>
      <c r="AC83" s="23"/>
      <c r="AD83" s="23"/>
    </row>
    <row r="84" spans="3:30">
      <c r="C84" s="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AB84" s="23"/>
      <c r="AC84" s="23"/>
      <c r="AD84" s="23"/>
    </row>
    <row r="85" spans="3:30">
      <c r="C85" s="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AB85" s="23"/>
      <c r="AC85" s="23"/>
      <c r="AD85" s="23"/>
    </row>
    <row r="86" spans="3:30">
      <c r="C86" s="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AB86" s="23"/>
      <c r="AC86" s="23"/>
      <c r="AD86" s="23"/>
    </row>
    <row r="87" spans="3:30">
      <c r="C87" s="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AB87" s="23"/>
      <c r="AC87" s="23"/>
      <c r="AD87" s="23"/>
    </row>
    <row r="88" spans="3:30">
      <c r="C88" s="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AB88" s="23"/>
      <c r="AC88" s="23"/>
      <c r="AD88" s="23"/>
    </row>
    <row r="89" spans="3:30">
      <c r="C89" s="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AB89" s="23"/>
      <c r="AC89" s="23"/>
      <c r="AD89" s="23"/>
    </row>
    <row r="90" spans="3:30">
      <c r="C90" s="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AB90" s="23"/>
      <c r="AC90" s="23"/>
      <c r="AD90" s="23"/>
    </row>
    <row r="91" spans="3:30">
      <c r="C91" s="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AB91" s="23"/>
      <c r="AC91" s="23"/>
      <c r="AD91" s="23"/>
    </row>
    <row r="92" spans="3:30">
      <c r="C92" s="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AB92" s="23"/>
      <c r="AC92" s="23"/>
      <c r="AD92" s="23"/>
    </row>
    <row r="93" spans="3:30">
      <c r="C93" s="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AB93" s="23"/>
      <c r="AC93" s="23"/>
      <c r="AD93" s="23"/>
    </row>
    <row r="94" spans="3:30">
      <c r="C94" s="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AB94" s="23"/>
      <c r="AC94" s="23"/>
      <c r="AD94" s="23"/>
    </row>
    <row r="95" spans="3:30">
      <c r="C95" s="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AB95" s="23"/>
      <c r="AC95" s="23"/>
      <c r="AD95" s="23"/>
    </row>
    <row r="96" spans="3:30">
      <c r="C96" s="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AB96" s="23"/>
      <c r="AC96" s="23"/>
      <c r="AD96" s="23"/>
    </row>
    <row r="97" spans="3:30">
      <c r="C97" s="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AB97" s="23"/>
      <c r="AC97" s="23"/>
      <c r="AD97" s="23"/>
    </row>
    <row r="98" spans="3:30">
      <c r="C98" s="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AB98" s="23"/>
      <c r="AC98" s="23"/>
      <c r="AD98" s="23"/>
    </row>
    <row r="99" spans="3:30">
      <c r="C99" s="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AB99" s="23"/>
      <c r="AC99" s="23"/>
      <c r="AD99" s="23"/>
    </row>
    <row r="100" spans="3:30">
      <c r="C100" s="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AB100" s="23"/>
      <c r="AC100" s="23"/>
      <c r="AD100" s="23"/>
    </row>
    <row r="101" spans="3:30">
      <c r="C101" s="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AB101" s="23"/>
      <c r="AC101" s="23"/>
      <c r="AD101" s="23"/>
    </row>
    <row r="102" spans="3:30">
      <c r="C102" s="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AB102" s="23"/>
      <c r="AC102" s="23"/>
      <c r="AD102" s="23"/>
    </row>
    <row r="103" spans="3:30">
      <c r="C103" s="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AB103" s="23"/>
      <c r="AC103" s="23"/>
      <c r="AD103" s="23"/>
    </row>
    <row r="104" spans="3:30">
      <c r="C104" s="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AB104" s="23"/>
      <c r="AC104" s="23"/>
      <c r="AD104" s="23"/>
    </row>
    <row r="105" spans="3:30">
      <c r="C105" s="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AB105" s="23"/>
      <c r="AC105" s="23"/>
      <c r="AD105" s="23"/>
    </row>
    <row r="106" spans="3:30">
      <c r="C106" s="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AB106" s="23"/>
      <c r="AC106" s="23"/>
      <c r="AD106" s="23"/>
    </row>
    <row r="107" spans="3:30">
      <c r="C107" s="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AB107" s="23"/>
      <c r="AC107" s="23"/>
      <c r="AD107" s="23"/>
    </row>
    <row r="108" spans="3:30">
      <c r="C108" s="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AB108" s="23"/>
      <c r="AC108" s="23"/>
      <c r="AD108" s="23"/>
    </row>
    <row r="109" spans="3:30">
      <c r="C109" s="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AB109" s="23"/>
      <c r="AC109" s="23"/>
      <c r="AD109" s="23"/>
    </row>
    <row r="110" spans="3:30">
      <c r="C110" s="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AB110" s="23"/>
      <c r="AC110" s="23"/>
      <c r="AD110" s="23"/>
    </row>
    <row r="111" spans="3:30">
      <c r="C111" s="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AB111" s="23"/>
      <c r="AC111" s="23"/>
      <c r="AD111" s="23"/>
    </row>
    <row r="112" spans="3:30">
      <c r="C112" s="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AB112" s="23"/>
      <c r="AC112" s="23"/>
      <c r="AD112" s="23"/>
    </row>
    <row r="113" spans="3:30">
      <c r="C113" s="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AB113" s="23"/>
      <c r="AC113" s="23"/>
      <c r="AD113" s="23"/>
    </row>
    <row r="114" spans="3:30">
      <c r="C114" s="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AB114" s="23"/>
      <c r="AC114" s="23"/>
      <c r="AD114" s="23"/>
    </row>
    <row r="115" spans="3:30">
      <c r="C115" s="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AB115" s="23"/>
      <c r="AC115" s="23"/>
      <c r="AD115" s="23"/>
    </row>
    <row r="116" spans="3:30">
      <c r="C116" s="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AB116" s="23"/>
      <c r="AC116" s="23"/>
      <c r="AD116" s="23"/>
    </row>
    <row r="117" spans="3:30">
      <c r="C117" s="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AB117" s="23"/>
      <c r="AC117" s="23"/>
      <c r="AD117" s="23"/>
    </row>
    <row r="118" spans="3:30">
      <c r="C118" s="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AB118" s="23"/>
      <c r="AC118" s="23"/>
      <c r="AD118" s="23"/>
    </row>
    <row r="119" spans="3:30">
      <c r="C119" s="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AB119" s="23"/>
      <c r="AC119" s="23"/>
      <c r="AD119" s="23"/>
    </row>
    <row r="120" spans="3:30">
      <c r="C120" s="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AB120" s="23"/>
      <c r="AC120" s="23"/>
      <c r="AD120" s="23"/>
    </row>
    <row r="121" spans="3:30">
      <c r="C121" s="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AB121" s="23"/>
      <c r="AC121" s="23"/>
      <c r="AD121" s="23"/>
    </row>
    <row r="122" spans="3:30">
      <c r="C122" s="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AB122" s="23"/>
      <c r="AC122" s="23"/>
      <c r="AD122" s="23"/>
    </row>
    <row r="123" spans="3:30">
      <c r="C123" s="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AB123" s="23"/>
      <c r="AC123" s="23"/>
      <c r="AD123" s="23"/>
    </row>
    <row r="124" spans="3:30">
      <c r="C124" s="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AB124" s="23"/>
      <c r="AC124" s="23"/>
      <c r="AD124" s="23"/>
    </row>
    <row r="125" spans="3:30">
      <c r="C125" s="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AB125" s="23"/>
      <c r="AC125" s="23"/>
      <c r="AD125" s="23"/>
    </row>
    <row r="126" spans="3:30">
      <c r="C126" s="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AB126" s="23"/>
      <c r="AC126" s="23"/>
      <c r="AD126" s="23"/>
    </row>
    <row r="127" spans="3:30">
      <c r="C127" s="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AB127" s="23"/>
      <c r="AC127" s="23"/>
      <c r="AD127" s="23"/>
    </row>
    <row r="128" spans="3:30">
      <c r="C128" s="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AB128" s="23"/>
      <c r="AC128" s="23"/>
      <c r="AD128" s="23"/>
    </row>
    <row r="129" spans="3:30">
      <c r="C129" s="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AB129" s="23"/>
      <c r="AC129" s="23"/>
      <c r="AD129" s="23"/>
    </row>
    <row r="130" spans="3:30">
      <c r="C130" s="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AB130" s="23"/>
      <c r="AC130" s="23"/>
      <c r="AD130" s="23"/>
    </row>
    <row r="131" spans="3:30">
      <c r="C131" s="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AB131" s="23"/>
      <c r="AC131" s="23"/>
      <c r="AD131" s="23"/>
    </row>
    <row r="132" spans="3:30">
      <c r="C132" s="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AB132" s="23"/>
      <c r="AC132" s="23"/>
      <c r="AD132" s="23"/>
    </row>
    <row r="133" spans="3:30">
      <c r="C133" s="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AB133" s="23"/>
      <c r="AC133" s="23"/>
      <c r="AD133" s="23"/>
    </row>
    <row r="134" spans="3:30">
      <c r="C134" s="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AB134" s="23"/>
      <c r="AC134" s="23"/>
      <c r="AD134" s="23"/>
    </row>
    <row r="135" spans="3:30">
      <c r="C135" s="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AB135" s="23"/>
      <c r="AC135" s="23"/>
      <c r="AD135" s="23"/>
    </row>
    <row r="136" spans="3:30">
      <c r="C136" s="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AB136" s="23"/>
      <c r="AC136" s="23"/>
      <c r="AD136" s="23"/>
    </row>
    <row r="137" spans="3:30">
      <c r="C137" s="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AB137" s="23"/>
      <c r="AC137" s="23"/>
      <c r="AD137" s="23"/>
    </row>
    <row r="138" spans="3:30">
      <c r="C138" s="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AB138" s="23"/>
      <c r="AC138" s="23"/>
      <c r="AD138" s="23"/>
    </row>
    <row r="139" spans="3:30">
      <c r="C139" s="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AB139" s="23"/>
      <c r="AC139" s="23"/>
      <c r="AD139" s="23"/>
    </row>
    <row r="140" spans="3:30">
      <c r="C140" s="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AB140" s="23"/>
      <c r="AC140" s="23"/>
      <c r="AD140" s="23"/>
    </row>
    <row r="141" spans="3:30">
      <c r="C141" s="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AB141" s="23"/>
      <c r="AC141" s="23"/>
      <c r="AD141" s="23"/>
    </row>
    <row r="142" spans="3:30">
      <c r="C142" s="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AB142" s="23"/>
      <c r="AC142" s="23"/>
      <c r="AD142" s="23"/>
    </row>
    <row r="143" spans="3:30">
      <c r="C143" s="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AB143" s="23"/>
      <c r="AC143" s="23"/>
      <c r="AD143" s="23"/>
    </row>
    <row r="144" spans="3:30">
      <c r="C144" s="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AB144" s="23"/>
      <c r="AC144" s="23"/>
      <c r="AD144" s="23"/>
    </row>
    <row r="145" spans="3:30">
      <c r="C145" s="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AB145" s="23"/>
      <c r="AC145" s="23"/>
      <c r="AD145" s="23"/>
    </row>
    <row r="146" spans="3:30">
      <c r="C146" s="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AB146" s="23"/>
      <c r="AC146" s="23"/>
      <c r="AD146" s="23"/>
    </row>
    <row r="147" spans="3:30">
      <c r="C147" s="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AB147" s="23"/>
      <c r="AC147" s="23"/>
      <c r="AD147" s="23"/>
    </row>
    <row r="148" spans="3:30">
      <c r="C148" s="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AB148" s="23"/>
      <c r="AC148" s="23"/>
      <c r="AD148" s="23"/>
    </row>
    <row r="149" spans="3:30">
      <c r="C149" s="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AB149" s="23"/>
      <c r="AC149" s="23"/>
      <c r="AD149" s="23"/>
    </row>
    <row r="150" spans="3:30">
      <c r="C150" s="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AB150" s="23"/>
      <c r="AC150" s="23"/>
      <c r="AD150" s="23"/>
    </row>
    <row r="151" spans="3:30">
      <c r="C151" s="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AB151" s="23"/>
      <c r="AC151" s="23"/>
      <c r="AD151" s="23"/>
    </row>
    <row r="152" spans="3:30">
      <c r="C152" s="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AB152" s="23"/>
      <c r="AC152" s="23"/>
      <c r="AD152" s="23"/>
    </row>
    <row r="153" spans="3:30">
      <c r="C153" s="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AB153" s="23"/>
      <c r="AC153" s="23"/>
      <c r="AD153" s="23"/>
    </row>
    <row r="154" spans="3:30">
      <c r="C154" s="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AB154" s="23"/>
      <c r="AC154" s="23"/>
      <c r="AD154" s="23"/>
    </row>
    <row r="155" spans="3:30">
      <c r="C155" s="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AB155" s="23"/>
      <c r="AC155" s="23"/>
      <c r="AD155" s="23"/>
    </row>
    <row r="156" spans="3:30">
      <c r="C156" s="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AB156" s="23"/>
      <c r="AC156" s="23"/>
      <c r="AD156" s="23"/>
    </row>
    <row r="157" spans="3:30">
      <c r="C157" s="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AB157" s="23"/>
      <c r="AC157" s="23"/>
      <c r="AD157" s="23"/>
    </row>
    <row r="158" spans="3:30">
      <c r="C158" s="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AB158" s="23"/>
      <c r="AC158" s="23"/>
      <c r="AD158" s="23"/>
    </row>
    <row r="159" spans="3:30">
      <c r="C159" s="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AB159" s="23"/>
      <c r="AC159" s="23"/>
      <c r="AD159" s="23"/>
    </row>
    <row r="160" spans="3:30">
      <c r="C160" s="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AB160" s="23"/>
      <c r="AC160" s="23"/>
      <c r="AD160" s="23"/>
    </row>
    <row r="161" spans="3:30">
      <c r="C161" s="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AB161" s="23"/>
      <c r="AC161" s="23"/>
      <c r="AD161" s="23"/>
    </row>
    <row r="162" spans="3:30">
      <c r="C162" s="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AB162" s="23"/>
      <c r="AC162" s="23"/>
      <c r="AD162" s="23"/>
    </row>
    <row r="163" spans="3:30">
      <c r="C163" s="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AB163" s="23"/>
      <c r="AC163" s="23"/>
      <c r="AD163" s="23"/>
    </row>
    <row r="164" spans="3:30">
      <c r="C164" s="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AB164" s="23"/>
      <c r="AC164" s="23"/>
      <c r="AD164" s="23"/>
    </row>
    <row r="165" spans="3:30">
      <c r="C165" s="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AB165" s="23"/>
      <c r="AC165" s="23"/>
      <c r="AD165" s="23"/>
    </row>
    <row r="166" spans="3:30">
      <c r="C166" s="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AB166" s="23"/>
      <c r="AC166" s="23"/>
      <c r="AD166" s="23"/>
    </row>
    <row r="167" spans="3:30">
      <c r="C167" s="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AB167" s="23"/>
      <c r="AC167" s="23"/>
      <c r="AD167" s="23"/>
    </row>
    <row r="168" spans="3:30">
      <c r="C168" s="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AB168" s="23"/>
      <c r="AC168" s="23"/>
      <c r="AD168" s="23"/>
    </row>
    <row r="169" spans="3:30">
      <c r="C169" s="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AB169" s="23"/>
      <c r="AC169" s="23"/>
      <c r="AD169" s="23"/>
    </row>
    <row r="170" spans="3:30">
      <c r="C170" s="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AB170" s="23"/>
      <c r="AC170" s="23"/>
      <c r="AD170" s="23"/>
    </row>
    <row r="171" spans="3:30">
      <c r="C171" s="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AB171" s="23"/>
      <c r="AC171" s="23"/>
      <c r="AD171" s="23"/>
    </row>
    <row r="172" spans="3:30">
      <c r="C172" s="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AB172" s="23"/>
      <c r="AC172" s="23"/>
      <c r="AD172" s="23"/>
    </row>
    <row r="173" spans="3:30">
      <c r="C173" s="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AB173" s="23"/>
      <c r="AC173" s="23"/>
      <c r="AD173" s="23"/>
    </row>
    <row r="174" spans="3:30">
      <c r="C174" s="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AB174" s="23"/>
      <c r="AC174" s="23"/>
      <c r="AD174" s="23"/>
    </row>
    <row r="175" spans="3:30">
      <c r="C175" s="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AB175" s="23"/>
      <c r="AC175" s="23"/>
      <c r="AD175" s="23"/>
    </row>
    <row r="176" spans="3:30">
      <c r="C176" s="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AB176" s="23"/>
      <c r="AC176" s="23"/>
      <c r="AD176" s="23"/>
    </row>
    <row r="177" spans="3:30">
      <c r="C177" s="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AB177" s="23"/>
      <c r="AC177" s="23"/>
      <c r="AD177" s="23"/>
    </row>
    <row r="178" spans="3:30">
      <c r="C178" s="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AB178" s="23"/>
      <c r="AC178" s="23"/>
      <c r="AD178" s="23"/>
    </row>
    <row r="179" spans="3:30">
      <c r="C179" s="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AB179" s="23"/>
      <c r="AC179" s="23"/>
      <c r="AD179" s="23"/>
    </row>
    <row r="180" spans="3:30">
      <c r="C180" s="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AB180" s="23"/>
      <c r="AC180" s="23"/>
      <c r="AD180" s="23"/>
    </row>
    <row r="181" spans="3:30">
      <c r="C181" s="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AB181" s="23"/>
      <c r="AC181" s="23"/>
      <c r="AD181" s="23"/>
    </row>
    <row r="182" spans="3:30">
      <c r="C182" s="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AB182" s="23"/>
      <c r="AC182" s="23"/>
      <c r="AD182" s="23"/>
    </row>
    <row r="183" spans="3:30">
      <c r="C183" s="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AB183" s="23"/>
      <c r="AC183" s="23"/>
      <c r="AD183" s="23"/>
    </row>
    <row r="184" spans="3:30">
      <c r="C184" s="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AB184" s="23"/>
      <c r="AC184" s="23"/>
      <c r="AD184" s="23"/>
    </row>
    <row r="185" spans="3:30">
      <c r="C185" s="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AB185" s="23"/>
      <c r="AC185" s="23"/>
      <c r="AD185" s="23"/>
    </row>
    <row r="186" spans="3:30">
      <c r="C186" s="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AB186" s="23"/>
      <c r="AC186" s="23"/>
      <c r="AD186" s="23"/>
    </row>
    <row r="187" spans="3:30">
      <c r="C187" s="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AB187" s="23"/>
      <c r="AC187" s="23"/>
      <c r="AD187" s="23"/>
    </row>
    <row r="188" spans="3:30">
      <c r="C188" s="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AB188" s="23"/>
      <c r="AC188" s="23"/>
      <c r="AD188" s="23"/>
    </row>
    <row r="189" spans="3:30">
      <c r="C189" s="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AB189" s="23"/>
      <c r="AC189" s="23"/>
      <c r="AD189" s="23"/>
    </row>
    <row r="190" spans="3:30">
      <c r="C190" s="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AB190" s="23"/>
      <c r="AC190" s="23"/>
      <c r="AD190" s="23"/>
    </row>
    <row r="191" spans="3:30">
      <c r="C191" s="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AB191" s="23"/>
      <c r="AC191" s="23"/>
      <c r="AD191" s="23"/>
    </row>
    <row r="192" spans="3:30">
      <c r="C192" s="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AB192" s="23"/>
      <c r="AC192" s="23"/>
      <c r="AD192" s="23"/>
    </row>
    <row r="193" spans="3:30">
      <c r="C193" s="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AB193" s="23"/>
      <c r="AC193" s="23"/>
      <c r="AD193" s="23"/>
    </row>
    <row r="194" spans="3:30">
      <c r="C194" s="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AB194" s="23"/>
      <c r="AC194" s="23"/>
      <c r="AD194" s="23"/>
    </row>
    <row r="195" spans="3:30">
      <c r="C195" s="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AB195" s="23"/>
      <c r="AC195" s="23"/>
      <c r="AD195" s="23"/>
    </row>
    <row r="196" spans="3:30">
      <c r="C196" s="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AB196" s="23"/>
      <c r="AC196" s="23"/>
      <c r="AD196" s="23"/>
    </row>
    <row r="197" spans="3:30">
      <c r="C197" s="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AB197" s="23"/>
      <c r="AC197" s="23"/>
      <c r="AD197" s="23"/>
    </row>
    <row r="198" spans="3:30">
      <c r="C198" s="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AB198" s="23"/>
      <c r="AC198" s="23"/>
      <c r="AD198" s="23"/>
    </row>
    <row r="199" spans="3:30">
      <c r="C199" s="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AB199" s="23"/>
      <c r="AC199" s="23"/>
      <c r="AD199" s="23"/>
    </row>
    <row r="200" spans="3:30">
      <c r="C200" s="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AB200" s="23"/>
      <c r="AC200" s="23"/>
      <c r="AD200" s="23"/>
    </row>
    <row r="201" spans="3:30">
      <c r="C201" s="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AB201" s="23"/>
      <c r="AC201" s="23"/>
      <c r="AD201" s="23"/>
    </row>
    <row r="202" spans="3:30">
      <c r="C202" s="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AB202" s="23"/>
      <c r="AC202" s="23"/>
      <c r="AD202" s="23"/>
    </row>
    <row r="203" spans="3:30">
      <c r="C203" s="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AB203" s="23"/>
      <c r="AC203" s="23"/>
      <c r="AD203" s="23"/>
    </row>
    <row r="204" spans="3:30">
      <c r="C204" s="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AB204" s="23"/>
      <c r="AC204" s="23"/>
      <c r="AD204" s="23"/>
    </row>
    <row r="205" spans="3:30">
      <c r="C205" s="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AB205" s="23"/>
      <c r="AC205" s="23"/>
      <c r="AD205" s="23"/>
    </row>
    <row r="206" spans="3:30">
      <c r="C206" s="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AB206" s="23"/>
      <c r="AC206" s="23"/>
      <c r="AD206" s="23"/>
    </row>
    <row r="207" spans="3:30">
      <c r="C207" s="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AB207" s="23"/>
      <c r="AC207" s="23"/>
      <c r="AD207" s="23"/>
    </row>
    <row r="208" spans="3:30">
      <c r="C208" s="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AB208" s="23"/>
      <c r="AC208" s="23"/>
      <c r="AD208" s="23"/>
    </row>
    <row r="209" spans="3:30">
      <c r="C209" s="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AB209" s="23"/>
      <c r="AC209" s="23"/>
      <c r="AD209" s="23"/>
    </row>
    <row r="210" spans="3:30">
      <c r="C210" s="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AB210" s="23"/>
      <c r="AC210" s="23"/>
      <c r="AD210" s="23"/>
    </row>
    <row r="211" spans="3:30">
      <c r="C211" s="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AB211" s="23"/>
      <c r="AC211" s="23"/>
      <c r="AD211" s="23"/>
    </row>
    <row r="212" spans="3:30">
      <c r="C212" s="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AB212" s="23"/>
      <c r="AC212" s="23"/>
      <c r="AD212" s="23"/>
    </row>
    <row r="213" spans="3:30">
      <c r="C213" s="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AB213" s="23"/>
      <c r="AC213" s="23"/>
      <c r="AD213" s="23"/>
    </row>
    <row r="214" spans="3:30">
      <c r="C214" s="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AB214" s="23"/>
      <c r="AC214" s="23"/>
      <c r="AD214" s="23"/>
    </row>
    <row r="215" spans="3:30">
      <c r="C215" s="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AB215" s="23"/>
      <c r="AC215" s="23"/>
      <c r="AD215" s="23"/>
    </row>
    <row r="216" spans="3:30">
      <c r="C216" s="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AB216" s="23"/>
      <c r="AC216" s="23"/>
      <c r="AD216" s="23"/>
    </row>
    <row r="217" spans="3:30">
      <c r="C217" s="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AB217" s="23"/>
      <c r="AC217" s="23"/>
      <c r="AD217" s="23"/>
    </row>
    <row r="218" spans="3:30">
      <c r="C218" s="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AB218" s="23"/>
      <c r="AC218" s="23"/>
      <c r="AD218" s="23"/>
    </row>
    <row r="219" spans="3:30">
      <c r="C219" s="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AB219" s="23"/>
      <c r="AC219" s="23"/>
      <c r="AD219" s="23"/>
    </row>
    <row r="220" spans="3:30">
      <c r="C220" s="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AB220" s="23"/>
      <c r="AC220" s="23"/>
      <c r="AD220" s="23"/>
    </row>
    <row r="221" spans="3:30">
      <c r="C221" s="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AB221" s="23"/>
      <c r="AC221" s="23"/>
      <c r="AD221" s="23"/>
    </row>
    <row r="222" spans="3:30">
      <c r="C222" s="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AB222" s="23"/>
      <c r="AC222" s="23"/>
      <c r="AD222" s="23"/>
    </row>
    <row r="223" spans="3:30">
      <c r="C223" s="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AB223" s="23"/>
      <c r="AC223" s="23"/>
      <c r="AD223" s="23"/>
    </row>
    <row r="224" spans="3:30">
      <c r="C224" s="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AB224" s="23"/>
      <c r="AC224" s="23"/>
      <c r="AD224" s="23"/>
    </row>
    <row r="225" spans="3:30">
      <c r="C225" s="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AB225" s="23"/>
      <c r="AC225" s="23"/>
      <c r="AD225" s="23"/>
    </row>
    <row r="226" spans="3:30">
      <c r="C226" s="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AB226" s="23"/>
      <c r="AC226" s="23"/>
      <c r="AD226" s="23"/>
    </row>
    <row r="227" spans="3:30">
      <c r="C227" s="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AB227" s="23"/>
      <c r="AC227" s="23"/>
      <c r="AD227" s="23"/>
    </row>
    <row r="228" spans="3:30">
      <c r="C228" s="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AB228" s="23"/>
      <c r="AC228" s="23"/>
      <c r="AD228" s="23"/>
    </row>
    <row r="229" spans="3:30">
      <c r="C229" s="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AB229" s="23"/>
      <c r="AC229" s="23"/>
      <c r="AD229" s="23"/>
    </row>
    <row r="230" spans="3:30">
      <c r="C230" s="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AB230" s="23"/>
      <c r="AC230" s="23"/>
      <c r="AD230" s="23"/>
    </row>
    <row r="231" spans="3:30">
      <c r="C231" s="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AB231" s="23"/>
      <c r="AC231" s="23"/>
      <c r="AD231" s="23"/>
    </row>
    <row r="232" spans="3:30">
      <c r="C232" s="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AB232" s="23"/>
      <c r="AC232" s="23"/>
      <c r="AD232" s="23"/>
    </row>
    <row r="233" spans="3:30">
      <c r="C233" s="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AB233" s="23"/>
      <c r="AC233" s="23"/>
      <c r="AD233" s="23"/>
    </row>
    <row r="234" spans="3:30">
      <c r="C234" s="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AB234" s="23"/>
      <c r="AC234" s="23"/>
      <c r="AD234" s="23"/>
    </row>
    <row r="235" spans="3:30">
      <c r="C235" s="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AB235" s="23"/>
      <c r="AC235" s="23"/>
      <c r="AD235" s="23"/>
    </row>
    <row r="236" spans="3:30">
      <c r="C236" s="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AB236" s="23"/>
      <c r="AC236" s="23"/>
      <c r="AD236" s="23"/>
    </row>
    <row r="237" spans="3:30">
      <c r="C237" s="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AB237" s="23"/>
      <c r="AC237" s="23"/>
      <c r="AD237" s="23"/>
    </row>
    <row r="238" spans="3:30">
      <c r="C238" s="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AB238" s="23"/>
      <c r="AC238" s="23"/>
      <c r="AD238" s="23"/>
    </row>
    <row r="239" spans="3:30">
      <c r="C239" s="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AB239" s="23"/>
      <c r="AC239" s="23"/>
      <c r="AD239" s="23"/>
    </row>
    <row r="240" spans="3:30">
      <c r="C240" s="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AB240" s="23"/>
      <c r="AC240" s="23"/>
      <c r="AD240" s="23"/>
    </row>
    <row r="241" spans="3:30">
      <c r="C241" s="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AB241" s="23"/>
      <c r="AC241" s="23"/>
      <c r="AD241" s="23"/>
    </row>
    <row r="242" spans="3:30">
      <c r="C242" s="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AB242" s="23"/>
      <c r="AC242" s="23"/>
      <c r="AD242" s="23"/>
    </row>
    <row r="243" spans="3:30">
      <c r="C243" s="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AB243" s="23"/>
      <c r="AC243" s="23"/>
      <c r="AD243" s="23"/>
    </row>
    <row r="244" spans="3:30">
      <c r="C244" s="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AB244" s="23"/>
      <c r="AC244" s="23"/>
      <c r="AD244" s="23"/>
    </row>
    <row r="245" spans="3:30">
      <c r="C245" s="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AB245" s="23"/>
      <c r="AC245" s="23"/>
      <c r="AD245" s="23"/>
    </row>
    <row r="246" spans="3:30">
      <c r="C246" s="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AB246" s="23"/>
      <c r="AC246" s="23"/>
      <c r="AD246" s="23"/>
    </row>
    <row r="247" spans="3:30"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AB247" s="23"/>
      <c r="AC247" s="23"/>
      <c r="AD247" s="23"/>
    </row>
    <row r="248" spans="3:30"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AB248" s="23"/>
      <c r="AC248" s="23"/>
      <c r="AD248" s="23"/>
    </row>
    <row r="249" spans="3:30"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AB249" s="23"/>
      <c r="AC249" s="23"/>
      <c r="AD249" s="23"/>
    </row>
    <row r="250" spans="3:30"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AB250" s="23"/>
      <c r="AC250" s="23"/>
      <c r="AD250" s="23"/>
    </row>
    <row r="251" spans="3:30"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AB251" s="23"/>
      <c r="AC251" s="23"/>
      <c r="AD251" s="23"/>
    </row>
    <row r="252" spans="3:30"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AB252" s="23"/>
      <c r="AC252" s="23"/>
      <c r="AD252" s="23"/>
    </row>
    <row r="253" spans="3:30">
      <c r="C253" s="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AB253" s="23"/>
      <c r="AC253" s="23"/>
      <c r="AD253" s="23"/>
    </row>
    <row r="254" spans="3:30">
      <c r="C254" s="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AB254" s="23"/>
      <c r="AC254" s="23"/>
      <c r="AD254" s="23"/>
    </row>
    <row r="255" spans="3:30">
      <c r="C255" s="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AB255" s="23"/>
      <c r="AC255" s="23"/>
      <c r="AD255" s="23"/>
    </row>
    <row r="256" spans="3:30">
      <c r="C256" s="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AB256" s="23"/>
      <c r="AC256" s="23"/>
      <c r="AD256" s="23"/>
    </row>
    <row r="257" spans="3:30">
      <c r="C257" s="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AB257" s="23"/>
      <c r="AC257" s="23"/>
      <c r="AD257" s="23"/>
    </row>
    <row r="258" spans="3:30">
      <c r="C258" s="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AB258" s="23"/>
      <c r="AC258" s="23"/>
      <c r="AD258" s="23"/>
    </row>
    <row r="259" spans="3:30">
      <c r="C259" s="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AB259" s="23"/>
      <c r="AC259" s="23"/>
      <c r="AD259" s="23"/>
    </row>
    <row r="260" spans="3:30">
      <c r="C260" s="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AB260" s="23"/>
      <c r="AC260" s="23"/>
      <c r="AD260" s="23"/>
    </row>
    <row r="261" spans="3:30">
      <c r="C261" s="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AB261" s="23"/>
      <c r="AC261" s="23"/>
      <c r="AD261" s="23"/>
    </row>
    <row r="262" spans="3:30">
      <c r="C262" s="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AB262" s="23"/>
      <c r="AC262" s="23"/>
      <c r="AD262" s="23"/>
    </row>
    <row r="263" spans="3:30">
      <c r="C263" s="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AB263" s="23"/>
      <c r="AC263" s="23"/>
      <c r="AD263" s="23"/>
    </row>
    <row r="264" spans="3:30">
      <c r="C264" s="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AB264" s="23"/>
      <c r="AC264" s="23"/>
      <c r="AD264" s="23"/>
    </row>
    <row r="265" spans="3:30">
      <c r="C265" s="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AB265" s="23"/>
      <c r="AC265" s="23"/>
      <c r="AD265" s="23"/>
    </row>
    <row r="266" spans="3:30">
      <c r="C266" s="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AB266" s="23"/>
      <c r="AC266" s="23"/>
      <c r="AD266" s="23"/>
    </row>
    <row r="267" spans="3:30">
      <c r="C267" s="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AB267" s="23"/>
      <c r="AC267" s="23"/>
      <c r="AD267" s="23"/>
    </row>
    <row r="268" spans="3:30">
      <c r="C268" s="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AB268" s="23"/>
      <c r="AC268" s="23"/>
      <c r="AD268" s="23"/>
    </row>
    <row r="269" spans="3:30">
      <c r="C269" s="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AB269" s="23"/>
      <c r="AC269" s="23"/>
      <c r="AD269" s="23"/>
    </row>
    <row r="270" spans="3:30">
      <c r="C270" s="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AB270" s="23"/>
      <c r="AC270" s="23"/>
      <c r="AD270" s="23"/>
    </row>
    <row r="271" spans="3:30">
      <c r="C271" s="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AB271" s="23"/>
      <c r="AC271" s="23"/>
      <c r="AD271" s="23"/>
    </row>
    <row r="272" spans="3:30">
      <c r="C272" s="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AB272" s="23"/>
      <c r="AC272" s="23"/>
      <c r="AD272" s="23"/>
    </row>
    <row r="273" spans="3:30">
      <c r="C273" s="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AB273" s="23"/>
      <c r="AC273" s="23"/>
      <c r="AD273" s="23"/>
    </row>
    <row r="274" spans="3:30">
      <c r="C274" s="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AB274" s="23"/>
      <c r="AC274" s="23"/>
      <c r="AD274" s="23"/>
    </row>
    <row r="275" spans="3:30">
      <c r="C275" s="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AB275" s="23"/>
      <c r="AC275" s="23"/>
      <c r="AD275" s="23"/>
    </row>
    <row r="276" spans="3:30">
      <c r="C276" s="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AB276" s="23"/>
      <c r="AC276" s="23"/>
      <c r="AD276" s="23"/>
    </row>
    <row r="277" spans="3:30">
      <c r="C277" s="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AB277" s="23"/>
      <c r="AC277" s="23"/>
      <c r="AD277" s="23"/>
    </row>
    <row r="278" spans="3:30">
      <c r="C278" s="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AB278" s="23"/>
      <c r="AC278" s="23"/>
      <c r="AD278" s="23"/>
    </row>
    <row r="279" spans="3:30">
      <c r="C279" s="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AB279" s="23"/>
      <c r="AC279" s="23"/>
      <c r="AD279" s="23"/>
    </row>
    <row r="280" spans="3:30">
      <c r="C280" s="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AB280" s="23"/>
      <c r="AC280" s="23"/>
      <c r="AD280" s="23"/>
    </row>
    <row r="281" spans="3:30">
      <c r="C281" s="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AB281" s="23"/>
      <c r="AC281" s="23"/>
      <c r="AD281" s="23"/>
    </row>
    <row r="282" spans="3:30">
      <c r="C282" s="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AB282" s="23"/>
      <c r="AC282" s="23"/>
      <c r="AD282" s="23"/>
    </row>
    <row r="283" spans="3:30">
      <c r="C283" s="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AB283" s="23"/>
      <c r="AC283" s="23"/>
      <c r="AD283" s="23"/>
    </row>
    <row r="284" spans="3:30">
      <c r="C284" s="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AB284" s="23"/>
      <c r="AC284" s="23"/>
      <c r="AD284" s="23"/>
    </row>
    <row r="285" spans="3:30">
      <c r="C285" s="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AB285" s="23"/>
      <c r="AC285" s="23"/>
      <c r="AD285" s="23"/>
    </row>
    <row r="286" spans="3:30">
      <c r="C286" s="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AB286" s="23"/>
      <c r="AC286" s="23"/>
      <c r="AD286" s="23"/>
    </row>
    <row r="287" spans="3:30">
      <c r="C287" s="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AB287" s="23"/>
      <c r="AC287" s="23"/>
      <c r="AD287" s="23"/>
    </row>
    <row r="288" spans="3:30">
      <c r="C288" s="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AB288" s="23"/>
      <c r="AC288" s="23"/>
      <c r="AD288" s="23"/>
    </row>
    <row r="289" spans="3:30">
      <c r="C289" s="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AB289" s="23"/>
      <c r="AC289" s="23"/>
      <c r="AD289" s="23"/>
    </row>
    <row r="290" spans="3:30">
      <c r="C290" s="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AB290" s="23"/>
      <c r="AC290" s="23"/>
      <c r="AD290" s="23"/>
    </row>
    <row r="291" spans="3:30">
      <c r="C291" s="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AB291" s="23"/>
      <c r="AC291" s="23"/>
      <c r="AD291" s="23"/>
    </row>
    <row r="292" spans="3:30">
      <c r="C292" s="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AB292" s="23"/>
      <c r="AC292" s="23"/>
      <c r="AD292" s="23"/>
    </row>
    <row r="293" spans="3:30">
      <c r="C293" s="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AB293" s="23"/>
      <c r="AC293" s="23"/>
      <c r="AD293" s="23"/>
    </row>
    <row r="294" spans="3:30">
      <c r="C294" s="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AB294" s="23"/>
      <c r="AC294" s="23"/>
      <c r="AD294" s="23"/>
    </row>
    <row r="295" spans="3:30">
      <c r="C295" s="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AB295" s="23"/>
      <c r="AC295" s="23"/>
      <c r="AD295" s="23"/>
    </row>
    <row r="296" spans="3:30">
      <c r="C296" s="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AB296" s="23"/>
      <c r="AC296" s="23"/>
      <c r="AD296" s="23"/>
    </row>
    <row r="297" spans="3:30">
      <c r="C297" s="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AB297" s="23"/>
      <c r="AC297" s="23"/>
      <c r="AD297" s="23"/>
    </row>
    <row r="298" spans="3:30">
      <c r="C298" s="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AB298" s="23"/>
      <c r="AC298" s="23"/>
      <c r="AD298" s="23"/>
    </row>
    <row r="299" spans="3:30">
      <c r="C299" s="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AB299" s="23"/>
      <c r="AC299" s="23"/>
      <c r="AD299" s="23"/>
    </row>
    <row r="300" spans="3:30">
      <c r="C300" s="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AB300" s="23"/>
      <c r="AC300" s="23"/>
      <c r="AD300" s="23"/>
    </row>
    <row r="301" spans="3:30">
      <c r="C301" s="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AB301" s="23"/>
      <c r="AC301" s="23"/>
      <c r="AD301" s="23"/>
    </row>
    <row r="302" spans="3:30">
      <c r="C302" s="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AB302" s="23"/>
      <c r="AC302" s="23"/>
      <c r="AD302" s="23"/>
    </row>
    <row r="303" spans="3:30">
      <c r="C303" s="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AB303" s="23"/>
      <c r="AC303" s="23"/>
      <c r="AD303" s="23"/>
    </row>
    <row r="304" spans="3:30">
      <c r="C304" s="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AB304" s="23"/>
      <c r="AC304" s="23"/>
      <c r="AD304" s="23"/>
    </row>
    <row r="305" spans="3:30">
      <c r="C305" s="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AB305" s="23"/>
      <c r="AC305" s="23"/>
      <c r="AD305" s="23"/>
    </row>
    <row r="306" spans="3:30">
      <c r="C306" s="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AB306" s="23"/>
      <c r="AC306" s="23"/>
      <c r="AD306" s="23"/>
    </row>
    <row r="307" spans="3:30">
      <c r="C307" s="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AB307" s="23"/>
      <c r="AC307" s="23"/>
      <c r="AD307" s="23"/>
    </row>
    <row r="308" spans="3:30">
      <c r="C308" s="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AB308" s="23"/>
      <c r="AC308" s="23"/>
      <c r="AD308" s="23"/>
    </row>
    <row r="309" spans="3:30">
      <c r="C309" s="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AB309" s="23"/>
      <c r="AC309" s="23"/>
      <c r="AD309" s="23"/>
    </row>
    <row r="310" spans="3:30">
      <c r="C310" s="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AB310" s="23"/>
      <c r="AC310" s="23"/>
      <c r="AD310" s="23"/>
    </row>
    <row r="311" spans="3:30">
      <c r="C311" s="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AB311" s="23"/>
      <c r="AC311" s="23"/>
      <c r="AD311" s="23"/>
    </row>
    <row r="312" spans="3:30">
      <c r="C312" s="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AB312" s="23"/>
      <c r="AC312" s="23"/>
      <c r="AD312" s="23"/>
    </row>
    <row r="313" spans="3:30">
      <c r="C313" s="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AB313" s="23"/>
      <c r="AC313" s="23"/>
      <c r="AD313" s="23"/>
    </row>
    <row r="314" spans="3:30">
      <c r="C314" s="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AB314" s="23"/>
      <c r="AC314" s="23"/>
      <c r="AD314" s="23"/>
    </row>
    <row r="315" spans="3:30">
      <c r="C315" s="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AB315" s="23"/>
      <c r="AC315" s="23"/>
      <c r="AD315" s="23"/>
    </row>
    <row r="316" spans="3:30">
      <c r="C316" s="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AB316" s="23"/>
      <c r="AC316" s="23"/>
      <c r="AD316" s="23"/>
    </row>
    <row r="317" spans="3:30">
      <c r="C317" s="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AB317" s="23"/>
      <c r="AC317" s="23"/>
      <c r="AD317" s="23"/>
    </row>
    <row r="318" spans="3:30">
      <c r="C318" s="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AB318" s="23"/>
      <c r="AC318" s="23"/>
      <c r="AD318" s="23"/>
    </row>
    <row r="319" spans="3:30">
      <c r="C319" s="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AB319" s="23"/>
      <c r="AC319" s="23"/>
      <c r="AD319" s="23"/>
    </row>
    <row r="320" spans="3:30">
      <c r="C320" s="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AB320" s="23"/>
      <c r="AC320" s="23"/>
      <c r="AD320" s="23"/>
    </row>
    <row r="321" spans="3:30">
      <c r="C321" s="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AB321" s="23"/>
      <c r="AC321" s="23"/>
      <c r="AD321" s="23"/>
    </row>
    <row r="322" spans="3:30">
      <c r="C322" s="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AB322" s="23"/>
      <c r="AC322" s="23"/>
      <c r="AD322" s="23"/>
    </row>
    <row r="323" spans="3:30">
      <c r="C323" s="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AB323" s="23"/>
      <c r="AC323" s="23"/>
      <c r="AD323" s="23"/>
    </row>
    <row r="324" spans="3:30">
      <c r="C324" s="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AB324" s="23"/>
      <c r="AC324" s="23"/>
      <c r="AD324" s="23"/>
    </row>
    <row r="325" spans="3:30">
      <c r="C325" s="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AB325" s="23"/>
      <c r="AC325" s="23"/>
      <c r="AD325" s="23"/>
    </row>
    <row r="326" spans="3:30">
      <c r="C326" s="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AB326" s="23"/>
      <c r="AC326" s="23"/>
      <c r="AD326" s="23"/>
    </row>
    <row r="327" spans="3:30">
      <c r="C327" s="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AB327" s="23"/>
      <c r="AC327" s="23"/>
      <c r="AD327" s="23"/>
    </row>
    <row r="328" spans="3:30">
      <c r="C328" s="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AB328" s="23"/>
      <c r="AC328" s="23"/>
      <c r="AD328" s="23"/>
    </row>
    <row r="329" spans="3:30">
      <c r="C329" s="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AB329" s="23"/>
      <c r="AC329" s="23"/>
      <c r="AD329" s="23"/>
    </row>
    <row r="330" spans="3:30">
      <c r="C330" s="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AB330" s="23"/>
      <c r="AC330" s="23"/>
      <c r="AD330" s="23"/>
    </row>
    <row r="331" spans="3:30">
      <c r="C331" s="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AB331" s="23"/>
      <c r="AC331" s="23"/>
      <c r="AD331" s="23"/>
    </row>
    <row r="332" spans="3:30">
      <c r="C332" s="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AB332" s="23"/>
      <c r="AC332" s="23"/>
      <c r="AD332" s="23"/>
    </row>
    <row r="333" spans="3:30">
      <c r="C333" s="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AB333" s="23"/>
      <c r="AC333" s="23"/>
      <c r="AD333" s="23"/>
    </row>
    <row r="334" spans="3:30">
      <c r="C334" s="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AB334" s="23"/>
      <c r="AC334" s="23"/>
      <c r="AD334" s="23"/>
    </row>
    <row r="335" spans="3:30">
      <c r="C335" s="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AB335" s="23"/>
      <c r="AC335" s="23"/>
      <c r="AD335" s="23"/>
    </row>
    <row r="336" spans="3:30">
      <c r="C336" s="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AB336" s="23"/>
      <c r="AC336" s="23"/>
      <c r="AD336" s="23"/>
    </row>
    <row r="337" spans="3:30">
      <c r="C337" s="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AB337" s="23"/>
      <c r="AC337" s="23"/>
      <c r="AD337" s="23"/>
    </row>
    <row r="338" spans="3:30">
      <c r="C338" s="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AB338" s="23"/>
      <c r="AC338" s="23"/>
      <c r="AD338" s="23"/>
    </row>
    <row r="339" spans="3:30">
      <c r="C339" s="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AB339" s="23"/>
      <c r="AC339" s="23"/>
      <c r="AD339" s="23"/>
    </row>
    <row r="340" spans="3:30">
      <c r="C340" s="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AB340" s="23"/>
      <c r="AC340" s="23"/>
      <c r="AD340" s="23"/>
    </row>
    <row r="341" spans="3:30">
      <c r="C341" s="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AB341" s="23"/>
      <c r="AC341" s="23"/>
      <c r="AD341" s="23"/>
    </row>
    <row r="342" spans="3:30">
      <c r="C342" s="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AB342" s="23"/>
      <c r="AC342" s="23"/>
      <c r="AD342" s="23"/>
    </row>
    <row r="343" spans="3:30">
      <c r="C343" s="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AB343" s="23"/>
      <c r="AC343" s="23"/>
      <c r="AD343" s="23"/>
    </row>
    <row r="344" spans="3:30">
      <c r="C344" s="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AB344" s="23"/>
      <c r="AC344" s="23"/>
      <c r="AD344" s="23"/>
    </row>
    <row r="345" spans="3:30">
      <c r="C345" s="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AB345" s="23"/>
      <c r="AC345" s="23"/>
      <c r="AD345" s="23"/>
    </row>
    <row r="346" spans="3:30">
      <c r="C346" s="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AB346" s="23"/>
      <c r="AC346" s="23"/>
      <c r="AD346" s="23"/>
    </row>
    <row r="347" spans="3:30">
      <c r="C347" s="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AB347" s="23"/>
      <c r="AC347" s="23"/>
      <c r="AD347" s="23"/>
    </row>
    <row r="348" spans="3:30">
      <c r="C348" s="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AB348" s="23"/>
      <c r="AC348" s="23"/>
      <c r="AD348" s="23"/>
    </row>
    <row r="349" spans="3:30">
      <c r="C349" s="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AB349" s="23"/>
      <c r="AC349" s="23"/>
      <c r="AD349" s="23"/>
    </row>
    <row r="350" spans="3:30">
      <c r="C350" s="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AB350" s="23"/>
      <c r="AC350" s="23"/>
      <c r="AD350" s="23"/>
    </row>
    <row r="351" spans="3:30">
      <c r="C351" s="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AB351" s="23"/>
      <c r="AC351" s="23"/>
      <c r="AD351" s="23"/>
    </row>
    <row r="352" spans="3:30">
      <c r="C352" s="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AB352" s="23"/>
      <c r="AC352" s="23"/>
      <c r="AD352" s="23"/>
    </row>
    <row r="353" spans="3:30">
      <c r="C353" s="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AB353" s="23"/>
      <c r="AC353" s="23"/>
      <c r="AD353" s="23"/>
    </row>
    <row r="354" spans="3:30">
      <c r="C354" s="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AB354" s="23"/>
      <c r="AC354" s="23"/>
      <c r="AD354" s="23"/>
    </row>
    <row r="355" spans="3:30">
      <c r="C355" s="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AB355" s="23"/>
      <c r="AC355" s="23"/>
      <c r="AD355" s="23"/>
    </row>
    <row r="356" spans="3:30">
      <c r="C356" s="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AB356" s="23"/>
      <c r="AC356" s="23"/>
      <c r="AD356" s="23"/>
    </row>
    <row r="357" spans="3:30">
      <c r="C357" s="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AB357" s="23"/>
      <c r="AC357" s="23"/>
      <c r="AD357" s="23"/>
    </row>
    <row r="358" spans="3:30">
      <c r="C358" s="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AB358" s="23"/>
      <c r="AC358" s="23"/>
      <c r="AD358" s="23"/>
    </row>
    <row r="359" spans="3:30">
      <c r="C359" s="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AB359" s="23"/>
      <c r="AC359" s="23"/>
      <c r="AD359" s="23"/>
    </row>
    <row r="360" spans="3:30">
      <c r="C360" s="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AB360" s="23"/>
      <c r="AC360" s="23"/>
      <c r="AD360" s="23"/>
    </row>
    <row r="361" spans="3:30">
      <c r="C361" s="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AB361" s="23"/>
      <c r="AC361" s="23"/>
      <c r="AD361" s="23"/>
    </row>
    <row r="362" spans="3:30">
      <c r="C362" s="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AB362" s="23"/>
      <c r="AC362" s="23"/>
      <c r="AD362" s="23"/>
    </row>
    <row r="363" spans="3:30">
      <c r="C363" s="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AB363" s="23"/>
      <c r="AC363" s="23"/>
      <c r="AD363" s="23"/>
    </row>
    <row r="364" spans="3:30">
      <c r="C364" s="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AB364" s="23"/>
      <c r="AC364" s="23"/>
      <c r="AD364" s="23"/>
    </row>
    <row r="365" spans="3:30">
      <c r="C365" s="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AB365" s="23"/>
      <c r="AC365" s="23"/>
      <c r="AD365" s="23"/>
    </row>
    <row r="366" spans="3:30">
      <c r="C366" s="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AB366" s="23"/>
      <c r="AC366" s="23"/>
      <c r="AD366" s="23"/>
    </row>
    <row r="367" spans="3:30">
      <c r="C367" s="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AB367" s="23"/>
      <c r="AC367" s="23"/>
      <c r="AD367" s="23"/>
    </row>
    <row r="368" spans="3:30">
      <c r="C368" s="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AB368" s="23"/>
      <c r="AC368" s="23"/>
      <c r="AD368" s="23"/>
    </row>
    <row r="369" spans="3:30">
      <c r="C369" s="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AB369" s="23"/>
      <c r="AC369" s="23"/>
      <c r="AD369" s="23"/>
    </row>
    <row r="370" spans="3:30">
      <c r="C370" s="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AB370" s="23"/>
      <c r="AC370" s="23"/>
      <c r="AD370" s="23"/>
    </row>
    <row r="371" spans="3:30">
      <c r="C371" s="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AB371" s="23"/>
      <c r="AC371" s="23"/>
      <c r="AD371" s="23"/>
    </row>
    <row r="372" spans="3:30">
      <c r="C372" s="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AB372" s="23"/>
      <c r="AC372" s="23"/>
      <c r="AD372" s="23"/>
    </row>
    <row r="373" spans="3:30">
      <c r="C373" s="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AB373" s="23"/>
      <c r="AC373" s="23"/>
      <c r="AD373" s="23"/>
    </row>
    <row r="374" spans="3:30">
      <c r="C374" s="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AB374" s="23"/>
      <c r="AC374" s="23"/>
      <c r="AD374" s="23"/>
    </row>
    <row r="375" spans="3:30">
      <c r="C375" s="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AB375" s="23"/>
      <c r="AC375" s="23"/>
      <c r="AD375" s="23"/>
    </row>
    <row r="376" spans="3:30">
      <c r="C376" s="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AB376" s="23"/>
      <c r="AC376" s="23"/>
      <c r="AD376" s="23"/>
    </row>
    <row r="377" spans="3:30">
      <c r="C377" s="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AB377" s="23"/>
      <c r="AC377" s="23"/>
      <c r="AD377" s="23"/>
    </row>
    <row r="378" spans="3:30">
      <c r="C378" s="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AB378" s="23"/>
      <c r="AC378" s="23"/>
      <c r="AD378" s="23"/>
    </row>
    <row r="379" spans="3:30">
      <c r="C379" s="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AB379" s="23"/>
      <c r="AC379" s="23"/>
      <c r="AD379" s="23"/>
    </row>
    <row r="380" spans="3:30">
      <c r="C380" s="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AB380" s="23"/>
      <c r="AC380" s="23"/>
      <c r="AD380" s="23"/>
    </row>
    <row r="381" spans="3:30">
      <c r="C381" s="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AB381" s="23"/>
      <c r="AC381" s="23"/>
      <c r="AD381" s="23"/>
    </row>
    <row r="382" spans="3:30">
      <c r="C382" s="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AB382" s="23"/>
      <c r="AC382" s="23"/>
      <c r="AD382" s="23"/>
    </row>
    <row r="383" spans="3:30">
      <c r="C383" s="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AB383" s="23"/>
      <c r="AC383" s="23"/>
      <c r="AD383" s="23"/>
    </row>
    <row r="384" spans="3:30">
      <c r="C384" s="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AB384" s="23"/>
      <c r="AC384" s="23"/>
      <c r="AD384" s="23"/>
    </row>
    <row r="385" spans="3:30">
      <c r="C385" s="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AB385" s="23"/>
      <c r="AC385" s="23"/>
      <c r="AD385" s="23"/>
    </row>
    <row r="386" spans="3:30">
      <c r="C386" s="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AB386" s="23"/>
      <c r="AC386" s="23"/>
      <c r="AD386" s="23"/>
    </row>
    <row r="387" spans="3:30">
      <c r="C387" s="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AB387" s="23"/>
      <c r="AC387" s="23"/>
      <c r="AD387" s="23"/>
    </row>
    <row r="388" spans="3:30">
      <c r="C388" s="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AB388" s="23"/>
      <c r="AC388" s="23"/>
      <c r="AD388" s="23"/>
    </row>
    <row r="389" spans="3:30">
      <c r="C389" s="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AB389" s="23"/>
      <c r="AC389" s="23"/>
      <c r="AD389" s="23"/>
    </row>
    <row r="390" spans="3:30">
      <c r="C390" s="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AB390" s="23"/>
      <c r="AC390" s="23"/>
      <c r="AD390" s="23"/>
    </row>
    <row r="391" spans="3:30">
      <c r="C391" s="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AB391" s="23"/>
      <c r="AC391" s="23"/>
      <c r="AD391" s="23"/>
    </row>
    <row r="392" spans="3:30">
      <c r="C392" s="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AB392" s="23"/>
      <c r="AC392" s="23"/>
      <c r="AD392" s="23"/>
    </row>
    <row r="393" spans="3:30">
      <c r="C393" s="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AB393" s="23"/>
      <c r="AC393" s="23"/>
      <c r="AD393" s="23"/>
    </row>
    <row r="394" spans="3:30">
      <c r="C394" s="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AB394" s="23"/>
      <c r="AC394" s="23"/>
      <c r="AD394" s="23"/>
    </row>
    <row r="395" spans="3:30">
      <c r="C395" s="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AB395" s="23"/>
      <c r="AC395" s="23"/>
      <c r="AD395" s="23"/>
    </row>
    <row r="396" spans="3:30">
      <c r="C396" s="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AB396" s="23"/>
      <c r="AC396" s="23"/>
      <c r="AD396" s="23"/>
    </row>
    <row r="397" spans="3:30">
      <c r="C397" s="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AB397" s="23"/>
      <c r="AC397" s="23"/>
      <c r="AD397" s="23"/>
    </row>
    <row r="398" spans="3:30">
      <c r="C398" s="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AB398" s="23"/>
      <c r="AC398" s="23"/>
      <c r="AD398" s="23"/>
    </row>
    <row r="399" spans="3:30">
      <c r="C399" s="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AB399" s="23"/>
      <c r="AC399" s="23"/>
      <c r="AD399" s="23"/>
    </row>
    <row r="400" spans="3:30">
      <c r="C400" s="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AB400" s="23"/>
      <c r="AC400" s="23"/>
      <c r="AD400" s="23"/>
    </row>
    <row r="401" spans="3:30">
      <c r="C401" s="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AB401" s="23"/>
      <c r="AC401" s="23"/>
      <c r="AD401" s="23"/>
    </row>
    <row r="402" spans="3:30">
      <c r="C402" s="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AB402" s="23"/>
      <c r="AC402" s="23"/>
      <c r="AD402" s="23"/>
    </row>
    <row r="403" spans="3:30">
      <c r="C403" s="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AB403" s="23"/>
      <c r="AC403" s="23"/>
      <c r="AD403" s="23"/>
    </row>
    <row r="404" spans="3:30">
      <c r="C404" s="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AB404" s="23"/>
      <c r="AC404" s="23"/>
      <c r="AD404" s="23"/>
    </row>
    <row r="405" spans="3:30">
      <c r="C405" s="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AB405" s="23"/>
      <c r="AC405" s="23"/>
      <c r="AD405" s="23"/>
    </row>
    <row r="406" spans="3:30">
      <c r="C406" s="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AB406" s="23"/>
      <c r="AC406" s="23"/>
      <c r="AD406" s="23"/>
    </row>
    <row r="407" spans="3:30">
      <c r="C407" s="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AB407" s="23"/>
      <c r="AC407" s="23"/>
      <c r="AD407" s="23"/>
    </row>
    <row r="408" spans="3:30">
      <c r="C408" s="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AB408" s="23"/>
      <c r="AC408" s="23"/>
      <c r="AD408" s="23"/>
    </row>
    <row r="409" spans="3:30">
      <c r="C409" s="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AB409" s="23"/>
      <c r="AC409" s="23"/>
      <c r="AD409" s="23"/>
    </row>
    <row r="410" spans="3:30">
      <c r="C410" s="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AB410" s="23"/>
      <c r="AC410" s="23"/>
      <c r="AD410" s="23"/>
    </row>
    <row r="411" spans="3:30">
      <c r="C411" s="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AB411" s="23"/>
      <c r="AC411" s="23"/>
      <c r="AD411" s="23"/>
    </row>
    <row r="412" spans="3:30">
      <c r="C412" s="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AB412" s="23"/>
      <c r="AC412" s="23"/>
      <c r="AD412" s="23"/>
    </row>
    <row r="413" spans="3:30">
      <c r="C413" s="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AB413" s="23"/>
      <c r="AC413" s="23"/>
      <c r="AD413" s="23"/>
    </row>
    <row r="414" spans="3:30">
      <c r="C414" s="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AB414" s="23"/>
      <c r="AC414" s="23"/>
      <c r="AD414" s="23"/>
    </row>
    <row r="415" spans="3:30">
      <c r="C415" s="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AB415" s="23"/>
      <c r="AC415" s="23"/>
      <c r="AD415" s="23"/>
    </row>
    <row r="416" spans="3:30">
      <c r="C416" s="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AB416" s="23"/>
      <c r="AC416" s="23"/>
      <c r="AD416" s="23"/>
    </row>
    <row r="417" spans="3:30">
      <c r="C417" s="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AB417" s="23"/>
      <c r="AC417" s="23"/>
      <c r="AD417" s="23"/>
    </row>
    <row r="418" spans="3:30">
      <c r="C418" s="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AB418" s="23"/>
      <c r="AC418" s="23"/>
      <c r="AD418" s="23"/>
    </row>
    <row r="419" spans="3:30">
      <c r="C419" s="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AB419" s="23"/>
      <c r="AC419" s="23"/>
      <c r="AD419" s="23"/>
    </row>
    <row r="420" spans="3:30">
      <c r="C420" s="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AB420" s="23"/>
      <c r="AC420" s="23"/>
      <c r="AD420" s="23"/>
    </row>
    <row r="421" spans="3:30">
      <c r="C421" s="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AB421" s="23"/>
      <c r="AC421" s="23"/>
      <c r="AD421" s="23"/>
    </row>
    <row r="422" spans="3:30">
      <c r="C422" s="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AB422" s="23"/>
      <c r="AC422" s="23"/>
      <c r="AD422" s="23"/>
    </row>
    <row r="423" spans="3:30">
      <c r="C423" s="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AB423" s="23"/>
      <c r="AC423" s="23"/>
      <c r="AD423" s="23"/>
    </row>
    <row r="424" spans="3:30">
      <c r="C424" s="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AB424" s="23"/>
      <c r="AC424" s="23"/>
      <c r="AD424" s="23"/>
    </row>
    <row r="425" spans="3:30">
      <c r="C425" s="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AB425" s="23"/>
      <c r="AC425" s="23"/>
      <c r="AD425" s="23"/>
    </row>
    <row r="426" spans="3:30">
      <c r="C426" s="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AB426" s="23"/>
      <c r="AC426" s="23"/>
      <c r="AD426" s="23"/>
    </row>
    <row r="427" spans="3:30">
      <c r="C427" s="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AB427" s="23"/>
      <c r="AC427" s="23"/>
      <c r="AD427" s="23"/>
    </row>
    <row r="428" spans="3:30">
      <c r="C428" s="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AB428" s="23"/>
      <c r="AC428" s="23"/>
      <c r="AD428" s="23"/>
    </row>
    <row r="429" spans="3:30">
      <c r="C429" s="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AB429" s="23"/>
      <c r="AC429" s="23"/>
      <c r="AD429" s="23"/>
    </row>
    <row r="430" spans="3:30">
      <c r="C430" s="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AB430" s="23"/>
      <c r="AC430" s="23"/>
      <c r="AD430" s="23"/>
    </row>
    <row r="431" spans="3:30">
      <c r="C431" s="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AB431" s="23"/>
      <c r="AC431" s="23"/>
      <c r="AD431" s="23"/>
    </row>
    <row r="432" spans="3:30">
      <c r="C432" s="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AB432" s="23"/>
      <c r="AC432" s="23"/>
      <c r="AD432" s="23"/>
    </row>
    <row r="433" spans="3:30">
      <c r="C433" s="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AB433" s="23"/>
      <c r="AC433" s="23"/>
      <c r="AD433" s="23"/>
    </row>
    <row r="434" spans="3:30">
      <c r="C434" s="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AB434" s="23"/>
      <c r="AC434" s="23"/>
      <c r="AD434" s="23"/>
    </row>
    <row r="435" spans="3:30">
      <c r="C435" s="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AB435" s="23"/>
      <c r="AC435" s="23"/>
      <c r="AD435" s="23"/>
    </row>
    <row r="436" spans="3:30">
      <c r="C436" s="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AB436" s="23"/>
      <c r="AC436" s="23"/>
      <c r="AD436" s="23"/>
    </row>
    <row r="437" spans="3:30">
      <c r="C437" s="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AB437" s="23"/>
      <c r="AC437" s="23"/>
      <c r="AD437" s="23"/>
    </row>
    <row r="438" spans="3:30">
      <c r="C438" s="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AB438" s="23"/>
      <c r="AC438" s="23"/>
      <c r="AD438" s="23"/>
    </row>
    <row r="439" spans="3:30">
      <c r="C439" s="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AB439" s="23"/>
      <c r="AC439" s="23"/>
      <c r="AD439" s="23"/>
    </row>
    <row r="440" spans="3:30">
      <c r="C440" s="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AB440" s="23"/>
      <c r="AC440" s="23"/>
      <c r="AD440" s="23"/>
    </row>
    <row r="441" spans="3:30">
      <c r="C441" s="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AB441" s="23"/>
      <c r="AC441" s="23"/>
      <c r="AD441" s="23"/>
    </row>
    <row r="442" spans="3:30">
      <c r="C442" s="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AB442" s="23"/>
      <c r="AC442" s="23"/>
      <c r="AD442" s="23"/>
    </row>
    <row r="443" spans="3:30">
      <c r="C443" s="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AB443" s="23"/>
      <c r="AC443" s="23"/>
      <c r="AD443" s="23"/>
    </row>
    <row r="444" spans="3:30">
      <c r="C444" s="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AB444" s="23"/>
      <c r="AC444" s="23"/>
      <c r="AD444" s="23"/>
    </row>
    <row r="445" spans="3:30">
      <c r="C445" s="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AB445" s="23"/>
      <c r="AC445" s="23"/>
      <c r="AD445" s="23"/>
    </row>
    <row r="446" spans="3:30">
      <c r="C446" s="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AB446" s="23"/>
      <c r="AC446" s="23"/>
      <c r="AD446" s="23"/>
    </row>
    <row r="447" spans="3:30">
      <c r="C447" s="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AB447" s="23"/>
      <c r="AC447" s="23"/>
      <c r="AD447" s="23"/>
    </row>
    <row r="448" spans="3:30">
      <c r="C448" s="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AB448" s="23"/>
      <c r="AC448" s="23"/>
      <c r="AD448" s="23"/>
    </row>
    <row r="449" spans="3:30">
      <c r="C449" s="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AB449" s="23"/>
      <c r="AC449" s="23"/>
      <c r="AD449" s="23"/>
    </row>
    <row r="450" spans="3:30">
      <c r="C450" s="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AB450" s="23"/>
      <c r="AC450" s="23"/>
      <c r="AD450" s="23"/>
    </row>
    <row r="451" spans="3:30">
      <c r="C451" s="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AB451" s="23"/>
      <c r="AC451" s="23"/>
      <c r="AD451" s="23"/>
    </row>
    <row r="452" spans="3:30">
      <c r="C452" s="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AB452" s="23"/>
      <c r="AC452" s="23"/>
      <c r="AD452" s="23"/>
    </row>
    <row r="453" spans="3:30">
      <c r="C453" s="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AB453" s="23"/>
      <c r="AC453" s="23"/>
      <c r="AD453" s="23"/>
    </row>
    <row r="454" spans="3:30">
      <c r="C454" s="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AB454" s="23"/>
      <c r="AC454" s="23"/>
      <c r="AD454" s="23"/>
    </row>
    <row r="455" spans="3:30">
      <c r="C455" s="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AB455" s="23"/>
      <c r="AC455" s="23"/>
      <c r="AD455" s="23"/>
    </row>
    <row r="456" spans="3:30">
      <c r="C456" s="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AB456" s="23"/>
      <c r="AC456" s="23"/>
      <c r="AD456" s="23"/>
    </row>
    <row r="457" spans="3:30">
      <c r="C457" s="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AB457" s="23"/>
      <c r="AC457" s="23"/>
      <c r="AD457" s="23"/>
    </row>
    <row r="458" spans="3:30">
      <c r="C458" s="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AB458" s="23"/>
      <c r="AC458" s="23"/>
      <c r="AD458" s="23"/>
    </row>
    <row r="459" spans="3:30">
      <c r="C459" s="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AB459" s="23"/>
      <c r="AC459" s="23"/>
      <c r="AD459" s="23"/>
    </row>
    <row r="460" spans="3:30">
      <c r="C460" s="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AB460" s="23"/>
      <c r="AC460" s="23"/>
      <c r="AD460" s="23"/>
    </row>
    <row r="461" spans="3:30">
      <c r="C461" s="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AB461" s="23"/>
      <c r="AC461" s="23"/>
      <c r="AD461" s="23"/>
    </row>
    <row r="462" spans="3:30">
      <c r="C462" s="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AB462" s="23"/>
      <c r="AC462" s="23"/>
      <c r="AD462" s="23"/>
    </row>
    <row r="463" spans="3:30">
      <c r="C463" s="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AB463" s="23"/>
      <c r="AC463" s="23"/>
      <c r="AD463" s="23"/>
    </row>
    <row r="464" spans="3:30">
      <c r="C464" s="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AB464" s="23"/>
      <c r="AC464" s="23"/>
      <c r="AD464" s="23"/>
    </row>
    <row r="465" spans="3:30">
      <c r="C465" s="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AB465" s="23"/>
      <c r="AC465" s="23"/>
      <c r="AD465" s="23"/>
    </row>
    <row r="466" spans="3:30">
      <c r="C466" s="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AB466" s="23"/>
      <c r="AC466" s="23"/>
      <c r="AD466" s="23"/>
    </row>
    <row r="467" spans="3:30">
      <c r="C467" s="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AB467" s="23"/>
      <c r="AC467" s="23"/>
      <c r="AD467" s="23"/>
    </row>
    <row r="468" spans="3:30">
      <c r="C468" s="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AB468" s="23"/>
      <c r="AC468" s="23"/>
      <c r="AD468" s="23"/>
    </row>
    <row r="469" spans="3:30">
      <c r="C469" s="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AB469" s="23"/>
      <c r="AC469" s="23"/>
      <c r="AD469" s="23"/>
    </row>
    <row r="470" spans="3:30">
      <c r="C470" s="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AB470" s="23"/>
      <c r="AC470" s="23"/>
      <c r="AD470" s="23"/>
    </row>
    <row r="471" spans="3:30">
      <c r="C471" s="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AB471" s="23"/>
      <c r="AC471" s="23"/>
      <c r="AD471" s="23"/>
    </row>
    <row r="472" spans="3:30">
      <c r="C472" s="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AB472" s="23"/>
      <c r="AC472" s="23"/>
      <c r="AD472" s="23"/>
    </row>
    <row r="473" spans="3:30">
      <c r="C473" s="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AB473" s="23"/>
      <c r="AC473" s="23"/>
      <c r="AD473" s="23"/>
    </row>
    <row r="474" spans="3:30">
      <c r="C474" s="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AB474" s="23"/>
      <c r="AC474" s="23"/>
      <c r="AD474" s="23"/>
    </row>
    <row r="475" spans="3:30">
      <c r="C475" s="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AB475" s="23"/>
      <c r="AC475" s="23"/>
      <c r="AD475" s="23"/>
    </row>
    <row r="476" spans="3:30">
      <c r="C476" s="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AB476" s="23"/>
      <c r="AC476" s="23"/>
      <c r="AD476" s="23"/>
    </row>
    <row r="477" spans="3:30">
      <c r="C477" s="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AB477" s="23"/>
      <c r="AC477" s="23"/>
      <c r="AD477" s="23"/>
    </row>
    <row r="478" spans="3:30">
      <c r="C478" s="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AB478" s="23"/>
      <c r="AC478" s="23"/>
      <c r="AD478" s="23"/>
    </row>
    <row r="479" spans="3:30">
      <c r="C479" s="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AB479" s="23"/>
      <c r="AC479" s="23"/>
      <c r="AD479" s="23"/>
    </row>
    <row r="480" spans="3:30">
      <c r="C480" s="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AB480" s="23"/>
      <c r="AC480" s="23"/>
      <c r="AD480" s="23"/>
    </row>
    <row r="481" spans="3:30">
      <c r="C481" s="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AB481" s="23"/>
      <c r="AC481" s="23"/>
      <c r="AD481" s="23"/>
    </row>
    <row r="482" spans="3:30">
      <c r="C482" s="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AB482" s="23"/>
      <c r="AC482" s="23"/>
      <c r="AD482" s="23"/>
    </row>
    <row r="483" spans="3:30">
      <c r="C483" s="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AB483" s="23"/>
      <c r="AC483" s="23"/>
      <c r="AD483" s="23"/>
    </row>
    <row r="484" spans="3:30">
      <c r="C484" s="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AB484" s="23"/>
      <c r="AC484" s="23"/>
      <c r="AD484" s="23"/>
    </row>
    <row r="485" spans="3:30">
      <c r="C485" s="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AB485" s="23"/>
      <c r="AC485" s="23"/>
      <c r="AD485" s="23"/>
    </row>
    <row r="486" spans="3:30">
      <c r="C486" s="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AB486" s="23"/>
      <c r="AC486" s="23"/>
      <c r="AD486" s="23"/>
    </row>
    <row r="487" spans="3:30">
      <c r="C487" s="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AB487" s="23"/>
      <c r="AC487" s="23"/>
      <c r="AD487" s="23"/>
    </row>
    <row r="488" spans="3:30">
      <c r="C488" s="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AB488" s="23"/>
      <c r="AC488" s="23"/>
      <c r="AD488" s="23"/>
    </row>
    <row r="489" spans="3:30">
      <c r="C489" s="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AB489" s="23"/>
      <c r="AC489" s="23"/>
      <c r="AD489" s="23"/>
    </row>
    <row r="490" spans="3:30">
      <c r="C490" s="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AB490" s="23"/>
      <c r="AC490" s="23"/>
      <c r="AD490" s="23"/>
    </row>
    <row r="491" spans="3:30">
      <c r="C491" s="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AB491" s="23"/>
      <c r="AC491" s="23"/>
      <c r="AD491" s="23"/>
    </row>
    <row r="492" spans="3:30">
      <c r="C492" s="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AB492" s="23"/>
      <c r="AC492" s="23"/>
      <c r="AD492" s="23"/>
    </row>
    <row r="493" spans="3:30">
      <c r="C493" s="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AB493" s="23"/>
      <c r="AC493" s="23"/>
      <c r="AD493" s="23"/>
    </row>
    <row r="494" spans="3:30">
      <c r="C494" s="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AB494" s="23"/>
      <c r="AC494" s="23"/>
      <c r="AD494" s="23"/>
    </row>
    <row r="495" spans="3:30">
      <c r="C495" s="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AB495" s="23"/>
      <c r="AC495" s="23"/>
      <c r="AD495" s="23"/>
    </row>
    <row r="496" spans="3:30">
      <c r="C496" s="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AB496" s="23"/>
      <c r="AC496" s="23"/>
      <c r="AD496" s="23"/>
    </row>
    <row r="497" spans="3:30">
      <c r="C497" s="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AB497" s="23"/>
      <c r="AC497" s="23"/>
      <c r="AD497" s="23"/>
    </row>
    <row r="498" spans="3:30">
      <c r="C498" s="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AB498" s="23"/>
      <c r="AC498" s="23"/>
      <c r="AD498" s="23"/>
    </row>
    <row r="499" spans="3:30">
      <c r="C499" s="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AB499" s="23"/>
      <c r="AC499" s="23"/>
      <c r="AD499" s="23"/>
    </row>
    <row r="500" spans="3:30">
      <c r="C500" s="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AB500" s="23"/>
      <c r="AC500" s="23"/>
      <c r="AD500" s="23"/>
    </row>
    <row r="501" spans="3:30">
      <c r="C501" s="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AB501" s="23"/>
      <c r="AC501" s="23"/>
      <c r="AD501" s="23"/>
    </row>
    <row r="502" spans="3:30">
      <c r="C502" s="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AB502" s="23"/>
      <c r="AC502" s="23"/>
      <c r="AD502" s="23"/>
    </row>
    <row r="503" spans="3:30">
      <c r="C503" s="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AB503" s="23"/>
      <c r="AC503" s="23"/>
      <c r="AD503" s="23"/>
    </row>
    <row r="504" spans="3:30">
      <c r="C504" s="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AB504" s="23"/>
      <c r="AC504" s="23"/>
      <c r="AD504" s="23"/>
    </row>
    <row r="505" spans="3:30">
      <c r="C505" s="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AB505" s="23"/>
      <c r="AC505" s="23"/>
      <c r="AD505" s="23"/>
    </row>
    <row r="506" spans="3:30">
      <c r="C506" s="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AB506" s="23"/>
      <c r="AC506" s="23"/>
      <c r="AD506" s="23"/>
    </row>
    <row r="507" spans="3:30">
      <c r="C507" s="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AB507" s="23"/>
      <c r="AC507" s="23"/>
      <c r="AD507" s="23"/>
    </row>
    <row r="508" spans="3:30">
      <c r="C508" s="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AB508" s="23"/>
      <c r="AC508" s="23"/>
      <c r="AD508" s="23"/>
    </row>
    <row r="509" spans="3:30">
      <c r="C509" s="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AB509" s="23"/>
      <c r="AC509" s="23"/>
      <c r="AD509" s="23"/>
    </row>
    <row r="510" spans="3:30">
      <c r="C510" s="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AB510" s="23"/>
      <c r="AC510" s="23"/>
      <c r="AD510" s="23"/>
    </row>
    <row r="511" spans="3:30">
      <c r="C511" s="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AB511" s="23"/>
      <c r="AC511" s="23"/>
      <c r="AD511" s="23"/>
    </row>
    <row r="512" spans="3:30">
      <c r="C512" s="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AB512" s="23"/>
      <c r="AC512" s="23"/>
      <c r="AD512" s="23"/>
    </row>
    <row r="513" spans="3:30">
      <c r="C513" s="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AB513" s="23"/>
      <c r="AC513" s="23"/>
      <c r="AD513" s="23"/>
    </row>
    <row r="514" spans="3:30">
      <c r="C514" s="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AB514" s="23"/>
      <c r="AC514" s="23"/>
      <c r="AD514" s="23"/>
    </row>
    <row r="515" spans="3:30">
      <c r="C515" s="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AB515" s="23"/>
      <c r="AC515" s="23"/>
      <c r="AD515" s="23"/>
    </row>
    <row r="516" spans="3:30">
      <c r="C516" s="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AB516" s="23"/>
      <c r="AC516" s="23"/>
      <c r="AD516" s="23"/>
    </row>
    <row r="517" spans="3:30">
      <c r="C517" s="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AB517" s="23"/>
      <c r="AC517" s="23"/>
      <c r="AD517" s="23"/>
    </row>
    <row r="518" spans="3:30">
      <c r="C518" s="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AB518" s="23"/>
      <c r="AC518" s="23"/>
      <c r="AD518" s="23"/>
    </row>
    <row r="519" spans="3:30">
      <c r="C519" s="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AB519" s="23"/>
      <c r="AC519" s="23"/>
      <c r="AD519" s="23"/>
    </row>
    <row r="520" spans="3:30">
      <c r="C520" s="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AB520" s="23"/>
      <c r="AC520" s="23"/>
      <c r="AD520" s="23"/>
    </row>
    <row r="521" spans="3:30">
      <c r="C521" s="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AB521" s="23"/>
      <c r="AC521" s="23"/>
      <c r="AD521" s="23"/>
    </row>
    <row r="522" spans="3:30">
      <c r="C522" s="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AB522" s="23"/>
      <c r="AC522" s="23"/>
      <c r="AD522" s="23"/>
    </row>
    <row r="523" spans="3:30">
      <c r="C523" s="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AB523" s="23"/>
      <c r="AC523" s="23"/>
      <c r="AD523" s="23"/>
    </row>
    <row r="524" spans="3:30">
      <c r="C524" s="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AB524" s="23"/>
      <c r="AC524" s="23"/>
      <c r="AD524" s="23"/>
    </row>
    <row r="525" spans="3:30">
      <c r="C525" s="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AB525" s="23"/>
      <c r="AC525" s="23"/>
      <c r="AD525" s="23"/>
    </row>
    <row r="526" spans="3:30">
      <c r="C526" s="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AB526" s="23"/>
      <c r="AC526" s="23"/>
      <c r="AD526" s="23"/>
    </row>
    <row r="527" spans="3:30">
      <c r="C527" s="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AB527" s="23"/>
      <c r="AC527" s="23"/>
      <c r="AD527" s="23"/>
    </row>
    <row r="528" spans="3:30">
      <c r="C528" s="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AB528" s="23"/>
      <c r="AC528" s="23"/>
      <c r="AD528" s="23"/>
    </row>
    <row r="529" spans="3:30">
      <c r="C529" s="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AB529" s="23"/>
      <c r="AC529" s="23"/>
      <c r="AD529" s="23"/>
    </row>
    <row r="530" spans="3:30">
      <c r="C530" s="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AB530" s="23"/>
      <c r="AC530" s="23"/>
      <c r="AD530" s="23"/>
    </row>
    <row r="531" spans="3:30">
      <c r="C531" s="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AB531" s="23"/>
      <c r="AC531" s="23"/>
      <c r="AD531" s="23"/>
    </row>
    <row r="532" spans="3:30">
      <c r="C532" s="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AB532" s="23"/>
      <c r="AC532" s="23"/>
      <c r="AD532" s="23"/>
    </row>
    <row r="533" spans="3:30">
      <c r="C533" s="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AB533" s="23"/>
      <c r="AC533" s="23"/>
      <c r="AD533" s="23"/>
    </row>
    <row r="534" spans="3:30">
      <c r="C534" s="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AB534" s="23"/>
      <c r="AC534" s="23"/>
      <c r="AD534" s="23"/>
    </row>
    <row r="535" spans="3:30">
      <c r="C535" s="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AB535" s="23"/>
      <c r="AC535" s="23"/>
      <c r="AD535" s="23"/>
    </row>
    <row r="536" spans="3:30">
      <c r="C536" s="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AB536" s="23"/>
      <c r="AC536" s="23"/>
      <c r="AD536" s="23"/>
    </row>
    <row r="537" spans="3:30">
      <c r="C537" s="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AB537" s="23"/>
      <c r="AC537" s="23"/>
      <c r="AD537" s="23"/>
    </row>
    <row r="538" spans="3:30">
      <c r="C538" s="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AB538" s="23"/>
      <c r="AC538" s="23"/>
      <c r="AD538" s="23"/>
    </row>
    <row r="539" spans="3:30">
      <c r="C539" s="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AB539" s="23"/>
      <c r="AC539" s="23"/>
      <c r="AD539" s="23"/>
    </row>
    <row r="540" spans="3:30">
      <c r="C540" s="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AB540" s="23"/>
      <c r="AC540" s="23"/>
      <c r="AD540" s="23"/>
    </row>
    <row r="541" spans="3:30">
      <c r="C541" s="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AB541" s="23"/>
      <c r="AC541" s="23"/>
      <c r="AD541" s="23"/>
    </row>
    <row r="542" spans="3:30">
      <c r="C542" s="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AB542" s="23"/>
      <c r="AC542" s="23"/>
      <c r="AD542" s="23"/>
    </row>
    <row r="543" spans="3:30">
      <c r="C543" s="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AB543" s="23"/>
      <c r="AC543" s="23"/>
      <c r="AD543" s="23"/>
    </row>
    <row r="544" spans="3:30">
      <c r="C544" s="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AB544" s="23"/>
      <c r="AC544" s="23"/>
      <c r="AD544" s="23"/>
    </row>
    <row r="545" spans="3:30">
      <c r="C545" s="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AB545" s="23"/>
      <c r="AC545" s="23"/>
      <c r="AD545" s="23"/>
    </row>
    <row r="546" spans="3:30">
      <c r="C546" s="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AB546" s="23"/>
      <c r="AC546" s="23"/>
      <c r="AD546" s="23"/>
    </row>
    <row r="547" spans="3:30">
      <c r="C547" s="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AB547" s="23"/>
      <c r="AC547" s="23"/>
      <c r="AD547" s="23"/>
    </row>
    <row r="548" spans="3:30">
      <c r="C548" s="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AB548" s="23"/>
      <c r="AC548" s="23"/>
      <c r="AD548" s="23"/>
    </row>
    <row r="549" spans="3:30">
      <c r="C549" s="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AB549" s="23"/>
      <c r="AC549" s="23"/>
      <c r="AD549" s="23"/>
    </row>
    <row r="550" spans="3:30">
      <c r="C550" s="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AB550" s="23"/>
      <c r="AC550" s="23"/>
      <c r="AD550" s="23"/>
    </row>
    <row r="551" spans="3:30">
      <c r="C551" s="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AB551" s="23"/>
      <c r="AC551" s="23"/>
      <c r="AD551" s="23"/>
    </row>
    <row r="552" spans="3:30">
      <c r="C552" s="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AB552" s="23"/>
      <c r="AC552" s="23"/>
      <c r="AD552" s="23"/>
    </row>
    <row r="553" spans="3:30">
      <c r="C553" s="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AB553" s="23"/>
      <c r="AC553" s="23"/>
      <c r="AD553" s="23"/>
    </row>
    <row r="554" spans="3:30">
      <c r="C554" s="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AB554" s="23"/>
      <c r="AC554" s="23"/>
      <c r="AD554" s="23"/>
    </row>
    <row r="555" spans="3:30">
      <c r="C555" s="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AB555" s="23"/>
      <c r="AC555" s="23"/>
      <c r="AD555" s="23"/>
    </row>
    <row r="556" spans="3:30">
      <c r="C556" s="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AB556" s="23"/>
      <c r="AC556" s="23"/>
      <c r="AD556" s="23"/>
    </row>
    <row r="557" spans="3:30">
      <c r="C557" s="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AB557" s="23"/>
      <c r="AC557" s="23"/>
      <c r="AD557" s="23"/>
    </row>
    <row r="558" spans="3:30">
      <c r="C558" s="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AB558" s="23"/>
      <c r="AC558" s="23"/>
      <c r="AD558" s="23"/>
    </row>
    <row r="559" spans="3:30">
      <c r="C559" s="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AB559" s="23"/>
      <c r="AC559" s="23"/>
      <c r="AD559" s="23"/>
    </row>
    <row r="560" spans="3:30">
      <c r="C560" s="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AB560" s="23"/>
      <c r="AC560" s="23"/>
      <c r="AD560" s="23"/>
    </row>
    <row r="561" spans="3:30">
      <c r="C561" s="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AB561" s="23"/>
      <c r="AC561" s="23"/>
      <c r="AD561" s="23"/>
    </row>
    <row r="562" spans="3:30">
      <c r="C562" s="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AB562" s="23"/>
      <c r="AC562" s="23"/>
      <c r="AD562" s="23"/>
    </row>
    <row r="563" spans="3:30">
      <c r="C563" s="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AB563" s="23"/>
      <c r="AC563" s="23"/>
      <c r="AD563" s="23"/>
    </row>
    <row r="564" spans="3:30">
      <c r="C564" s="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AB564" s="23"/>
      <c r="AC564" s="23"/>
      <c r="AD564" s="23"/>
    </row>
    <row r="565" spans="3:30">
      <c r="C565" s="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AB565" s="23"/>
      <c r="AC565" s="23"/>
      <c r="AD565" s="23"/>
    </row>
    <row r="566" spans="3:30">
      <c r="C566" s="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AB566" s="23"/>
      <c r="AC566" s="23"/>
      <c r="AD566" s="23"/>
    </row>
    <row r="567" spans="3:30">
      <c r="C567" s="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AB567" s="23"/>
      <c r="AC567" s="23"/>
      <c r="AD567" s="23"/>
    </row>
    <row r="568" spans="3:30">
      <c r="C568" s="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AB568" s="23"/>
      <c r="AC568" s="23"/>
      <c r="AD568" s="23"/>
    </row>
    <row r="569" spans="3:30">
      <c r="C569" s="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AB569" s="23"/>
      <c r="AC569" s="23"/>
      <c r="AD569" s="23"/>
    </row>
    <row r="570" spans="3:30">
      <c r="C570" s="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AB570" s="23"/>
      <c r="AC570" s="23"/>
      <c r="AD570" s="23"/>
    </row>
    <row r="571" spans="3:30">
      <c r="C571" s="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AB571" s="23"/>
      <c r="AC571" s="23"/>
      <c r="AD571" s="23"/>
    </row>
    <row r="572" spans="3:30">
      <c r="C572" s="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AB572" s="23"/>
      <c r="AC572" s="23"/>
      <c r="AD572" s="23"/>
    </row>
    <row r="573" spans="3:30">
      <c r="C573" s="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AB573" s="23"/>
      <c r="AC573" s="23"/>
      <c r="AD573" s="23"/>
    </row>
    <row r="574" spans="3:30">
      <c r="C574" s="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AB574" s="23"/>
      <c r="AC574" s="23"/>
      <c r="AD574" s="23"/>
    </row>
    <row r="575" spans="3:30">
      <c r="C575" s="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AB575" s="23"/>
      <c r="AC575" s="23"/>
      <c r="AD575" s="23"/>
    </row>
    <row r="576" spans="3:30">
      <c r="C576" s="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AB576" s="23"/>
      <c r="AC576" s="23"/>
      <c r="AD576" s="23"/>
    </row>
    <row r="577" spans="3:30">
      <c r="C577" s="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AB577" s="23"/>
      <c r="AC577" s="23"/>
      <c r="AD577" s="23"/>
    </row>
    <row r="578" spans="3:30">
      <c r="C578" s="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AB578" s="23"/>
      <c r="AC578" s="23"/>
      <c r="AD578" s="23"/>
    </row>
    <row r="579" spans="3:30">
      <c r="C579" s="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AB579" s="23"/>
      <c r="AC579" s="23"/>
      <c r="AD579" s="23"/>
    </row>
    <row r="580" spans="3:30">
      <c r="C580" s="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AB580" s="23"/>
      <c r="AC580" s="23"/>
      <c r="AD580" s="23"/>
    </row>
    <row r="581" spans="3:30">
      <c r="C581" s="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AB581" s="23"/>
      <c r="AC581" s="23"/>
      <c r="AD581" s="23"/>
    </row>
    <row r="582" spans="3:30">
      <c r="C582" s="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AB582" s="23"/>
      <c r="AC582" s="23"/>
      <c r="AD582" s="23"/>
    </row>
    <row r="583" spans="3:30">
      <c r="C583" s="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AB583" s="23"/>
      <c r="AC583" s="23"/>
      <c r="AD583" s="23"/>
    </row>
    <row r="584" spans="3:30">
      <c r="C584" s="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AB584" s="23"/>
      <c r="AC584" s="23"/>
      <c r="AD584" s="23"/>
    </row>
    <row r="585" spans="3:30">
      <c r="C585" s="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AB585" s="23"/>
      <c r="AC585" s="23"/>
      <c r="AD585" s="23"/>
    </row>
    <row r="586" spans="3:30">
      <c r="C586" s="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AB586" s="23"/>
      <c r="AC586" s="23"/>
      <c r="AD586" s="23"/>
    </row>
    <row r="587" spans="3:30">
      <c r="C587" s="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AB587" s="23"/>
      <c r="AC587" s="23"/>
      <c r="AD587" s="23"/>
    </row>
    <row r="588" spans="3:30">
      <c r="C588" s="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AB588" s="23"/>
      <c r="AC588" s="23"/>
      <c r="AD588" s="23"/>
    </row>
    <row r="589" spans="3:30">
      <c r="C589" s="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AB589" s="23"/>
      <c r="AC589" s="23"/>
      <c r="AD589" s="23"/>
    </row>
    <row r="590" spans="3:30">
      <c r="C590" s="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AB590" s="23"/>
      <c r="AC590" s="23"/>
      <c r="AD590" s="23"/>
    </row>
    <row r="591" spans="3:30">
      <c r="C591" s="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AB591" s="23"/>
      <c r="AC591" s="23"/>
      <c r="AD591" s="23"/>
    </row>
    <row r="592" spans="3:30">
      <c r="C592" s="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AB592" s="23"/>
      <c r="AC592" s="23"/>
      <c r="AD592" s="23"/>
    </row>
    <row r="593" spans="3:30">
      <c r="C593" s="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AB593" s="23"/>
      <c r="AC593" s="23"/>
      <c r="AD593" s="23"/>
    </row>
    <row r="594" spans="3:30">
      <c r="C594" s="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AB594" s="23"/>
      <c r="AC594" s="23"/>
      <c r="AD594" s="23"/>
    </row>
    <row r="595" spans="3:30">
      <c r="C595" s="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AB595" s="23"/>
      <c r="AC595" s="23"/>
      <c r="AD595" s="23"/>
    </row>
    <row r="596" spans="3:30">
      <c r="C596" s="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AB596" s="23"/>
      <c r="AC596" s="23"/>
      <c r="AD596" s="23"/>
    </row>
    <row r="597" spans="3:30">
      <c r="C597" s="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AB597" s="23"/>
      <c r="AC597" s="23"/>
      <c r="AD597" s="23"/>
    </row>
    <row r="598" spans="3:30">
      <c r="C598" s="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AB598" s="23"/>
      <c r="AC598" s="23"/>
      <c r="AD598" s="23"/>
    </row>
    <row r="599" spans="3:30">
      <c r="C599" s="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AB599" s="23"/>
      <c r="AC599" s="23"/>
      <c r="AD599" s="23"/>
    </row>
    <row r="600" spans="3:30">
      <c r="C600" s="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AB600" s="23"/>
      <c r="AC600" s="23"/>
      <c r="AD600" s="23"/>
    </row>
    <row r="601" spans="3:30">
      <c r="C601" s="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AB601" s="23"/>
      <c r="AC601" s="23"/>
      <c r="AD601" s="23"/>
    </row>
    <row r="602" spans="3:30">
      <c r="C602" s="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AB602" s="23"/>
      <c r="AC602" s="23"/>
      <c r="AD602" s="23"/>
    </row>
    <row r="603" spans="3:30">
      <c r="C603" s="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AB603" s="23"/>
      <c r="AC603" s="23"/>
      <c r="AD603" s="23"/>
    </row>
    <row r="604" spans="3:30">
      <c r="C604" s="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AB604" s="23"/>
      <c r="AC604" s="23"/>
      <c r="AD604" s="23"/>
    </row>
    <row r="605" spans="3:30">
      <c r="C605" s="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AB605" s="23"/>
      <c r="AC605" s="23"/>
      <c r="AD605" s="23"/>
    </row>
    <row r="606" spans="3:30">
      <c r="C606" s="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AB606" s="23"/>
      <c r="AC606" s="23"/>
      <c r="AD606" s="23"/>
    </row>
    <row r="607" spans="3:30">
      <c r="C607" s="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AB607" s="23"/>
      <c r="AC607" s="23"/>
      <c r="AD607" s="23"/>
    </row>
    <row r="608" spans="3:30">
      <c r="C608" s="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AB608" s="23"/>
      <c r="AC608" s="23"/>
      <c r="AD608" s="23"/>
    </row>
    <row r="609" spans="3:30">
      <c r="C609" s="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AB609" s="23"/>
      <c r="AC609" s="23"/>
      <c r="AD609" s="23"/>
    </row>
    <row r="610" spans="3:30">
      <c r="C610" s="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AB610" s="23"/>
      <c r="AC610" s="23"/>
      <c r="AD610" s="23"/>
    </row>
    <row r="611" spans="3:30">
      <c r="C611" s="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AB611" s="23"/>
      <c r="AC611" s="23"/>
      <c r="AD611" s="23"/>
    </row>
    <row r="612" spans="3:30">
      <c r="C612" s="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AB612" s="23"/>
      <c r="AC612" s="23"/>
      <c r="AD612" s="23"/>
    </row>
    <row r="613" spans="3:30">
      <c r="C613" s="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AB613" s="23"/>
      <c r="AC613" s="23"/>
      <c r="AD613" s="23"/>
    </row>
    <row r="614" spans="3:30">
      <c r="C614" s="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AB614" s="23"/>
      <c r="AC614" s="23"/>
      <c r="AD614" s="23"/>
    </row>
    <row r="615" spans="3:30">
      <c r="C615" s="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AB615" s="23"/>
      <c r="AC615" s="23"/>
      <c r="AD615" s="23"/>
    </row>
    <row r="616" spans="3:30">
      <c r="C616" s="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AB616" s="23"/>
      <c r="AC616" s="23"/>
      <c r="AD616" s="23"/>
    </row>
    <row r="617" spans="3:30">
      <c r="C617" s="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AB617" s="23"/>
      <c r="AC617" s="23"/>
      <c r="AD617" s="23"/>
    </row>
    <row r="618" spans="3:30">
      <c r="C618" s="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AB618" s="23"/>
      <c r="AC618" s="23"/>
      <c r="AD618" s="23"/>
    </row>
    <row r="619" spans="3:30">
      <c r="C619" s="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AB619" s="23"/>
      <c r="AC619" s="23"/>
      <c r="AD619" s="23"/>
    </row>
    <row r="620" spans="3:30">
      <c r="C620" s="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AB620" s="23"/>
      <c r="AC620" s="23"/>
      <c r="AD620" s="23"/>
    </row>
    <row r="621" spans="3:30">
      <c r="C621" s="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AB621" s="23"/>
      <c r="AC621" s="23"/>
      <c r="AD621" s="23"/>
    </row>
    <row r="622" spans="3:30">
      <c r="C622" s="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AB622" s="23"/>
      <c r="AC622" s="23"/>
      <c r="AD622" s="23"/>
    </row>
    <row r="623" spans="3:30">
      <c r="C623" s="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AB623" s="23"/>
      <c r="AC623" s="23"/>
      <c r="AD623" s="23"/>
    </row>
    <row r="624" spans="3:30">
      <c r="C624" s="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AB624" s="23"/>
      <c r="AC624" s="23"/>
      <c r="AD624" s="23"/>
    </row>
    <row r="625" spans="3:30">
      <c r="C625" s="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AB625" s="23"/>
      <c r="AC625" s="23"/>
      <c r="AD625" s="23"/>
    </row>
    <row r="626" spans="3:30">
      <c r="C626" s="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AB626" s="23"/>
      <c r="AC626" s="23"/>
      <c r="AD626" s="23"/>
    </row>
    <row r="627" spans="3:30">
      <c r="C627" s="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AB627" s="23"/>
      <c r="AC627" s="23"/>
      <c r="AD627" s="23"/>
    </row>
    <row r="628" spans="3:30">
      <c r="C628" s="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AB628" s="23"/>
      <c r="AC628" s="23"/>
      <c r="AD628" s="23"/>
    </row>
    <row r="629" spans="3:30">
      <c r="C629" s="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AB629" s="23"/>
      <c r="AC629" s="23"/>
      <c r="AD629" s="23"/>
    </row>
    <row r="630" spans="3:30">
      <c r="C630" s="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AB630" s="23"/>
      <c r="AC630" s="23"/>
      <c r="AD630" s="23"/>
    </row>
    <row r="631" spans="3:30">
      <c r="C631" s="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AB631" s="23"/>
      <c r="AC631" s="23"/>
      <c r="AD631" s="23"/>
    </row>
    <row r="632" spans="3:30">
      <c r="C632" s="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AB632" s="23"/>
      <c r="AC632" s="23"/>
      <c r="AD632" s="23"/>
    </row>
    <row r="633" spans="3:30">
      <c r="C633" s="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AB633" s="23"/>
      <c r="AC633" s="23"/>
      <c r="AD633" s="23"/>
    </row>
    <row r="634" spans="3:30">
      <c r="C634" s="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AB634" s="23"/>
      <c r="AC634" s="23"/>
      <c r="AD634" s="23"/>
    </row>
    <row r="635" spans="3:30">
      <c r="C635" s="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AB635" s="23"/>
      <c r="AC635" s="23"/>
      <c r="AD635" s="23"/>
    </row>
    <row r="636" spans="3:30">
      <c r="C636" s="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AB636" s="23"/>
      <c r="AC636" s="23"/>
      <c r="AD636" s="23"/>
    </row>
    <row r="637" spans="3:30">
      <c r="C637" s="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AB637" s="23"/>
      <c r="AC637" s="23"/>
      <c r="AD637" s="23"/>
    </row>
    <row r="638" spans="3:30">
      <c r="C638" s="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AB638" s="23"/>
      <c r="AC638" s="23"/>
      <c r="AD638" s="23"/>
    </row>
    <row r="639" spans="3:30">
      <c r="C639" s="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AB639" s="23"/>
      <c r="AC639" s="23"/>
      <c r="AD639" s="23"/>
    </row>
    <row r="640" spans="3:30">
      <c r="C640" s="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AB640" s="23"/>
      <c r="AC640" s="23"/>
      <c r="AD640" s="23"/>
    </row>
    <row r="641" spans="3:30">
      <c r="C641" s="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AB641" s="23"/>
      <c r="AC641" s="23"/>
      <c r="AD641" s="23"/>
    </row>
    <row r="642" spans="3:30">
      <c r="C642" s="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AB642" s="23"/>
      <c r="AC642" s="23"/>
      <c r="AD642" s="23"/>
    </row>
    <row r="643" spans="3:30">
      <c r="C643" s="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AB643" s="23"/>
      <c r="AC643" s="23"/>
      <c r="AD643" s="23"/>
    </row>
    <row r="644" spans="3:30">
      <c r="C644" s="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AB644" s="23"/>
      <c r="AC644" s="23"/>
      <c r="AD644" s="23"/>
    </row>
    <row r="645" spans="3:30">
      <c r="C645" s="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AB645" s="23"/>
      <c r="AC645" s="23"/>
      <c r="AD645" s="23"/>
    </row>
    <row r="646" spans="3:30">
      <c r="C646" s="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AB646" s="23"/>
      <c r="AC646" s="23"/>
      <c r="AD646" s="23"/>
    </row>
    <row r="647" spans="3:30">
      <c r="C647" s="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AB647" s="23"/>
      <c r="AC647" s="23"/>
      <c r="AD647" s="23"/>
    </row>
    <row r="648" spans="3:30">
      <c r="C648" s="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AB648" s="23"/>
      <c r="AC648" s="23"/>
      <c r="AD648" s="23"/>
    </row>
    <row r="649" spans="3:30">
      <c r="C649" s="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AB649" s="23"/>
      <c r="AC649" s="23"/>
      <c r="AD649" s="23"/>
    </row>
    <row r="650" spans="3:30">
      <c r="C650" s="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AB650" s="23"/>
      <c r="AC650" s="23"/>
      <c r="AD650" s="23"/>
    </row>
    <row r="651" spans="3:30">
      <c r="C651" s="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AB651" s="23"/>
      <c r="AC651" s="23"/>
      <c r="AD651" s="23"/>
    </row>
    <row r="652" spans="3:30">
      <c r="C652" s="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AB652" s="23"/>
      <c r="AC652" s="23"/>
      <c r="AD652" s="23"/>
    </row>
    <row r="653" spans="3:30">
      <c r="C653" s="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AB653" s="23"/>
      <c r="AC653" s="23"/>
      <c r="AD653" s="23"/>
    </row>
    <row r="654" spans="3:30">
      <c r="C654" s="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AB654" s="23"/>
      <c r="AC654" s="23"/>
      <c r="AD654" s="23"/>
    </row>
    <row r="655" spans="3:30">
      <c r="C655" s="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AB655" s="23"/>
      <c r="AC655" s="23"/>
      <c r="AD655" s="23"/>
    </row>
    <row r="656" spans="3:30">
      <c r="C656" s="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AB656" s="23"/>
      <c r="AC656" s="23"/>
      <c r="AD656" s="23"/>
    </row>
    <row r="657" spans="3:30">
      <c r="C657" s="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AB657" s="23"/>
      <c r="AC657" s="23"/>
      <c r="AD657" s="23"/>
    </row>
    <row r="658" spans="3:30">
      <c r="C658" s="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AB658" s="23"/>
      <c r="AC658" s="23"/>
      <c r="AD658" s="23"/>
    </row>
    <row r="659" spans="3:30">
      <c r="C659" s="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AB659" s="23"/>
      <c r="AC659" s="23"/>
      <c r="AD659" s="23"/>
    </row>
    <row r="660" spans="3:30">
      <c r="C660" s="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AB660" s="23"/>
      <c r="AC660" s="23"/>
      <c r="AD660" s="23"/>
    </row>
    <row r="661" spans="3:30">
      <c r="C661" s="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AB661" s="23"/>
      <c r="AC661" s="23"/>
      <c r="AD661" s="23"/>
    </row>
    <row r="662" spans="3:30">
      <c r="C662" s="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AB662" s="23"/>
      <c r="AC662" s="23"/>
      <c r="AD662" s="23"/>
    </row>
    <row r="663" spans="3:30">
      <c r="C663" s="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AB663" s="23"/>
      <c r="AC663" s="23"/>
      <c r="AD663" s="23"/>
    </row>
    <row r="664" spans="3:30">
      <c r="C664" s="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AB664" s="23"/>
      <c r="AC664" s="23"/>
      <c r="AD664" s="23"/>
    </row>
    <row r="665" spans="3:30">
      <c r="C665" s="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AB665" s="23"/>
      <c r="AC665" s="23"/>
      <c r="AD665" s="23"/>
    </row>
    <row r="666" spans="3:30">
      <c r="C666" s="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AB666" s="23"/>
      <c r="AC666" s="23"/>
      <c r="AD666" s="23"/>
    </row>
    <row r="667" spans="3:30">
      <c r="C667" s="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AB667" s="23"/>
      <c r="AC667" s="23"/>
      <c r="AD667" s="23"/>
    </row>
    <row r="668" spans="3:30">
      <c r="C668" s="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AB668" s="23"/>
      <c r="AC668" s="23"/>
      <c r="AD668" s="23"/>
    </row>
    <row r="669" spans="3:30">
      <c r="C669" s="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AB669" s="23"/>
      <c r="AC669" s="23"/>
      <c r="AD669" s="23"/>
    </row>
    <row r="670" spans="3:30">
      <c r="C670" s="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AB670" s="23"/>
      <c r="AC670" s="23"/>
      <c r="AD670" s="23"/>
    </row>
    <row r="671" spans="3:30">
      <c r="C671" s="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AB671" s="23"/>
      <c r="AC671" s="23"/>
      <c r="AD671" s="23"/>
    </row>
    <row r="672" spans="3:30">
      <c r="C672" s="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AB672" s="23"/>
      <c r="AC672" s="23"/>
      <c r="AD672" s="23"/>
    </row>
    <row r="673" spans="3:30">
      <c r="C673" s="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AB673" s="23"/>
      <c r="AC673" s="23"/>
      <c r="AD673" s="23"/>
    </row>
    <row r="674" spans="3:30">
      <c r="C674" s="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AB674" s="23"/>
      <c r="AC674" s="23"/>
      <c r="AD674" s="23"/>
    </row>
    <row r="675" spans="3:30">
      <c r="C675" s="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AB675" s="23"/>
      <c r="AC675" s="23"/>
      <c r="AD675" s="23"/>
    </row>
    <row r="676" spans="3:30">
      <c r="C676" s="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AB676" s="23"/>
      <c r="AC676" s="23"/>
      <c r="AD676" s="23"/>
    </row>
    <row r="677" spans="3:30">
      <c r="C677" s="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AB677" s="23"/>
      <c r="AC677" s="23"/>
      <c r="AD677" s="23"/>
    </row>
    <row r="678" spans="3:30">
      <c r="C678" s="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AB678" s="23"/>
      <c r="AC678" s="23"/>
      <c r="AD678" s="23"/>
    </row>
    <row r="679" spans="3:30">
      <c r="C679" s="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AB679" s="23"/>
      <c r="AC679" s="23"/>
      <c r="AD679" s="23"/>
    </row>
    <row r="680" spans="3:30">
      <c r="C680" s="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AB680" s="23"/>
      <c r="AC680" s="23"/>
      <c r="AD680" s="23"/>
    </row>
    <row r="681" spans="3:30">
      <c r="C681" s="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AB681" s="23"/>
      <c r="AC681" s="23"/>
      <c r="AD681" s="23"/>
    </row>
    <row r="682" spans="3:30">
      <c r="C682" s="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AB682" s="23"/>
      <c r="AC682" s="23"/>
      <c r="AD682" s="23"/>
    </row>
    <row r="683" spans="3:30">
      <c r="C683" s="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AB683" s="23"/>
      <c r="AC683" s="23"/>
      <c r="AD683" s="23"/>
    </row>
    <row r="684" spans="3:30">
      <c r="C684" s="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AB684" s="23"/>
      <c r="AC684" s="23"/>
      <c r="AD684" s="23"/>
    </row>
    <row r="685" spans="3:30">
      <c r="C685" s="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AB685" s="23"/>
      <c r="AC685" s="23"/>
      <c r="AD685" s="23"/>
    </row>
    <row r="686" spans="3:30">
      <c r="C686" s="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AB686" s="23"/>
      <c r="AC686" s="23"/>
      <c r="AD686" s="23"/>
    </row>
    <row r="687" spans="3:30">
      <c r="C687" s="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AB687" s="23"/>
      <c r="AC687" s="23"/>
      <c r="AD687" s="23"/>
    </row>
    <row r="688" spans="3:30">
      <c r="C688" s="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AB688" s="23"/>
      <c r="AC688" s="23"/>
      <c r="AD688" s="23"/>
    </row>
    <row r="689" spans="3:30">
      <c r="C689" s="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AB689" s="23"/>
      <c r="AC689" s="23"/>
      <c r="AD689" s="23"/>
    </row>
    <row r="690" spans="3:30">
      <c r="C690" s="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AB690" s="23"/>
      <c r="AC690" s="23"/>
      <c r="AD690" s="23"/>
    </row>
    <row r="691" spans="3:30">
      <c r="C691" s="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AB691" s="23"/>
      <c r="AC691" s="23"/>
      <c r="AD691" s="23"/>
    </row>
    <row r="692" spans="3:30">
      <c r="C692" s="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AB692" s="23"/>
      <c r="AC692" s="23"/>
      <c r="AD692" s="23"/>
    </row>
    <row r="693" spans="3:30">
      <c r="C693" s="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AB693" s="23"/>
      <c r="AC693" s="23"/>
      <c r="AD693" s="23"/>
    </row>
    <row r="694" spans="3:30">
      <c r="C694" s="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AB694" s="23"/>
      <c r="AC694" s="23"/>
      <c r="AD694" s="23"/>
    </row>
    <row r="695" spans="3:30">
      <c r="C695" s="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AB695" s="23"/>
      <c r="AC695" s="23"/>
      <c r="AD695" s="23"/>
    </row>
    <row r="696" spans="3:30">
      <c r="C696" s="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AB696" s="23"/>
      <c r="AC696" s="23"/>
      <c r="AD696" s="23"/>
    </row>
    <row r="697" spans="3:30">
      <c r="C697" s="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AB697" s="23"/>
      <c r="AC697" s="23"/>
      <c r="AD697" s="23"/>
    </row>
    <row r="698" spans="3:30">
      <c r="C698" s="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AB698" s="23"/>
      <c r="AC698" s="23"/>
      <c r="AD698" s="23"/>
    </row>
    <row r="699" spans="3:30">
      <c r="C699" s="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AB699" s="23"/>
      <c r="AC699" s="23"/>
      <c r="AD699" s="23"/>
    </row>
    <row r="700" spans="3:30">
      <c r="C700" s="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AB700" s="23"/>
      <c r="AC700" s="23"/>
      <c r="AD700" s="23"/>
    </row>
    <row r="701" spans="3:30">
      <c r="C701" s="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AB701" s="23"/>
      <c r="AC701" s="23"/>
      <c r="AD701" s="23"/>
    </row>
    <row r="702" spans="3:30">
      <c r="C702" s="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AB702" s="23"/>
      <c r="AC702" s="23"/>
      <c r="AD702" s="23"/>
    </row>
    <row r="703" spans="3:30">
      <c r="C703" s="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AB703" s="23"/>
      <c r="AC703" s="23"/>
      <c r="AD703" s="23"/>
    </row>
    <row r="704" spans="3:30">
      <c r="C704" s="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AB704" s="23"/>
      <c r="AC704" s="23"/>
      <c r="AD704" s="23"/>
    </row>
    <row r="705" spans="3:30">
      <c r="C705" s="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AB705" s="23"/>
      <c r="AC705" s="23"/>
      <c r="AD705" s="23"/>
    </row>
    <row r="706" spans="3:30">
      <c r="C706" s="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AB706" s="23"/>
      <c r="AC706" s="23"/>
      <c r="AD706" s="23"/>
    </row>
    <row r="707" spans="3:30">
      <c r="C707" s="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AB707" s="23"/>
      <c r="AC707" s="23"/>
      <c r="AD707" s="23"/>
    </row>
    <row r="708" spans="3:30">
      <c r="C708" s="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AB708" s="23"/>
      <c r="AC708" s="23"/>
      <c r="AD708" s="23"/>
    </row>
    <row r="709" spans="3:30">
      <c r="C709" s="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AB709" s="23"/>
      <c r="AC709" s="23"/>
      <c r="AD709" s="23"/>
    </row>
    <row r="710" spans="3:30">
      <c r="C710" s="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AB710" s="23"/>
      <c r="AC710" s="23"/>
      <c r="AD710" s="23"/>
    </row>
    <row r="711" spans="3:30">
      <c r="C711" s="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AB711" s="23"/>
      <c r="AC711" s="23"/>
      <c r="AD711" s="23"/>
    </row>
    <row r="712" spans="3:30">
      <c r="C712" s="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AB712" s="23"/>
      <c r="AC712" s="23"/>
      <c r="AD712" s="23"/>
    </row>
    <row r="713" spans="3:30">
      <c r="C713" s="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AB713" s="23"/>
      <c r="AC713" s="23"/>
      <c r="AD713" s="23"/>
    </row>
    <row r="714" spans="3:30">
      <c r="C714" s="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AB714" s="23"/>
      <c r="AC714" s="23"/>
      <c r="AD714" s="23"/>
    </row>
    <row r="715" spans="3:30">
      <c r="C715" s="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AB715" s="23"/>
      <c r="AC715" s="23"/>
      <c r="AD715" s="23"/>
    </row>
    <row r="716" spans="3:30">
      <c r="C716" s="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AB716" s="23"/>
      <c r="AC716" s="23"/>
      <c r="AD716" s="23"/>
    </row>
    <row r="717" spans="3:30">
      <c r="C717" s="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AB717" s="23"/>
      <c r="AC717" s="23"/>
      <c r="AD717" s="23"/>
    </row>
    <row r="718" spans="3:30">
      <c r="C718" s="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AB718" s="23"/>
      <c r="AC718" s="23"/>
      <c r="AD718" s="23"/>
    </row>
    <row r="719" spans="3:30">
      <c r="C719" s="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AB719" s="23"/>
      <c r="AC719" s="23"/>
      <c r="AD719" s="23"/>
    </row>
    <row r="720" spans="3:30">
      <c r="C720" s="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AB720" s="23"/>
      <c r="AC720" s="23"/>
      <c r="AD720" s="23"/>
    </row>
    <row r="721" spans="3:30">
      <c r="C721" s="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AB721" s="23"/>
      <c r="AC721" s="23"/>
      <c r="AD721" s="23"/>
    </row>
    <row r="722" spans="3:30">
      <c r="C722" s="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AB722" s="23"/>
      <c r="AC722" s="23"/>
      <c r="AD722" s="23"/>
    </row>
    <row r="723" spans="3:30">
      <c r="C723" s="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AB723" s="23"/>
      <c r="AC723" s="23"/>
      <c r="AD723" s="23"/>
    </row>
    <row r="724" spans="3:30">
      <c r="C724" s="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AB724" s="23"/>
      <c r="AC724" s="23"/>
      <c r="AD724" s="23"/>
    </row>
    <row r="725" spans="3:30">
      <c r="C725" s="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AB725" s="23"/>
      <c r="AC725" s="23"/>
      <c r="AD725" s="23"/>
    </row>
    <row r="726" spans="3:30">
      <c r="C726" s="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AB726" s="23"/>
      <c r="AC726" s="23"/>
      <c r="AD726" s="23"/>
    </row>
    <row r="727" spans="3:30">
      <c r="C727" s="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AB727" s="23"/>
      <c r="AC727" s="23"/>
      <c r="AD727" s="23"/>
    </row>
    <row r="728" spans="3:30">
      <c r="C728" s="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AB728" s="23"/>
      <c r="AC728" s="23"/>
      <c r="AD728" s="23"/>
    </row>
    <row r="729" spans="3:30">
      <c r="C729" s="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AB729" s="23"/>
      <c r="AC729" s="23"/>
      <c r="AD729" s="23"/>
    </row>
    <row r="730" spans="3:30">
      <c r="C730" s="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AB730" s="23"/>
      <c r="AC730" s="23"/>
      <c r="AD730" s="23"/>
    </row>
    <row r="731" spans="3:30">
      <c r="C731" s="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AB731" s="23"/>
      <c r="AC731" s="23"/>
      <c r="AD731" s="23"/>
    </row>
    <row r="732" spans="3:30">
      <c r="C732" s="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AB732" s="23"/>
      <c r="AC732" s="23"/>
      <c r="AD732" s="23"/>
    </row>
    <row r="733" spans="3:30">
      <c r="C733" s="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AB733" s="23"/>
      <c r="AC733" s="23"/>
      <c r="AD733" s="23"/>
    </row>
    <row r="734" spans="3:30">
      <c r="C734" s="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AB734" s="23"/>
      <c r="AC734" s="23"/>
      <c r="AD734" s="23"/>
    </row>
    <row r="735" spans="3:30">
      <c r="C735" s="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AB735" s="23"/>
      <c r="AC735" s="23"/>
      <c r="AD735" s="23"/>
    </row>
    <row r="736" spans="3:30">
      <c r="C736" s="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AB736" s="23"/>
      <c r="AC736" s="23"/>
      <c r="AD736" s="23"/>
    </row>
    <row r="737" spans="3:30">
      <c r="C737" s="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AB737" s="23"/>
      <c r="AC737" s="23"/>
      <c r="AD737" s="23"/>
    </row>
    <row r="738" spans="3:30">
      <c r="C738" s="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AB738" s="23"/>
      <c r="AC738" s="23"/>
      <c r="AD738" s="23"/>
    </row>
    <row r="739" spans="3:30">
      <c r="C739" s="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AB739" s="23"/>
      <c r="AC739" s="23"/>
      <c r="AD739" s="23"/>
    </row>
    <row r="740" spans="3:30">
      <c r="C740" s="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AB740" s="23"/>
      <c r="AC740" s="23"/>
      <c r="AD740" s="23"/>
    </row>
    <row r="741" spans="3:30">
      <c r="C741" s="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AB741" s="23"/>
      <c r="AC741" s="23"/>
      <c r="AD741" s="23"/>
    </row>
    <row r="742" spans="3:30">
      <c r="C742" s="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AB742" s="23"/>
      <c r="AC742" s="23"/>
      <c r="AD742" s="23"/>
    </row>
    <row r="743" spans="3:30">
      <c r="C743" s="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AB743" s="23"/>
      <c r="AC743" s="23"/>
      <c r="AD743" s="23"/>
    </row>
    <row r="744" spans="3:30">
      <c r="C744" s="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AB744" s="23"/>
      <c r="AC744" s="23"/>
      <c r="AD744" s="23"/>
    </row>
    <row r="745" spans="3:30">
      <c r="C745" s="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AB745" s="23"/>
      <c r="AC745" s="23"/>
      <c r="AD745" s="23"/>
    </row>
    <row r="746" spans="3:30">
      <c r="C746" s="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AB746" s="23"/>
      <c r="AC746" s="23"/>
      <c r="AD746" s="23"/>
    </row>
    <row r="747" spans="3:30">
      <c r="C747" s="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AB747" s="23"/>
      <c r="AC747" s="23"/>
      <c r="AD747" s="23"/>
    </row>
    <row r="748" spans="3:30">
      <c r="C748" s="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AB748" s="23"/>
      <c r="AC748" s="23"/>
      <c r="AD748" s="23"/>
    </row>
    <row r="749" spans="3:30">
      <c r="C749" s="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AB749" s="23"/>
      <c r="AC749" s="23"/>
      <c r="AD749" s="23"/>
    </row>
    <row r="750" spans="3:30">
      <c r="C750" s="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AB750" s="23"/>
      <c r="AC750" s="23"/>
      <c r="AD750" s="23"/>
    </row>
    <row r="751" spans="3:30">
      <c r="C751" s="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AB751" s="23"/>
      <c r="AC751" s="23"/>
      <c r="AD751" s="23"/>
    </row>
    <row r="752" spans="3:30">
      <c r="C752" s="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AB752" s="23"/>
      <c r="AC752" s="23"/>
      <c r="AD752" s="23"/>
    </row>
    <row r="753" spans="3:30">
      <c r="C753" s="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AB753" s="23"/>
      <c r="AC753" s="23"/>
      <c r="AD753" s="23"/>
    </row>
    <row r="754" spans="3:30">
      <c r="C754" s="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AB754" s="23"/>
      <c r="AC754" s="23"/>
      <c r="AD754" s="23"/>
    </row>
    <row r="755" spans="3:30">
      <c r="C755" s="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AB755" s="23"/>
      <c r="AC755" s="23"/>
      <c r="AD755" s="23"/>
    </row>
    <row r="756" spans="3:30">
      <c r="C756" s="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AB756" s="23"/>
      <c r="AC756" s="23"/>
      <c r="AD756" s="23"/>
    </row>
    <row r="757" spans="3:30">
      <c r="C757" s="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AB757" s="23"/>
      <c r="AC757" s="23"/>
      <c r="AD757" s="23"/>
    </row>
    <row r="758" spans="3:30">
      <c r="C758" s="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AB758" s="23"/>
      <c r="AC758" s="23"/>
      <c r="AD758" s="23"/>
    </row>
    <row r="759" spans="3:30">
      <c r="C759" s="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AB759" s="23"/>
      <c r="AC759" s="23"/>
      <c r="AD759" s="23"/>
    </row>
    <row r="760" spans="3:30">
      <c r="C760" s="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AB760" s="23"/>
      <c r="AC760" s="23"/>
      <c r="AD760" s="23"/>
    </row>
    <row r="761" spans="3:30">
      <c r="C761" s="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AB761" s="23"/>
      <c r="AC761" s="23"/>
      <c r="AD761" s="23"/>
    </row>
    <row r="762" spans="3:30">
      <c r="C762" s="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AB762" s="23"/>
      <c r="AC762" s="23"/>
      <c r="AD762" s="23"/>
    </row>
    <row r="763" spans="3:30">
      <c r="C763" s="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AB763" s="23"/>
      <c r="AC763" s="23"/>
      <c r="AD763" s="23"/>
    </row>
    <row r="764" spans="3:30">
      <c r="C764" s="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AB764" s="23"/>
      <c r="AC764" s="23"/>
      <c r="AD764" s="23"/>
    </row>
    <row r="765" spans="3:30">
      <c r="C765" s="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AB765" s="23"/>
      <c r="AC765" s="23"/>
      <c r="AD765" s="23"/>
    </row>
    <row r="766" spans="3:30">
      <c r="C766" s="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AB766" s="23"/>
      <c r="AC766" s="23"/>
      <c r="AD766" s="23"/>
    </row>
    <row r="767" spans="3:30">
      <c r="C767" s="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AB767" s="23"/>
      <c r="AC767" s="23"/>
      <c r="AD767" s="23"/>
    </row>
    <row r="768" spans="3:30">
      <c r="C768" s="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AB768" s="23"/>
      <c r="AC768" s="23"/>
      <c r="AD768" s="23"/>
    </row>
    <row r="769" spans="3:30">
      <c r="C769" s="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AB769" s="23"/>
      <c r="AC769" s="23"/>
      <c r="AD769" s="23"/>
    </row>
    <row r="770" spans="3:30">
      <c r="C770" s="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AB770" s="23"/>
      <c r="AC770" s="23"/>
      <c r="AD770" s="23"/>
    </row>
    <row r="771" spans="3:30">
      <c r="C771" s="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AB771" s="23"/>
      <c r="AC771" s="23"/>
      <c r="AD771" s="23"/>
    </row>
    <row r="772" spans="3:30">
      <c r="C772" s="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AB772" s="23"/>
      <c r="AC772" s="23"/>
      <c r="AD772" s="23"/>
    </row>
    <row r="773" spans="3:30">
      <c r="C773" s="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AB773" s="23"/>
      <c r="AC773" s="23"/>
      <c r="AD773" s="23"/>
    </row>
    <row r="774" spans="3:30">
      <c r="C774" s="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AB774" s="23"/>
      <c r="AC774" s="23"/>
      <c r="AD774" s="23"/>
    </row>
    <row r="775" spans="3:30">
      <c r="C775" s="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AB775" s="23"/>
      <c r="AC775" s="23"/>
      <c r="AD775" s="23"/>
    </row>
    <row r="776" spans="3:30">
      <c r="C776" s="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AB776" s="23"/>
      <c r="AC776" s="23"/>
      <c r="AD776" s="23"/>
    </row>
    <row r="777" spans="3:30">
      <c r="C777" s="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AB777" s="23"/>
      <c r="AC777" s="23"/>
      <c r="AD777" s="23"/>
    </row>
    <row r="778" spans="3:30">
      <c r="C778" s="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AB778" s="23"/>
      <c r="AC778" s="23"/>
      <c r="AD778" s="23"/>
    </row>
    <row r="779" spans="3:30">
      <c r="C779" s="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AB779" s="23"/>
      <c r="AC779" s="23"/>
      <c r="AD779" s="23"/>
    </row>
    <row r="780" spans="3:30">
      <c r="C780" s="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AB780" s="23"/>
      <c r="AC780" s="23"/>
      <c r="AD780" s="23"/>
    </row>
    <row r="781" spans="3:30">
      <c r="C781" s="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AB781" s="23"/>
      <c r="AC781" s="23"/>
      <c r="AD781" s="23"/>
    </row>
    <row r="782" spans="3:30">
      <c r="C782" s="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AB782" s="23"/>
      <c r="AC782" s="23"/>
      <c r="AD782" s="23"/>
    </row>
    <row r="783" spans="3:30">
      <c r="C783" s="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AB783" s="23"/>
      <c r="AC783" s="23"/>
      <c r="AD783" s="23"/>
    </row>
    <row r="784" spans="3:30">
      <c r="C784" s="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AB784" s="23"/>
      <c r="AC784" s="23"/>
      <c r="AD784" s="23"/>
    </row>
    <row r="785" spans="3:30">
      <c r="C785" s="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AB785" s="23"/>
      <c r="AC785" s="23"/>
      <c r="AD785" s="23"/>
    </row>
    <row r="786" spans="3:30">
      <c r="C786" s="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AB786" s="23"/>
      <c r="AC786" s="23"/>
      <c r="AD786" s="23"/>
    </row>
    <row r="787" spans="3:30">
      <c r="C787" s="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AB787" s="23"/>
      <c r="AC787" s="23"/>
      <c r="AD787" s="23"/>
    </row>
    <row r="788" spans="3:30">
      <c r="C788" s="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AB788" s="23"/>
      <c r="AC788" s="23"/>
      <c r="AD788" s="23"/>
    </row>
    <row r="789" spans="3:30">
      <c r="C789" s="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AB789" s="23"/>
      <c r="AC789" s="23"/>
      <c r="AD789" s="23"/>
    </row>
    <row r="790" spans="3:30">
      <c r="C790" s="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AB790" s="23"/>
      <c r="AC790" s="23"/>
      <c r="AD790" s="23"/>
    </row>
    <row r="791" spans="3:30">
      <c r="C791" s="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AB791" s="23"/>
      <c r="AC791" s="23"/>
      <c r="AD791" s="23"/>
    </row>
    <row r="792" spans="3:30">
      <c r="C792" s="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AB792" s="23"/>
      <c r="AC792" s="23"/>
      <c r="AD792" s="23"/>
    </row>
    <row r="793" spans="3:30">
      <c r="C793" s="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AB793" s="23"/>
      <c r="AC793" s="23"/>
      <c r="AD793" s="23"/>
    </row>
    <row r="794" spans="3:30">
      <c r="C794" s="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AB794" s="23"/>
      <c r="AC794" s="23"/>
      <c r="AD794" s="23"/>
    </row>
    <row r="795" spans="3:30">
      <c r="C795" s="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AB795" s="23"/>
      <c r="AC795" s="23"/>
      <c r="AD795" s="23"/>
    </row>
    <row r="796" spans="3:30">
      <c r="C796" s="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AB796" s="23"/>
      <c r="AC796" s="23"/>
      <c r="AD796" s="23"/>
    </row>
    <row r="797" spans="3:30">
      <c r="C797" s="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AB797" s="23"/>
      <c r="AC797" s="23"/>
      <c r="AD797" s="23"/>
    </row>
    <row r="798" spans="3:30">
      <c r="C798" s="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AB798" s="23"/>
      <c r="AC798" s="23"/>
      <c r="AD798" s="23"/>
    </row>
    <row r="799" spans="3:30">
      <c r="C799" s="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AB799" s="23"/>
      <c r="AC799" s="23"/>
      <c r="AD799" s="23"/>
    </row>
    <row r="800" spans="3:30">
      <c r="C800" s="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AB800" s="23"/>
      <c r="AC800" s="23"/>
      <c r="AD800" s="23"/>
    </row>
    <row r="801" spans="3:30">
      <c r="C801" s="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AB801" s="23"/>
      <c r="AC801" s="23"/>
      <c r="AD801" s="23"/>
    </row>
    <row r="802" spans="3:30">
      <c r="C802" s="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AB802" s="23"/>
      <c r="AC802" s="23"/>
      <c r="AD802" s="23"/>
    </row>
    <row r="803" spans="3:30">
      <c r="C803" s="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AB803" s="23"/>
      <c r="AC803" s="23"/>
      <c r="AD803" s="23"/>
    </row>
    <row r="804" spans="3:30">
      <c r="C804" s="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AB804" s="23"/>
      <c r="AC804" s="23"/>
      <c r="AD804" s="23"/>
    </row>
    <row r="805" spans="3:30">
      <c r="C805" s="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AB805" s="23"/>
      <c r="AC805" s="23"/>
      <c r="AD805" s="23"/>
    </row>
    <row r="806" spans="3:30">
      <c r="C806" s="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AB806" s="23"/>
      <c r="AC806" s="23"/>
      <c r="AD806" s="23"/>
    </row>
    <row r="807" spans="3:30">
      <c r="C807" s="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AB807" s="23"/>
      <c r="AC807" s="23"/>
      <c r="AD807" s="23"/>
    </row>
    <row r="808" spans="3:30">
      <c r="C808" s="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AB808" s="23"/>
      <c r="AC808" s="23"/>
      <c r="AD808" s="23"/>
    </row>
    <row r="809" spans="3:30">
      <c r="C809" s="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AB809" s="23"/>
      <c r="AC809" s="23"/>
      <c r="AD809" s="23"/>
    </row>
    <row r="810" spans="3:30">
      <c r="C810" s="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AB810" s="23"/>
      <c r="AC810" s="23"/>
      <c r="AD810" s="23"/>
    </row>
    <row r="811" spans="3:30">
      <c r="C811" s="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AB811" s="23"/>
      <c r="AC811" s="23"/>
      <c r="AD811" s="23"/>
    </row>
    <row r="812" spans="3:30">
      <c r="C812" s="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AB812" s="23"/>
      <c r="AC812" s="23"/>
      <c r="AD812" s="23"/>
    </row>
    <row r="813" spans="3:30">
      <c r="C813" s="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AB813" s="23"/>
      <c r="AC813" s="23"/>
      <c r="AD813" s="23"/>
    </row>
    <row r="814" spans="3:30">
      <c r="C814" s="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AB814" s="23"/>
      <c r="AC814" s="23"/>
      <c r="AD814" s="23"/>
    </row>
    <row r="815" spans="3:30">
      <c r="C815" s="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AB815" s="23"/>
      <c r="AC815" s="23"/>
      <c r="AD815" s="23"/>
    </row>
    <row r="816" spans="3:30">
      <c r="C816" s="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AB816" s="23"/>
      <c r="AC816" s="23"/>
      <c r="AD816" s="23"/>
    </row>
    <row r="817" spans="3:30">
      <c r="C817" s="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AB817" s="23"/>
      <c r="AC817" s="23"/>
      <c r="AD817" s="23"/>
    </row>
    <row r="818" spans="3:30">
      <c r="C818" s="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AB818" s="23"/>
      <c r="AC818" s="23"/>
      <c r="AD818" s="23"/>
    </row>
    <row r="819" spans="3:30">
      <c r="C819" s="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AB819" s="23"/>
      <c r="AC819" s="23"/>
      <c r="AD819" s="23"/>
    </row>
    <row r="820" spans="3:30">
      <c r="C820" s="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AB820" s="23"/>
      <c r="AC820" s="23"/>
      <c r="AD820" s="23"/>
    </row>
    <row r="821" spans="3:30">
      <c r="C821" s="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AB821" s="23"/>
      <c r="AC821" s="23"/>
      <c r="AD821" s="23"/>
    </row>
    <row r="822" spans="3:30">
      <c r="C822" s="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AB822" s="23"/>
      <c r="AC822" s="23"/>
      <c r="AD822" s="23"/>
    </row>
    <row r="823" spans="3:30">
      <c r="C823" s="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AB823" s="23"/>
      <c r="AC823" s="23"/>
      <c r="AD823" s="23"/>
    </row>
    <row r="824" spans="3:30">
      <c r="C824" s="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AB824" s="23"/>
      <c r="AC824" s="23"/>
      <c r="AD824" s="23"/>
    </row>
    <row r="825" spans="3:30">
      <c r="C825" s="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AB825" s="23"/>
      <c r="AC825" s="23"/>
      <c r="AD825" s="23"/>
    </row>
    <row r="826" spans="3:30">
      <c r="C826" s="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AB826" s="23"/>
      <c r="AC826" s="23"/>
      <c r="AD826" s="23"/>
    </row>
    <row r="827" spans="3:30">
      <c r="C827" s="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AB827" s="23"/>
      <c r="AC827" s="23"/>
      <c r="AD827" s="23"/>
    </row>
    <row r="828" spans="3:30">
      <c r="C828" s="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AB828" s="23"/>
      <c r="AC828" s="23"/>
      <c r="AD828" s="23"/>
    </row>
    <row r="829" spans="3:30">
      <c r="C829" s="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AB829" s="23"/>
      <c r="AC829" s="23"/>
      <c r="AD829" s="23"/>
    </row>
    <row r="830" spans="3:30">
      <c r="C830" s="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AB830" s="23"/>
      <c r="AC830" s="23"/>
      <c r="AD830" s="23"/>
    </row>
    <row r="831" spans="3:30">
      <c r="C831" s="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AB831" s="23"/>
      <c r="AC831" s="23"/>
      <c r="AD831" s="23"/>
    </row>
    <row r="832" spans="3:30">
      <c r="C832" s="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AB832" s="23"/>
      <c r="AC832" s="23"/>
      <c r="AD832" s="23"/>
    </row>
    <row r="833" spans="3:30">
      <c r="C833" s="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AB833" s="23"/>
      <c r="AC833" s="23"/>
      <c r="AD833" s="23"/>
    </row>
    <row r="834" spans="3:30">
      <c r="C834" s="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AB834" s="23"/>
      <c r="AC834" s="23"/>
      <c r="AD834" s="23"/>
    </row>
    <row r="835" spans="3:30">
      <c r="C835" s="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AB835" s="23"/>
      <c r="AC835" s="23"/>
      <c r="AD835" s="23"/>
    </row>
    <row r="836" spans="3:30">
      <c r="C836" s="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AB836" s="23"/>
      <c r="AC836" s="23"/>
      <c r="AD836" s="23"/>
    </row>
    <row r="837" spans="3:30">
      <c r="C837" s="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AB837" s="23"/>
      <c r="AC837" s="23"/>
      <c r="AD837" s="23"/>
    </row>
    <row r="838" spans="3:30">
      <c r="C838" s="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AB838" s="23"/>
      <c r="AC838" s="23"/>
      <c r="AD838" s="23"/>
    </row>
    <row r="839" spans="3:30">
      <c r="C839" s="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AB839" s="23"/>
      <c r="AC839" s="23"/>
      <c r="AD839" s="23"/>
    </row>
    <row r="840" spans="3:30">
      <c r="C840" s="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AB840" s="23"/>
      <c r="AC840" s="23"/>
      <c r="AD840" s="23"/>
    </row>
    <row r="841" spans="3:30">
      <c r="C841" s="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AB841" s="23"/>
      <c r="AC841" s="23"/>
      <c r="AD841" s="23"/>
    </row>
    <row r="842" spans="3:30">
      <c r="C842" s="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AB842" s="23"/>
      <c r="AC842" s="23"/>
      <c r="AD842" s="23"/>
    </row>
    <row r="843" spans="3:30">
      <c r="C843" s="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AB843" s="23"/>
      <c r="AC843" s="23"/>
      <c r="AD843" s="23"/>
    </row>
    <row r="844" spans="3:30">
      <c r="C844" s="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AB844" s="23"/>
      <c r="AC844" s="23"/>
      <c r="AD844" s="23"/>
    </row>
    <row r="845" spans="3:30">
      <c r="C845" s="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AB845" s="23"/>
      <c r="AC845" s="23"/>
      <c r="AD845" s="23"/>
    </row>
    <row r="846" spans="3:30">
      <c r="C846" s="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AB846" s="23"/>
      <c r="AC846" s="23"/>
      <c r="AD846" s="23"/>
    </row>
    <row r="847" spans="3:30">
      <c r="C847" s="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AB847" s="23"/>
      <c r="AC847" s="23"/>
      <c r="AD847" s="23"/>
    </row>
    <row r="848" spans="3:30">
      <c r="C848" s="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AB848" s="23"/>
      <c r="AC848" s="23"/>
      <c r="AD848" s="23"/>
    </row>
    <row r="849" spans="3:30">
      <c r="C849" s="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AB849" s="23"/>
      <c r="AC849" s="23"/>
      <c r="AD849" s="23"/>
    </row>
    <row r="850" spans="3:30">
      <c r="C850" s="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AB850" s="23"/>
      <c r="AC850" s="23"/>
      <c r="AD850" s="23"/>
    </row>
    <row r="851" spans="3:30">
      <c r="C851" s="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AB851" s="23"/>
      <c r="AC851" s="23"/>
      <c r="AD851" s="23"/>
    </row>
    <row r="852" spans="3:30">
      <c r="C852" s="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AB852" s="23"/>
      <c r="AC852" s="23"/>
      <c r="AD852" s="23"/>
    </row>
    <row r="853" spans="3:30">
      <c r="C853" s="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AB853" s="23"/>
      <c r="AC853" s="23"/>
      <c r="AD853" s="23"/>
    </row>
    <row r="854" spans="3:30">
      <c r="C854" s="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AB854" s="23"/>
      <c r="AC854" s="23"/>
      <c r="AD854" s="23"/>
    </row>
    <row r="855" spans="3:30">
      <c r="C855" s="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AB855" s="23"/>
      <c r="AC855" s="23"/>
      <c r="AD855" s="23"/>
    </row>
    <row r="856" spans="3:30">
      <c r="C856" s="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AB856" s="23"/>
      <c r="AC856" s="23"/>
      <c r="AD856" s="23"/>
    </row>
    <row r="857" spans="3:30">
      <c r="C857" s="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AB857" s="23"/>
      <c r="AC857" s="23"/>
      <c r="AD857" s="23"/>
    </row>
    <row r="858" spans="3:30">
      <c r="C858" s="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AB858" s="23"/>
      <c r="AC858" s="23"/>
      <c r="AD858" s="23"/>
    </row>
    <row r="859" spans="3:30">
      <c r="C859" s="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AB859" s="23"/>
      <c r="AC859" s="23"/>
      <c r="AD859" s="23"/>
    </row>
    <row r="860" spans="3:30">
      <c r="C860" s="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AB860" s="23"/>
      <c r="AC860" s="23"/>
      <c r="AD860" s="23"/>
    </row>
    <row r="861" spans="3:30">
      <c r="C861" s="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AB861" s="23"/>
      <c r="AC861" s="23"/>
      <c r="AD861" s="23"/>
    </row>
    <row r="862" spans="3:30">
      <c r="C862" s="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AB862" s="23"/>
      <c r="AC862" s="23"/>
      <c r="AD862" s="23"/>
    </row>
    <row r="863" spans="3:30">
      <c r="C863" s="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AB863" s="23"/>
      <c r="AC863" s="23"/>
      <c r="AD863" s="23"/>
    </row>
    <row r="864" spans="3:30">
      <c r="C864" s="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AB864" s="23"/>
      <c r="AC864" s="23"/>
      <c r="AD864" s="23"/>
    </row>
    <row r="865" spans="3:30">
      <c r="C865" s="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AB865" s="23"/>
      <c r="AC865" s="23"/>
      <c r="AD865" s="23"/>
    </row>
    <row r="866" spans="3:30">
      <c r="C866" s="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AB866" s="23"/>
      <c r="AC866" s="23"/>
      <c r="AD866" s="23"/>
    </row>
    <row r="867" spans="3:30">
      <c r="C867" s="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AB867" s="23"/>
      <c r="AC867" s="23"/>
      <c r="AD867" s="23"/>
    </row>
    <row r="868" spans="3:30">
      <c r="C868" s="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AB868" s="23"/>
      <c r="AC868" s="23"/>
      <c r="AD868" s="23"/>
    </row>
    <row r="869" spans="3:30">
      <c r="C869" s="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AB869" s="23"/>
      <c r="AC869" s="23"/>
      <c r="AD869" s="23"/>
    </row>
    <row r="870" spans="3:30">
      <c r="C870" s="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AB870" s="23"/>
      <c r="AC870" s="23"/>
      <c r="AD870" s="23"/>
    </row>
    <row r="871" spans="3:30">
      <c r="C871" s="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AB871" s="23"/>
      <c r="AC871" s="23"/>
      <c r="AD871" s="23"/>
    </row>
    <row r="872" spans="3:30">
      <c r="C872" s="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AB872" s="23"/>
      <c r="AC872" s="23"/>
      <c r="AD872" s="23"/>
    </row>
    <row r="873" spans="3:30">
      <c r="C873" s="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AB873" s="23"/>
      <c r="AC873" s="23"/>
      <c r="AD873" s="23"/>
    </row>
    <row r="874" spans="3:30">
      <c r="C874" s="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AB874" s="23"/>
      <c r="AC874" s="23"/>
      <c r="AD874" s="23"/>
    </row>
    <row r="875" spans="3:30">
      <c r="C875" s="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AB875" s="23"/>
      <c r="AC875" s="23"/>
      <c r="AD875" s="23"/>
    </row>
    <row r="876" spans="3:30">
      <c r="C876" s="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AB876" s="23"/>
      <c r="AC876" s="23"/>
      <c r="AD876" s="23"/>
    </row>
    <row r="877" spans="3:30">
      <c r="C877" s="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AB877" s="23"/>
      <c r="AC877" s="23"/>
      <c r="AD877" s="23"/>
    </row>
    <row r="878" spans="3:30">
      <c r="C878" s="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AB878" s="23"/>
      <c r="AC878" s="23"/>
      <c r="AD878" s="23"/>
    </row>
    <row r="879" spans="3:30">
      <c r="C879" s="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AB879" s="23"/>
      <c r="AC879" s="23"/>
      <c r="AD879" s="23"/>
    </row>
    <row r="880" spans="3:30">
      <c r="C880" s="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AB880" s="23"/>
      <c r="AC880" s="23"/>
      <c r="AD880" s="23"/>
    </row>
    <row r="881" spans="3:30">
      <c r="C881" s="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AB881" s="23"/>
      <c r="AC881" s="23"/>
      <c r="AD881" s="23"/>
    </row>
    <row r="882" spans="3:30">
      <c r="C882" s="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AB882" s="23"/>
      <c r="AC882" s="23"/>
      <c r="AD882" s="23"/>
    </row>
    <row r="883" spans="3:30">
      <c r="C883" s="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AB883" s="23"/>
      <c r="AC883" s="23"/>
      <c r="AD883" s="23"/>
    </row>
    <row r="884" spans="3:30">
      <c r="C884" s="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AB884" s="23"/>
      <c r="AC884" s="23"/>
      <c r="AD884" s="23"/>
    </row>
    <row r="885" spans="3:30">
      <c r="C885" s="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AB885" s="23"/>
      <c r="AC885" s="23"/>
      <c r="AD885" s="23"/>
    </row>
    <row r="886" spans="3:30">
      <c r="C886" s="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AB886" s="23"/>
      <c r="AC886" s="23"/>
      <c r="AD886" s="23"/>
    </row>
    <row r="887" spans="3:30">
      <c r="C887" s="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AB887" s="23"/>
      <c r="AC887" s="23"/>
      <c r="AD887" s="23"/>
    </row>
    <row r="888" spans="3:30">
      <c r="C888" s="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AB888" s="23"/>
      <c r="AC888" s="23"/>
      <c r="AD888" s="23"/>
    </row>
    <row r="889" spans="3:30">
      <c r="C889" s="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AB889" s="23"/>
      <c r="AC889" s="23"/>
      <c r="AD889" s="23"/>
    </row>
    <row r="890" spans="3:30">
      <c r="C890" s="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AB890" s="23"/>
      <c r="AC890" s="23"/>
      <c r="AD890" s="23"/>
    </row>
    <row r="891" spans="3:30">
      <c r="C891" s="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AB891" s="23"/>
      <c r="AC891" s="23"/>
      <c r="AD891" s="23"/>
    </row>
    <row r="892" spans="3:30">
      <c r="C892" s="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AB892" s="23"/>
      <c r="AC892" s="23"/>
      <c r="AD892" s="23"/>
    </row>
    <row r="893" spans="3:30">
      <c r="C893" s="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AB893" s="23"/>
      <c r="AC893" s="23"/>
      <c r="AD893" s="23"/>
    </row>
    <row r="894" spans="3:30">
      <c r="C894" s="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AB894" s="23"/>
      <c r="AC894" s="23"/>
      <c r="AD894" s="23"/>
    </row>
    <row r="895" spans="3:30">
      <c r="C895" s="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AB895" s="23"/>
      <c r="AC895" s="23"/>
      <c r="AD895" s="23"/>
    </row>
    <row r="896" spans="3:30">
      <c r="C896" s="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AB896" s="23"/>
      <c r="AC896" s="23"/>
      <c r="AD896" s="23"/>
    </row>
    <row r="897" spans="3:30">
      <c r="C897" s="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AB897" s="23"/>
      <c r="AC897" s="23"/>
      <c r="AD897" s="23"/>
    </row>
    <row r="898" spans="3:30">
      <c r="C898" s="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AB898" s="23"/>
      <c r="AC898" s="23"/>
      <c r="AD898" s="23"/>
    </row>
    <row r="899" spans="3:30">
      <c r="C899" s="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AB899" s="23"/>
      <c r="AC899" s="23"/>
      <c r="AD899" s="23"/>
    </row>
    <row r="900" spans="3:30">
      <c r="C900" s="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AB900" s="23"/>
      <c r="AC900" s="23"/>
      <c r="AD900" s="23"/>
    </row>
    <row r="901" spans="3:30">
      <c r="C901" s="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AB901" s="23"/>
      <c r="AC901" s="23"/>
      <c r="AD901" s="23"/>
    </row>
    <row r="902" spans="3:30">
      <c r="C902" s="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AB902" s="23"/>
      <c r="AC902" s="23"/>
      <c r="AD902" s="23"/>
    </row>
    <row r="903" spans="3:30">
      <c r="C903" s="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AB903" s="23"/>
      <c r="AC903" s="23"/>
      <c r="AD903" s="23"/>
    </row>
    <row r="904" spans="3:30">
      <c r="C904" s="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AB904" s="23"/>
      <c r="AC904" s="23"/>
      <c r="AD904" s="23"/>
    </row>
    <row r="905" spans="3:30">
      <c r="C905" s="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AB905" s="23"/>
      <c r="AC905" s="23"/>
      <c r="AD905" s="23"/>
    </row>
    <row r="906" spans="3:30">
      <c r="C906" s="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AB906" s="23"/>
      <c r="AC906" s="23"/>
      <c r="AD906" s="23"/>
    </row>
    <row r="907" spans="3:30">
      <c r="C907" s="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AB907" s="23"/>
      <c r="AC907" s="23"/>
      <c r="AD907" s="23"/>
    </row>
    <row r="908" spans="3:30">
      <c r="C908" s="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AB908" s="23"/>
      <c r="AC908" s="23"/>
      <c r="AD908" s="23"/>
    </row>
    <row r="909" spans="3:30">
      <c r="C909" s="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AB909" s="23"/>
      <c r="AC909" s="23"/>
      <c r="AD909" s="23"/>
    </row>
    <row r="910" spans="3:30">
      <c r="C910" s="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AB910" s="23"/>
      <c r="AC910" s="23"/>
      <c r="AD910" s="23"/>
    </row>
    <row r="911" spans="3:30">
      <c r="C911" s="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AB911" s="23"/>
      <c r="AC911" s="23"/>
      <c r="AD911" s="23"/>
    </row>
    <row r="912" spans="3:30">
      <c r="C912" s="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AB912" s="23"/>
      <c r="AC912" s="23"/>
      <c r="AD912" s="23"/>
    </row>
    <row r="913" spans="3:30">
      <c r="C913" s="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AB913" s="23"/>
      <c r="AC913" s="23"/>
      <c r="AD913" s="23"/>
    </row>
    <row r="914" spans="3:30">
      <c r="C914" s="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AB914" s="23"/>
      <c r="AC914" s="23"/>
      <c r="AD914" s="23"/>
    </row>
    <row r="915" spans="3:30">
      <c r="C915" s="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AB915" s="23"/>
      <c r="AC915" s="23"/>
      <c r="AD915" s="23"/>
    </row>
    <row r="916" spans="3:30"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AB916" s="23"/>
      <c r="AC916" s="23"/>
      <c r="AD916" s="23"/>
    </row>
    <row r="917" spans="3:30"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AB917" s="23"/>
      <c r="AC917" s="23"/>
      <c r="AD917" s="23"/>
    </row>
    <row r="918" spans="3:30"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AB918" s="23"/>
      <c r="AC918" s="23"/>
      <c r="AD918" s="23"/>
    </row>
    <row r="919" spans="3:30"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AB919" s="23"/>
      <c r="AC919" s="23"/>
      <c r="AD919" s="23"/>
    </row>
    <row r="920" spans="3:30"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AB920" s="23"/>
      <c r="AC920" s="23"/>
      <c r="AD920" s="23"/>
    </row>
    <row r="921" spans="3:30"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AB921" s="23"/>
      <c r="AC921" s="23"/>
      <c r="AD921" s="23"/>
    </row>
    <row r="922" spans="3:30"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AB922" s="23"/>
      <c r="AC922" s="23"/>
      <c r="AD922" s="23"/>
    </row>
    <row r="923" spans="3:30"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AB923" s="23"/>
      <c r="AC923" s="23"/>
      <c r="AD923" s="23"/>
    </row>
    <row r="924" spans="3:30"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AB924" s="23"/>
      <c r="AC924" s="23"/>
      <c r="AD924" s="23"/>
    </row>
    <row r="925" spans="3:30"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AB925" s="23"/>
      <c r="AC925" s="23"/>
      <c r="AD925" s="23"/>
    </row>
    <row r="926" spans="3:30"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AB926" s="23"/>
      <c r="AC926" s="23"/>
      <c r="AD926" s="23"/>
    </row>
    <row r="927" spans="3:30"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AB927" s="23"/>
      <c r="AC927" s="23"/>
      <c r="AD927" s="23"/>
    </row>
    <row r="928" spans="3:30"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AB928" s="23"/>
      <c r="AC928" s="23"/>
      <c r="AD928" s="23"/>
    </row>
    <row r="929" spans="4:30"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AB929" s="23"/>
      <c r="AC929" s="23"/>
      <c r="AD929" s="23"/>
    </row>
    <row r="930" spans="4:30"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AB930" s="23"/>
      <c r="AC930" s="23"/>
      <c r="AD930" s="23"/>
    </row>
    <row r="931" spans="4:30"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AB931" s="23"/>
      <c r="AC931" s="23"/>
      <c r="AD931" s="23"/>
    </row>
    <row r="932" spans="4:30"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AB932" s="23"/>
      <c r="AC932" s="23"/>
      <c r="AD932" s="23"/>
    </row>
    <row r="933" spans="4:30"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AB933" s="23"/>
      <c r="AC933" s="23"/>
      <c r="AD933" s="23"/>
    </row>
    <row r="934" spans="4:30"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AB934" s="23"/>
      <c r="AC934" s="23"/>
      <c r="AD934" s="23"/>
    </row>
    <row r="935" spans="4:30"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AB935" s="23"/>
      <c r="AC935" s="23"/>
      <c r="AD935" s="23"/>
    </row>
    <row r="936" spans="4:30"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AB936" s="23"/>
      <c r="AC936" s="23"/>
      <c r="AD936" s="23"/>
    </row>
    <row r="937" spans="4:30"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AB937" s="23"/>
      <c r="AC937" s="23"/>
      <c r="AD937" s="23"/>
    </row>
    <row r="938" spans="4:30"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AB938" s="23"/>
      <c r="AC938" s="23"/>
      <c r="AD938" s="23"/>
    </row>
    <row r="939" spans="4:30"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AB939" s="23"/>
      <c r="AC939" s="23"/>
      <c r="AD939" s="23"/>
    </row>
    <row r="940" spans="4:30"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AB940" s="23"/>
      <c r="AC940" s="23"/>
      <c r="AD940" s="23"/>
    </row>
    <row r="941" spans="4:30"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AB941" s="23"/>
      <c r="AC941" s="23"/>
      <c r="AD941" s="23"/>
    </row>
  </sheetData>
  <mergeCells count="3">
    <mergeCell ref="B4:C4"/>
    <mergeCell ref="B2:C2"/>
    <mergeCell ref="D2:G2"/>
  </mergeCells>
  <dataValidations count="1">
    <dataValidation type="list" allowBlank="1" showInputMessage="1" showErrorMessage="1" sqref="D2" xr:uid="{00000000-0002-0000-0100-000000000000}">
      <formula1>Nombre</formula1>
    </dataValidation>
  </dataValidations>
  <pageMargins left="0.7" right="0.7" top="0.75" bottom="0.75" header="0" footer="0"/>
  <pageSetup scale="2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Filas_profesor">
                <anchor moveWithCells="1" sizeWithCells="1">
                  <from>
                    <xdr:col>7</xdr:col>
                    <xdr:colOff>457200</xdr:colOff>
                    <xdr:row>0</xdr:row>
                    <xdr:rowOff>152400</xdr:rowOff>
                  </from>
                  <to>
                    <xdr:col>9</xdr:col>
                    <xdr:colOff>1828800</xdr:colOff>
                    <xdr:row>1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pageSetUpPr fitToPage="1"/>
  </sheetPr>
  <dimension ref="A1:AW941"/>
  <sheetViews>
    <sheetView zoomScale="85" zoomScaleNormal="85" workbookViewId="0">
      <selection activeCell="G2" sqref="G2"/>
    </sheetView>
  </sheetViews>
  <sheetFormatPr baseColWidth="10" defaultColWidth="14.5" defaultRowHeight="14"/>
  <cols>
    <col min="1" max="1" width="5" style="1" customWidth="1"/>
    <col min="2" max="3" width="7.5" style="2" customWidth="1"/>
    <col min="4" max="4" width="32.5" style="1" customWidth="1"/>
    <col min="5" max="5" width="8" style="1" customWidth="1"/>
    <col min="6" max="6" width="11.5" style="1" customWidth="1"/>
    <col min="7" max="7" width="32.5" style="1" customWidth="1"/>
    <col min="8" max="8" width="10.5" style="1" customWidth="1"/>
    <col min="9" max="9" width="13.1640625" style="1" customWidth="1"/>
    <col min="10" max="10" width="32.5" style="1" customWidth="1"/>
    <col min="11" max="11" width="8" style="1" customWidth="1"/>
    <col min="12" max="12" width="13.5" style="1" customWidth="1"/>
    <col min="13" max="13" width="32.5" style="1" customWidth="1"/>
    <col min="14" max="14" width="8" style="1" customWidth="1"/>
    <col min="15" max="15" width="11.83203125" style="1" customWidth="1"/>
    <col min="16" max="16" width="32.5" style="1" customWidth="1"/>
    <col min="17" max="17" width="8" style="1" customWidth="1"/>
    <col min="18" max="18" width="13.83203125" style="1" bestFit="1" customWidth="1"/>
    <col min="19" max="19" width="10.1640625" style="1" bestFit="1" customWidth="1"/>
    <col min="20" max="20" width="8" style="1" hidden="1" customWidth="1"/>
    <col min="21" max="21" width="11.33203125" style="1" hidden="1" customWidth="1"/>
    <col min="22" max="22" width="10.6640625" style="1" customWidth="1"/>
    <col min="23" max="23" width="45.1640625" style="3" customWidth="1"/>
    <col min="24" max="24" width="13.6640625" style="3" customWidth="1"/>
    <col min="25" max="25" width="10.6640625" style="3" customWidth="1"/>
    <col min="26" max="27" width="10.6640625" style="1" customWidth="1"/>
    <col min="28" max="48" width="14.5" style="1" customWidth="1"/>
    <col min="49" max="16384" width="14.5" style="1"/>
  </cols>
  <sheetData>
    <row r="1" spans="1:49">
      <c r="A1" s="28"/>
    </row>
    <row r="2" spans="1:49" ht="17">
      <c r="A2" s="22"/>
      <c r="B2" s="185" t="s">
        <v>11</v>
      </c>
      <c r="C2" s="186"/>
      <c r="D2" s="72" t="s">
        <v>48</v>
      </c>
      <c r="E2" s="185" t="s">
        <v>13</v>
      </c>
      <c r="F2" s="186"/>
      <c r="G2" s="68">
        <v>7</v>
      </c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69">
        <f>Semestre</f>
        <v>7</v>
      </c>
      <c r="Y2" s="116"/>
      <c r="Z2" s="22"/>
      <c r="AA2" s="22"/>
      <c r="AB2" s="22"/>
      <c r="AC2" s="22"/>
    </row>
    <row r="4" spans="1:49" ht="16">
      <c r="B4" s="183" t="s">
        <v>2</v>
      </c>
      <c r="C4" s="184"/>
      <c r="D4" s="67" t="s">
        <v>3</v>
      </c>
      <c r="E4" s="67" t="s">
        <v>4</v>
      </c>
      <c r="F4" s="67" t="s">
        <v>5</v>
      </c>
      <c r="G4" s="69" t="s">
        <v>6</v>
      </c>
      <c r="H4" s="67" t="s">
        <v>4</v>
      </c>
      <c r="I4" s="67" t="s">
        <v>5</v>
      </c>
      <c r="J4" s="69" t="s">
        <v>7</v>
      </c>
      <c r="K4" s="67" t="s">
        <v>4</v>
      </c>
      <c r="L4" s="67" t="s">
        <v>5</v>
      </c>
      <c r="M4" s="69" t="s">
        <v>8</v>
      </c>
      <c r="N4" s="67" t="s">
        <v>4</v>
      </c>
      <c r="O4" s="67" t="s">
        <v>5</v>
      </c>
      <c r="P4" s="69" t="s">
        <v>9</v>
      </c>
      <c r="Q4" s="67" t="s">
        <v>4</v>
      </c>
      <c r="R4" s="67" t="s">
        <v>5</v>
      </c>
      <c r="S4" s="69" t="s">
        <v>14</v>
      </c>
      <c r="T4" s="67" t="s">
        <v>4</v>
      </c>
      <c r="U4" s="67" t="s">
        <v>5</v>
      </c>
      <c r="V4" s="23"/>
      <c r="W4" s="69" t="s">
        <v>15</v>
      </c>
      <c r="X4" s="69" t="s">
        <v>16</v>
      </c>
      <c r="Z4" s="23"/>
      <c r="AA4" s="23"/>
    </row>
    <row r="5" spans="1:49" ht="30">
      <c r="B5" s="70">
        <v>0.29166666666666669</v>
      </c>
      <c r="C5" s="71">
        <v>0.3125</v>
      </c>
      <c r="D5" s="24" t="str" cm="1">
        <f t="array" aca="1" ref="D5" ca="1">_xlfn.TEXTJOIN(CHAR(10),TRUE,IF(Semestre=INDIRECT("base_de_datos["&amp;Carrera&amp;"]"),IF("x"=base_de_datos[Lunes],IF(base_de_datos[Hora inicio]&lt;=$B5,IF(base_de_datos[Hora fin]&gt;=$C5,base_de_datos[Materia]&amp;" "&amp;base_de_datos[[Número de grupo ]]&amp;" "&amp;base_de_datos[Profesor],""),""),""),""),"")</f>
        <v/>
      </c>
      <c r="E5" s="24" t="str" cm="1">
        <f t="array" aca="1" ref="E5" ca="1">_xlfn.TEXTJOIN(CHAR(10),TRUE,IF(Semestre=INDIRECT("base_de_datos["&amp;Carrera&amp;"]"),IF("x"=base_de_datos[Lunes],IF(base_de_datos[Hora inicio]&lt;=$B5,IF(base_de_datos[Hora fin]&gt;=$C5,base_de_datos[Aula]&amp;" "&amp;base_de_datos[Examen],""),""),""),""),"")</f>
        <v/>
      </c>
      <c r="F5" s="24" t="str" cm="1">
        <f t="array" aca="1" ref="F5" ca="1">_xlfn.TEXTJOIN(CHAR(10),TRUE,IF(Semestre=INDIRECT("base_de_datos["&amp;Carrera&amp;"]"),IF("x"=base_de_datos[Lunes],IF(base_de_datos[Hora inicio]&lt;=$B5,IF(base_de_datos[Hora fin]&gt;=$C5,base_de_datos[No clase],""),""),""),""),"")</f>
        <v/>
      </c>
      <c r="G5" s="24" t="str" cm="1">
        <f t="array" aca="1" ref="G5" ca="1">_xlfn.TEXTJOIN(CHAR(10),TRUE,IF(Semestre=INDIRECT("base_de_datos["&amp;Carrera&amp;"]"),IF("x"=base_de_datos[Martes],IF(base_de_datos[Hora inicio]&lt;=$B5,IF(base_de_datos[Hora fin]&gt;=$C5,base_de_datos[Materia]&amp;" "&amp;base_de_datos[[Número de grupo ]]&amp;" "&amp;base_de_datos[Profesor],""),""),""),""),"")</f>
        <v/>
      </c>
      <c r="H5" s="24" t="str" cm="1">
        <f t="array" aca="1" ref="H5" ca="1">_xlfn.TEXTJOIN(CHAR(10),TRUE,IF(Semestre=INDIRECT("base_de_datos["&amp;Carrera&amp;"]"),IF("x"=base_de_datos[Martes],IF(base_de_datos[Hora inicio]&lt;=$B5,IF(base_de_datos[Hora fin]&gt;=$C5,base_de_datos[Aula]&amp;" "&amp;base_de_datos[Examen],""),""),""),""),"")</f>
        <v/>
      </c>
      <c r="I5" s="24" t="str" cm="1">
        <f t="array" aca="1" ref="I5" ca="1">_xlfn.TEXTJOIN(CHAR(10),TRUE,IF(Semestre=INDIRECT("base_de_datos["&amp;Carrera&amp;"]"),IF("x"=base_de_datos[Martes],IF(base_de_datos[Hora inicio]&lt;=$B5,IF(base_de_datos[Hora fin]&gt;=$C5,base_de_datos[No clase],""),""),""),""),"")</f>
        <v/>
      </c>
      <c r="J5" s="24" t="str" cm="1">
        <f t="array" aca="1" ref="J5" ca="1">_xlfn.TEXTJOIN(CHAR(10),TRUE,IF(Semestre=INDIRECT("base_de_datos["&amp;Carrera&amp;"]"),IF("x"=base_de_datos[Miércoles],IF(base_de_datos[Hora inicio]&lt;=$B5,IF(base_de_datos[Hora fin]&gt;=$C5,base_de_datos[Materia]&amp;" "&amp;base_de_datos[[Número de grupo ]]&amp;" "&amp;base_de_datos[Profesor],""),""),""),""),"")</f>
        <v/>
      </c>
      <c r="K5" s="24" t="str" cm="1">
        <f t="array" aca="1" ref="K5" ca="1">_xlfn.TEXTJOIN(CHAR(10),TRUE,IF(Semestre=INDIRECT("base_de_datos["&amp;Carrera&amp;"]"),IF("x"=base_de_datos[Miércoles],IF(base_de_datos[Hora inicio]&lt;=$B5,IF(base_de_datos[Hora fin]&gt;=$C5,base_de_datos[Aula]&amp;" "&amp;base_de_datos[Examen],""),""),""),""),"")</f>
        <v/>
      </c>
      <c r="L5" s="24" t="str" cm="1">
        <f t="array" aca="1" ref="L5" ca="1">_xlfn.TEXTJOIN(CHAR(10),TRUE,IF(Semestre=INDIRECT("base_de_datos["&amp;Carrera&amp;"]"),IF("x"=base_de_datos[Miércoles],IF(base_de_datos[Hora inicio]&lt;=$B5,IF(base_de_datos[Hora fin]&gt;=$C5,base_de_datos[No clase],""),""),""),""),"")</f>
        <v/>
      </c>
      <c r="M5" s="24" t="str" cm="1">
        <f t="array" aca="1" ref="M5" ca="1">_xlfn.TEXTJOIN(CHAR(10),TRUE,IF(Semestre=INDIRECT("base_de_datos["&amp;Carrera&amp;"]"),IF("x"=base_de_datos[Jueves],IF(base_de_datos[Hora inicio]&lt;=$B5,IF(base_de_datos[Hora fin]&gt;=$C5,base_de_datos[Materia]&amp;" "&amp;base_de_datos[[Número de grupo ]]&amp;" "&amp;base_de_datos[Profesor],""),""),""),""),"")</f>
        <v/>
      </c>
      <c r="N5" s="24" t="str" cm="1">
        <f t="array" aca="1" ref="N5" ca="1">_xlfn.TEXTJOIN(CHAR(10),TRUE,IF(Semestre=INDIRECT("base_de_datos["&amp;Carrera&amp;"]"),IF("x"=base_de_datos[Jueves],IF(base_de_datos[Hora inicio]&lt;=$B5,IF(base_de_datos[Hora fin]&gt;=$C5,base_de_datos[Aula]&amp;" "&amp;base_de_datos[Examen],""),""),""),""),"")</f>
        <v/>
      </c>
      <c r="O5" s="24" t="str" cm="1">
        <f t="array" aca="1" ref="O5" ca="1">_xlfn.TEXTJOIN(CHAR(10),TRUE,IF(Semestre=INDIRECT("base_de_datos["&amp;Carrera&amp;"]"),IF("x"=base_de_datos[Jueves],IF(base_de_datos[Hora inicio]&lt;=$B5,IF(base_de_datos[Hora fin]&gt;=$C5,base_de_datos[No clase],""),""),""),""),"")</f>
        <v/>
      </c>
      <c r="P5" s="24" t="str" cm="1">
        <f t="array" aca="1" ref="P5" ca="1">_xlfn.TEXTJOIN(CHAR(10),TRUE,IF(Semestre=INDIRECT("base_de_datos["&amp;Carrera&amp;"]"),IF("x"=base_de_datos[Viernes],IF(base_de_datos[Hora inicio]&lt;=$B5,IF(base_de_datos[Hora fin]&gt;=$C5,base_de_datos[Materia]&amp;" "&amp;base_de_datos[[Número de grupo ]]&amp;" "&amp;base_de_datos[Profesor],""),""),""),""),"")</f>
        <v/>
      </c>
      <c r="Q5" s="24" t="str" cm="1">
        <f t="array" aca="1" ref="Q5" ca="1">_xlfn.TEXTJOIN(CHAR(10),TRUE,IF(Semestre=INDIRECT("base_de_datos["&amp;Carrera&amp;"]"),IF("x"=base_de_datos[Viernes],IF(base_de_datos[Hora inicio]&lt;=$B5,IF(base_de_datos[Hora fin]&gt;=$C5,base_de_datos[Aula]&amp;" "&amp;base_de_datos[Examen],""),""),""),""),"")</f>
        <v/>
      </c>
      <c r="R5" s="24" t="str" cm="1">
        <f t="array" aca="1" ref="R5" ca="1">_xlfn.TEXTJOIN(CHAR(10),TRUE,IF(Semestre=INDIRECT("base_de_datos["&amp;Carrera&amp;"]"),IF("x"=base_de_datos[Viernes],IF(base_de_datos[Hora inicio]&lt;=$B5,IF(base_de_datos[Hora fin]&gt;=$C5,base_de_datos[No clase],""),""),""),""),"")</f>
        <v/>
      </c>
      <c r="S5" s="24" t="str" cm="1">
        <f t="array" aca="1" ref="S5" ca="1">_xlfn.TEXTJOIN(CHAR(10),TRUE,IF(Semestre=INDIRECT("base_de_datos["&amp;Carrera&amp;"]"),IF("x"=base_de_datos[Sábado],IF(base_de_datos[Hora inicio]&lt;=$B5,IF(base_de_datos[Hora fin]&gt;=$C5,base_de_datos[Materia]&amp;" "&amp;base_de_datos[[Número de grupo ]]&amp;" "&amp;base_de_datos[Profesor],""),""),""),""),"")</f>
        <v/>
      </c>
      <c r="T5" s="24" t="str" cm="1">
        <f t="array" aca="1" ref="T5" ca="1">_xlfn.TEXTJOIN(CHAR(10),TRUE,IF(Semestre=INDIRECT("base_de_datos["&amp;Carrera&amp;"]"),IF("x"=base_de_datos[Sábado],IF(base_de_datos[Hora inicio]&lt;=$B5,IF(base_de_datos[Hora fin]&gt;=$C5,base_de_datos[Aula]&amp;" "&amp;#REF!,""),""),""),""),"")</f>
        <v/>
      </c>
      <c r="U5" s="24" t="str" cm="1">
        <f t="array" aca="1" ref="U5" ca="1">_xlfn.TEXTJOIN(CHAR(10),TRUE,IF(Semestre=INDIRECT("base_de_datos["&amp;Carrera&amp;"]"),IF("x"=base_de_datos[Sábado],IF(base_de_datos[Hora inicio]&lt;=$B5,IF(base_de_datos[Hora fin]&gt;=$C5,base_de_datos[No clase],""),""),""),""),"")</f>
        <v/>
      </c>
      <c r="V5" s="23"/>
      <c r="W5" s="117" t="str" cm="1">
        <f t="array" aca="1" ref="W5:AU10" ca="1">_xlfn._xlws.SORT(_xlfn._xlws.FILTER(Planes_de_estudio[],(INDIRECT(IF(Carrera="Inteligencia Artificial","Inteligencia_Artificial",IF(Carrera="Tecnologías Energéticas","Tecnologías_Energéticas",IF(Carrera="Civil y Administración","Civil_y_Administración",IF(Carrera="Innovación y Diseño","Innovación_y_Diseño",Carrera)))))=W2)),2,1)</f>
        <v>Agentes inteligentes</v>
      </c>
      <c r="X5" s="115" t="str">
        <f ca="1"/>
        <v>COM</v>
      </c>
      <c r="Y5" s="98">
        <f ca="1"/>
        <v>0</v>
      </c>
      <c r="Z5" s="26">
        <f ca="1"/>
        <v>0</v>
      </c>
      <c r="AA5" s="26">
        <f ca="1"/>
        <v>0</v>
      </c>
      <c r="AB5" s="45">
        <f ca="1"/>
        <v>7</v>
      </c>
      <c r="AC5" s="45">
        <f ca="1"/>
        <v>0</v>
      </c>
      <c r="AD5" s="45">
        <f ca="1"/>
        <v>0</v>
      </c>
      <c r="AE5" s="45">
        <f ca="1"/>
        <v>0</v>
      </c>
      <c r="AF5" s="45">
        <f ca="1"/>
        <v>48</v>
      </c>
      <c r="AG5" s="45">
        <f ca="1"/>
        <v>0</v>
      </c>
      <c r="AH5" s="45">
        <f ca="1"/>
        <v>0</v>
      </c>
      <c r="AI5" s="45">
        <f ca="1"/>
        <v>0</v>
      </c>
      <c r="AJ5" s="45">
        <f ca="1"/>
        <v>0</v>
      </c>
      <c r="AK5" s="45" t="str">
        <f ca="1"/>
        <v>029627</v>
      </c>
      <c r="AL5" s="45">
        <f ca="1"/>
        <v>0</v>
      </c>
      <c r="AM5" s="45">
        <f ca="1"/>
        <v>0</v>
      </c>
      <c r="AN5" s="45">
        <f ca="1"/>
        <v>0</v>
      </c>
      <c r="AO5" s="45">
        <f ca="1"/>
        <v>0</v>
      </c>
      <c r="AP5" s="45">
        <f ca="1"/>
        <v>0</v>
      </c>
      <c r="AQ5" s="45">
        <f ca="1"/>
        <v>0</v>
      </c>
      <c r="AR5" s="45">
        <f ca="1"/>
        <v>6</v>
      </c>
      <c r="AS5" s="45">
        <f ca="1"/>
        <v>0</v>
      </c>
      <c r="AT5" s="45">
        <f ca="1"/>
        <v>0</v>
      </c>
      <c r="AU5" s="45">
        <f ca="1"/>
        <v>0</v>
      </c>
      <c r="AV5" s="45"/>
      <c r="AW5" s="1" t="str">
        <f t="shared" ref="AW5:AW22" ca="1" si="0">IF(W5="","",(IFERROR(VLOOKUP(W5,Materia_programada,1,0),0)))</f>
        <v>Agentes inteligentes</v>
      </c>
    </row>
    <row r="6" spans="1:49" ht="15">
      <c r="B6" s="70">
        <v>0.3125</v>
      </c>
      <c r="C6" s="70">
        <v>0.33333333333333298</v>
      </c>
      <c r="D6" s="24" t="str" cm="1">
        <f t="array" aca="1" ref="D6" ca="1">_xlfn.TEXTJOIN(CHAR(10),TRUE,IF(Semestre=INDIRECT("base_de_datos["&amp;Carrera&amp;"]"),IF("x"=base_de_datos[Lunes],IF(base_de_datos[Hora inicio]&lt;=$B6,IF(base_de_datos[Hora fin]&gt;=$C6,base_de_datos[Materia]&amp;" "&amp;base_de_datos[[Número de grupo ]]&amp;" "&amp;base_de_datos[Profesor],""),""),""),""),"")</f>
        <v/>
      </c>
      <c r="E6" s="24" t="str" cm="1">
        <f t="array" aca="1" ref="E6" ca="1">_xlfn.TEXTJOIN(CHAR(10),TRUE,IF(Semestre=INDIRECT("base_de_datos["&amp;Carrera&amp;"]"),IF("x"=base_de_datos[Lunes],IF(base_de_datos[Hora inicio]&lt;=$B6,IF(base_de_datos[Hora fin]&gt;=$C6,base_de_datos[Aula]&amp;" "&amp;base_de_datos[Examen],""),""),""),""),"")</f>
        <v/>
      </c>
      <c r="F6" s="24" t="str" cm="1">
        <f t="array" aca="1" ref="F6" ca="1">_xlfn.TEXTJOIN(CHAR(10),TRUE,IF(Semestre=INDIRECT("base_de_datos["&amp;Carrera&amp;"]"),IF("x"=base_de_datos[Lunes],IF(base_de_datos[Hora inicio]&lt;=$B6,IF(base_de_datos[Hora fin]&gt;=$C6,base_de_datos[No clase],""),""),""),""),"")</f>
        <v/>
      </c>
      <c r="G6" s="24" t="str" cm="1">
        <f t="array" aca="1" ref="G6" ca="1">_xlfn.TEXTJOIN(CHAR(10),TRUE,IF(Semestre=INDIRECT("base_de_datos["&amp;Carrera&amp;"]"),IF("x"=base_de_datos[Martes],IF(base_de_datos[Hora inicio]&lt;=$B6,IF(base_de_datos[Hora fin]&gt;=$C6,base_de_datos[Materia]&amp;" "&amp;base_de_datos[[Número de grupo ]]&amp;" "&amp;base_de_datos[Profesor],""),""),""),""),"")</f>
        <v/>
      </c>
      <c r="H6" s="24" t="str" cm="1">
        <f t="array" aca="1" ref="H6" ca="1">_xlfn.TEXTJOIN(CHAR(10),TRUE,IF(Semestre=INDIRECT("base_de_datos["&amp;Carrera&amp;"]"),IF("x"=base_de_datos[Martes],IF(base_de_datos[Hora inicio]&lt;=$B6,IF(base_de_datos[Hora fin]&gt;=$C6,base_de_datos[Aula]&amp;" "&amp;base_de_datos[Examen],""),""),""),""),"")</f>
        <v/>
      </c>
      <c r="I6" s="24" t="str" cm="1">
        <f t="array" aca="1" ref="I6" ca="1">_xlfn.TEXTJOIN(CHAR(10),TRUE,IF(Semestre=INDIRECT("base_de_datos["&amp;Carrera&amp;"]"),IF("x"=base_de_datos[Martes],IF(base_de_datos[Hora inicio]&lt;=$B6,IF(base_de_datos[Hora fin]&gt;=$C6,base_de_datos[No clase],""),""),""),""),"")</f>
        <v/>
      </c>
      <c r="J6" s="24" t="str" cm="1">
        <f t="array" aca="1" ref="J6" ca="1">_xlfn.TEXTJOIN(CHAR(10),TRUE,IF(Semestre=INDIRECT("base_de_datos["&amp;Carrera&amp;"]"),IF("x"=base_de_datos[Miércoles],IF(base_de_datos[Hora inicio]&lt;=$B6,IF(base_de_datos[Hora fin]&gt;=$C6,base_de_datos[Materia]&amp;" "&amp;base_de_datos[[Número de grupo ]]&amp;" "&amp;base_de_datos[Profesor],""),""),""),""),"")</f>
        <v/>
      </c>
      <c r="K6" s="24" t="str" cm="1">
        <f t="array" aca="1" ref="K6" ca="1">_xlfn.TEXTJOIN(CHAR(10),TRUE,IF(Semestre=INDIRECT("base_de_datos["&amp;Carrera&amp;"]"),IF("x"=base_de_datos[Miércoles],IF(base_de_datos[Hora inicio]&lt;=$B6,IF(base_de_datos[Hora fin]&gt;=$C6,base_de_datos[Aula]&amp;" "&amp;base_de_datos[Examen],""),""),""),""),"")</f>
        <v/>
      </c>
      <c r="L6" s="24" t="str" cm="1">
        <f t="array" aca="1" ref="L6" ca="1">_xlfn.TEXTJOIN(CHAR(10),TRUE,IF(Semestre=INDIRECT("base_de_datos["&amp;Carrera&amp;"]"),IF("x"=base_de_datos[Miércoles],IF(base_de_datos[Hora inicio]&lt;=$B6,IF(base_de_datos[Hora fin]&gt;=$C6,base_de_datos[No clase],""),""),""),""),"")</f>
        <v/>
      </c>
      <c r="M6" s="24" t="str" cm="1">
        <f t="array" aca="1" ref="M6" ca="1">_xlfn.TEXTJOIN(CHAR(10),TRUE,IF(Semestre=INDIRECT("base_de_datos["&amp;Carrera&amp;"]"),IF("x"=base_de_datos[Jueves],IF(base_de_datos[Hora inicio]&lt;=$B6,IF(base_de_datos[Hora fin]&gt;=$C6,base_de_datos[Materia]&amp;" "&amp;base_de_datos[[Número de grupo ]]&amp;" "&amp;base_de_datos[Profesor],""),""),""),""),"")</f>
        <v/>
      </c>
      <c r="N6" s="24" t="str" cm="1">
        <f t="array" aca="1" ref="N6" ca="1">_xlfn.TEXTJOIN(CHAR(10),TRUE,IF(Semestre=INDIRECT("base_de_datos["&amp;Carrera&amp;"]"),IF("x"=base_de_datos[Jueves],IF(base_de_datos[Hora inicio]&lt;=$B6,IF(base_de_datos[Hora fin]&gt;=$C6,base_de_datos[Aula]&amp;" "&amp;base_de_datos[Examen],""),""),""),""),"")</f>
        <v/>
      </c>
      <c r="O6" s="24" t="str" cm="1">
        <f t="array" aca="1" ref="O6" ca="1">_xlfn.TEXTJOIN(CHAR(10),TRUE,IF(Semestre=INDIRECT("base_de_datos["&amp;Carrera&amp;"]"),IF("x"=base_de_datos[Jueves],IF(base_de_datos[Hora inicio]&lt;=$B6,IF(base_de_datos[Hora fin]&gt;=$C6,base_de_datos[No clase],""),""),""),""),"")</f>
        <v/>
      </c>
      <c r="P6" s="24" t="str" cm="1">
        <f t="array" aca="1" ref="P6" ca="1">_xlfn.TEXTJOIN(CHAR(10),TRUE,IF(Semestre=INDIRECT("base_de_datos["&amp;Carrera&amp;"]"),IF("x"=base_de_datos[Viernes],IF(base_de_datos[Hora inicio]&lt;=$B6,IF(base_de_datos[Hora fin]&gt;=$C6,base_de_datos[Materia]&amp;" "&amp;base_de_datos[[Número de grupo ]]&amp;" "&amp;base_de_datos[Profesor],""),""),""),""),"")</f>
        <v/>
      </c>
      <c r="Q6" s="24" t="str" cm="1">
        <f t="array" aca="1" ref="Q6" ca="1">_xlfn.TEXTJOIN(CHAR(10),TRUE,IF(Semestre=INDIRECT("base_de_datos["&amp;Carrera&amp;"]"),IF("x"=base_de_datos[Viernes],IF(base_de_datos[Hora inicio]&lt;=$B6,IF(base_de_datos[Hora fin]&gt;=$C6,base_de_datos[Aula]&amp;" "&amp;base_de_datos[Examen],""),""),""),""),"")</f>
        <v/>
      </c>
      <c r="R6" s="24" t="str" cm="1">
        <f t="array" aca="1" ref="R6" ca="1">_xlfn.TEXTJOIN(CHAR(10),TRUE,IF(Semestre=INDIRECT("base_de_datos["&amp;Carrera&amp;"]"),IF("x"=base_de_datos[Viernes],IF(base_de_datos[Hora inicio]&lt;=$B6,IF(base_de_datos[Hora fin]&gt;=$C6,base_de_datos[No clase],""),""),""),""),"")</f>
        <v/>
      </c>
      <c r="S6" s="24" t="str" cm="1">
        <f t="array" aca="1" ref="S6" ca="1">_xlfn.TEXTJOIN(CHAR(10),TRUE,IF(Semestre=INDIRECT("base_de_datos["&amp;Carrera&amp;"]"),IF("x"=base_de_datos[Sábado],IF(base_de_datos[Hora inicio]&lt;=$B6,IF(base_de_datos[Hora fin]&gt;=$C6,base_de_datos[Materia]&amp;" "&amp;base_de_datos[[Número de grupo ]]&amp;" "&amp;base_de_datos[Profesor],""),""),""),""),"")</f>
        <v/>
      </c>
      <c r="T6" s="24" t="str" cm="1">
        <f t="array" aca="1" ref="T6" ca="1">_xlfn.TEXTJOIN(CHAR(10),TRUE,IF(Semestre=INDIRECT("base_de_datos["&amp;Carrera&amp;"]"),IF("x"=base_de_datos[Sábado],IF(base_de_datos[Hora inicio]&lt;=$B6,IF(base_de_datos[Hora fin]&gt;=$C6,base_de_datos[Aula]&amp;" "&amp;#REF!,""),""),""),""),"")</f>
        <v/>
      </c>
      <c r="U6" s="24" t="str" cm="1">
        <f t="array" aca="1" ref="U6" ca="1">_xlfn.TEXTJOIN(CHAR(10),TRUE,IF(Semestre=INDIRECT("base_de_datos["&amp;Carrera&amp;"]"),IF("x"=base_de_datos[Sábado],IF(base_de_datos[Hora inicio]&lt;=$B6,IF(base_de_datos[Hora fin]&gt;=$C6,base_de_datos[No clase],""),""),""),""),"")</f>
        <v/>
      </c>
      <c r="V6" s="23"/>
      <c r="W6" s="117" t="str">
        <f ca="1"/>
        <v>Cómputo distribuido</v>
      </c>
      <c r="X6" s="115" t="str">
        <f ca="1"/>
        <v>COM</v>
      </c>
      <c r="Y6" s="98">
        <f ca="1"/>
        <v>0</v>
      </c>
      <c r="Z6" s="26">
        <f ca="1"/>
        <v>0</v>
      </c>
      <c r="AA6" s="26">
        <f ca="1"/>
        <v>0</v>
      </c>
      <c r="AB6" s="45">
        <f ca="1"/>
        <v>7</v>
      </c>
      <c r="AC6" s="45">
        <f ca="1"/>
        <v>0</v>
      </c>
      <c r="AD6" s="45">
        <f ca="1"/>
        <v>0</v>
      </c>
      <c r="AE6" s="45">
        <f ca="1"/>
        <v>0</v>
      </c>
      <c r="AF6" s="45">
        <f ca="1"/>
        <v>48</v>
      </c>
      <c r="AG6" s="45">
        <f ca="1"/>
        <v>0</v>
      </c>
      <c r="AH6" s="45">
        <f ca="1"/>
        <v>0</v>
      </c>
      <c r="AI6" s="45">
        <f ca="1"/>
        <v>0</v>
      </c>
      <c r="AJ6" s="45">
        <f ca="1"/>
        <v>0</v>
      </c>
      <c r="AK6" s="45" t="str">
        <f ca="1"/>
        <v>029626</v>
      </c>
      <c r="AL6" s="45">
        <f ca="1"/>
        <v>0</v>
      </c>
      <c r="AM6" s="45">
        <f ca="1"/>
        <v>0</v>
      </c>
      <c r="AN6" s="45">
        <f ca="1"/>
        <v>0</v>
      </c>
      <c r="AO6" s="45">
        <f ca="1"/>
        <v>0</v>
      </c>
      <c r="AP6" s="45">
        <f ca="1"/>
        <v>0</v>
      </c>
      <c r="AQ6" s="45">
        <f ca="1"/>
        <v>0</v>
      </c>
      <c r="AR6" s="45">
        <f ca="1"/>
        <v>6</v>
      </c>
      <c r="AS6" s="45">
        <f ca="1"/>
        <v>0</v>
      </c>
      <c r="AT6" s="45">
        <f ca="1"/>
        <v>0</v>
      </c>
      <c r="AU6" s="45">
        <f ca="1"/>
        <v>0</v>
      </c>
      <c r="AV6" s="45"/>
      <c r="AW6" s="1" t="str">
        <f t="shared" ca="1" si="0"/>
        <v>Cómputo distribuido</v>
      </c>
    </row>
    <row r="7" spans="1:49" ht="60">
      <c r="B7" s="70">
        <v>0.33333333333333298</v>
      </c>
      <c r="C7" s="70">
        <v>0.35416666666666602</v>
      </c>
      <c r="D7" s="24" t="str" cm="1">
        <f t="array" aca="1" ref="D7" ca="1">_xlfn.TEXTJOIN(CHAR(10),TRUE,IF(Semestre=INDIRECT("base_de_datos["&amp;Carrera&amp;"]"),IF("x"=base_de_datos[Lunes],IF(base_de_datos[Hora inicio]&lt;=$B7,IF(base_de_datos[Hora fin]&gt;=$C7,base_de_datos[Materia]&amp;" "&amp;base_de_datos[[Número de grupo ]]&amp;" "&amp;base_de_datos[Profesor],""),""),""),""),"")</f>
        <v/>
      </c>
      <c r="E7" s="24" t="str" cm="1">
        <f t="array" aca="1" ref="E7" ca="1">_xlfn.TEXTJOIN(CHAR(10),TRUE,IF(Semestre=INDIRECT("base_de_datos["&amp;Carrera&amp;"]"),IF("x"=base_de_datos[Lunes],IF(base_de_datos[Hora inicio]&lt;=$B7,IF(base_de_datos[Hora fin]&gt;=$C7,base_de_datos[Aula]&amp;" "&amp;base_de_datos[Examen],""),""),""),""),"")</f>
        <v/>
      </c>
      <c r="F7" s="24" t="str" cm="1">
        <f t="array" aca="1" ref="F7" ca="1">_xlfn.TEXTJOIN(CHAR(10),TRUE,IF(Semestre=INDIRECT("base_de_datos["&amp;Carrera&amp;"]"),IF("x"=base_de_datos[Lunes],IF(base_de_datos[Hora inicio]&lt;=$B7,IF(base_de_datos[Hora fin]&gt;=$C7,base_de_datos[No clase],""),""),""),""),"")</f>
        <v/>
      </c>
      <c r="G7" s="24" t="str" cm="1">
        <f t="array" aca="1" ref="G7" ca="1">_xlfn.TEXTJOIN(CHAR(10),TRUE,IF(Semestre=INDIRECT("base_de_datos["&amp;Carrera&amp;"]"),IF("x"=base_de_datos[Martes],IF(base_de_datos[Hora inicio]&lt;=$B7,IF(base_de_datos[Hora fin]&gt;=$C7,base_de_datos[Materia]&amp;" "&amp;base_de_datos[[Número de grupo ]]&amp;" "&amp;base_de_datos[Profesor],""),""),""),""),"")</f>
        <v/>
      </c>
      <c r="H7" s="24" t="str" cm="1">
        <f t="array" aca="1" ref="H7" ca="1">_xlfn.TEXTJOIN(CHAR(10),TRUE,IF(Semestre=INDIRECT("base_de_datos["&amp;Carrera&amp;"]"),IF("x"=base_de_datos[Martes],IF(base_de_datos[Hora inicio]&lt;=$B7,IF(base_de_datos[Hora fin]&gt;=$C7,base_de_datos[Aula]&amp;" "&amp;base_de_datos[Examen],""),""),""),""),"")</f>
        <v/>
      </c>
      <c r="I7" s="24" t="str" cm="1">
        <f t="array" aca="1" ref="I7" ca="1">_xlfn.TEXTJOIN(CHAR(10),TRUE,IF(Semestre=INDIRECT("base_de_datos["&amp;Carrera&amp;"]"),IF("x"=base_de_datos[Martes],IF(base_de_datos[Hora inicio]&lt;=$B7,IF(base_de_datos[Hora fin]&gt;=$C7,base_de_datos[No clase],""),""),""),""),"")</f>
        <v/>
      </c>
      <c r="J7" s="24" t="str" cm="1">
        <f t="array" aca="1" ref="J7" ca="1">_xlfn.TEXTJOIN(CHAR(10),TRUE,IF(Semestre=INDIRECT("base_de_datos["&amp;Carrera&amp;"]"),IF("x"=base_de_datos[Miércoles],IF(base_de_datos[Hora inicio]&lt;=$B7,IF(base_de_datos[Hora fin]&gt;=$C7,base_de_datos[Materia]&amp;" "&amp;base_de_datos[[Número de grupo ]]&amp;" "&amp;base_de_datos[Profesor],""),""),""),""),"")</f>
        <v/>
      </c>
      <c r="K7" s="24" t="str" cm="1">
        <f t="array" aca="1" ref="K7" ca="1">_xlfn.TEXTJOIN(CHAR(10),TRUE,IF(Semestre=INDIRECT("base_de_datos["&amp;Carrera&amp;"]"),IF("x"=base_de_datos[Miércoles],IF(base_de_datos[Hora inicio]&lt;=$B7,IF(base_de_datos[Hora fin]&gt;=$C7,base_de_datos[Aula]&amp;" "&amp;base_de_datos[Examen],""),""),""),""),"")</f>
        <v/>
      </c>
      <c r="L7" s="24" t="str" cm="1">
        <f t="array" aca="1" ref="L7" ca="1">_xlfn.TEXTJOIN(CHAR(10),TRUE,IF(Semestre=INDIRECT("base_de_datos["&amp;Carrera&amp;"]"),IF("x"=base_de_datos[Miércoles],IF(base_de_datos[Hora inicio]&lt;=$B7,IF(base_de_datos[Hora fin]&gt;=$C7,base_de_datos[No clase],""),""),""),""),"")</f>
        <v/>
      </c>
      <c r="M7" s="24" t="str" cm="1">
        <f t="array" aca="1" ref="M7" ca="1">_xlfn.TEXTJOIN(CHAR(10),TRUE,IF(Semestre=INDIRECT("base_de_datos["&amp;Carrera&amp;"]"),IF("x"=base_de_datos[Jueves],IF(base_de_datos[Hora inicio]&lt;=$B7,IF(base_de_datos[Hora fin]&gt;=$C7,base_de_datos[Materia]&amp;" "&amp;base_de_datos[[Número de grupo ]]&amp;" "&amp;base_de_datos[Profesor],""),""),""),""),"")</f>
        <v/>
      </c>
      <c r="N7" s="24" t="str" cm="1">
        <f t="array" aca="1" ref="N7" ca="1">_xlfn.TEXTJOIN(CHAR(10),TRUE,IF(Semestre=INDIRECT("base_de_datos["&amp;Carrera&amp;"]"),IF("x"=base_de_datos[Jueves],IF(base_de_datos[Hora inicio]&lt;=$B7,IF(base_de_datos[Hora fin]&gt;=$C7,base_de_datos[Aula]&amp;" "&amp;base_de_datos[Examen],""),""),""),""),"")</f>
        <v/>
      </c>
      <c r="O7" s="24" t="str" cm="1">
        <f t="array" aca="1" ref="O7" ca="1">_xlfn.TEXTJOIN(CHAR(10),TRUE,IF(Semestre=INDIRECT("base_de_datos["&amp;Carrera&amp;"]"),IF("x"=base_de_datos[Jueves],IF(base_de_datos[Hora inicio]&lt;=$B7,IF(base_de_datos[Hora fin]&gt;=$C7,base_de_datos[No clase],""),""),""),""),"")</f>
        <v/>
      </c>
      <c r="P7" s="24" t="str" cm="1">
        <f t="array" aca="1" ref="P7" ca="1">_xlfn.TEXTJOIN(CHAR(10),TRUE,IF(Semestre=INDIRECT("base_de_datos["&amp;Carrera&amp;"]"),IF("x"=base_de_datos[Viernes],IF(base_de_datos[Hora inicio]&lt;=$B7,IF(base_de_datos[Hora fin]&gt;=$C7,base_de_datos[Materia]&amp;" "&amp;base_de_datos[[Número de grupo ]]&amp;" "&amp;base_de_datos[Profesor],""),""),""),""),"")</f>
        <v/>
      </c>
      <c r="Q7" s="24" t="str" cm="1">
        <f t="array" aca="1" ref="Q7" ca="1">_xlfn.TEXTJOIN(CHAR(10),TRUE,IF(Semestre=INDIRECT("base_de_datos["&amp;Carrera&amp;"]"),IF("x"=base_de_datos[Viernes],IF(base_de_datos[Hora inicio]&lt;=$B7,IF(base_de_datos[Hora fin]&gt;=$C7,base_de_datos[Aula]&amp;" "&amp;base_de_datos[Examen],""),""),""),""),"")</f>
        <v/>
      </c>
      <c r="R7" s="24" t="str" cm="1">
        <f t="array" aca="1" ref="R7" ca="1">_xlfn.TEXTJOIN(CHAR(10),TRUE,IF(Semestre=INDIRECT("base_de_datos["&amp;Carrera&amp;"]"),IF("x"=base_de_datos[Viernes],IF(base_de_datos[Hora inicio]&lt;=$B7,IF(base_de_datos[Hora fin]&gt;=$C7,base_de_datos[No clase],""),""),""),""),"")</f>
        <v/>
      </c>
      <c r="S7" s="24" t="str" cm="1">
        <f t="array" aca="1" ref="S7" ca="1">_xlfn.TEXTJOIN(CHAR(10),TRUE,IF(Semestre=INDIRECT("base_de_datos["&amp;Carrera&amp;"]"),IF("x"=base_de_datos[Sábado],IF(base_de_datos[Hora inicio]&lt;=$B7,IF(base_de_datos[Hora fin]&gt;=$C7,base_de_datos[Materia]&amp;" "&amp;base_de_datos[[Número de grupo ]]&amp;" "&amp;base_de_datos[Profesor],""),""),""),""),"")</f>
        <v/>
      </c>
      <c r="T7" s="24" t="str" cm="1">
        <f t="array" aca="1" ref="T7" ca="1">_xlfn.TEXTJOIN(CHAR(10),TRUE,IF(Semestre=INDIRECT("base_de_datos["&amp;Carrera&amp;"]"),IF("x"=base_de_datos[Sábado],IF(base_de_datos[Hora inicio]&lt;=$B7,IF(base_de_datos[Hora fin]&gt;=$C7,base_de_datos[Aula]&amp;" "&amp;#REF!,""),""),""),""),"")</f>
        <v/>
      </c>
      <c r="U7" s="24" t="str" cm="1">
        <f t="array" aca="1" ref="U7" ca="1">_xlfn.TEXTJOIN(CHAR(10),TRUE,IF(Semestre=INDIRECT("base_de_datos["&amp;Carrera&amp;"]"),IF("x"=base_de_datos[Sábado],IF(base_de_datos[Hora inicio]&lt;=$B7,IF(base_de_datos[Hora fin]&gt;=$C7,base_de_datos[No clase],""),""),""),""),"")</f>
        <v/>
      </c>
      <c r="V7" s="23"/>
      <c r="W7" s="117" t="str">
        <f ca="1"/>
        <v>Desarrollo de aplicaciones para dispositivos inteligentes</v>
      </c>
      <c r="X7" s="115" t="str">
        <f ca="1"/>
        <v>COM</v>
      </c>
      <c r="Y7" s="98">
        <f ca="1"/>
        <v>0</v>
      </c>
      <c r="Z7" s="26">
        <f ca="1"/>
        <v>0</v>
      </c>
      <c r="AA7" s="26">
        <f ca="1"/>
        <v>0</v>
      </c>
      <c r="AB7" s="45">
        <f ca="1"/>
        <v>7</v>
      </c>
      <c r="AC7" s="45">
        <f ca="1"/>
        <v>0</v>
      </c>
      <c r="AD7" s="45">
        <f ca="1"/>
        <v>0</v>
      </c>
      <c r="AE7" s="45">
        <f ca="1"/>
        <v>7</v>
      </c>
      <c r="AF7" s="45">
        <f ca="1"/>
        <v>48</v>
      </c>
      <c r="AG7" s="45">
        <f ca="1"/>
        <v>0</v>
      </c>
      <c r="AH7" s="45">
        <f ca="1"/>
        <v>0</v>
      </c>
      <c r="AI7" s="45">
        <f ca="1"/>
        <v>0</v>
      </c>
      <c r="AJ7" s="45">
        <f ca="1"/>
        <v>0</v>
      </c>
      <c r="AK7" s="45" t="str">
        <f ca="1"/>
        <v>028906</v>
      </c>
      <c r="AL7" s="45">
        <f ca="1"/>
        <v>0</v>
      </c>
      <c r="AM7" s="45">
        <f ca="1"/>
        <v>0</v>
      </c>
      <c r="AN7" s="45" t="str">
        <f ca="1"/>
        <v>028906</v>
      </c>
      <c r="AO7" s="45">
        <f ca="1"/>
        <v>0</v>
      </c>
      <c r="AP7" s="45">
        <f ca="1"/>
        <v>0</v>
      </c>
      <c r="AQ7" s="45">
        <f ca="1"/>
        <v>0</v>
      </c>
      <c r="AR7" s="45">
        <f ca="1"/>
        <v>6</v>
      </c>
      <c r="AS7" s="45">
        <f ca="1"/>
        <v>0</v>
      </c>
      <c r="AT7" s="45">
        <f ca="1"/>
        <v>0</v>
      </c>
      <c r="AU7" s="45">
        <f ca="1"/>
        <v>6</v>
      </c>
      <c r="AV7" s="45"/>
      <c r="AW7" s="1" t="str">
        <f t="shared" ca="1" si="0"/>
        <v>Desarrollo de aplicaciones para dispositivos inteligentes</v>
      </c>
    </row>
    <row r="8" spans="1:49" ht="30">
      <c r="B8" s="70">
        <v>0.35416666666666702</v>
      </c>
      <c r="C8" s="70">
        <v>0.374999999999999</v>
      </c>
      <c r="D8" s="24" t="str" cm="1">
        <f t="array" aca="1" ref="D8" ca="1">_xlfn.TEXTJOIN(CHAR(10),TRUE,IF(Semestre=INDIRECT("base_de_datos["&amp;Carrera&amp;"]"),IF("x"=base_de_datos[Lunes],IF(base_de_datos[Hora inicio]&lt;=$B8,IF(base_de_datos[Hora fin]&gt;=$C8,base_de_datos[Materia]&amp;" "&amp;base_de_datos[[Número de grupo ]]&amp;" "&amp;base_de_datos[Profesor],""),""),""),""),"")</f>
        <v/>
      </c>
      <c r="E8" s="24" t="str" cm="1">
        <f t="array" aca="1" ref="E8" ca="1">_xlfn.TEXTJOIN(CHAR(10),TRUE,IF(Semestre=INDIRECT("base_de_datos["&amp;Carrera&amp;"]"),IF("x"=base_de_datos[Lunes],IF(base_de_datos[Hora inicio]&lt;=$B8,IF(base_de_datos[Hora fin]&gt;=$C8,base_de_datos[Aula]&amp;" "&amp;base_de_datos[Examen],""),""),""),""),"")</f>
        <v/>
      </c>
      <c r="F8" s="24" t="str" cm="1">
        <f t="array" aca="1" ref="F8" ca="1">_xlfn.TEXTJOIN(CHAR(10),TRUE,IF(Semestre=INDIRECT("base_de_datos["&amp;Carrera&amp;"]"),IF("x"=base_de_datos[Lunes],IF(base_de_datos[Hora inicio]&lt;=$B8,IF(base_de_datos[Hora fin]&gt;=$C8,base_de_datos[No clase],""),""),""),""),"")</f>
        <v/>
      </c>
      <c r="G8" s="24" t="str" cm="1">
        <f t="array" aca="1" ref="G8" ca="1">_xlfn.TEXTJOIN(CHAR(10),TRUE,IF(Semestre=INDIRECT("base_de_datos["&amp;Carrera&amp;"]"),IF("x"=base_de_datos[Martes],IF(base_de_datos[Hora inicio]&lt;=$B8,IF(base_de_datos[Hora fin]&gt;=$C8,base_de_datos[Materia]&amp;" "&amp;base_de_datos[[Número de grupo ]]&amp;" "&amp;base_de_datos[Profesor],""),""),""),""),"")</f>
        <v/>
      </c>
      <c r="H8" s="24" t="str" cm="1">
        <f t="array" aca="1" ref="H8" ca="1">_xlfn.TEXTJOIN(CHAR(10),TRUE,IF(Semestre=INDIRECT("base_de_datos["&amp;Carrera&amp;"]"),IF("x"=base_de_datos[Martes],IF(base_de_datos[Hora inicio]&lt;=$B8,IF(base_de_datos[Hora fin]&gt;=$C8,base_de_datos[Aula]&amp;" "&amp;base_de_datos[Examen],""),""),""),""),"")</f>
        <v/>
      </c>
      <c r="I8" s="24" t="str" cm="1">
        <f t="array" aca="1" ref="I8" ca="1">_xlfn.TEXTJOIN(CHAR(10),TRUE,IF(Semestre=INDIRECT("base_de_datos["&amp;Carrera&amp;"]"),IF("x"=base_de_datos[Martes],IF(base_de_datos[Hora inicio]&lt;=$B8,IF(base_de_datos[Hora fin]&gt;=$C8,base_de_datos[No clase],""),""),""),""),"")</f>
        <v/>
      </c>
      <c r="J8" s="24" t="str" cm="1">
        <f t="array" aca="1" ref="J8" ca="1">_xlfn.TEXTJOIN(CHAR(10),TRUE,IF(Semestre=INDIRECT("base_de_datos["&amp;Carrera&amp;"]"),IF("x"=base_de_datos[Miércoles],IF(base_de_datos[Hora inicio]&lt;=$B8,IF(base_de_datos[Hora fin]&gt;=$C8,base_de_datos[Materia]&amp;" "&amp;base_de_datos[[Número de grupo ]]&amp;" "&amp;base_de_datos[Profesor],""),""),""),""),"")</f>
        <v/>
      </c>
      <c r="K8" s="24" t="str" cm="1">
        <f t="array" aca="1" ref="K8" ca="1">_xlfn.TEXTJOIN(CHAR(10),TRUE,IF(Semestre=INDIRECT("base_de_datos["&amp;Carrera&amp;"]"),IF("x"=base_de_datos[Miércoles],IF(base_de_datos[Hora inicio]&lt;=$B8,IF(base_de_datos[Hora fin]&gt;=$C8,base_de_datos[Aula]&amp;" "&amp;base_de_datos[Examen],""),""),""),""),"")</f>
        <v/>
      </c>
      <c r="L8" s="24" t="str" cm="1">
        <f t="array" aca="1" ref="L8" ca="1">_xlfn.TEXTJOIN(CHAR(10),TRUE,IF(Semestre=INDIRECT("base_de_datos["&amp;Carrera&amp;"]"),IF("x"=base_de_datos[Miércoles],IF(base_de_datos[Hora inicio]&lt;=$B8,IF(base_de_datos[Hora fin]&gt;=$C8,base_de_datos[No clase],""),""),""),""),"")</f>
        <v/>
      </c>
      <c r="M8" s="24" t="str" cm="1">
        <f t="array" aca="1" ref="M8" ca="1">_xlfn.TEXTJOIN(CHAR(10),TRUE,IF(Semestre=INDIRECT("base_de_datos["&amp;Carrera&amp;"]"),IF("x"=base_de_datos[Jueves],IF(base_de_datos[Hora inicio]&lt;=$B8,IF(base_de_datos[Hora fin]&gt;=$C8,base_de_datos[Materia]&amp;" "&amp;base_de_datos[[Número de grupo ]]&amp;" "&amp;base_de_datos[Profesor],""),""),""),""),"")</f>
        <v/>
      </c>
      <c r="N8" s="24" t="str" cm="1">
        <f t="array" aca="1" ref="N8" ca="1">_xlfn.TEXTJOIN(CHAR(10),TRUE,IF(Semestre=INDIRECT("base_de_datos["&amp;Carrera&amp;"]"),IF("x"=base_de_datos[Jueves],IF(base_de_datos[Hora inicio]&lt;=$B8,IF(base_de_datos[Hora fin]&gt;=$C8,base_de_datos[Aula]&amp;" "&amp;base_de_datos[Examen],""),""),""),""),"")</f>
        <v/>
      </c>
      <c r="O8" s="24" t="str" cm="1">
        <f t="array" aca="1" ref="O8" ca="1">_xlfn.TEXTJOIN(CHAR(10),TRUE,IF(Semestre=INDIRECT("base_de_datos["&amp;Carrera&amp;"]"),IF("x"=base_de_datos[Jueves],IF(base_de_datos[Hora inicio]&lt;=$B8,IF(base_de_datos[Hora fin]&gt;=$C8,base_de_datos[No clase],""),""),""),""),"")</f>
        <v/>
      </c>
      <c r="P8" s="24" t="str" cm="1">
        <f t="array" aca="1" ref="P8" ca="1">_xlfn.TEXTJOIN(CHAR(10),TRUE,IF(Semestre=INDIRECT("base_de_datos["&amp;Carrera&amp;"]"),IF("x"=base_de_datos[Viernes],IF(base_de_datos[Hora inicio]&lt;=$B8,IF(base_de_datos[Hora fin]&gt;=$C8,base_de_datos[Materia]&amp;" "&amp;base_de_datos[[Número de grupo ]]&amp;" "&amp;base_de_datos[Profesor],""),""),""),""),"")</f>
        <v/>
      </c>
      <c r="Q8" s="24" t="str" cm="1">
        <f t="array" aca="1" ref="Q8" ca="1">_xlfn.TEXTJOIN(CHAR(10),TRUE,IF(Semestre=INDIRECT("base_de_datos["&amp;Carrera&amp;"]"),IF("x"=base_de_datos[Viernes],IF(base_de_datos[Hora inicio]&lt;=$B8,IF(base_de_datos[Hora fin]&gt;=$C8,base_de_datos[Aula]&amp;" "&amp;base_de_datos[Examen],""),""),""),""),"")</f>
        <v/>
      </c>
      <c r="R8" s="24" t="str" cm="1">
        <f t="array" aca="1" ref="R8" ca="1">_xlfn.TEXTJOIN(CHAR(10),TRUE,IF(Semestre=INDIRECT("base_de_datos["&amp;Carrera&amp;"]"),IF("x"=base_de_datos[Viernes],IF(base_de_datos[Hora inicio]&lt;=$B8,IF(base_de_datos[Hora fin]&gt;=$C8,base_de_datos[No clase],""),""),""),""),"")</f>
        <v/>
      </c>
      <c r="S8" s="24" t="str" cm="1">
        <f t="array" aca="1" ref="S8" ca="1">_xlfn.TEXTJOIN(CHAR(10),TRUE,IF(Semestre=INDIRECT("base_de_datos["&amp;Carrera&amp;"]"),IF("x"=base_de_datos[Sábado],IF(base_de_datos[Hora inicio]&lt;=$B8,IF(base_de_datos[Hora fin]&gt;=$C8,base_de_datos[Materia]&amp;" "&amp;base_de_datos[[Número de grupo ]]&amp;" "&amp;base_de_datos[Profesor],""),""),""),""),"")</f>
        <v/>
      </c>
      <c r="T8" s="24" t="str" cm="1">
        <f t="array" aca="1" ref="T8" ca="1">_xlfn.TEXTJOIN(CHAR(10),TRUE,IF(Semestre=INDIRECT("base_de_datos["&amp;Carrera&amp;"]"),IF("x"=base_de_datos[Sábado],IF(base_de_datos[Hora inicio]&lt;=$B8,IF(base_de_datos[Hora fin]&gt;=$C8,base_de_datos[Aula]&amp;" "&amp;#REF!,""),""),""),""),"")</f>
        <v/>
      </c>
      <c r="U8" s="24" t="str" cm="1">
        <f t="array" aca="1" ref="U8" ca="1">_xlfn.TEXTJOIN(CHAR(10),TRUE,IF(Semestre=INDIRECT("base_de_datos["&amp;Carrera&amp;"]"),IF("x"=base_de_datos[Sábado],IF(base_de_datos[Hora inicio]&lt;=$B8,IF(base_de_datos[Hora fin]&gt;=$C8,base_de_datos[No clase],""),""),""),""),"")</f>
        <v/>
      </c>
      <c r="V8" s="23"/>
      <c r="W8" s="117" t="str">
        <f ca="1"/>
        <v>Optimización y metaheurísticas II</v>
      </c>
      <c r="X8" s="115" t="str">
        <f ca="1"/>
        <v>COM</v>
      </c>
      <c r="Y8" s="98">
        <f ca="1"/>
        <v>0</v>
      </c>
      <c r="Z8" s="26">
        <f ca="1"/>
        <v>0</v>
      </c>
      <c r="AA8" s="26">
        <f ca="1"/>
        <v>0</v>
      </c>
      <c r="AB8" s="45">
        <f ca="1"/>
        <v>7</v>
      </c>
      <c r="AC8" s="45">
        <f ca="1"/>
        <v>0</v>
      </c>
      <c r="AD8" s="45">
        <f ca="1"/>
        <v>0</v>
      </c>
      <c r="AE8" s="45">
        <f ca="1"/>
        <v>0</v>
      </c>
      <c r="AF8" s="45">
        <f ca="1"/>
        <v>48</v>
      </c>
      <c r="AG8" s="45">
        <f ca="1"/>
        <v>0</v>
      </c>
      <c r="AH8" s="45">
        <f ca="1"/>
        <v>0</v>
      </c>
      <c r="AI8" s="45">
        <f ca="1"/>
        <v>0</v>
      </c>
      <c r="AJ8" s="45">
        <f ca="1"/>
        <v>0</v>
      </c>
      <c r="AK8" s="45">
        <f ca="1"/>
        <v>29624</v>
      </c>
      <c r="AL8" s="45">
        <f ca="1"/>
        <v>0</v>
      </c>
      <c r="AM8" s="45">
        <f ca="1"/>
        <v>0</v>
      </c>
      <c r="AN8" s="45">
        <f ca="1"/>
        <v>0</v>
      </c>
      <c r="AO8" s="45">
        <f ca="1"/>
        <v>0</v>
      </c>
      <c r="AP8" s="45">
        <f ca="1"/>
        <v>0</v>
      </c>
      <c r="AQ8" s="45">
        <f ca="1"/>
        <v>0</v>
      </c>
      <c r="AR8" s="45">
        <f ca="1"/>
        <v>6</v>
      </c>
      <c r="AS8" s="45">
        <f ca="1"/>
        <v>0</v>
      </c>
      <c r="AT8" s="45">
        <f ca="1"/>
        <v>0</v>
      </c>
      <c r="AU8" s="45">
        <f ca="1"/>
        <v>0</v>
      </c>
      <c r="AV8" s="45"/>
      <c r="AW8" s="1" t="str">
        <f t="shared" ca="1" si="0"/>
        <v>Optimización y metaheurísticas II</v>
      </c>
    </row>
    <row r="9" spans="1:49" ht="75">
      <c r="B9" s="70">
        <v>0.375</v>
      </c>
      <c r="C9" s="70">
        <v>0.39583333333333198</v>
      </c>
      <c r="D9" s="24" t="str" cm="1">
        <f t="array" aca="1" ref="D9" ca="1">_xlfn.TEXTJOIN(CHAR(10),TRUE,IF(Semestre=INDIRECT("base_de_datos["&amp;Carrera&amp;"]"),IF("x"=base_de_datos[Lunes],IF(base_de_datos[Hora inicio]&lt;=$B9,IF(base_de_datos[Hora fin]&gt;=$C9,base_de_datos[Materia]&amp;" "&amp;base_de_datos[[Número de grupo ]]&amp;" "&amp;base_de_datos[Profesor],""),""),""),""),"")</f>
        <v/>
      </c>
      <c r="E9" s="24" t="str" cm="1">
        <f t="array" aca="1" ref="E9" ca="1">_xlfn.TEXTJOIN(CHAR(10),TRUE,IF(Semestre=INDIRECT("base_de_datos["&amp;Carrera&amp;"]"),IF("x"=base_de_datos[Lunes],IF(base_de_datos[Hora inicio]&lt;=$B9,IF(base_de_datos[Hora fin]&gt;=$C9,base_de_datos[Aula]&amp;" "&amp;base_de_datos[Examen],""),""),""),""),"")</f>
        <v/>
      </c>
      <c r="F9" s="24" t="str" cm="1">
        <f t="array" aca="1" ref="F9" ca="1">_xlfn.TEXTJOIN(CHAR(10),TRUE,IF(Semestre=INDIRECT("base_de_datos["&amp;Carrera&amp;"]"),IF("x"=base_de_datos[Lunes],IF(base_de_datos[Hora inicio]&lt;=$B9,IF(base_de_datos[Hora fin]&gt;=$C9,base_de_datos[No clase],""),""),""),""),"")</f>
        <v/>
      </c>
      <c r="G9" s="24" t="str" cm="1">
        <f t="array" aca="1" ref="G9" ca="1">_xlfn.TEXTJOIN(CHAR(10),TRUE,IF(Semestre=INDIRECT("base_de_datos["&amp;Carrera&amp;"]"),IF("x"=base_de_datos[Martes],IF(base_de_datos[Hora inicio]&lt;=$B9,IF(base_de_datos[Hora fin]&gt;=$C9,base_de_datos[Materia]&amp;" "&amp;base_de_datos[[Número de grupo ]]&amp;" "&amp;base_de_datos[Profesor],""),""),""),""),"")</f>
        <v/>
      </c>
      <c r="H9" s="24" t="str" cm="1">
        <f t="array" aca="1" ref="H9" ca="1">_xlfn.TEXTJOIN(CHAR(10),TRUE,IF(Semestre=INDIRECT("base_de_datos["&amp;Carrera&amp;"]"),IF("x"=base_de_datos[Martes],IF(base_de_datos[Hora inicio]&lt;=$B9,IF(base_de_datos[Hora fin]&gt;=$C9,base_de_datos[Aula]&amp;" "&amp;base_de_datos[Examen],""),""),""),""),"")</f>
        <v/>
      </c>
      <c r="I9" s="24" t="str" cm="1">
        <f t="array" aca="1" ref="I9" ca="1">_xlfn.TEXTJOIN(CHAR(10),TRUE,IF(Semestre=INDIRECT("base_de_datos["&amp;Carrera&amp;"]"),IF("x"=base_de_datos[Martes],IF(base_de_datos[Hora inicio]&lt;=$B9,IF(base_de_datos[Hora fin]&gt;=$C9,base_de_datos[No clase],""),""),""),""),"")</f>
        <v/>
      </c>
      <c r="J9" s="24" t="str" cm="1">
        <f t="array" aca="1" ref="J9" ca="1">_xlfn.TEXTJOIN(CHAR(10),TRUE,IF(Semestre=INDIRECT("base_de_datos["&amp;Carrera&amp;"]"),IF("x"=base_de_datos[Miércoles],IF(base_de_datos[Hora inicio]&lt;=$B9,IF(base_de_datos[Hora fin]&gt;=$C9,base_de_datos[Materia]&amp;" "&amp;base_de_datos[[Número de grupo ]]&amp;" "&amp;base_de_datos[Profesor],""),""),""),""),"")</f>
        <v/>
      </c>
      <c r="K9" s="24" t="str" cm="1">
        <f t="array" aca="1" ref="K9" ca="1">_xlfn.TEXTJOIN(CHAR(10),TRUE,IF(Semestre=INDIRECT("base_de_datos["&amp;Carrera&amp;"]"),IF("x"=base_de_datos[Miércoles],IF(base_de_datos[Hora inicio]&lt;=$B9,IF(base_de_datos[Hora fin]&gt;=$C9,base_de_datos[Aula]&amp;" "&amp;base_de_datos[Examen],""),""),""),""),"")</f>
        <v/>
      </c>
      <c r="L9" s="24" t="str" cm="1">
        <f t="array" aca="1" ref="L9" ca="1">_xlfn.TEXTJOIN(CHAR(10),TRUE,IF(Semestre=INDIRECT("base_de_datos["&amp;Carrera&amp;"]"),IF("x"=base_de_datos[Miércoles],IF(base_de_datos[Hora inicio]&lt;=$B9,IF(base_de_datos[Hora fin]&gt;=$C9,base_de_datos[No clase],""),""),""),""),"")</f>
        <v/>
      </c>
      <c r="M9" s="24" t="str" cm="1">
        <f t="array" aca="1" ref="M9" ca="1">_xlfn.TEXTJOIN(CHAR(10),TRUE,IF(Semestre=INDIRECT("base_de_datos["&amp;Carrera&amp;"]"),IF("x"=base_de_datos[Jueves],IF(base_de_datos[Hora inicio]&lt;=$B9,IF(base_de_datos[Hora fin]&gt;=$C9,base_de_datos[Materia]&amp;" "&amp;base_de_datos[[Número de grupo ]]&amp;" "&amp;base_de_datos[Profesor],""),""),""),""),"")</f>
        <v/>
      </c>
      <c r="N9" s="24" t="str" cm="1">
        <f t="array" aca="1" ref="N9" ca="1">_xlfn.TEXTJOIN(CHAR(10),TRUE,IF(Semestre=INDIRECT("base_de_datos["&amp;Carrera&amp;"]"),IF("x"=base_de_datos[Jueves],IF(base_de_datos[Hora inicio]&lt;=$B9,IF(base_de_datos[Hora fin]&gt;=$C9,base_de_datos[Aula]&amp;" "&amp;base_de_datos[Examen],""),""),""),""),"")</f>
        <v/>
      </c>
      <c r="O9" s="24" t="str" cm="1">
        <f t="array" aca="1" ref="O9" ca="1">_xlfn.TEXTJOIN(CHAR(10),TRUE,IF(Semestre=INDIRECT("base_de_datos["&amp;Carrera&amp;"]"),IF("x"=base_de_datos[Jueves],IF(base_de_datos[Hora inicio]&lt;=$B9,IF(base_de_datos[Hora fin]&gt;=$C9,base_de_datos[No clase],""),""),""),""),"")</f>
        <v/>
      </c>
      <c r="P9" s="24" t="str" cm="1">
        <f t="array" aca="1" ref="P9" ca="1">_xlfn.TEXTJOIN(CHAR(10),TRUE,IF(Semestre=INDIRECT("base_de_datos["&amp;Carrera&amp;"]"),IF("x"=base_de_datos[Viernes],IF(base_de_datos[Hora inicio]&lt;=$B9,IF(base_de_datos[Hora fin]&gt;=$C9,base_de_datos[Materia]&amp;" "&amp;base_de_datos[[Número de grupo ]]&amp;" "&amp;base_de_datos[Profesor],""),""),""),""),"")</f>
        <v/>
      </c>
      <c r="Q9" s="24" t="str" cm="1">
        <f t="array" aca="1" ref="Q9" ca="1">_xlfn.TEXTJOIN(CHAR(10),TRUE,IF(Semestre=INDIRECT("base_de_datos["&amp;Carrera&amp;"]"),IF("x"=base_de_datos[Viernes],IF(base_de_datos[Hora inicio]&lt;=$B9,IF(base_de_datos[Hora fin]&gt;=$C9,base_de_datos[Aula]&amp;" "&amp;base_de_datos[Examen],""),""),""),""),"")</f>
        <v/>
      </c>
      <c r="R9" s="24" t="str" cm="1">
        <f t="array" aca="1" ref="R9" ca="1">_xlfn.TEXTJOIN(CHAR(10),TRUE,IF(Semestre=INDIRECT("base_de_datos["&amp;Carrera&amp;"]"),IF("x"=base_de_datos[Viernes],IF(base_de_datos[Hora inicio]&lt;=$B9,IF(base_de_datos[Hora fin]&gt;=$C9,base_de_datos[No clase],""),""),""),""),"")</f>
        <v/>
      </c>
      <c r="S9" s="24" t="str" cm="1">
        <f t="array" aca="1" ref="S9" ca="1">_xlfn.TEXTJOIN(CHAR(10),TRUE,IF(Semestre=INDIRECT("base_de_datos["&amp;Carrera&amp;"]"),IF("x"=base_de_datos[Sábado],IF(base_de_datos[Hora inicio]&lt;=$B9,IF(base_de_datos[Hora fin]&gt;=$C9,base_de_datos[Materia]&amp;" "&amp;base_de_datos[[Número de grupo ]]&amp;" "&amp;base_de_datos[Profesor],""),""),""),""),"")</f>
        <v/>
      </c>
      <c r="T9" s="24" t="str" cm="1">
        <f t="array" aca="1" ref="T9" ca="1">_xlfn.TEXTJOIN(CHAR(10),TRUE,IF(Semestre=INDIRECT("base_de_datos["&amp;Carrera&amp;"]"),IF("x"=base_de_datos[Sábado],IF(base_de_datos[Hora inicio]&lt;=$B9,IF(base_de_datos[Hora fin]&gt;=$C9,base_de_datos[Aula]&amp;" "&amp;#REF!,""),""),""),""),"")</f>
        <v/>
      </c>
      <c r="U9" s="24" t="str" cm="1">
        <f t="array" aca="1" ref="U9" ca="1">_xlfn.TEXTJOIN(CHAR(10),TRUE,IF(Semestre=INDIRECT("base_de_datos["&amp;Carrera&amp;"]"),IF("x"=base_de_datos[Sábado],IF(base_de_datos[Hora inicio]&lt;=$B9,IF(base_de_datos[Hora fin]&gt;=$C9,base_de_datos[No clase],""),""),""),""),"")</f>
        <v/>
      </c>
      <c r="V9" s="23"/>
      <c r="W9" s="117" t="str">
        <f ca="1"/>
        <v>Proyectos de inversión e introducción a la valuación de empresas</v>
      </c>
      <c r="X9" s="115" t="str">
        <f ca="1"/>
        <v>EMP</v>
      </c>
      <c r="Y9" s="98">
        <f ca="1"/>
        <v>6</v>
      </c>
      <c r="Z9" s="26">
        <f ca="1"/>
        <v>7</v>
      </c>
      <c r="AA9" s="26">
        <f ca="1"/>
        <v>7</v>
      </c>
      <c r="AB9" s="45">
        <f ca="1"/>
        <v>7</v>
      </c>
      <c r="AC9" s="45">
        <f ca="1"/>
        <v>0</v>
      </c>
      <c r="AD9" s="45">
        <f ca="1"/>
        <v>9</v>
      </c>
      <c r="AE9" s="45">
        <f ca="1"/>
        <v>5</v>
      </c>
      <c r="AF9" s="45">
        <f ca="1"/>
        <v>48</v>
      </c>
      <c r="AG9" s="45" t="str">
        <f ca="1"/>
        <v>x</v>
      </c>
      <c r="AH9" s="45" t="str">
        <f ca="1"/>
        <v>027008</v>
      </c>
      <c r="AI9" s="45" t="str">
        <f ca="1"/>
        <v>026981</v>
      </c>
      <c r="AJ9" s="45">
        <f ca="1"/>
        <v>26981</v>
      </c>
      <c r="AK9" s="45" t="str">
        <f ca="1"/>
        <v>029625</v>
      </c>
      <c r="AL9" s="45">
        <f ca="1"/>
        <v>0</v>
      </c>
      <c r="AM9" s="45" t="str">
        <f ca="1"/>
        <v>027101</v>
      </c>
      <c r="AN9" s="45" t="str">
        <f ca="1"/>
        <v>028692</v>
      </c>
      <c r="AO9" s="45">
        <f ca="1"/>
        <v>6</v>
      </c>
      <c r="AP9" s="45">
        <f ca="1"/>
        <v>6</v>
      </c>
      <c r="AQ9" s="45">
        <f ca="1"/>
        <v>6</v>
      </c>
      <c r="AR9" s="45">
        <f ca="1"/>
        <v>6</v>
      </c>
      <c r="AS9" s="45">
        <f ca="1"/>
        <v>0</v>
      </c>
      <c r="AT9" s="45">
        <f ca="1"/>
        <v>6</v>
      </c>
      <c r="AU9" s="45">
        <f ca="1"/>
        <v>6</v>
      </c>
      <c r="AV9" s="45"/>
      <c r="AW9" s="1" t="str">
        <f t="shared" ca="1" si="0"/>
        <v>Proyectos de inversión e introducción a la valuación de empresas</v>
      </c>
    </row>
    <row r="10" spans="1:49" ht="30">
      <c r="B10" s="70">
        <v>0.39583333333333398</v>
      </c>
      <c r="C10" s="70">
        <v>0.41666666666666502</v>
      </c>
      <c r="D10" s="24" t="str" cm="1">
        <f t="array" aca="1" ref="D10" ca="1">_xlfn.TEXTJOIN(CHAR(10),TRUE,IF(Semestre=INDIRECT("base_de_datos["&amp;Carrera&amp;"]"),IF("x"=base_de_datos[Lunes],IF(base_de_datos[Hora inicio]&lt;=$B10,IF(base_de_datos[Hora fin]&gt;=$C10,base_de_datos[Materia]&amp;" "&amp;base_de_datos[[Número de grupo ]]&amp;" "&amp;base_de_datos[Profesor],""),""),""),""),"")</f>
        <v/>
      </c>
      <c r="E10" s="24" t="str" cm="1">
        <f t="array" aca="1" ref="E10" ca="1">_xlfn.TEXTJOIN(CHAR(10),TRUE,IF(Semestre=INDIRECT("base_de_datos["&amp;Carrera&amp;"]"),IF("x"=base_de_datos[Lunes],IF(base_de_datos[Hora inicio]&lt;=$B10,IF(base_de_datos[Hora fin]&gt;=$C10,base_de_datos[Aula]&amp;" "&amp;base_de_datos[Examen],""),""),""),""),"")</f>
        <v/>
      </c>
      <c r="F10" s="24" t="str" cm="1">
        <f t="array" aca="1" ref="F10" ca="1">_xlfn.TEXTJOIN(CHAR(10),TRUE,IF(Semestre=INDIRECT("base_de_datos["&amp;Carrera&amp;"]"),IF("x"=base_de_datos[Lunes],IF(base_de_datos[Hora inicio]&lt;=$B10,IF(base_de_datos[Hora fin]&gt;=$C10,base_de_datos[No clase],""),""),""),""),"")</f>
        <v/>
      </c>
      <c r="G10" s="24" t="str" cm="1">
        <f t="array" aca="1" ref="G10" ca="1">_xlfn.TEXTJOIN(CHAR(10),TRUE,IF(Semestre=INDIRECT("base_de_datos["&amp;Carrera&amp;"]"),IF("x"=base_de_datos[Martes],IF(base_de_datos[Hora inicio]&lt;=$B10,IF(base_de_datos[Hora fin]&gt;=$C10,base_de_datos[Materia]&amp;" "&amp;base_de_datos[[Número de grupo ]]&amp;" "&amp;base_de_datos[Profesor],""),""),""),""),"")</f>
        <v/>
      </c>
      <c r="H10" s="24" t="str" cm="1">
        <f t="array" aca="1" ref="H10" ca="1">_xlfn.TEXTJOIN(CHAR(10),TRUE,IF(Semestre=INDIRECT("base_de_datos["&amp;Carrera&amp;"]"),IF("x"=base_de_datos[Martes],IF(base_de_datos[Hora inicio]&lt;=$B10,IF(base_de_datos[Hora fin]&gt;=$C10,base_de_datos[Aula]&amp;" "&amp;base_de_datos[Examen],""),""),""),""),"")</f>
        <v/>
      </c>
      <c r="I10" s="24" t="str" cm="1">
        <f t="array" aca="1" ref="I10" ca="1">_xlfn.TEXTJOIN(CHAR(10),TRUE,IF(Semestre=INDIRECT("base_de_datos["&amp;Carrera&amp;"]"),IF("x"=base_de_datos[Martes],IF(base_de_datos[Hora inicio]&lt;=$B10,IF(base_de_datos[Hora fin]&gt;=$C10,base_de_datos[No clase],""),""),""),""),"")</f>
        <v/>
      </c>
      <c r="J10" s="24" t="str" cm="1">
        <f t="array" aca="1" ref="J10" ca="1">_xlfn.TEXTJOIN(CHAR(10),TRUE,IF(Semestre=INDIRECT("base_de_datos["&amp;Carrera&amp;"]"),IF("x"=base_de_datos[Miércoles],IF(base_de_datos[Hora inicio]&lt;=$B10,IF(base_de_datos[Hora fin]&gt;=$C10,base_de_datos[Materia]&amp;" "&amp;base_de_datos[[Número de grupo ]]&amp;" "&amp;base_de_datos[Profesor],""),""),""),""),"")</f>
        <v/>
      </c>
      <c r="K10" s="24" t="str" cm="1">
        <f t="array" aca="1" ref="K10" ca="1">_xlfn.TEXTJOIN(CHAR(10),TRUE,IF(Semestre=INDIRECT("base_de_datos["&amp;Carrera&amp;"]"),IF("x"=base_de_datos[Miércoles],IF(base_de_datos[Hora inicio]&lt;=$B10,IF(base_de_datos[Hora fin]&gt;=$C10,base_de_datos[Aula]&amp;" "&amp;base_de_datos[Examen],""),""),""),""),"")</f>
        <v/>
      </c>
      <c r="L10" s="24" t="str" cm="1">
        <f t="array" aca="1" ref="L10" ca="1">_xlfn.TEXTJOIN(CHAR(10),TRUE,IF(Semestre=INDIRECT("base_de_datos["&amp;Carrera&amp;"]"),IF("x"=base_de_datos[Miércoles],IF(base_de_datos[Hora inicio]&lt;=$B10,IF(base_de_datos[Hora fin]&gt;=$C10,base_de_datos[No clase],""),""),""),""),"")</f>
        <v/>
      </c>
      <c r="M10" s="24" t="str" cm="1">
        <f t="array" aca="1" ref="M10" ca="1">_xlfn.TEXTJOIN(CHAR(10),TRUE,IF(Semestre=INDIRECT("base_de_datos["&amp;Carrera&amp;"]"),IF("x"=base_de_datos[Jueves],IF(base_de_datos[Hora inicio]&lt;=$B10,IF(base_de_datos[Hora fin]&gt;=$C10,base_de_datos[Materia]&amp;" "&amp;base_de_datos[[Número de grupo ]]&amp;" "&amp;base_de_datos[Profesor],""),""),""),""),"")</f>
        <v/>
      </c>
      <c r="N10" s="24" t="str" cm="1">
        <f t="array" aca="1" ref="N10" ca="1">_xlfn.TEXTJOIN(CHAR(10),TRUE,IF(Semestre=INDIRECT("base_de_datos["&amp;Carrera&amp;"]"),IF("x"=base_de_datos[Jueves],IF(base_de_datos[Hora inicio]&lt;=$B10,IF(base_de_datos[Hora fin]&gt;=$C10,base_de_datos[Aula]&amp;" "&amp;base_de_datos[Examen],""),""),""),""),"")</f>
        <v/>
      </c>
      <c r="O10" s="24" t="str" cm="1">
        <f t="array" aca="1" ref="O10" ca="1">_xlfn.TEXTJOIN(CHAR(10),TRUE,IF(Semestre=INDIRECT("base_de_datos["&amp;Carrera&amp;"]"),IF("x"=base_de_datos[Jueves],IF(base_de_datos[Hora inicio]&lt;=$B10,IF(base_de_datos[Hora fin]&gt;=$C10,base_de_datos[No clase],""),""),""),""),"")</f>
        <v/>
      </c>
      <c r="P10" s="24" t="str" cm="1">
        <f t="array" aca="1" ref="P10" ca="1">_xlfn.TEXTJOIN(CHAR(10),TRUE,IF(Semestre=INDIRECT("base_de_datos["&amp;Carrera&amp;"]"),IF("x"=base_de_datos[Viernes],IF(base_de_datos[Hora inicio]&lt;=$B10,IF(base_de_datos[Hora fin]&gt;=$C10,base_de_datos[Materia]&amp;" "&amp;base_de_datos[[Número de grupo ]]&amp;" "&amp;base_de_datos[Profesor],""),""),""),""),"")</f>
        <v/>
      </c>
      <c r="Q10" s="24" t="str" cm="1">
        <f t="array" aca="1" ref="Q10" ca="1">_xlfn.TEXTJOIN(CHAR(10),TRUE,IF(Semestre=INDIRECT("base_de_datos["&amp;Carrera&amp;"]"),IF("x"=base_de_datos[Viernes],IF(base_de_datos[Hora inicio]&lt;=$B10,IF(base_de_datos[Hora fin]&gt;=$C10,base_de_datos[Aula]&amp;" "&amp;base_de_datos[Examen],""),""),""),""),"")</f>
        <v/>
      </c>
      <c r="R10" s="24" t="str" cm="1">
        <f t="array" aca="1" ref="R10" ca="1">_xlfn.TEXTJOIN(CHAR(10),TRUE,IF(Semestre=INDIRECT("base_de_datos["&amp;Carrera&amp;"]"),IF("x"=base_de_datos[Viernes],IF(base_de_datos[Hora inicio]&lt;=$B10,IF(base_de_datos[Hora fin]&gt;=$C10,base_de_datos[No clase],""),""),""),""),"")</f>
        <v/>
      </c>
      <c r="S10" s="24" t="str" cm="1">
        <f t="array" aca="1" ref="S10" ca="1">_xlfn.TEXTJOIN(CHAR(10),TRUE,IF(Semestre=INDIRECT("base_de_datos["&amp;Carrera&amp;"]"),IF("x"=base_de_datos[Sábado],IF(base_de_datos[Hora inicio]&lt;=$B10,IF(base_de_datos[Hora fin]&gt;=$C10,base_de_datos[Materia]&amp;" "&amp;base_de_datos[[Número de grupo ]]&amp;" "&amp;base_de_datos[Profesor],""),""),""),""),"")</f>
        <v/>
      </c>
      <c r="T10" s="24" t="str" cm="1">
        <f t="array" aca="1" ref="T10" ca="1">_xlfn.TEXTJOIN(CHAR(10),TRUE,IF(Semestre=INDIRECT("base_de_datos["&amp;Carrera&amp;"]"),IF("x"=base_de_datos[Sábado],IF(base_de_datos[Hora inicio]&lt;=$B10,IF(base_de_datos[Hora fin]&gt;=$C10,base_de_datos[Aula]&amp;" "&amp;#REF!,""),""),""),""),"")</f>
        <v/>
      </c>
      <c r="U10" s="24" t="str" cm="1">
        <f t="array" aca="1" ref="U10" ca="1">_xlfn.TEXTJOIN(CHAR(10),TRUE,IF(Semestre=INDIRECT("base_de_datos["&amp;Carrera&amp;"]"),IF("x"=base_de_datos[Sábado],IF(base_de_datos[Hora inicio]&lt;=$B10,IF(base_de_datos[Hora fin]&gt;=$C10,base_de_datos[No clase],""),""),""),""),"")</f>
        <v/>
      </c>
      <c r="V10" s="23"/>
      <c r="W10" s="117" t="str">
        <f ca="1"/>
        <v>Hombre y mundo contemporáneo</v>
      </c>
      <c r="X10" s="115" t="str">
        <f ca="1"/>
        <v>HUM</v>
      </c>
      <c r="Y10" s="98">
        <f ca="1"/>
        <v>7</v>
      </c>
      <c r="Z10" s="26">
        <f ca="1"/>
        <v>7</v>
      </c>
      <c r="AA10" s="26">
        <f ca="1"/>
        <v>7</v>
      </c>
      <c r="AB10" s="45">
        <f ca="1"/>
        <v>7</v>
      </c>
      <c r="AC10" s="45">
        <f ca="1"/>
        <v>7</v>
      </c>
      <c r="AD10" s="45">
        <f ca="1"/>
        <v>7</v>
      </c>
      <c r="AE10" s="45">
        <f ca="1"/>
        <v>7</v>
      </c>
      <c r="AF10" s="45">
        <f ca="1"/>
        <v>48</v>
      </c>
      <c r="AG10" s="45">
        <f ca="1"/>
        <v>0</v>
      </c>
      <c r="AH10" s="45" t="str">
        <f ca="1"/>
        <v>026985</v>
      </c>
      <c r="AI10" s="45" t="str">
        <f ca="1"/>
        <v>026985</v>
      </c>
      <c r="AJ10" s="45">
        <f ca="1"/>
        <v>26985</v>
      </c>
      <c r="AK10" s="45" t="str">
        <f ca="1"/>
        <v>028907</v>
      </c>
      <c r="AL10" s="45" t="str">
        <f ca="1"/>
        <v>018933</v>
      </c>
      <c r="AM10" s="45" t="str">
        <f ca="1"/>
        <v>027076</v>
      </c>
      <c r="AN10" s="45" t="str">
        <f ca="1"/>
        <v>028907</v>
      </c>
      <c r="AO10" s="45">
        <f ca="1"/>
        <v>6</v>
      </c>
      <c r="AP10" s="45">
        <f ca="1"/>
        <v>6</v>
      </c>
      <c r="AQ10" s="45">
        <f ca="1"/>
        <v>6</v>
      </c>
      <c r="AR10" s="45">
        <f ca="1"/>
        <v>6</v>
      </c>
      <c r="AS10" s="45">
        <f ca="1"/>
        <v>6</v>
      </c>
      <c r="AT10" s="45">
        <f ca="1"/>
        <v>6</v>
      </c>
      <c r="AU10" s="45">
        <f ca="1"/>
        <v>6</v>
      </c>
      <c r="AV10" s="45"/>
      <c r="AW10" s="1" t="str">
        <f t="shared" ca="1" si="0"/>
        <v>Hombre y mundo contemporáneo</v>
      </c>
    </row>
    <row r="11" spans="1:49" ht="15">
      <c r="B11" s="70">
        <v>0.41666666666666702</v>
      </c>
      <c r="C11" s="70">
        <v>0.437499999999998</v>
      </c>
      <c r="D11" s="24" t="str" cm="1">
        <f t="array" aca="1" ref="D11" ca="1">_xlfn.TEXTJOIN(CHAR(10),TRUE,IF(Semestre=INDIRECT("base_de_datos["&amp;Carrera&amp;"]"),IF("x"=base_de_datos[Lunes],IF(base_de_datos[Hora inicio]&lt;=$B11,IF(base_de_datos[Hora fin]&gt;=$C11,base_de_datos[Materia]&amp;" "&amp;base_de_datos[[Número de grupo ]]&amp;" "&amp;base_de_datos[Profesor],""),""),""),""),"")</f>
        <v/>
      </c>
      <c r="E11" s="24" t="str" cm="1">
        <f t="array" aca="1" ref="E11" ca="1">_xlfn.TEXTJOIN(CHAR(10),TRUE,IF(Semestre=INDIRECT("base_de_datos["&amp;Carrera&amp;"]"),IF("x"=base_de_datos[Lunes],IF(base_de_datos[Hora inicio]&lt;=$B11,IF(base_de_datos[Hora fin]&gt;=$C11,base_de_datos[Aula]&amp;" "&amp;base_de_datos[Examen],""),""),""),""),"")</f>
        <v/>
      </c>
      <c r="F11" s="24" t="str" cm="1">
        <f t="array" aca="1" ref="F11" ca="1">_xlfn.TEXTJOIN(CHAR(10),TRUE,IF(Semestre=INDIRECT("base_de_datos["&amp;Carrera&amp;"]"),IF("x"=base_de_datos[Lunes],IF(base_de_datos[Hora inicio]&lt;=$B11,IF(base_de_datos[Hora fin]&gt;=$C11,base_de_datos[No clase],""),""),""),""),"")</f>
        <v/>
      </c>
      <c r="G11" s="24" t="str" cm="1">
        <f t="array" aca="1" ref="G11" ca="1">_xlfn.TEXTJOIN(CHAR(10),TRUE,IF(Semestre=INDIRECT("base_de_datos["&amp;Carrera&amp;"]"),IF("x"=base_de_datos[Martes],IF(base_de_datos[Hora inicio]&lt;=$B11,IF(base_de_datos[Hora fin]&gt;=$C11,base_de_datos[Materia]&amp;" "&amp;base_de_datos[[Número de grupo ]]&amp;" "&amp;base_de_datos[Profesor],""),""),""),""),"")</f>
        <v/>
      </c>
      <c r="H11" s="24" t="str" cm="1">
        <f t="array" aca="1" ref="H11" ca="1">_xlfn.TEXTJOIN(CHAR(10),TRUE,IF(Semestre=INDIRECT("base_de_datos["&amp;Carrera&amp;"]"),IF("x"=base_de_datos[Martes],IF(base_de_datos[Hora inicio]&lt;=$B11,IF(base_de_datos[Hora fin]&gt;=$C11,base_de_datos[Aula]&amp;" "&amp;base_de_datos[Examen],""),""),""),""),"")</f>
        <v/>
      </c>
      <c r="I11" s="24" t="str" cm="1">
        <f t="array" aca="1" ref="I11" ca="1">_xlfn.TEXTJOIN(CHAR(10),TRUE,IF(Semestre=INDIRECT("base_de_datos["&amp;Carrera&amp;"]"),IF("x"=base_de_datos[Martes],IF(base_de_datos[Hora inicio]&lt;=$B11,IF(base_de_datos[Hora fin]&gt;=$C11,base_de_datos[No clase],""),""),""),""),"")</f>
        <v/>
      </c>
      <c r="J11" s="24" t="str" cm="1">
        <f t="array" aca="1" ref="J11" ca="1">_xlfn.TEXTJOIN(CHAR(10),TRUE,IF(Semestre=INDIRECT("base_de_datos["&amp;Carrera&amp;"]"),IF("x"=base_de_datos[Miércoles],IF(base_de_datos[Hora inicio]&lt;=$B11,IF(base_de_datos[Hora fin]&gt;=$C11,base_de_datos[Materia]&amp;" "&amp;base_de_datos[[Número de grupo ]]&amp;" "&amp;base_de_datos[Profesor],""),""),""),""),"")</f>
        <v/>
      </c>
      <c r="K11" s="24" t="str" cm="1">
        <f t="array" aca="1" ref="K11" ca="1">_xlfn.TEXTJOIN(CHAR(10),TRUE,IF(Semestre=INDIRECT("base_de_datos["&amp;Carrera&amp;"]"),IF("x"=base_de_datos[Miércoles],IF(base_de_datos[Hora inicio]&lt;=$B11,IF(base_de_datos[Hora fin]&gt;=$C11,base_de_datos[Aula]&amp;" "&amp;base_de_datos[Examen],""),""),""),""),"")</f>
        <v/>
      </c>
      <c r="L11" s="24" t="str" cm="1">
        <f t="array" aca="1" ref="L11" ca="1">_xlfn.TEXTJOIN(CHAR(10),TRUE,IF(Semestre=INDIRECT("base_de_datos["&amp;Carrera&amp;"]"),IF("x"=base_de_datos[Miércoles],IF(base_de_datos[Hora inicio]&lt;=$B11,IF(base_de_datos[Hora fin]&gt;=$C11,base_de_datos[No clase],""),""),""),""),"")</f>
        <v/>
      </c>
      <c r="M11" s="24" t="str" cm="1">
        <f t="array" aca="1" ref="M11" ca="1">_xlfn.TEXTJOIN(CHAR(10),TRUE,IF(Semestre=INDIRECT("base_de_datos["&amp;Carrera&amp;"]"),IF("x"=base_de_datos[Jueves],IF(base_de_datos[Hora inicio]&lt;=$B11,IF(base_de_datos[Hora fin]&gt;=$C11,base_de_datos[Materia]&amp;" "&amp;base_de_datos[[Número de grupo ]]&amp;" "&amp;base_de_datos[Profesor],""),""),""),""),"")</f>
        <v/>
      </c>
      <c r="N11" s="24" t="str" cm="1">
        <f t="array" aca="1" ref="N11" ca="1">_xlfn.TEXTJOIN(CHAR(10),TRUE,IF(Semestre=INDIRECT("base_de_datos["&amp;Carrera&amp;"]"),IF("x"=base_de_datos[Jueves],IF(base_de_datos[Hora inicio]&lt;=$B11,IF(base_de_datos[Hora fin]&gt;=$C11,base_de_datos[Aula]&amp;" "&amp;base_de_datos[Examen],""),""),""),""),"")</f>
        <v/>
      </c>
      <c r="O11" s="24" t="str" cm="1">
        <f t="array" aca="1" ref="O11" ca="1">_xlfn.TEXTJOIN(CHAR(10),TRUE,IF(Semestre=INDIRECT("base_de_datos["&amp;Carrera&amp;"]"),IF("x"=base_de_datos[Jueves],IF(base_de_datos[Hora inicio]&lt;=$B11,IF(base_de_datos[Hora fin]&gt;=$C11,base_de_datos[No clase],""),""),""),""),"")</f>
        <v/>
      </c>
      <c r="P11" s="24" t="str" cm="1">
        <f t="array" aca="1" ref="P11" ca="1">_xlfn.TEXTJOIN(CHAR(10),TRUE,IF(Semestre=INDIRECT("base_de_datos["&amp;Carrera&amp;"]"),IF("x"=base_de_datos[Viernes],IF(base_de_datos[Hora inicio]&lt;=$B11,IF(base_de_datos[Hora fin]&gt;=$C11,base_de_datos[Materia]&amp;" "&amp;base_de_datos[[Número de grupo ]]&amp;" "&amp;base_de_datos[Profesor],""),""),""),""),"")</f>
        <v/>
      </c>
      <c r="Q11" s="24" t="str" cm="1">
        <f t="array" aca="1" ref="Q11" ca="1">_xlfn.TEXTJOIN(CHAR(10),TRUE,IF(Semestre=INDIRECT("base_de_datos["&amp;Carrera&amp;"]"),IF("x"=base_de_datos[Viernes],IF(base_de_datos[Hora inicio]&lt;=$B11,IF(base_de_datos[Hora fin]&gt;=$C11,base_de_datos[Aula]&amp;" "&amp;base_de_datos[Examen],""),""),""),""),"")</f>
        <v/>
      </c>
      <c r="R11" s="24" t="str" cm="1">
        <f t="array" aca="1" ref="R11" ca="1">_xlfn.TEXTJOIN(CHAR(10),TRUE,IF(Semestre=INDIRECT("base_de_datos["&amp;Carrera&amp;"]"),IF("x"=base_de_datos[Viernes],IF(base_de_datos[Hora inicio]&lt;=$B11,IF(base_de_datos[Hora fin]&gt;=$C11,base_de_datos[No clase],""),""),""),""),"")</f>
        <v/>
      </c>
      <c r="S11" s="24" t="str" cm="1">
        <f t="array" aca="1" ref="S11" ca="1">_xlfn.TEXTJOIN(CHAR(10),TRUE,IF(Semestre=INDIRECT("base_de_datos["&amp;Carrera&amp;"]"),IF("x"=base_de_datos[Sábado],IF(base_de_datos[Hora inicio]&lt;=$B11,IF(base_de_datos[Hora fin]&gt;=$C11,base_de_datos[Materia]&amp;" "&amp;base_de_datos[[Número de grupo ]]&amp;" "&amp;base_de_datos[Profesor],""),""),""),""),"")</f>
        <v/>
      </c>
      <c r="T11" s="24" t="str" cm="1">
        <f t="array" aca="1" ref="T11" ca="1">_xlfn.TEXTJOIN(CHAR(10),TRUE,IF(Semestre=INDIRECT("base_de_datos["&amp;Carrera&amp;"]"),IF("x"=base_de_datos[Sábado],IF(base_de_datos[Hora inicio]&lt;=$B11,IF(base_de_datos[Hora fin]&gt;=$C11,base_de_datos[Aula]&amp;" "&amp;#REF!,""),""),""),""),"")</f>
        <v/>
      </c>
      <c r="U11" s="24" t="str" cm="1">
        <f t="array" aca="1" ref="U11" ca="1">_xlfn.TEXTJOIN(CHAR(10),TRUE,IF(Semestre=INDIRECT("base_de_datos["&amp;Carrera&amp;"]"),IF("x"=base_de_datos[Sábado],IF(base_de_datos[Hora inicio]&lt;=$B11,IF(base_de_datos[Hora fin]&gt;=$C11,base_de_datos[No clase],""),""),""),""),"")</f>
        <v/>
      </c>
      <c r="V11" s="23"/>
      <c r="W11" s="117"/>
      <c r="X11" s="115"/>
      <c r="Y11" s="98"/>
      <c r="Z11" s="26"/>
      <c r="AA11" s="26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1" t="str">
        <f t="shared" si="0"/>
        <v/>
      </c>
    </row>
    <row r="12" spans="1:49" ht="15">
      <c r="B12" s="70">
        <v>0.4375</v>
      </c>
      <c r="C12" s="70">
        <v>0.45833333333333098</v>
      </c>
      <c r="D12" s="24" t="str" cm="1">
        <f t="array" aca="1" ref="D12" ca="1">_xlfn.TEXTJOIN(CHAR(10),TRUE,IF(Semestre=INDIRECT("base_de_datos["&amp;Carrera&amp;"]"),IF("x"=base_de_datos[Lunes],IF(base_de_datos[Hora inicio]&lt;=$B12,IF(base_de_datos[Hora fin]&gt;=$C12,base_de_datos[Materia]&amp;" "&amp;base_de_datos[[Número de grupo ]]&amp;" "&amp;base_de_datos[Profesor],""),""),""),""),"")</f>
        <v/>
      </c>
      <c r="E12" s="24" t="str" cm="1">
        <f t="array" aca="1" ref="E12" ca="1">_xlfn.TEXTJOIN(CHAR(10),TRUE,IF(Semestre=INDIRECT("base_de_datos["&amp;Carrera&amp;"]"),IF("x"=base_de_datos[Lunes],IF(base_de_datos[Hora inicio]&lt;=$B12,IF(base_de_datos[Hora fin]&gt;=$C12,base_de_datos[Aula]&amp;" "&amp;base_de_datos[Examen],""),""),""),""),"")</f>
        <v/>
      </c>
      <c r="F12" s="24" t="str" cm="1">
        <f t="array" aca="1" ref="F12" ca="1">_xlfn.TEXTJOIN(CHAR(10),TRUE,IF(Semestre=INDIRECT("base_de_datos["&amp;Carrera&amp;"]"),IF("x"=base_de_datos[Lunes],IF(base_de_datos[Hora inicio]&lt;=$B12,IF(base_de_datos[Hora fin]&gt;=$C12,base_de_datos[No clase],""),""),""),""),"")</f>
        <v/>
      </c>
      <c r="G12" s="24" t="str" cm="1">
        <f t="array" aca="1" ref="G12" ca="1">_xlfn.TEXTJOIN(CHAR(10),TRUE,IF(Semestre=INDIRECT("base_de_datos["&amp;Carrera&amp;"]"),IF("x"=base_de_datos[Martes],IF(base_de_datos[Hora inicio]&lt;=$B12,IF(base_de_datos[Hora fin]&gt;=$C12,base_de_datos[Materia]&amp;" "&amp;base_de_datos[[Número de grupo ]]&amp;" "&amp;base_de_datos[Profesor],""),""),""),""),"")</f>
        <v/>
      </c>
      <c r="H12" s="24" t="str" cm="1">
        <f t="array" aca="1" ref="H12" ca="1">_xlfn.TEXTJOIN(CHAR(10),TRUE,IF(Semestre=INDIRECT("base_de_datos["&amp;Carrera&amp;"]"),IF("x"=base_de_datos[Martes],IF(base_de_datos[Hora inicio]&lt;=$B12,IF(base_de_datos[Hora fin]&gt;=$C12,base_de_datos[Aula]&amp;" "&amp;base_de_datos[Examen],""),""),""),""),"")</f>
        <v/>
      </c>
      <c r="I12" s="24" t="str" cm="1">
        <f t="array" aca="1" ref="I12" ca="1">_xlfn.TEXTJOIN(CHAR(10),TRUE,IF(Semestre=INDIRECT("base_de_datos["&amp;Carrera&amp;"]"),IF("x"=base_de_datos[Martes],IF(base_de_datos[Hora inicio]&lt;=$B12,IF(base_de_datos[Hora fin]&gt;=$C12,base_de_datos[No clase],""),""),""),""),"")</f>
        <v/>
      </c>
      <c r="J12" s="24" t="str" cm="1">
        <f t="array" aca="1" ref="J12" ca="1">_xlfn.TEXTJOIN(CHAR(10),TRUE,IF(Semestre=INDIRECT("base_de_datos["&amp;Carrera&amp;"]"),IF("x"=base_de_datos[Miércoles],IF(base_de_datos[Hora inicio]&lt;=$B12,IF(base_de_datos[Hora fin]&gt;=$C12,base_de_datos[Materia]&amp;" "&amp;base_de_datos[[Número de grupo ]]&amp;" "&amp;base_de_datos[Profesor],""),""),""),""),"")</f>
        <v/>
      </c>
      <c r="K12" s="24" t="str" cm="1">
        <f t="array" aca="1" ref="K12" ca="1">_xlfn.TEXTJOIN(CHAR(10),TRUE,IF(Semestre=INDIRECT("base_de_datos["&amp;Carrera&amp;"]"),IF("x"=base_de_datos[Miércoles],IF(base_de_datos[Hora inicio]&lt;=$B12,IF(base_de_datos[Hora fin]&gt;=$C12,base_de_datos[Aula]&amp;" "&amp;base_de_datos[Examen],""),""),""),""),"")</f>
        <v/>
      </c>
      <c r="L12" s="24" t="str" cm="1">
        <f t="array" aca="1" ref="L12" ca="1">_xlfn.TEXTJOIN(CHAR(10),TRUE,IF(Semestre=INDIRECT("base_de_datos["&amp;Carrera&amp;"]"),IF("x"=base_de_datos[Miércoles],IF(base_de_datos[Hora inicio]&lt;=$B12,IF(base_de_datos[Hora fin]&gt;=$C12,base_de_datos[No clase],""),""),""),""),"")</f>
        <v/>
      </c>
      <c r="M12" s="24" t="str" cm="1">
        <f t="array" aca="1" ref="M12" ca="1">_xlfn.TEXTJOIN(CHAR(10),TRUE,IF(Semestre=INDIRECT("base_de_datos["&amp;Carrera&amp;"]"),IF("x"=base_de_datos[Jueves],IF(base_de_datos[Hora inicio]&lt;=$B12,IF(base_de_datos[Hora fin]&gt;=$C12,base_de_datos[Materia]&amp;" "&amp;base_de_datos[[Número de grupo ]]&amp;" "&amp;base_de_datos[Profesor],""),""),""),""),"")</f>
        <v/>
      </c>
      <c r="N12" s="24" t="str" cm="1">
        <f t="array" aca="1" ref="N12" ca="1">_xlfn.TEXTJOIN(CHAR(10),TRUE,IF(Semestre=INDIRECT("base_de_datos["&amp;Carrera&amp;"]"),IF("x"=base_de_datos[Jueves],IF(base_de_datos[Hora inicio]&lt;=$B12,IF(base_de_datos[Hora fin]&gt;=$C12,base_de_datos[Aula]&amp;" "&amp;base_de_datos[Examen],""),""),""),""),"")</f>
        <v/>
      </c>
      <c r="O12" s="24" t="str" cm="1">
        <f t="array" aca="1" ref="O12" ca="1">_xlfn.TEXTJOIN(CHAR(10),TRUE,IF(Semestre=INDIRECT("base_de_datos["&amp;Carrera&amp;"]"),IF("x"=base_de_datos[Jueves],IF(base_de_datos[Hora inicio]&lt;=$B12,IF(base_de_datos[Hora fin]&gt;=$C12,base_de_datos[No clase],""),""),""),""),"")</f>
        <v/>
      </c>
      <c r="P12" s="24" t="str" cm="1">
        <f t="array" aca="1" ref="P12" ca="1">_xlfn.TEXTJOIN(CHAR(10),TRUE,IF(Semestre=INDIRECT("base_de_datos["&amp;Carrera&amp;"]"),IF("x"=base_de_datos[Viernes],IF(base_de_datos[Hora inicio]&lt;=$B12,IF(base_de_datos[Hora fin]&gt;=$C12,base_de_datos[Materia]&amp;" "&amp;base_de_datos[[Número de grupo ]]&amp;" "&amp;base_de_datos[Profesor],""),""),""),""),"")</f>
        <v/>
      </c>
      <c r="Q12" s="24" t="str" cm="1">
        <f t="array" aca="1" ref="Q12" ca="1">_xlfn.TEXTJOIN(CHAR(10),TRUE,IF(Semestre=INDIRECT("base_de_datos["&amp;Carrera&amp;"]"),IF("x"=base_de_datos[Viernes],IF(base_de_datos[Hora inicio]&lt;=$B12,IF(base_de_datos[Hora fin]&gt;=$C12,base_de_datos[Aula]&amp;" "&amp;base_de_datos[Examen],""),""),""),""),"")</f>
        <v/>
      </c>
      <c r="R12" s="24" t="str" cm="1">
        <f t="array" aca="1" ref="R12" ca="1">_xlfn.TEXTJOIN(CHAR(10),TRUE,IF(Semestre=INDIRECT("base_de_datos["&amp;Carrera&amp;"]"),IF("x"=base_de_datos[Viernes],IF(base_de_datos[Hora inicio]&lt;=$B12,IF(base_de_datos[Hora fin]&gt;=$C12,base_de_datos[No clase],""),""),""),""),"")</f>
        <v/>
      </c>
      <c r="S12" s="24" t="str" cm="1">
        <f t="array" aca="1" ref="S12" ca="1">_xlfn.TEXTJOIN(CHAR(10),TRUE,IF(Semestre=INDIRECT("base_de_datos["&amp;Carrera&amp;"]"),IF("x"=base_de_datos[Sábado],IF(base_de_datos[Hora inicio]&lt;=$B12,IF(base_de_datos[Hora fin]&gt;=$C12,base_de_datos[Materia]&amp;" "&amp;base_de_datos[[Número de grupo ]]&amp;" "&amp;base_de_datos[Profesor],""),""),""),""),"")</f>
        <v/>
      </c>
      <c r="T12" s="24" t="str" cm="1">
        <f t="array" aca="1" ref="T12" ca="1">_xlfn.TEXTJOIN(CHAR(10),TRUE,IF(Semestre=INDIRECT("base_de_datos["&amp;Carrera&amp;"]"),IF("x"=base_de_datos[Sábado],IF(base_de_datos[Hora inicio]&lt;=$B12,IF(base_de_datos[Hora fin]&gt;=$C12,base_de_datos[Aula]&amp;" "&amp;#REF!,""),""),""),""),"")</f>
        <v/>
      </c>
      <c r="U12" s="24" t="str" cm="1">
        <f t="array" aca="1" ref="U12" ca="1">_xlfn.TEXTJOIN(CHAR(10),TRUE,IF(Semestre=INDIRECT("base_de_datos["&amp;Carrera&amp;"]"),IF("x"=base_de_datos[Sábado],IF(base_de_datos[Hora inicio]&lt;=$B12,IF(base_de_datos[Hora fin]&gt;=$C12,base_de_datos[No clase],""),""),""),""),"")</f>
        <v/>
      </c>
      <c r="V12" s="23"/>
      <c r="W12" s="117"/>
      <c r="X12" s="115"/>
      <c r="Y12" s="98"/>
      <c r="Z12" s="26"/>
      <c r="AA12" s="26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1" t="str">
        <f t="shared" si="0"/>
        <v/>
      </c>
    </row>
    <row r="13" spans="1:49" ht="15">
      <c r="B13" s="70">
        <v>0.45833333333333398</v>
      </c>
      <c r="C13" s="70">
        <v>0.47916666666666402</v>
      </c>
      <c r="D13" s="25" t="str" cm="1">
        <f t="array" aca="1" ref="D13" ca="1">_xlfn.TEXTJOIN(CHAR(10),TRUE,IF(Semestre=INDIRECT("base_de_datos["&amp;Carrera&amp;"]"),IF("x"=base_de_datos[Lunes],IF(base_de_datos[Hora inicio]&lt;=$B13,IF(base_de_datos[Hora fin]&gt;=$C13,base_de_datos[Materia]&amp;" "&amp;base_de_datos[[Número de grupo ]]&amp;" "&amp;base_de_datos[Profesor],""),""),""),""),"")</f>
        <v/>
      </c>
      <c r="E13" s="25" t="str" cm="1">
        <f t="array" aca="1" ref="E13" ca="1">_xlfn.TEXTJOIN(CHAR(10),TRUE,IF(Semestre=INDIRECT("base_de_datos["&amp;Carrera&amp;"]"),IF("x"=base_de_datos[Lunes],IF(base_de_datos[Hora inicio]&lt;=$B13,IF(base_de_datos[Hora fin]&gt;=$C13,base_de_datos[Aula]&amp;" "&amp;base_de_datos[Examen],""),""),""),""),"")</f>
        <v/>
      </c>
      <c r="F13" s="25" t="str" cm="1">
        <f t="array" aca="1" ref="F13" ca="1">_xlfn.TEXTJOIN(CHAR(10),TRUE,IF(Semestre=INDIRECT("base_de_datos["&amp;Carrera&amp;"]"),IF("x"=base_de_datos[Lunes],IF(base_de_datos[Hora inicio]&lt;=$B13,IF(base_de_datos[Hora fin]&gt;=$C13,base_de_datos[No clase],""),""),""),""),"")</f>
        <v/>
      </c>
      <c r="G13" s="25" t="str" cm="1">
        <f t="array" aca="1" ref="G13" ca="1">_xlfn.TEXTJOIN(CHAR(10),TRUE,IF(Semestre=INDIRECT("base_de_datos["&amp;Carrera&amp;"]"),IF("x"=base_de_datos[Martes],IF(base_de_datos[Hora inicio]&lt;=$B13,IF(base_de_datos[Hora fin]&gt;=$C13,base_de_datos[Materia]&amp;" "&amp;base_de_datos[[Número de grupo ]]&amp;" "&amp;base_de_datos[Profesor],""),""),""),""),"")</f>
        <v/>
      </c>
      <c r="H13" s="25" t="str" cm="1">
        <f t="array" aca="1" ref="H13" ca="1">_xlfn.TEXTJOIN(CHAR(10),TRUE,IF(Semestre=INDIRECT("base_de_datos["&amp;Carrera&amp;"]"),IF("x"=base_de_datos[Martes],IF(base_de_datos[Hora inicio]&lt;=$B13,IF(base_de_datos[Hora fin]&gt;=$C13,base_de_datos[Aula]&amp;" "&amp;base_de_datos[Examen],""),""),""),""),"")</f>
        <v/>
      </c>
      <c r="I13" s="25" t="str" cm="1">
        <f t="array" aca="1" ref="I13" ca="1">_xlfn.TEXTJOIN(CHAR(10),TRUE,IF(Semestre=INDIRECT("base_de_datos["&amp;Carrera&amp;"]"),IF("x"=base_de_datos[Martes],IF(base_de_datos[Hora inicio]&lt;=$B13,IF(base_de_datos[Hora fin]&gt;=$C13,base_de_datos[No clase],""),""),""),""),"")</f>
        <v/>
      </c>
      <c r="J13" s="25" t="str" cm="1">
        <f t="array" aca="1" ref="J13" ca="1">_xlfn.TEXTJOIN(CHAR(10),TRUE,IF(Semestre=INDIRECT("base_de_datos["&amp;Carrera&amp;"]"),IF("x"=base_de_datos[Miércoles],IF(base_de_datos[Hora inicio]&lt;=$B13,IF(base_de_datos[Hora fin]&gt;=$C13,base_de_datos[Materia]&amp;" "&amp;base_de_datos[[Número de grupo ]]&amp;" "&amp;base_de_datos[Profesor],""),""),""),""),"")</f>
        <v/>
      </c>
      <c r="K13" s="25" t="str" cm="1">
        <f t="array" aca="1" ref="K13" ca="1">_xlfn.TEXTJOIN(CHAR(10),TRUE,IF(Semestre=INDIRECT("base_de_datos["&amp;Carrera&amp;"]"),IF("x"=base_de_datos[Miércoles],IF(base_de_datos[Hora inicio]&lt;=$B13,IF(base_de_datos[Hora fin]&gt;=$C13,base_de_datos[Aula]&amp;" "&amp;base_de_datos[Examen],""),""),""),""),"")</f>
        <v/>
      </c>
      <c r="L13" s="25" t="str" cm="1">
        <f t="array" aca="1" ref="L13" ca="1">_xlfn.TEXTJOIN(CHAR(10),TRUE,IF(Semestre=INDIRECT("base_de_datos["&amp;Carrera&amp;"]"),IF("x"=base_de_datos[Miércoles],IF(base_de_datos[Hora inicio]&lt;=$B13,IF(base_de_datos[Hora fin]&gt;=$C13,base_de_datos[No clase],""),""),""),""),"")</f>
        <v/>
      </c>
      <c r="M13" s="25" t="str" cm="1">
        <f t="array" aca="1" ref="M13" ca="1">_xlfn.TEXTJOIN(CHAR(10),TRUE,IF(Semestre=INDIRECT("base_de_datos["&amp;Carrera&amp;"]"),IF("x"=base_de_datos[Jueves],IF(base_de_datos[Hora inicio]&lt;=$B13,IF(base_de_datos[Hora fin]&gt;=$C13,base_de_datos[Materia]&amp;" "&amp;base_de_datos[[Número de grupo ]]&amp;" "&amp;base_de_datos[Profesor],""),""),""),""),"")</f>
        <v/>
      </c>
      <c r="N13" s="25" t="str" cm="1">
        <f t="array" aca="1" ref="N13" ca="1">_xlfn.TEXTJOIN(CHAR(10),TRUE,IF(Semestre=INDIRECT("base_de_datos["&amp;Carrera&amp;"]"),IF("x"=base_de_datos[Jueves],IF(base_de_datos[Hora inicio]&lt;=$B13,IF(base_de_datos[Hora fin]&gt;=$C13,base_de_datos[Aula]&amp;" "&amp;base_de_datos[Examen],""),""),""),""),"")</f>
        <v/>
      </c>
      <c r="O13" s="25" t="str" cm="1">
        <f t="array" aca="1" ref="O13" ca="1">_xlfn.TEXTJOIN(CHAR(10),TRUE,IF(Semestre=INDIRECT("base_de_datos["&amp;Carrera&amp;"]"),IF("x"=base_de_datos[Jueves],IF(base_de_datos[Hora inicio]&lt;=$B13,IF(base_de_datos[Hora fin]&gt;=$C13,base_de_datos[No clase],""),""),""),""),"")</f>
        <v/>
      </c>
      <c r="P13" s="25" t="str" cm="1">
        <f t="array" aca="1" ref="P13" ca="1">_xlfn.TEXTJOIN(CHAR(10),TRUE,IF(Semestre=INDIRECT("base_de_datos["&amp;Carrera&amp;"]"),IF("x"=base_de_datos[Viernes],IF(base_de_datos[Hora inicio]&lt;=$B13,IF(base_de_datos[Hora fin]&gt;=$C13,base_de_datos[Materia]&amp;" "&amp;base_de_datos[[Número de grupo ]]&amp;" "&amp;base_de_datos[Profesor],""),""),""),""),"")</f>
        <v/>
      </c>
      <c r="Q13" s="25" t="str" cm="1">
        <f t="array" aca="1" ref="Q13" ca="1">_xlfn.TEXTJOIN(CHAR(10),TRUE,IF(Semestre=INDIRECT("base_de_datos["&amp;Carrera&amp;"]"),IF("x"=base_de_datos[Viernes],IF(base_de_datos[Hora inicio]&lt;=$B13,IF(base_de_datos[Hora fin]&gt;=$C13,base_de_datos[Aula]&amp;" "&amp;base_de_datos[Examen],""),""),""),""),"")</f>
        <v/>
      </c>
      <c r="R13" s="25" t="str" cm="1">
        <f t="array" aca="1" ref="R13" ca="1">_xlfn.TEXTJOIN(CHAR(10),TRUE,IF(Semestre=INDIRECT("base_de_datos["&amp;Carrera&amp;"]"),IF("x"=base_de_datos[Viernes],IF(base_de_datos[Hora inicio]&lt;=$B13,IF(base_de_datos[Hora fin]&gt;=$C13,base_de_datos[No clase],""),""),""),""),"")</f>
        <v/>
      </c>
      <c r="S13" s="24" t="str" cm="1">
        <f t="array" aca="1" ref="S13" ca="1">_xlfn.TEXTJOIN(CHAR(10),TRUE,IF(Semestre=INDIRECT("base_de_datos["&amp;Carrera&amp;"]"),IF("x"=base_de_datos[Sábado],IF(base_de_datos[Hora inicio]&lt;=$B13,IF(base_de_datos[Hora fin]&gt;=$C13,base_de_datos[Materia]&amp;" "&amp;base_de_datos[[Número de grupo ]]&amp;" "&amp;base_de_datos[Profesor],""),""),""),""),"")</f>
        <v/>
      </c>
      <c r="T13" s="24" t="str" cm="1">
        <f t="array" aca="1" ref="T13" ca="1">_xlfn.TEXTJOIN(CHAR(10),TRUE,IF(Semestre=INDIRECT("base_de_datos["&amp;Carrera&amp;"]"),IF("x"=base_de_datos[Sábado],IF(base_de_datos[Hora inicio]&lt;=$B13,IF(base_de_datos[Hora fin]&gt;=$C13,base_de_datos[Aula]&amp;" "&amp;#REF!,""),""),""),""),"")</f>
        <v/>
      </c>
      <c r="U13" s="24" t="str" cm="1">
        <f t="array" aca="1" ref="U13" ca="1">_xlfn.TEXTJOIN(CHAR(10),TRUE,IF(Semestre=INDIRECT("base_de_datos["&amp;Carrera&amp;"]"),IF("x"=base_de_datos[Sábado],IF(base_de_datos[Hora inicio]&lt;=$B13,IF(base_de_datos[Hora fin]&gt;=$C13,base_de_datos[No clase],""),""),""),""),"")</f>
        <v/>
      </c>
      <c r="V13" s="23"/>
      <c r="W13" s="117"/>
      <c r="X13" s="115"/>
      <c r="Y13" s="98"/>
      <c r="Z13" s="26"/>
      <c r="AA13" s="26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1" t="str">
        <f t="shared" si="0"/>
        <v/>
      </c>
    </row>
    <row r="14" spans="1:49" ht="15">
      <c r="B14" s="70">
        <v>0.47916666666666702</v>
      </c>
      <c r="C14" s="70">
        <v>0.499999999999997</v>
      </c>
      <c r="D14" s="25" t="str" cm="1">
        <f t="array" aca="1" ref="D14" ca="1">_xlfn.TEXTJOIN(CHAR(10),TRUE,IF(Semestre=INDIRECT("base_de_datos["&amp;Carrera&amp;"]"),IF("x"=base_de_datos[Lunes],IF(base_de_datos[Hora inicio]&lt;=$B14,IF(base_de_datos[Hora fin]&gt;=$C14,base_de_datos[Materia]&amp;" "&amp;base_de_datos[[Número de grupo ]]&amp;" "&amp;base_de_datos[Profesor],""),""),""),""),"")</f>
        <v/>
      </c>
      <c r="E14" s="25" t="str" cm="1">
        <f t="array" aca="1" ref="E14" ca="1">_xlfn.TEXTJOIN(CHAR(10),TRUE,IF(Semestre=INDIRECT("base_de_datos["&amp;Carrera&amp;"]"),IF("x"=base_de_datos[Lunes],IF(base_de_datos[Hora inicio]&lt;=$B14,IF(base_de_datos[Hora fin]&gt;=$C14,base_de_datos[Aula]&amp;" "&amp;base_de_datos[Examen],""),""),""),""),"")</f>
        <v/>
      </c>
      <c r="F14" s="25" t="str" cm="1">
        <f t="array" aca="1" ref="F14" ca="1">_xlfn.TEXTJOIN(CHAR(10),TRUE,IF(Semestre=INDIRECT("base_de_datos["&amp;Carrera&amp;"]"),IF("x"=base_de_datos[Lunes],IF(base_de_datos[Hora inicio]&lt;=$B14,IF(base_de_datos[Hora fin]&gt;=$C14,base_de_datos[No clase],""),""),""),""),"")</f>
        <v/>
      </c>
      <c r="G14" s="25" t="str" cm="1">
        <f t="array" aca="1" ref="G14" ca="1">_xlfn.TEXTJOIN(CHAR(10),TRUE,IF(Semestre=INDIRECT("base_de_datos["&amp;Carrera&amp;"]"),IF("x"=base_de_datos[Martes],IF(base_de_datos[Hora inicio]&lt;=$B14,IF(base_de_datos[Hora fin]&gt;=$C14,base_de_datos[Materia]&amp;" "&amp;base_de_datos[[Número de grupo ]]&amp;" "&amp;base_de_datos[Profesor],""),""),""),""),"")</f>
        <v/>
      </c>
      <c r="H14" s="25" t="str" cm="1">
        <f t="array" aca="1" ref="H14" ca="1">_xlfn.TEXTJOIN(CHAR(10),TRUE,IF(Semestre=INDIRECT("base_de_datos["&amp;Carrera&amp;"]"),IF("x"=base_de_datos[Martes],IF(base_de_datos[Hora inicio]&lt;=$B14,IF(base_de_datos[Hora fin]&gt;=$C14,base_de_datos[Aula]&amp;" "&amp;base_de_datos[Examen],""),""),""),""),"")</f>
        <v/>
      </c>
      <c r="I14" s="25" t="str" cm="1">
        <f t="array" aca="1" ref="I14" ca="1">_xlfn.TEXTJOIN(CHAR(10),TRUE,IF(Semestre=INDIRECT("base_de_datos["&amp;Carrera&amp;"]"),IF("x"=base_de_datos[Martes],IF(base_de_datos[Hora inicio]&lt;=$B14,IF(base_de_datos[Hora fin]&gt;=$C14,base_de_datos[No clase],""),""),""),""),"")</f>
        <v/>
      </c>
      <c r="J14" s="25" t="str" cm="1">
        <f t="array" aca="1" ref="J14" ca="1">_xlfn.TEXTJOIN(CHAR(10),TRUE,IF(Semestre=INDIRECT("base_de_datos["&amp;Carrera&amp;"]"),IF("x"=base_de_datos[Miércoles],IF(base_de_datos[Hora inicio]&lt;=$B14,IF(base_de_datos[Hora fin]&gt;=$C14,base_de_datos[Materia]&amp;" "&amp;base_de_datos[[Número de grupo ]]&amp;" "&amp;base_de_datos[Profesor],""),""),""),""),"")</f>
        <v/>
      </c>
      <c r="K14" s="25" t="str" cm="1">
        <f t="array" aca="1" ref="K14" ca="1">_xlfn.TEXTJOIN(CHAR(10),TRUE,IF(Semestre=INDIRECT("base_de_datos["&amp;Carrera&amp;"]"),IF("x"=base_de_datos[Miércoles],IF(base_de_datos[Hora inicio]&lt;=$B14,IF(base_de_datos[Hora fin]&gt;=$C14,base_de_datos[Aula]&amp;" "&amp;base_de_datos[Examen],""),""),""),""),"")</f>
        <v/>
      </c>
      <c r="L14" s="25" t="str" cm="1">
        <f t="array" aca="1" ref="L14" ca="1">_xlfn.TEXTJOIN(CHAR(10),TRUE,IF(Semestre=INDIRECT("base_de_datos["&amp;Carrera&amp;"]"),IF("x"=base_de_datos[Miércoles],IF(base_de_datos[Hora inicio]&lt;=$B14,IF(base_de_datos[Hora fin]&gt;=$C14,base_de_datos[No clase],""),""),""),""),"")</f>
        <v/>
      </c>
      <c r="M14" s="25" t="str" cm="1">
        <f t="array" aca="1" ref="M14" ca="1">_xlfn.TEXTJOIN(CHAR(10),TRUE,IF(Semestre=INDIRECT("base_de_datos["&amp;Carrera&amp;"]"),IF("x"=base_de_datos[Jueves],IF(base_de_datos[Hora inicio]&lt;=$B14,IF(base_de_datos[Hora fin]&gt;=$C14,base_de_datos[Materia]&amp;" "&amp;base_de_datos[[Número de grupo ]]&amp;" "&amp;base_de_datos[Profesor],""),""),""),""),"")</f>
        <v/>
      </c>
      <c r="N14" s="25" t="str" cm="1">
        <f t="array" aca="1" ref="N14" ca="1">_xlfn.TEXTJOIN(CHAR(10),TRUE,IF(Semestre=INDIRECT("base_de_datos["&amp;Carrera&amp;"]"),IF("x"=base_de_datos[Jueves],IF(base_de_datos[Hora inicio]&lt;=$B14,IF(base_de_datos[Hora fin]&gt;=$C14,base_de_datos[Aula]&amp;" "&amp;base_de_datos[Examen],""),""),""),""),"")</f>
        <v/>
      </c>
      <c r="O14" s="25" t="str" cm="1">
        <f t="array" aca="1" ref="O14" ca="1">_xlfn.TEXTJOIN(CHAR(10),TRUE,IF(Semestre=INDIRECT("base_de_datos["&amp;Carrera&amp;"]"),IF("x"=base_de_datos[Jueves],IF(base_de_datos[Hora inicio]&lt;=$B14,IF(base_de_datos[Hora fin]&gt;=$C14,base_de_datos[No clase],""),""),""),""),"")</f>
        <v/>
      </c>
      <c r="P14" s="25" t="str" cm="1">
        <f t="array" aca="1" ref="P14" ca="1">_xlfn.TEXTJOIN(CHAR(10),TRUE,IF(Semestre=INDIRECT("base_de_datos["&amp;Carrera&amp;"]"),IF("x"=base_de_datos[Viernes],IF(base_de_datos[Hora inicio]&lt;=$B14,IF(base_de_datos[Hora fin]&gt;=$C14,base_de_datos[Materia]&amp;" "&amp;base_de_datos[[Número de grupo ]]&amp;" "&amp;base_de_datos[Profesor],""),""),""),""),"")</f>
        <v/>
      </c>
      <c r="Q14" s="25" t="str" cm="1">
        <f t="array" aca="1" ref="Q14" ca="1">_xlfn.TEXTJOIN(CHAR(10),TRUE,IF(Semestre=INDIRECT("base_de_datos["&amp;Carrera&amp;"]"),IF("x"=base_de_datos[Viernes],IF(base_de_datos[Hora inicio]&lt;=$B14,IF(base_de_datos[Hora fin]&gt;=$C14,base_de_datos[Aula]&amp;" "&amp;base_de_datos[Examen],""),""),""),""),"")</f>
        <v/>
      </c>
      <c r="R14" s="25" t="str" cm="1">
        <f t="array" aca="1" ref="R14" ca="1">_xlfn.TEXTJOIN(CHAR(10),TRUE,IF(Semestre=INDIRECT("base_de_datos["&amp;Carrera&amp;"]"),IF("x"=base_de_datos[Viernes],IF(base_de_datos[Hora inicio]&lt;=$B14,IF(base_de_datos[Hora fin]&gt;=$C14,base_de_datos[No clase],""),""),""),""),"")</f>
        <v/>
      </c>
      <c r="S14" s="24" t="str" cm="1">
        <f t="array" aca="1" ref="S14" ca="1">_xlfn.TEXTJOIN(CHAR(10),TRUE,IF(Semestre=INDIRECT("base_de_datos["&amp;Carrera&amp;"]"),IF("x"=base_de_datos[Sábado],IF(base_de_datos[Hora inicio]&lt;=$B14,IF(base_de_datos[Hora fin]&gt;=$C14,base_de_datos[Materia]&amp;" "&amp;base_de_datos[[Número de grupo ]]&amp;" "&amp;base_de_datos[Profesor],""),""),""),""),"")</f>
        <v/>
      </c>
      <c r="T14" s="24" t="str" cm="1">
        <f t="array" aca="1" ref="T14" ca="1">_xlfn.TEXTJOIN(CHAR(10),TRUE,IF(Semestre=INDIRECT("base_de_datos["&amp;Carrera&amp;"]"),IF("x"=base_de_datos[Sábado],IF(base_de_datos[Hora inicio]&lt;=$B14,IF(base_de_datos[Hora fin]&gt;=$C14,base_de_datos[Aula]&amp;" "&amp;#REF!,""),""),""),""),"")</f>
        <v/>
      </c>
      <c r="U14" s="24" t="str" cm="1">
        <f t="array" aca="1" ref="U14" ca="1">_xlfn.TEXTJOIN(CHAR(10),TRUE,IF(Semestre=INDIRECT("base_de_datos["&amp;Carrera&amp;"]"),IF("x"=base_de_datos[Sábado],IF(base_de_datos[Hora inicio]&lt;=$B14,IF(base_de_datos[Hora fin]&gt;=$C14,base_de_datos[No clase],""),""),""),""),"")</f>
        <v/>
      </c>
      <c r="V14" s="23"/>
      <c r="W14" s="117"/>
      <c r="X14" s="115"/>
      <c r="Y14" s="98"/>
      <c r="Z14" s="26"/>
      <c r="AA14" s="26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1" t="str">
        <f t="shared" si="0"/>
        <v/>
      </c>
    </row>
    <row r="15" spans="1:49" ht="15">
      <c r="B15" s="70">
        <v>0.5</v>
      </c>
      <c r="C15" s="70">
        <v>0.52083333333333004</v>
      </c>
      <c r="D15" s="24" t="str" cm="1">
        <f t="array" aca="1" ref="D15" ca="1">_xlfn.TEXTJOIN(CHAR(10),TRUE,IF(Semestre=INDIRECT("base_de_datos["&amp;Carrera&amp;"]"),IF("x"=base_de_datos[Lunes],IF(base_de_datos[Hora inicio]&lt;=$B15,IF(base_de_datos[Hora fin]&gt;=$C15,base_de_datos[Materia]&amp;" "&amp;base_de_datos[[Número de grupo ]]&amp;" "&amp;base_de_datos[Profesor],""),""),""),""),"")</f>
        <v/>
      </c>
      <c r="E15" s="24" t="str" cm="1">
        <f t="array" aca="1" ref="E15" ca="1">_xlfn.TEXTJOIN(CHAR(10),TRUE,IF(Semestre=INDIRECT("base_de_datos["&amp;Carrera&amp;"]"),IF("x"=base_de_datos[Lunes],IF(base_de_datos[Hora inicio]&lt;=$B15,IF(base_de_datos[Hora fin]&gt;=$C15,base_de_datos[Aula]&amp;" "&amp;base_de_datos[Examen],""),""),""),""),"")</f>
        <v/>
      </c>
      <c r="F15" s="24" t="str" cm="1">
        <f t="array" aca="1" ref="F15" ca="1">_xlfn.TEXTJOIN(CHAR(10),TRUE,IF(Semestre=INDIRECT("base_de_datos["&amp;Carrera&amp;"]"),IF("x"=base_de_datos[Lunes],IF(base_de_datos[Hora inicio]&lt;=$B15,IF(base_de_datos[Hora fin]&gt;=$C15,base_de_datos[No clase],""),""),""),""),"")</f>
        <v/>
      </c>
      <c r="G15" s="24" t="str" cm="1">
        <f t="array" aca="1" ref="G15" ca="1">_xlfn.TEXTJOIN(CHAR(10),TRUE,IF(Semestre=INDIRECT("base_de_datos["&amp;Carrera&amp;"]"),IF("x"=base_de_datos[Martes],IF(base_de_datos[Hora inicio]&lt;=$B15,IF(base_de_datos[Hora fin]&gt;=$C15,base_de_datos[Materia]&amp;" "&amp;base_de_datos[[Número de grupo ]]&amp;" "&amp;base_de_datos[Profesor],""),""),""),""),"")</f>
        <v/>
      </c>
      <c r="H15" s="24" t="str" cm="1">
        <f t="array" aca="1" ref="H15" ca="1">_xlfn.TEXTJOIN(CHAR(10),TRUE,IF(Semestre=INDIRECT("base_de_datos["&amp;Carrera&amp;"]"),IF("x"=base_de_datos[Martes],IF(base_de_datos[Hora inicio]&lt;=$B15,IF(base_de_datos[Hora fin]&gt;=$C15,base_de_datos[Aula]&amp;" "&amp;base_de_datos[Examen],""),""),""),""),"")</f>
        <v/>
      </c>
      <c r="I15" s="24" t="str" cm="1">
        <f t="array" aca="1" ref="I15" ca="1">_xlfn.TEXTJOIN(CHAR(10),TRUE,IF(Semestre=INDIRECT("base_de_datos["&amp;Carrera&amp;"]"),IF("x"=base_de_datos[Martes],IF(base_de_datos[Hora inicio]&lt;=$B15,IF(base_de_datos[Hora fin]&gt;=$C15,base_de_datos[No clase],""),""),""),""),"")</f>
        <v/>
      </c>
      <c r="J15" s="24" t="str" cm="1">
        <f t="array" aca="1" ref="J15" ca="1">_xlfn.TEXTJOIN(CHAR(10),TRUE,IF(Semestre=INDIRECT("base_de_datos["&amp;Carrera&amp;"]"),IF("x"=base_de_datos[Miércoles],IF(base_de_datos[Hora inicio]&lt;=$B15,IF(base_de_datos[Hora fin]&gt;=$C15,base_de_datos[Materia]&amp;" "&amp;base_de_datos[[Número de grupo ]]&amp;" "&amp;base_de_datos[Profesor],""),""),""),""),"")</f>
        <v/>
      </c>
      <c r="K15" s="24" t="str" cm="1">
        <f t="array" aca="1" ref="K15" ca="1">_xlfn.TEXTJOIN(CHAR(10),TRUE,IF(Semestre=INDIRECT("base_de_datos["&amp;Carrera&amp;"]"),IF("x"=base_de_datos[Miércoles],IF(base_de_datos[Hora inicio]&lt;=$B15,IF(base_de_datos[Hora fin]&gt;=$C15,base_de_datos[Aula]&amp;" "&amp;base_de_datos[Examen],""),""),""),""),"")</f>
        <v/>
      </c>
      <c r="L15" s="24" t="str" cm="1">
        <f t="array" aca="1" ref="L15" ca="1">_xlfn.TEXTJOIN(CHAR(10),TRUE,IF(Semestre=INDIRECT("base_de_datos["&amp;Carrera&amp;"]"),IF("x"=base_de_datos[Miércoles],IF(base_de_datos[Hora inicio]&lt;=$B15,IF(base_de_datos[Hora fin]&gt;=$C15,base_de_datos[No clase],""),""),""),""),"")</f>
        <v/>
      </c>
      <c r="M15" s="24" t="str" cm="1">
        <f t="array" aca="1" ref="M15" ca="1">_xlfn.TEXTJOIN(CHAR(10),TRUE,IF(Semestre=INDIRECT("base_de_datos["&amp;Carrera&amp;"]"),IF("x"=base_de_datos[Jueves],IF(base_de_datos[Hora inicio]&lt;=$B15,IF(base_de_datos[Hora fin]&gt;=$C15,base_de_datos[Materia]&amp;" "&amp;base_de_datos[[Número de grupo ]]&amp;" "&amp;base_de_datos[Profesor],""),""),""),""),"")</f>
        <v/>
      </c>
      <c r="N15" s="24" t="str" cm="1">
        <f t="array" aca="1" ref="N15" ca="1">_xlfn.TEXTJOIN(CHAR(10),TRUE,IF(Semestre=INDIRECT("base_de_datos["&amp;Carrera&amp;"]"),IF("x"=base_de_datos[Jueves],IF(base_de_datos[Hora inicio]&lt;=$B15,IF(base_de_datos[Hora fin]&gt;=$C15,base_de_datos[Aula]&amp;" "&amp;base_de_datos[Examen],""),""),""),""),"")</f>
        <v/>
      </c>
      <c r="O15" s="24" t="str" cm="1">
        <f t="array" aca="1" ref="O15" ca="1">_xlfn.TEXTJOIN(CHAR(10),TRUE,IF(Semestre=INDIRECT("base_de_datos["&amp;Carrera&amp;"]"),IF("x"=base_de_datos[Jueves],IF(base_de_datos[Hora inicio]&lt;=$B15,IF(base_de_datos[Hora fin]&gt;=$C15,base_de_datos[No clase],""),""),""),""),"")</f>
        <v/>
      </c>
      <c r="P15" s="24" t="str" cm="1">
        <f t="array" aca="1" ref="P15" ca="1">_xlfn.TEXTJOIN(CHAR(10),TRUE,IF(Semestre=INDIRECT("base_de_datos["&amp;Carrera&amp;"]"),IF("x"=base_de_datos[Viernes],IF(base_de_datos[Hora inicio]&lt;=$B15,IF(base_de_datos[Hora fin]&gt;=$C15,base_de_datos[Materia]&amp;" "&amp;base_de_datos[[Número de grupo ]]&amp;" "&amp;base_de_datos[Profesor],""),""),""),""),"")</f>
        <v/>
      </c>
      <c r="Q15" s="24" t="str" cm="1">
        <f t="array" aca="1" ref="Q15" ca="1">_xlfn.TEXTJOIN(CHAR(10),TRUE,IF(Semestre=INDIRECT("base_de_datos["&amp;Carrera&amp;"]"),IF("x"=base_de_datos[Viernes],IF(base_de_datos[Hora inicio]&lt;=$B15,IF(base_de_datos[Hora fin]&gt;=$C15,base_de_datos[Aula]&amp;" "&amp;base_de_datos[Examen],""),""),""),""),"")</f>
        <v/>
      </c>
      <c r="R15" s="24" t="str" cm="1">
        <f t="array" aca="1" ref="R15" ca="1">_xlfn.TEXTJOIN(CHAR(10),TRUE,IF(Semestre=INDIRECT("base_de_datos["&amp;Carrera&amp;"]"),IF("x"=base_de_datos[Viernes],IF(base_de_datos[Hora inicio]&lt;=$B15,IF(base_de_datos[Hora fin]&gt;=$C15,base_de_datos[No clase],""),""),""),""),"")</f>
        <v/>
      </c>
      <c r="S15" s="24" t="str" cm="1">
        <f t="array" aca="1" ref="S15" ca="1">_xlfn.TEXTJOIN(CHAR(10),TRUE,IF(Semestre=INDIRECT("base_de_datos["&amp;Carrera&amp;"]"),IF("x"=base_de_datos[Sábado],IF(base_de_datos[Hora inicio]&lt;=$B15,IF(base_de_datos[Hora fin]&gt;=$C15,base_de_datos[Materia]&amp;" "&amp;base_de_datos[[Número de grupo ]]&amp;" "&amp;base_de_datos[Profesor],""),""),""),""),"")</f>
        <v/>
      </c>
      <c r="T15" s="24" t="str" cm="1">
        <f t="array" aca="1" ref="T15" ca="1">_xlfn.TEXTJOIN(CHAR(10),TRUE,IF(Semestre=INDIRECT("base_de_datos["&amp;Carrera&amp;"]"),IF("x"=base_de_datos[Sábado],IF(base_de_datos[Hora inicio]&lt;=$B15,IF(base_de_datos[Hora fin]&gt;=$C15,base_de_datos[Aula]&amp;" "&amp;#REF!,""),""),""),""),"")</f>
        <v/>
      </c>
      <c r="U15" s="24" t="str" cm="1">
        <f t="array" aca="1" ref="U15" ca="1">_xlfn.TEXTJOIN(CHAR(10),TRUE,IF(Semestre=INDIRECT("base_de_datos["&amp;Carrera&amp;"]"),IF("x"=base_de_datos[Sábado],IF(base_de_datos[Hora inicio]&lt;=$B15,IF(base_de_datos[Hora fin]&gt;=$C15,base_de_datos[No clase],""),""),""),""),"")</f>
        <v/>
      </c>
      <c r="V15" s="23"/>
      <c r="W15" s="117"/>
      <c r="X15" s="115"/>
      <c r="Y15" s="98"/>
      <c r="Z15" s="26"/>
      <c r="AA15" s="26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 t="s">
        <v>17</v>
      </c>
      <c r="AS15" s="45"/>
      <c r="AT15" s="45"/>
      <c r="AU15" s="45"/>
      <c r="AV15" s="45"/>
      <c r="AW15" s="1" t="str">
        <f t="shared" si="0"/>
        <v/>
      </c>
    </row>
    <row r="16" spans="1:49" ht="15">
      <c r="B16" s="70">
        <v>0.52083333333333304</v>
      </c>
      <c r="C16" s="70">
        <v>0.54166666666666297</v>
      </c>
      <c r="D16" s="24" t="str" cm="1">
        <f t="array" aca="1" ref="D16" ca="1">_xlfn.TEXTJOIN(CHAR(10),TRUE,IF(Semestre=INDIRECT("base_de_datos["&amp;Carrera&amp;"]"),IF("x"=base_de_datos[Lunes],IF(base_de_datos[Hora inicio]&lt;=$B16,IF(base_de_datos[Hora fin]&gt;=$C16,base_de_datos[Materia]&amp;" "&amp;base_de_datos[[Número de grupo ]]&amp;" "&amp;base_de_datos[Profesor],""),""),""),""),"")</f>
        <v/>
      </c>
      <c r="E16" s="24" t="str" cm="1">
        <f t="array" aca="1" ref="E16" ca="1">_xlfn.TEXTJOIN(CHAR(10),TRUE,IF(Semestre=INDIRECT("base_de_datos["&amp;Carrera&amp;"]"),IF("x"=base_de_datos[Lunes],IF(base_de_datos[Hora inicio]&lt;=$B16,IF(base_de_datos[Hora fin]&gt;=$C16,base_de_datos[Aula]&amp;" "&amp;base_de_datos[Examen],""),""),""),""),"")</f>
        <v/>
      </c>
      <c r="F16" s="24" t="str" cm="1">
        <f t="array" aca="1" ref="F16" ca="1">_xlfn.TEXTJOIN(CHAR(10),TRUE,IF(Semestre=INDIRECT("base_de_datos["&amp;Carrera&amp;"]"),IF("x"=base_de_datos[Lunes],IF(base_de_datos[Hora inicio]&lt;=$B16,IF(base_de_datos[Hora fin]&gt;=$C16,base_de_datos[No clase],""),""),""),""),"")</f>
        <v/>
      </c>
      <c r="G16" s="24" t="str" cm="1">
        <f t="array" aca="1" ref="G16" ca="1">_xlfn.TEXTJOIN(CHAR(10),TRUE,IF(Semestre=INDIRECT("base_de_datos["&amp;Carrera&amp;"]"),IF("x"=base_de_datos[Martes],IF(base_de_datos[Hora inicio]&lt;=$B16,IF(base_de_datos[Hora fin]&gt;=$C16,base_de_datos[Materia]&amp;" "&amp;base_de_datos[[Número de grupo ]]&amp;" "&amp;base_de_datos[Profesor],""),""),""),""),"")</f>
        <v/>
      </c>
      <c r="H16" s="24" t="str" cm="1">
        <f t="array" aca="1" ref="H16" ca="1">_xlfn.TEXTJOIN(CHAR(10),TRUE,IF(Semestre=INDIRECT("base_de_datos["&amp;Carrera&amp;"]"),IF("x"=base_de_datos[Martes],IF(base_de_datos[Hora inicio]&lt;=$B16,IF(base_de_datos[Hora fin]&gt;=$C16,base_de_datos[Aula]&amp;" "&amp;base_de_datos[Examen],""),""),""),""),"")</f>
        <v/>
      </c>
      <c r="I16" s="24" t="str" cm="1">
        <f t="array" aca="1" ref="I16" ca="1">_xlfn.TEXTJOIN(CHAR(10),TRUE,IF(Semestre=INDIRECT("base_de_datos["&amp;Carrera&amp;"]"),IF("x"=base_de_datos[Martes],IF(base_de_datos[Hora inicio]&lt;=$B16,IF(base_de_datos[Hora fin]&gt;=$C16,base_de_datos[No clase],""),""),""),""),"")</f>
        <v/>
      </c>
      <c r="J16" s="24" t="str" cm="1">
        <f t="array" aca="1" ref="J16" ca="1">_xlfn.TEXTJOIN(CHAR(10),TRUE,IF(Semestre=INDIRECT("base_de_datos["&amp;Carrera&amp;"]"),IF("x"=base_de_datos[Miércoles],IF(base_de_datos[Hora inicio]&lt;=$B16,IF(base_de_datos[Hora fin]&gt;=$C16,base_de_datos[Materia]&amp;" "&amp;base_de_datos[[Número de grupo ]]&amp;" "&amp;base_de_datos[Profesor],""),""),""),""),"")</f>
        <v/>
      </c>
      <c r="K16" s="24" t="str" cm="1">
        <f t="array" aca="1" ref="K16" ca="1">_xlfn.TEXTJOIN(CHAR(10),TRUE,IF(Semestre=INDIRECT("base_de_datos["&amp;Carrera&amp;"]"),IF("x"=base_de_datos[Miércoles],IF(base_de_datos[Hora inicio]&lt;=$B16,IF(base_de_datos[Hora fin]&gt;=$C16,base_de_datos[Aula]&amp;" "&amp;base_de_datos[Examen],""),""),""),""),"")</f>
        <v/>
      </c>
      <c r="L16" s="24" t="str" cm="1">
        <f t="array" aca="1" ref="L16" ca="1">_xlfn.TEXTJOIN(CHAR(10),TRUE,IF(Semestre=INDIRECT("base_de_datos["&amp;Carrera&amp;"]"),IF("x"=base_de_datos[Miércoles],IF(base_de_datos[Hora inicio]&lt;=$B16,IF(base_de_datos[Hora fin]&gt;=$C16,base_de_datos[No clase],""),""),""),""),"")</f>
        <v/>
      </c>
      <c r="M16" s="24" t="str" cm="1">
        <f t="array" aca="1" ref="M16" ca="1">_xlfn.TEXTJOIN(CHAR(10),TRUE,IF(Semestre=INDIRECT("base_de_datos["&amp;Carrera&amp;"]"),IF("x"=base_de_datos[Jueves],IF(base_de_datos[Hora inicio]&lt;=$B16,IF(base_de_datos[Hora fin]&gt;=$C16,base_de_datos[Materia]&amp;" "&amp;base_de_datos[[Número de grupo ]]&amp;" "&amp;base_de_datos[Profesor],""),""),""),""),"")</f>
        <v/>
      </c>
      <c r="N16" s="24" t="str" cm="1">
        <f t="array" aca="1" ref="N16" ca="1">_xlfn.TEXTJOIN(CHAR(10),TRUE,IF(Semestre=INDIRECT("base_de_datos["&amp;Carrera&amp;"]"),IF("x"=base_de_datos[Jueves],IF(base_de_datos[Hora inicio]&lt;=$B16,IF(base_de_datos[Hora fin]&gt;=$C16,base_de_datos[Aula]&amp;" "&amp;base_de_datos[Examen],""),""),""),""),"")</f>
        <v/>
      </c>
      <c r="O16" s="24" t="str" cm="1">
        <f t="array" aca="1" ref="O16" ca="1">_xlfn.TEXTJOIN(CHAR(10),TRUE,IF(Semestre=INDIRECT("base_de_datos["&amp;Carrera&amp;"]"),IF("x"=base_de_datos[Jueves],IF(base_de_datos[Hora inicio]&lt;=$B16,IF(base_de_datos[Hora fin]&gt;=$C16,base_de_datos[No clase],""),""),""),""),"")</f>
        <v/>
      </c>
      <c r="P16" s="24" t="str" cm="1">
        <f t="array" aca="1" ref="P16" ca="1">_xlfn.TEXTJOIN(CHAR(10),TRUE,IF(Semestre=INDIRECT("base_de_datos["&amp;Carrera&amp;"]"),IF("x"=base_de_datos[Viernes],IF(base_de_datos[Hora inicio]&lt;=$B16,IF(base_de_datos[Hora fin]&gt;=$C16,base_de_datos[Materia]&amp;" "&amp;base_de_datos[[Número de grupo ]]&amp;" "&amp;base_de_datos[Profesor],""),""),""),""),"")</f>
        <v/>
      </c>
      <c r="Q16" s="24" t="str" cm="1">
        <f t="array" aca="1" ref="Q16" ca="1">_xlfn.TEXTJOIN(CHAR(10),TRUE,IF(Semestre=INDIRECT("base_de_datos["&amp;Carrera&amp;"]"),IF("x"=base_de_datos[Viernes],IF(base_de_datos[Hora inicio]&lt;=$B16,IF(base_de_datos[Hora fin]&gt;=$C16,base_de_datos[Aula]&amp;" "&amp;base_de_datos[Examen],""),""),""),""),"")</f>
        <v/>
      </c>
      <c r="R16" s="24" t="str" cm="1">
        <f t="array" aca="1" ref="R16" ca="1">_xlfn.TEXTJOIN(CHAR(10),TRUE,IF(Semestre=INDIRECT("base_de_datos["&amp;Carrera&amp;"]"),IF("x"=base_de_datos[Viernes],IF(base_de_datos[Hora inicio]&lt;=$B16,IF(base_de_datos[Hora fin]&gt;=$C16,base_de_datos[No clase],""),""),""),""),"")</f>
        <v/>
      </c>
      <c r="S16" s="24" t="str" cm="1">
        <f t="array" aca="1" ref="S16" ca="1">_xlfn.TEXTJOIN(CHAR(10),TRUE,IF(Semestre=INDIRECT("base_de_datos["&amp;Carrera&amp;"]"),IF("x"=base_de_datos[Sábado],IF(base_de_datos[Hora inicio]&lt;=$B16,IF(base_de_datos[Hora fin]&gt;=$C16,base_de_datos[Materia]&amp;" "&amp;base_de_datos[[Número de grupo ]]&amp;" "&amp;base_de_datos[Profesor],""),""),""),""),"")</f>
        <v/>
      </c>
      <c r="T16" s="24" t="str" cm="1">
        <f t="array" aca="1" ref="T16" ca="1">_xlfn.TEXTJOIN(CHAR(10),TRUE,IF(Semestre=INDIRECT("base_de_datos["&amp;Carrera&amp;"]"),IF("x"=base_de_datos[Sábado],IF(base_de_datos[Hora inicio]&lt;=$B16,IF(base_de_datos[Hora fin]&gt;=$C16,base_de_datos[Aula]&amp;" "&amp;#REF!,""),""),""),""),"")</f>
        <v/>
      </c>
      <c r="U16" s="24" t="str" cm="1">
        <f t="array" aca="1" ref="U16" ca="1">_xlfn.TEXTJOIN(CHAR(10),TRUE,IF(Semestre=INDIRECT("base_de_datos["&amp;Carrera&amp;"]"),IF("x"=base_de_datos[Sábado],IF(base_de_datos[Hora inicio]&lt;=$B16,IF(base_de_datos[Hora fin]&gt;=$C16,base_de_datos[No clase],""),""),""),""),"")</f>
        <v/>
      </c>
      <c r="V16" s="23"/>
      <c r="W16" s="117"/>
      <c r="X16" s="115"/>
      <c r="Y16" s="98"/>
      <c r="Z16" s="26"/>
      <c r="AA16" s="26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1" t="str">
        <f t="shared" si="0"/>
        <v/>
      </c>
    </row>
    <row r="17" spans="2:49" ht="15">
      <c r="B17" s="70">
        <v>0.54166666666666696</v>
      </c>
      <c r="C17" s="70">
        <v>0.562499999999996</v>
      </c>
      <c r="D17" s="24" t="str" cm="1">
        <f t="array" aca="1" ref="D17" ca="1">_xlfn.TEXTJOIN(CHAR(10),TRUE,IF(Semestre=INDIRECT("base_de_datos["&amp;Carrera&amp;"]"),IF("x"=base_de_datos[Lunes],IF(base_de_datos[Hora inicio]&lt;=$B17,IF(base_de_datos[Hora fin]&gt;=$C17,base_de_datos[Materia]&amp;" "&amp;base_de_datos[[Número de grupo ]]&amp;" "&amp;base_de_datos[Profesor],""),""),""),""),"")</f>
        <v/>
      </c>
      <c r="E17" s="24" t="str" cm="1">
        <f t="array" aca="1" ref="E17" ca="1">_xlfn.TEXTJOIN(CHAR(10),TRUE,IF(Semestre=INDIRECT("base_de_datos["&amp;Carrera&amp;"]"),IF("x"=base_de_datos[Lunes],IF(base_de_datos[Hora inicio]&lt;=$B17,IF(base_de_datos[Hora fin]&gt;=$C17,base_de_datos[Aula]&amp;" "&amp;base_de_datos[Examen],""),""),""),""),"")</f>
        <v/>
      </c>
      <c r="F17" s="24" t="str" cm="1">
        <f t="array" aca="1" ref="F17" ca="1">_xlfn.TEXTJOIN(CHAR(10),TRUE,IF(Semestre=INDIRECT("base_de_datos["&amp;Carrera&amp;"]"),IF("x"=base_de_datos[Lunes],IF(base_de_datos[Hora inicio]&lt;=$B17,IF(base_de_datos[Hora fin]&gt;=$C17,base_de_datos[No clase],""),""),""),""),"")</f>
        <v/>
      </c>
      <c r="G17" s="24" t="str" cm="1">
        <f t="array" aca="1" ref="G17" ca="1">_xlfn.TEXTJOIN(CHAR(10),TRUE,IF(Semestre=INDIRECT("base_de_datos["&amp;Carrera&amp;"]"),IF("x"=base_de_datos[Martes],IF(base_de_datos[Hora inicio]&lt;=$B17,IF(base_de_datos[Hora fin]&gt;=$C17,base_de_datos[Materia]&amp;" "&amp;base_de_datos[[Número de grupo ]]&amp;" "&amp;base_de_datos[Profesor],""),""),""),""),"")</f>
        <v/>
      </c>
      <c r="H17" s="24" t="str" cm="1">
        <f t="array" aca="1" ref="H17" ca="1">_xlfn.TEXTJOIN(CHAR(10),TRUE,IF(Semestre=INDIRECT("base_de_datos["&amp;Carrera&amp;"]"),IF("x"=base_de_datos[Martes],IF(base_de_datos[Hora inicio]&lt;=$B17,IF(base_de_datos[Hora fin]&gt;=$C17,base_de_datos[Aula]&amp;" "&amp;base_de_datos[Examen],""),""),""),""),"")</f>
        <v/>
      </c>
      <c r="I17" s="24" t="str" cm="1">
        <f t="array" aca="1" ref="I17" ca="1">_xlfn.TEXTJOIN(CHAR(10),TRUE,IF(Semestre=INDIRECT("base_de_datos["&amp;Carrera&amp;"]"),IF("x"=base_de_datos[Martes],IF(base_de_datos[Hora inicio]&lt;=$B17,IF(base_de_datos[Hora fin]&gt;=$C17,base_de_datos[No clase],""),""),""),""),"")</f>
        <v/>
      </c>
      <c r="J17" s="24" t="str" cm="1">
        <f t="array" aca="1" ref="J17" ca="1">_xlfn.TEXTJOIN(CHAR(10),TRUE,IF(Semestre=INDIRECT("base_de_datos["&amp;Carrera&amp;"]"),IF("x"=base_de_datos[Miércoles],IF(base_de_datos[Hora inicio]&lt;=$B17,IF(base_de_datos[Hora fin]&gt;=$C17,base_de_datos[Materia]&amp;" "&amp;base_de_datos[[Número de grupo ]]&amp;" "&amp;base_de_datos[Profesor],""),""),""),""),"")</f>
        <v/>
      </c>
      <c r="K17" s="24" t="str" cm="1">
        <f t="array" aca="1" ref="K17" ca="1">_xlfn.TEXTJOIN(CHAR(10),TRUE,IF(Semestre=INDIRECT("base_de_datos["&amp;Carrera&amp;"]"),IF("x"=base_de_datos[Miércoles],IF(base_de_datos[Hora inicio]&lt;=$B17,IF(base_de_datos[Hora fin]&gt;=$C17,base_de_datos[Aula]&amp;" "&amp;base_de_datos[Examen],""),""),""),""),"")</f>
        <v/>
      </c>
      <c r="L17" s="24" t="str" cm="1">
        <f t="array" aca="1" ref="L17" ca="1">_xlfn.TEXTJOIN(CHAR(10),TRUE,IF(Semestre=INDIRECT("base_de_datos["&amp;Carrera&amp;"]"),IF("x"=base_de_datos[Miércoles],IF(base_de_datos[Hora inicio]&lt;=$B17,IF(base_de_datos[Hora fin]&gt;=$C17,base_de_datos[No clase],""),""),""),""),"")</f>
        <v/>
      </c>
      <c r="M17" s="24" t="str" cm="1">
        <f t="array" aca="1" ref="M17" ca="1">_xlfn.TEXTJOIN(CHAR(10),TRUE,IF(Semestre=INDIRECT("base_de_datos["&amp;Carrera&amp;"]"),IF("x"=base_de_datos[Jueves],IF(base_de_datos[Hora inicio]&lt;=$B17,IF(base_de_datos[Hora fin]&gt;=$C17,base_de_datos[Materia]&amp;" "&amp;base_de_datos[[Número de grupo ]]&amp;" "&amp;base_de_datos[Profesor],""),""),""),""),"")</f>
        <v/>
      </c>
      <c r="N17" s="24" t="str" cm="1">
        <f t="array" aca="1" ref="N17" ca="1">_xlfn.TEXTJOIN(CHAR(10),TRUE,IF(Semestre=INDIRECT("base_de_datos["&amp;Carrera&amp;"]"),IF("x"=base_de_datos[Jueves],IF(base_de_datos[Hora inicio]&lt;=$B17,IF(base_de_datos[Hora fin]&gt;=$C17,base_de_datos[Aula]&amp;" "&amp;base_de_datos[Examen],""),""),""),""),"")</f>
        <v/>
      </c>
      <c r="O17" s="24" t="str" cm="1">
        <f t="array" aca="1" ref="O17" ca="1">_xlfn.TEXTJOIN(CHAR(10),TRUE,IF(Semestre=INDIRECT("base_de_datos["&amp;Carrera&amp;"]"),IF("x"=base_de_datos[Jueves],IF(base_de_datos[Hora inicio]&lt;=$B17,IF(base_de_datos[Hora fin]&gt;=$C17,base_de_datos[No clase],""),""),""),""),"")</f>
        <v/>
      </c>
      <c r="P17" s="24" t="str" cm="1">
        <f t="array" aca="1" ref="P17" ca="1">_xlfn.TEXTJOIN(CHAR(10),TRUE,IF(Semestre=INDIRECT("base_de_datos["&amp;Carrera&amp;"]"),IF("x"=base_de_datos[Viernes],IF(base_de_datos[Hora inicio]&lt;=$B17,IF(base_de_datos[Hora fin]&gt;=$C17,base_de_datos[Materia]&amp;" "&amp;base_de_datos[[Número de grupo ]]&amp;" "&amp;base_de_datos[Profesor],""),""),""),""),"")</f>
        <v/>
      </c>
      <c r="Q17" s="24" t="str" cm="1">
        <f t="array" aca="1" ref="Q17" ca="1">_xlfn.TEXTJOIN(CHAR(10),TRUE,IF(Semestre=INDIRECT("base_de_datos["&amp;Carrera&amp;"]"),IF("x"=base_de_datos[Viernes],IF(base_de_datos[Hora inicio]&lt;=$B17,IF(base_de_datos[Hora fin]&gt;=$C17,base_de_datos[Aula]&amp;" "&amp;base_de_datos[Examen],""),""),""),""),"")</f>
        <v/>
      </c>
      <c r="R17" s="24" t="str" cm="1">
        <f t="array" aca="1" ref="R17" ca="1">_xlfn.TEXTJOIN(CHAR(10),TRUE,IF(Semestre=INDIRECT("base_de_datos["&amp;Carrera&amp;"]"),IF("x"=base_de_datos[Viernes],IF(base_de_datos[Hora inicio]&lt;=$B17,IF(base_de_datos[Hora fin]&gt;=$C17,base_de_datos[No clase],""),""),""),""),"")</f>
        <v/>
      </c>
      <c r="S17" s="24" t="str" cm="1">
        <f t="array" aca="1" ref="S17" ca="1">_xlfn.TEXTJOIN(CHAR(10),TRUE,IF(Semestre=INDIRECT("base_de_datos["&amp;Carrera&amp;"]"),IF("x"=base_de_datos[Sábado],IF(base_de_datos[Hora inicio]&lt;=$B17,IF(base_de_datos[Hora fin]&gt;=$C17,base_de_datos[Materia]&amp;" "&amp;base_de_datos[[Número de grupo ]]&amp;" "&amp;base_de_datos[Profesor],""),""),""),""),"")</f>
        <v/>
      </c>
      <c r="T17" s="24" t="str" cm="1">
        <f t="array" aca="1" ref="T17" ca="1">_xlfn.TEXTJOIN(CHAR(10),TRUE,IF(Semestre=INDIRECT("base_de_datos["&amp;Carrera&amp;"]"),IF("x"=base_de_datos[Sábado],IF(base_de_datos[Hora inicio]&lt;=$B17,IF(base_de_datos[Hora fin]&gt;=$C17,base_de_datos[Aula]&amp;" "&amp;#REF!,""),""),""),""),"")</f>
        <v/>
      </c>
      <c r="U17" s="24" t="str" cm="1">
        <f t="array" aca="1" ref="U17" ca="1">_xlfn.TEXTJOIN(CHAR(10),TRUE,IF(Semestre=INDIRECT("base_de_datos["&amp;Carrera&amp;"]"),IF("x"=base_de_datos[Sábado],IF(base_de_datos[Hora inicio]&lt;=$B17,IF(base_de_datos[Hora fin]&gt;=$C17,base_de_datos[No clase],""),""),""),""),"")</f>
        <v/>
      </c>
      <c r="V17" s="23"/>
      <c r="W17" s="117"/>
      <c r="X17" s="115"/>
      <c r="Z17" s="23"/>
      <c r="AA17" s="23"/>
      <c r="AW17" s="1" t="str">
        <f t="shared" si="0"/>
        <v/>
      </c>
    </row>
    <row r="18" spans="2:49" ht="15">
      <c r="B18" s="70">
        <v>0.5625</v>
      </c>
      <c r="C18" s="70">
        <v>0.58333333333332904</v>
      </c>
      <c r="D18" s="24" t="str" cm="1">
        <f t="array" aca="1" ref="D18" ca="1">_xlfn.TEXTJOIN(CHAR(10),TRUE,IF(Semestre=INDIRECT("base_de_datos["&amp;Carrera&amp;"]"),IF("x"=base_de_datos[Lunes],IF(base_de_datos[Hora inicio]&lt;=$B18,IF(base_de_datos[Hora fin]&gt;=$C18,base_de_datos[Materia]&amp;" "&amp;base_de_datos[[Número de grupo ]]&amp;" "&amp;base_de_datos[Profesor],""),""),""),""),"")</f>
        <v/>
      </c>
      <c r="E18" s="24" t="str" cm="1">
        <f t="array" aca="1" ref="E18" ca="1">_xlfn.TEXTJOIN(CHAR(10),TRUE,IF(Semestre=INDIRECT("base_de_datos["&amp;Carrera&amp;"]"),IF("x"=base_de_datos[Lunes],IF(base_de_datos[Hora inicio]&lt;=$B18,IF(base_de_datos[Hora fin]&gt;=$C18,base_de_datos[Aula]&amp;" "&amp;base_de_datos[Examen],""),""),""),""),"")</f>
        <v/>
      </c>
      <c r="F18" s="24" t="str" cm="1">
        <f t="array" aca="1" ref="F18" ca="1">_xlfn.TEXTJOIN(CHAR(10),TRUE,IF(Semestre=INDIRECT("base_de_datos["&amp;Carrera&amp;"]"),IF("x"=base_de_datos[Lunes],IF(base_de_datos[Hora inicio]&lt;=$B18,IF(base_de_datos[Hora fin]&gt;=$C18,base_de_datos[No clase],""),""),""),""),"")</f>
        <v/>
      </c>
      <c r="G18" s="24" t="str" cm="1">
        <f t="array" aca="1" ref="G18" ca="1">_xlfn.TEXTJOIN(CHAR(10),TRUE,IF(Semestre=INDIRECT("base_de_datos["&amp;Carrera&amp;"]"),IF("x"=base_de_datos[Martes],IF(base_de_datos[Hora inicio]&lt;=$B18,IF(base_de_datos[Hora fin]&gt;=$C18,base_de_datos[Materia]&amp;" "&amp;base_de_datos[[Número de grupo ]]&amp;" "&amp;base_de_datos[Profesor],""),""),""),""),"")</f>
        <v/>
      </c>
      <c r="H18" s="24" t="str" cm="1">
        <f t="array" aca="1" ref="H18" ca="1">_xlfn.TEXTJOIN(CHAR(10),TRUE,IF(Semestre=INDIRECT("base_de_datos["&amp;Carrera&amp;"]"),IF("x"=base_de_datos[Martes],IF(base_de_datos[Hora inicio]&lt;=$B18,IF(base_de_datos[Hora fin]&gt;=$C18,base_de_datos[Aula]&amp;" "&amp;base_de_datos[Examen],""),""),""),""),"")</f>
        <v/>
      </c>
      <c r="I18" s="24" t="str" cm="1">
        <f t="array" aca="1" ref="I18" ca="1">_xlfn.TEXTJOIN(CHAR(10),TRUE,IF(Semestre=INDIRECT("base_de_datos["&amp;Carrera&amp;"]"),IF("x"=base_de_datos[Martes],IF(base_de_datos[Hora inicio]&lt;=$B18,IF(base_de_datos[Hora fin]&gt;=$C18,base_de_datos[No clase],""),""),""),""),"")</f>
        <v/>
      </c>
      <c r="J18" s="24" t="str" cm="1">
        <f t="array" aca="1" ref="J18" ca="1">_xlfn.TEXTJOIN(CHAR(10),TRUE,IF(Semestre=INDIRECT("base_de_datos["&amp;Carrera&amp;"]"),IF("x"=base_de_datos[Miércoles],IF(base_de_datos[Hora inicio]&lt;=$B18,IF(base_de_datos[Hora fin]&gt;=$C18,base_de_datos[Materia]&amp;" "&amp;base_de_datos[[Número de grupo ]]&amp;" "&amp;base_de_datos[Profesor],""),""),""),""),"")</f>
        <v/>
      </c>
      <c r="K18" s="24" t="str" cm="1">
        <f t="array" aca="1" ref="K18" ca="1">_xlfn.TEXTJOIN(CHAR(10),TRUE,IF(Semestre=INDIRECT("base_de_datos["&amp;Carrera&amp;"]"),IF("x"=base_de_datos[Miércoles],IF(base_de_datos[Hora inicio]&lt;=$B18,IF(base_de_datos[Hora fin]&gt;=$C18,base_de_datos[Aula]&amp;" "&amp;base_de_datos[Examen],""),""),""),""),"")</f>
        <v/>
      </c>
      <c r="L18" s="24" t="str" cm="1">
        <f t="array" aca="1" ref="L18" ca="1">_xlfn.TEXTJOIN(CHAR(10),TRUE,IF(Semestre=INDIRECT("base_de_datos["&amp;Carrera&amp;"]"),IF("x"=base_de_datos[Miércoles],IF(base_de_datos[Hora inicio]&lt;=$B18,IF(base_de_datos[Hora fin]&gt;=$C18,base_de_datos[No clase],""),""),""),""),"")</f>
        <v/>
      </c>
      <c r="M18" s="24" t="str" cm="1">
        <f t="array" aca="1" ref="M18" ca="1">_xlfn.TEXTJOIN(CHAR(10),TRUE,IF(Semestre=INDIRECT("base_de_datos["&amp;Carrera&amp;"]"),IF("x"=base_de_datos[Jueves],IF(base_de_datos[Hora inicio]&lt;=$B18,IF(base_de_datos[Hora fin]&gt;=$C18,base_de_datos[Materia]&amp;" "&amp;base_de_datos[[Número de grupo ]]&amp;" "&amp;base_de_datos[Profesor],""),""),""),""),"")</f>
        <v/>
      </c>
      <c r="N18" s="24" t="str" cm="1">
        <f t="array" aca="1" ref="N18" ca="1">_xlfn.TEXTJOIN(CHAR(10),TRUE,IF(Semestre=INDIRECT("base_de_datos["&amp;Carrera&amp;"]"),IF("x"=base_de_datos[Jueves],IF(base_de_datos[Hora inicio]&lt;=$B18,IF(base_de_datos[Hora fin]&gt;=$C18,base_de_datos[Aula]&amp;" "&amp;base_de_datos[Examen],""),""),""),""),"")</f>
        <v/>
      </c>
      <c r="O18" s="24" t="str" cm="1">
        <f t="array" aca="1" ref="O18" ca="1">_xlfn.TEXTJOIN(CHAR(10),TRUE,IF(Semestre=INDIRECT("base_de_datos["&amp;Carrera&amp;"]"),IF("x"=base_de_datos[Jueves],IF(base_de_datos[Hora inicio]&lt;=$B18,IF(base_de_datos[Hora fin]&gt;=$C18,base_de_datos[No clase],""),""),""),""),"")</f>
        <v/>
      </c>
      <c r="P18" s="24" t="str" cm="1">
        <f t="array" aca="1" ref="P18" ca="1">_xlfn.TEXTJOIN(CHAR(10),TRUE,IF(Semestre=INDIRECT("base_de_datos["&amp;Carrera&amp;"]"),IF("x"=base_de_datos[Viernes],IF(base_de_datos[Hora inicio]&lt;=$B18,IF(base_de_datos[Hora fin]&gt;=$C18,base_de_datos[Materia]&amp;" "&amp;base_de_datos[[Número de grupo ]]&amp;" "&amp;base_de_datos[Profesor],""),""),""),""),"")</f>
        <v/>
      </c>
      <c r="Q18" s="24" t="str" cm="1">
        <f t="array" aca="1" ref="Q18" ca="1">_xlfn.TEXTJOIN(CHAR(10),TRUE,IF(Semestre=INDIRECT("base_de_datos["&amp;Carrera&amp;"]"),IF("x"=base_de_datos[Viernes],IF(base_de_datos[Hora inicio]&lt;=$B18,IF(base_de_datos[Hora fin]&gt;=$C18,base_de_datos[Aula]&amp;" "&amp;base_de_datos[Examen],""),""),""),""),"")</f>
        <v/>
      </c>
      <c r="R18" s="24" t="str" cm="1">
        <f t="array" aca="1" ref="R18" ca="1">_xlfn.TEXTJOIN(CHAR(10),TRUE,IF(Semestre=INDIRECT("base_de_datos["&amp;Carrera&amp;"]"),IF("x"=base_de_datos[Viernes],IF(base_de_datos[Hora inicio]&lt;=$B18,IF(base_de_datos[Hora fin]&gt;=$C18,base_de_datos[No clase],""),""),""),""),"")</f>
        <v/>
      </c>
      <c r="S18" s="24" t="str" cm="1">
        <f t="array" aca="1" ref="S18" ca="1">_xlfn.TEXTJOIN(CHAR(10),TRUE,IF(Semestre=INDIRECT("base_de_datos["&amp;Carrera&amp;"]"),IF("x"=base_de_datos[Sábado],IF(base_de_datos[Hora inicio]&lt;=$B18,IF(base_de_datos[Hora fin]&gt;=$C18,base_de_datos[Materia]&amp;" "&amp;base_de_datos[[Número de grupo ]]&amp;" "&amp;base_de_datos[Profesor],""),""),""),""),"")</f>
        <v/>
      </c>
      <c r="T18" s="24" t="str" cm="1">
        <f t="array" aca="1" ref="T18" ca="1">_xlfn.TEXTJOIN(CHAR(10),TRUE,IF(Semestre=INDIRECT("base_de_datos["&amp;Carrera&amp;"]"),IF("x"=base_de_datos[Sábado],IF(base_de_datos[Hora inicio]&lt;=$B18,IF(base_de_datos[Hora fin]&gt;=$C18,base_de_datos[Aula]&amp;" "&amp;#REF!,""),""),""),""),"")</f>
        <v/>
      </c>
      <c r="U18" s="24" t="str" cm="1">
        <f t="array" aca="1" ref="U18" ca="1">_xlfn.TEXTJOIN(CHAR(10),TRUE,IF(Semestre=INDIRECT("base_de_datos["&amp;Carrera&amp;"]"),IF("x"=base_de_datos[Sábado],IF(base_de_datos[Hora inicio]&lt;=$B18,IF(base_de_datos[Hora fin]&gt;=$C18,base_de_datos[No clase],""),""),""),""),"")</f>
        <v/>
      </c>
      <c r="V18" s="23"/>
      <c r="W18" s="117"/>
      <c r="X18" s="115"/>
      <c r="Z18" s="23"/>
      <c r="AA18" s="23"/>
      <c r="AW18" s="1" t="str">
        <f t="shared" si="0"/>
        <v/>
      </c>
    </row>
    <row r="19" spans="2:49" ht="15">
      <c r="B19" s="70">
        <v>0.58333333333333304</v>
      </c>
      <c r="C19" s="70">
        <v>0.60416666666666197</v>
      </c>
      <c r="D19" s="24" t="str" cm="1">
        <f t="array" aca="1" ref="D19" ca="1">_xlfn.TEXTJOIN(CHAR(10),TRUE,IF(Semestre=INDIRECT("base_de_datos["&amp;Carrera&amp;"]"),IF("x"=base_de_datos[Lunes],IF(base_de_datos[Hora inicio]&lt;=$B19,IF(base_de_datos[Hora fin]&gt;=$C19,base_de_datos[Materia]&amp;" "&amp;base_de_datos[[Número de grupo ]]&amp;" "&amp;base_de_datos[Profesor],""),""),""),""),"")</f>
        <v/>
      </c>
      <c r="E19" s="24" t="str" cm="1">
        <f t="array" aca="1" ref="E19" ca="1">_xlfn.TEXTJOIN(CHAR(10),TRUE,IF(Semestre=INDIRECT("base_de_datos["&amp;Carrera&amp;"]"),IF("x"=base_de_datos[Lunes],IF(base_de_datos[Hora inicio]&lt;=$B19,IF(base_de_datos[Hora fin]&gt;=$C19,base_de_datos[Aula]&amp;" "&amp;base_de_datos[Examen],""),""),""),""),"")</f>
        <v/>
      </c>
      <c r="F19" s="24" t="str" cm="1">
        <f t="array" aca="1" ref="F19" ca="1">_xlfn.TEXTJOIN(CHAR(10),TRUE,IF(Semestre=INDIRECT("base_de_datos["&amp;Carrera&amp;"]"),IF("x"=base_de_datos[Lunes],IF(base_de_datos[Hora inicio]&lt;=$B19,IF(base_de_datos[Hora fin]&gt;=$C19,base_de_datos[No clase],""),""),""),""),"")</f>
        <v/>
      </c>
      <c r="G19" s="24" t="str" cm="1">
        <f t="array" aca="1" ref="G19" ca="1">_xlfn.TEXTJOIN(CHAR(10),TRUE,IF(Semestre=INDIRECT("base_de_datos["&amp;Carrera&amp;"]"),IF("x"=base_de_datos[Martes],IF(base_de_datos[Hora inicio]&lt;=$B19,IF(base_de_datos[Hora fin]&gt;=$C19,base_de_datos[Materia]&amp;" "&amp;base_de_datos[[Número de grupo ]]&amp;" "&amp;base_de_datos[Profesor],""),""),""),""),"")</f>
        <v/>
      </c>
      <c r="H19" s="24" t="str" cm="1">
        <f t="array" aca="1" ref="H19" ca="1">_xlfn.TEXTJOIN(CHAR(10),TRUE,IF(Semestre=INDIRECT("base_de_datos["&amp;Carrera&amp;"]"),IF("x"=base_de_datos[Martes],IF(base_de_datos[Hora inicio]&lt;=$B19,IF(base_de_datos[Hora fin]&gt;=$C19,base_de_datos[Aula]&amp;" "&amp;base_de_datos[Examen],""),""),""),""),"")</f>
        <v/>
      </c>
      <c r="I19" s="24" t="str" cm="1">
        <f t="array" aca="1" ref="I19" ca="1">_xlfn.TEXTJOIN(CHAR(10),TRUE,IF(Semestre=INDIRECT("base_de_datos["&amp;Carrera&amp;"]"),IF("x"=base_de_datos[Martes],IF(base_de_datos[Hora inicio]&lt;=$B19,IF(base_de_datos[Hora fin]&gt;=$C19,base_de_datos[No clase],""),""),""),""),"")</f>
        <v/>
      </c>
      <c r="J19" s="24" t="str" cm="1">
        <f t="array" aca="1" ref="J19" ca="1">_xlfn.TEXTJOIN(CHAR(10),TRUE,IF(Semestre=INDIRECT("base_de_datos["&amp;Carrera&amp;"]"),IF("x"=base_de_datos[Miércoles],IF(base_de_datos[Hora inicio]&lt;=$B19,IF(base_de_datos[Hora fin]&gt;=$C19,base_de_datos[Materia]&amp;" "&amp;base_de_datos[[Número de grupo ]]&amp;" "&amp;base_de_datos[Profesor],""),""),""),""),"")</f>
        <v/>
      </c>
      <c r="K19" s="24" t="str" cm="1">
        <f t="array" aca="1" ref="K19" ca="1">_xlfn.TEXTJOIN(CHAR(10),TRUE,IF(Semestre=INDIRECT("base_de_datos["&amp;Carrera&amp;"]"),IF("x"=base_de_datos[Miércoles],IF(base_de_datos[Hora inicio]&lt;=$B19,IF(base_de_datos[Hora fin]&gt;=$C19,base_de_datos[Aula]&amp;" "&amp;base_de_datos[Examen],""),""),""),""),"")</f>
        <v/>
      </c>
      <c r="L19" s="24" t="str" cm="1">
        <f t="array" aca="1" ref="L19" ca="1">_xlfn.TEXTJOIN(CHAR(10),TRUE,IF(Semestre=INDIRECT("base_de_datos["&amp;Carrera&amp;"]"),IF("x"=base_de_datos[Miércoles],IF(base_de_datos[Hora inicio]&lt;=$B19,IF(base_de_datos[Hora fin]&gt;=$C19,base_de_datos[No clase],""),""),""),""),"")</f>
        <v/>
      </c>
      <c r="M19" s="24" t="str" cm="1">
        <f t="array" aca="1" ref="M19" ca="1">_xlfn.TEXTJOIN(CHAR(10),TRUE,IF(Semestre=INDIRECT("base_de_datos["&amp;Carrera&amp;"]"),IF("x"=base_de_datos[Jueves],IF(base_de_datos[Hora inicio]&lt;=$B19,IF(base_de_datos[Hora fin]&gt;=$C19,base_de_datos[Materia]&amp;" "&amp;base_de_datos[[Número de grupo ]]&amp;" "&amp;base_de_datos[Profesor],""),""),""),""),"")</f>
        <v/>
      </c>
      <c r="N19" s="24" t="str" cm="1">
        <f t="array" aca="1" ref="N19" ca="1">_xlfn.TEXTJOIN(CHAR(10),TRUE,IF(Semestre=INDIRECT("base_de_datos["&amp;Carrera&amp;"]"),IF("x"=base_de_datos[Jueves],IF(base_de_datos[Hora inicio]&lt;=$B19,IF(base_de_datos[Hora fin]&gt;=$C19,base_de_datos[Aula]&amp;" "&amp;base_de_datos[Examen],""),""),""),""),"")</f>
        <v/>
      </c>
      <c r="O19" s="24" t="str" cm="1">
        <f t="array" aca="1" ref="O19" ca="1">_xlfn.TEXTJOIN(CHAR(10),TRUE,IF(Semestre=INDIRECT("base_de_datos["&amp;Carrera&amp;"]"),IF("x"=base_de_datos[Jueves],IF(base_de_datos[Hora inicio]&lt;=$B19,IF(base_de_datos[Hora fin]&gt;=$C19,base_de_datos[No clase],""),""),""),""),"")</f>
        <v/>
      </c>
      <c r="P19" s="24" t="str" cm="1">
        <f t="array" aca="1" ref="P19" ca="1">_xlfn.TEXTJOIN(CHAR(10),TRUE,IF(Semestre=INDIRECT("base_de_datos["&amp;Carrera&amp;"]"),IF("x"=base_de_datos[Viernes],IF(base_de_datos[Hora inicio]&lt;=$B19,IF(base_de_datos[Hora fin]&gt;=$C19,base_de_datos[Materia]&amp;" "&amp;base_de_datos[[Número de grupo ]]&amp;" "&amp;base_de_datos[Profesor],""),""),""),""),"")</f>
        <v/>
      </c>
      <c r="Q19" s="24" t="str" cm="1">
        <f t="array" aca="1" ref="Q19" ca="1">_xlfn.TEXTJOIN(CHAR(10),TRUE,IF(Semestre=INDIRECT("base_de_datos["&amp;Carrera&amp;"]"),IF("x"=base_de_datos[Viernes],IF(base_de_datos[Hora inicio]&lt;=$B19,IF(base_de_datos[Hora fin]&gt;=$C19,base_de_datos[Aula]&amp;" "&amp;base_de_datos[Examen],""),""),""),""),"")</f>
        <v/>
      </c>
      <c r="R19" s="24" t="str" cm="1">
        <f t="array" aca="1" ref="R19" ca="1">_xlfn.TEXTJOIN(CHAR(10),TRUE,IF(Semestre=INDIRECT("base_de_datos["&amp;Carrera&amp;"]"),IF("x"=base_de_datos[Viernes],IF(base_de_datos[Hora inicio]&lt;=$B19,IF(base_de_datos[Hora fin]&gt;=$C19,base_de_datos[No clase],""),""),""),""),"")</f>
        <v/>
      </c>
      <c r="S19" s="24" t="str" cm="1">
        <f t="array" aca="1" ref="S19" ca="1">_xlfn.TEXTJOIN(CHAR(10),TRUE,IF(Semestre=INDIRECT("base_de_datos["&amp;Carrera&amp;"]"),IF("x"=base_de_datos[Sábado],IF(base_de_datos[Hora inicio]&lt;=$B19,IF(base_de_datos[Hora fin]&gt;=$C19,base_de_datos[Materia]&amp;" "&amp;base_de_datos[[Número de grupo ]]&amp;" "&amp;base_de_datos[Profesor],""),""),""),""),"")</f>
        <v/>
      </c>
      <c r="T19" s="24" t="str" cm="1">
        <f t="array" aca="1" ref="T19" ca="1">_xlfn.TEXTJOIN(CHAR(10),TRUE,IF(Semestre=INDIRECT("base_de_datos["&amp;Carrera&amp;"]"),IF("x"=base_de_datos[Sábado],IF(base_de_datos[Hora inicio]&lt;=$B19,IF(base_de_datos[Hora fin]&gt;=$C19,base_de_datos[Aula]&amp;" "&amp;#REF!,""),""),""),""),"")</f>
        <v/>
      </c>
      <c r="U19" s="24" t="str" cm="1">
        <f t="array" aca="1" ref="U19" ca="1">_xlfn.TEXTJOIN(CHAR(10),TRUE,IF(Semestre=INDIRECT("base_de_datos["&amp;Carrera&amp;"]"),IF("x"=base_de_datos[Sábado],IF(base_de_datos[Hora inicio]&lt;=$B19,IF(base_de_datos[Hora fin]&gt;=$C19,base_de_datos[No clase],""),""),""),""),"")</f>
        <v/>
      </c>
      <c r="V19" s="23"/>
      <c r="Z19" s="23"/>
      <c r="AA19" s="23"/>
      <c r="AW19" s="1" t="str">
        <f t="shared" si="0"/>
        <v/>
      </c>
    </row>
    <row r="20" spans="2:49" ht="15">
      <c r="B20" s="70">
        <v>0.60416666666666696</v>
      </c>
      <c r="C20" s="70">
        <v>0.624999999999995</v>
      </c>
      <c r="D20" s="24" t="str" cm="1">
        <f t="array" aca="1" ref="D20" ca="1">_xlfn.TEXTJOIN(CHAR(10),TRUE,IF(Semestre=INDIRECT("base_de_datos["&amp;Carrera&amp;"]"),IF("x"=base_de_datos[Lunes],IF(base_de_datos[Hora inicio]&lt;=$B20,IF(base_de_datos[Hora fin]&gt;=$C20,base_de_datos[Materia]&amp;" "&amp;base_de_datos[[Número de grupo ]]&amp;" "&amp;base_de_datos[Profesor],""),""),""),""),"")</f>
        <v/>
      </c>
      <c r="E20" s="24" t="str" cm="1">
        <f t="array" aca="1" ref="E20" ca="1">_xlfn.TEXTJOIN(CHAR(10),TRUE,IF(Semestre=INDIRECT("base_de_datos["&amp;Carrera&amp;"]"),IF("x"=base_de_datos[Lunes],IF(base_de_datos[Hora inicio]&lt;=$B20,IF(base_de_datos[Hora fin]&gt;=$C20,base_de_datos[Aula]&amp;" "&amp;base_de_datos[Examen],""),""),""),""),"")</f>
        <v/>
      </c>
      <c r="F20" s="24" t="str" cm="1">
        <f t="array" aca="1" ref="F20" ca="1">_xlfn.TEXTJOIN(CHAR(10),TRUE,IF(Semestre=INDIRECT("base_de_datos["&amp;Carrera&amp;"]"),IF("x"=base_de_datos[Lunes],IF(base_de_datos[Hora inicio]&lt;=$B20,IF(base_de_datos[Hora fin]&gt;=$C20,base_de_datos[No clase],""),""),""),""),"")</f>
        <v/>
      </c>
      <c r="G20" s="24" t="str" cm="1">
        <f t="array" aca="1" ref="G20" ca="1">_xlfn.TEXTJOIN(CHAR(10),TRUE,IF(Semestre=INDIRECT("base_de_datos["&amp;Carrera&amp;"]"),IF("x"=base_de_datos[Martes],IF(base_de_datos[Hora inicio]&lt;=$B20,IF(base_de_datos[Hora fin]&gt;=$C20,base_de_datos[Materia]&amp;" "&amp;base_de_datos[[Número de grupo ]]&amp;" "&amp;base_de_datos[Profesor],""),""),""),""),"")</f>
        <v/>
      </c>
      <c r="H20" s="24" t="str" cm="1">
        <f t="array" aca="1" ref="H20" ca="1">_xlfn.TEXTJOIN(CHAR(10),TRUE,IF(Semestre=INDIRECT("base_de_datos["&amp;Carrera&amp;"]"),IF("x"=base_de_datos[Martes],IF(base_de_datos[Hora inicio]&lt;=$B20,IF(base_de_datos[Hora fin]&gt;=$C20,base_de_datos[Aula]&amp;" "&amp;base_de_datos[Examen],""),""),""),""),"")</f>
        <v/>
      </c>
      <c r="I20" s="24" t="str" cm="1">
        <f t="array" aca="1" ref="I20" ca="1">_xlfn.TEXTJOIN(CHAR(10),TRUE,IF(Semestre=INDIRECT("base_de_datos["&amp;Carrera&amp;"]"),IF("x"=base_de_datos[Martes],IF(base_de_datos[Hora inicio]&lt;=$B20,IF(base_de_datos[Hora fin]&gt;=$C20,base_de_datos[No clase],""),""),""),""),"")</f>
        <v/>
      </c>
      <c r="J20" s="24" t="str" cm="1">
        <f t="array" aca="1" ref="J20" ca="1">_xlfn.TEXTJOIN(CHAR(10),TRUE,IF(Semestre=INDIRECT("base_de_datos["&amp;Carrera&amp;"]"),IF("x"=base_de_datos[Miércoles],IF(base_de_datos[Hora inicio]&lt;=$B20,IF(base_de_datos[Hora fin]&gt;=$C20,base_de_datos[Materia]&amp;" "&amp;base_de_datos[[Número de grupo ]]&amp;" "&amp;base_de_datos[Profesor],""),""),""),""),"")</f>
        <v/>
      </c>
      <c r="K20" s="24" t="str" cm="1">
        <f t="array" aca="1" ref="K20" ca="1">_xlfn.TEXTJOIN(CHAR(10),TRUE,IF(Semestre=INDIRECT("base_de_datos["&amp;Carrera&amp;"]"),IF("x"=base_de_datos[Miércoles],IF(base_de_datos[Hora inicio]&lt;=$B20,IF(base_de_datos[Hora fin]&gt;=$C20,base_de_datos[Aula]&amp;" "&amp;base_de_datos[Examen],""),""),""),""),"")</f>
        <v/>
      </c>
      <c r="L20" s="24" t="str" cm="1">
        <f t="array" aca="1" ref="L20" ca="1">_xlfn.TEXTJOIN(CHAR(10),TRUE,IF(Semestre=INDIRECT("base_de_datos["&amp;Carrera&amp;"]"),IF("x"=base_de_datos[Miércoles],IF(base_de_datos[Hora inicio]&lt;=$B20,IF(base_de_datos[Hora fin]&gt;=$C20,base_de_datos[No clase],""),""),""),""),"")</f>
        <v/>
      </c>
      <c r="M20" s="24" t="str" cm="1">
        <f t="array" aca="1" ref="M20" ca="1">_xlfn.TEXTJOIN(CHAR(10),TRUE,IF(Semestre=INDIRECT("base_de_datos["&amp;Carrera&amp;"]"),IF("x"=base_de_datos[Jueves],IF(base_de_datos[Hora inicio]&lt;=$B20,IF(base_de_datos[Hora fin]&gt;=$C20,base_de_datos[Materia]&amp;" "&amp;base_de_datos[[Número de grupo ]]&amp;" "&amp;base_de_datos[Profesor],""),""),""),""),"")</f>
        <v/>
      </c>
      <c r="N20" s="24" t="str" cm="1">
        <f t="array" aca="1" ref="N20" ca="1">_xlfn.TEXTJOIN(CHAR(10),TRUE,IF(Semestre=INDIRECT("base_de_datos["&amp;Carrera&amp;"]"),IF("x"=base_de_datos[Jueves],IF(base_de_datos[Hora inicio]&lt;=$B20,IF(base_de_datos[Hora fin]&gt;=$C20,base_de_datos[Aula]&amp;" "&amp;base_de_datos[Examen],""),""),""),""),"")</f>
        <v/>
      </c>
      <c r="O20" s="24" t="str" cm="1">
        <f t="array" aca="1" ref="O20" ca="1">_xlfn.TEXTJOIN(CHAR(10),TRUE,IF(Semestre=INDIRECT("base_de_datos["&amp;Carrera&amp;"]"),IF("x"=base_de_datos[Jueves],IF(base_de_datos[Hora inicio]&lt;=$B20,IF(base_de_datos[Hora fin]&gt;=$C20,base_de_datos[No clase],""),""),""),""),"")</f>
        <v/>
      </c>
      <c r="P20" s="24" t="str" cm="1">
        <f t="array" aca="1" ref="P20" ca="1">_xlfn.TEXTJOIN(CHAR(10),TRUE,IF(Semestre=INDIRECT("base_de_datos["&amp;Carrera&amp;"]"),IF("x"=base_de_datos[Viernes],IF(base_de_datos[Hora inicio]&lt;=$B20,IF(base_de_datos[Hora fin]&gt;=$C20,base_de_datos[Materia]&amp;" "&amp;base_de_datos[[Número de grupo ]]&amp;" "&amp;base_de_datos[Profesor],""),""),""),""),"")</f>
        <v/>
      </c>
      <c r="Q20" s="24" t="str" cm="1">
        <f t="array" aca="1" ref="Q20" ca="1">_xlfn.TEXTJOIN(CHAR(10),TRUE,IF(Semestre=INDIRECT("base_de_datos["&amp;Carrera&amp;"]"),IF("x"=base_de_datos[Viernes],IF(base_de_datos[Hora inicio]&lt;=$B20,IF(base_de_datos[Hora fin]&gt;=$C20,base_de_datos[Aula]&amp;" "&amp;base_de_datos[Examen],""),""),""),""),"")</f>
        <v/>
      </c>
      <c r="R20" s="24" t="str" cm="1">
        <f t="array" aca="1" ref="R20" ca="1">_xlfn.TEXTJOIN(CHAR(10),TRUE,IF(Semestre=INDIRECT("base_de_datos["&amp;Carrera&amp;"]"),IF("x"=base_de_datos[Viernes],IF(base_de_datos[Hora inicio]&lt;=$B20,IF(base_de_datos[Hora fin]&gt;=$C20,base_de_datos[No clase],""),""),""),""),"")</f>
        <v/>
      </c>
      <c r="S20" s="24" t="str" cm="1">
        <f t="array" aca="1" ref="S20" ca="1">_xlfn.TEXTJOIN(CHAR(10),TRUE,IF(Semestre=INDIRECT("base_de_datos["&amp;Carrera&amp;"]"),IF("x"=base_de_datos[Sábado],IF(base_de_datos[Hora inicio]&lt;=$B20,IF(base_de_datos[Hora fin]&gt;=$C20,base_de_datos[Materia]&amp;" "&amp;base_de_datos[[Número de grupo ]]&amp;" "&amp;base_de_datos[Profesor],""),""),""),""),"")</f>
        <v/>
      </c>
      <c r="T20" s="24" t="str" cm="1">
        <f t="array" aca="1" ref="T20" ca="1">_xlfn.TEXTJOIN(CHAR(10),TRUE,IF(Semestre=INDIRECT("base_de_datos["&amp;Carrera&amp;"]"),IF("x"=base_de_datos[Sábado],IF(base_de_datos[Hora inicio]&lt;=$B20,IF(base_de_datos[Hora fin]&gt;=$C20,base_de_datos[Aula]&amp;" "&amp;#REF!,""),""),""),""),"")</f>
        <v/>
      </c>
      <c r="U20" s="24" t="str" cm="1">
        <f t="array" aca="1" ref="U20" ca="1">_xlfn.TEXTJOIN(CHAR(10),TRUE,IF(Semestre=INDIRECT("base_de_datos["&amp;Carrera&amp;"]"),IF("x"=base_de_datos[Sábado],IF(base_de_datos[Hora inicio]&lt;=$B20,IF(base_de_datos[Hora fin]&gt;=$C20,base_de_datos[No clase],""),""),""),""),"")</f>
        <v/>
      </c>
      <c r="V20" s="23"/>
      <c r="Z20" s="23"/>
      <c r="AA20" s="23"/>
      <c r="AW20" s="1" t="str">
        <f t="shared" si="0"/>
        <v/>
      </c>
    </row>
    <row r="21" spans="2:49" ht="15">
      <c r="B21" s="70">
        <v>0.625</v>
      </c>
      <c r="C21" s="70">
        <v>0.64583333333332804</v>
      </c>
      <c r="D21" s="25" t="str" cm="1">
        <f t="array" aca="1" ref="D21" ca="1">_xlfn.TEXTJOIN(CHAR(10),TRUE,IF(Semestre=INDIRECT("base_de_datos["&amp;Carrera&amp;"]"),IF("x"=base_de_datos[Lunes],IF(base_de_datos[Hora inicio]&lt;=$B21,IF(base_de_datos[Hora fin]&gt;=$C21,base_de_datos[Materia]&amp;" "&amp;base_de_datos[[Número de grupo ]]&amp;" "&amp;base_de_datos[Profesor],""),""),""),""),"")</f>
        <v/>
      </c>
      <c r="E21" s="24" t="str" cm="1">
        <f t="array" aca="1" ref="E21" ca="1">_xlfn.TEXTJOIN(CHAR(10),TRUE,IF(Semestre=INDIRECT("base_de_datos["&amp;Carrera&amp;"]"),IF("x"=base_de_datos[Lunes],IF(base_de_datos[Hora inicio]&lt;=$B21,IF(base_de_datos[Hora fin]&gt;=$C21,base_de_datos[Aula]&amp;" "&amp;base_de_datos[Examen],""),""),""),""),"")</f>
        <v/>
      </c>
      <c r="F21" s="25" t="str" cm="1">
        <f t="array" aca="1" ref="F21" ca="1">_xlfn.TEXTJOIN(CHAR(10),TRUE,IF(Semestre=INDIRECT("base_de_datos["&amp;Carrera&amp;"]"),IF("x"=base_de_datos[Lunes],IF(base_de_datos[Hora inicio]&lt;=$B21,IF(base_de_datos[Hora fin]&gt;=$C21,base_de_datos[No clase],""),""),""),""),"")</f>
        <v/>
      </c>
      <c r="G21" s="24" t="str" cm="1">
        <f t="array" aca="1" ref="G21" ca="1">_xlfn.TEXTJOIN(CHAR(10),TRUE,IF(Semestre=INDIRECT("base_de_datos["&amp;Carrera&amp;"]"),IF("x"=base_de_datos[Martes],IF(base_de_datos[Hora inicio]&lt;=$B21,IF(base_de_datos[Hora fin]&gt;=$C21,base_de_datos[Materia]&amp;" "&amp;base_de_datos[[Número de grupo ]]&amp;" "&amp;base_de_datos[Profesor],""),""),""),""),"")</f>
        <v/>
      </c>
      <c r="H21" s="24" t="str" cm="1">
        <f t="array" aca="1" ref="H21" ca="1">_xlfn.TEXTJOIN(CHAR(10),TRUE,IF(Semestre=INDIRECT("base_de_datos["&amp;Carrera&amp;"]"),IF("x"=base_de_datos[Martes],IF(base_de_datos[Hora inicio]&lt;=$B21,IF(base_de_datos[Hora fin]&gt;=$C21,base_de_datos[Aula]&amp;" "&amp;base_de_datos[Examen],""),""),""),""),"")</f>
        <v/>
      </c>
      <c r="I21" s="24" t="str" cm="1">
        <f t="array" aca="1" ref="I21" ca="1">_xlfn.TEXTJOIN(CHAR(10),TRUE,IF(Semestre=INDIRECT("base_de_datos["&amp;Carrera&amp;"]"),IF("x"=base_de_datos[Martes],IF(base_de_datos[Hora inicio]&lt;=$B21,IF(base_de_datos[Hora fin]&gt;=$C21,base_de_datos[No clase],""),""),""),""),"")</f>
        <v/>
      </c>
      <c r="J21" s="25" t="str" cm="1">
        <f t="array" aca="1" ref="J21" ca="1">_xlfn.TEXTJOIN(CHAR(10),TRUE,IF(Semestre=INDIRECT("base_de_datos["&amp;Carrera&amp;"]"),IF("x"=base_de_datos[Miércoles],IF(base_de_datos[Hora inicio]&lt;=$B21,IF(base_de_datos[Hora fin]&gt;=$C21,base_de_datos[Materia]&amp;" "&amp;base_de_datos[[Número de grupo ]]&amp;" "&amp;base_de_datos[Profesor],""),""),""),""),"")</f>
        <v/>
      </c>
      <c r="K21" s="25" t="str" cm="1">
        <f t="array" aca="1" ref="K21" ca="1">_xlfn.TEXTJOIN(CHAR(10),TRUE,IF(Semestre=INDIRECT("base_de_datos["&amp;Carrera&amp;"]"),IF("x"=base_de_datos[Miércoles],IF(base_de_datos[Hora inicio]&lt;=$B21,IF(base_de_datos[Hora fin]&gt;=$C21,base_de_datos[Aula]&amp;" "&amp;base_de_datos[Examen],""),""),""),""),"")</f>
        <v/>
      </c>
      <c r="L21" s="25" t="str" cm="1">
        <f t="array" aca="1" ref="L21" ca="1">_xlfn.TEXTJOIN(CHAR(10),TRUE,IF(Semestre=INDIRECT("base_de_datos["&amp;Carrera&amp;"]"),IF("x"=base_de_datos[Miércoles],IF(base_de_datos[Hora inicio]&lt;=$B21,IF(base_de_datos[Hora fin]&gt;=$C21,base_de_datos[No clase],""),""),""),""),"")</f>
        <v/>
      </c>
      <c r="M21" s="24" t="str" cm="1">
        <f t="array" aca="1" ref="M21" ca="1">_xlfn.TEXTJOIN(CHAR(10),TRUE,IF(Semestre=INDIRECT("base_de_datos["&amp;Carrera&amp;"]"),IF("x"=base_de_datos[Jueves],IF(base_de_datos[Hora inicio]&lt;=$B21,IF(base_de_datos[Hora fin]&gt;=$C21,base_de_datos[Materia]&amp;" "&amp;base_de_datos[[Número de grupo ]]&amp;" "&amp;base_de_datos[Profesor],""),""),""),""),"")</f>
        <v/>
      </c>
      <c r="N21" s="24" t="str" cm="1">
        <f t="array" aca="1" ref="N21" ca="1">_xlfn.TEXTJOIN(CHAR(10),TRUE,IF(Semestre=INDIRECT("base_de_datos["&amp;Carrera&amp;"]"),IF("x"=base_de_datos[Jueves],IF(base_de_datos[Hora inicio]&lt;=$B21,IF(base_de_datos[Hora fin]&gt;=$C21,base_de_datos[Aula]&amp;" "&amp;base_de_datos[Examen],""),""),""),""),"")</f>
        <v/>
      </c>
      <c r="O21" s="24" t="str" cm="1">
        <f t="array" aca="1" ref="O21" ca="1">_xlfn.TEXTJOIN(CHAR(10),TRUE,IF(Semestre=INDIRECT("base_de_datos["&amp;Carrera&amp;"]"),IF("x"=base_de_datos[Jueves],IF(base_de_datos[Hora inicio]&lt;=$B21,IF(base_de_datos[Hora fin]&gt;=$C21,base_de_datos[No clase],""),""),""),""),"")</f>
        <v/>
      </c>
      <c r="P21" s="25" t="str" cm="1">
        <f t="array" aca="1" ref="P21" ca="1">_xlfn.TEXTJOIN(CHAR(10),TRUE,IF(Semestre=INDIRECT("base_de_datos["&amp;Carrera&amp;"]"),IF("x"=base_de_datos[Viernes],IF(base_de_datos[Hora inicio]&lt;=$B21,IF(base_de_datos[Hora fin]&gt;=$C21,base_de_datos[Materia]&amp;" "&amp;base_de_datos[[Número de grupo ]]&amp;" "&amp;base_de_datos[Profesor],""),""),""),""),"")</f>
        <v/>
      </c>
      <c r="Q21" s="25" t="str" cm="1">
        <f t="array" aca="1" ref="Q21" ca="1">_xlfn.TEXTJOIN(CHAR(10),TRUE,IF(Semestre=INDIRECT("base_de_datos["&amp;Carrera&amp;"]"),IF("x"=base_de_datos[Viernes],IF(base_de_datos[Hora inicio]&lt;=$B21,IF(base_de_datos[Hora fin]&gt;=$C21,base_de_datos[Aula]&amp;" "&amp;base_de_datos[Examen],""),""),""),""),"")</f>
        <v/>
      </c>
      <c r="R21" s="25" t="str" cm="1">
        <f t="array" aca="1" ref="R21" ca="1">_xlfn.TEXTJOIN(CHAR(10),TRUE,IF(Semestre=INDIRECT("base_de_datos["&amp;Carrera&amp;"]"),IF("x"=base_de_datos[Viernes],IF(base_de_datos[Hora inicio]&lt;=$B21,IF(base_de_datos[Hora fin]&gt;=$C21,base_de_datos[No clase],""),""),""),""),"")</f>
        <v/>
      </c>
      <c r="S21" s="24" t="str" cm="1">
        <f t="array" aca="1" ref="S21" ca="1">_xlfn.TEXTJOIN(CHAR(10),TRUE,IF(Semestre=INDIRECT("base_de_datos["&amp;Carrera&amp;"]"),IF("x"=base_de_datos[Sábado],IF(base_de_datos[Hora inicio]&lt;=$B21,IF(base_de_datos[Hora fin]&gt;=$C21,base_de_datos[Materia]&amp;" "&amp;base_de_datos[[Número de grupo ]]&amp;" "&amp;base_de_datos[Profesor],""),""),""),""),"")</f>
        <v/>
      </c>
      <c r="T21" s="24" t="str" cm="1">
        <f t="array" aca="1" ref="T21" ca="1">_xlfn.TEXTJOIN(CHAR(10),TRUE,IF(Semestre=INDIRECT("base_de_datos["&amp;Carrera&amp;"]"),IF("x"=base_de_datos[Sábado],IF(base_de_datos[Hora inicio]&lt;=$B21,IF(base_de_datos[Hora fin]&gt;=$C21,base_de_datos[Aula]&amp;" "&amp;#REF!,""),""),""),""),"")</f>
        <v/>
      </c>
      <c r="U21" s="24" t="str" cm="1">
        <f t="array" aca="1" ref="U21" ca="1">_xlfn.TEXTJOIN(CHAR(10),TRUE,IF(Semestre=INDIRECT("base_de_datos["&amp;Carrera&amp;"]"),IF("x"=base_de_datos[Sábado],IF(base_de_datos[Hora inicio]&lt;=$B21,IF(base_de_datos[Hora fin]&gt;=$C21,base_de_datos[No clase],""),""),""),""),"")</f>
        <v/>
      </c>
      <c r="V21" s="23"/>
      <c r="Z21" s="23"/>
      <c r="AA21" s="23"/>
      <c r="AW21" s="1" t="str">
        <f t="shared" si="0"/>
        <v/>
      </c>
    </row>
    <row r="22" spans="2:49" ht="15">
      <c r="B22" s="70">
        <v>0.64583333333333304</v>
      </c>
      <c r="C22" s="70">
        <v>0.66666666666666097</v>
      </c>
      <c r="D22" s="25" t="str" cm="1">
        <f t="array" aca="1" ref="D22" ca="1">_xlfn.TEXTJOIN(CHAR(10),TRUE,IF(Semestre=INDIRECT("base_de_datos["&amp;Carrera&amp;"]"),IF("x"=base_de_datos[Lunes],IF(base_de_datos[Hora inicio]&lt;=$B22,IF(base_de_datos[Hora fin]&gt;=$C22,base_de_datos[Materia]&amp;" "&amp;base_de_datos[[Número de grupo ]]&amp;" "&amp;base_de_datos[Profesor],""),""),""),""),"")</f>
        <v/>
      </c>
      <c r="E22" s="24" t="str" cm="1">
        <f t="array" aca="1" ref="E22" ca="1">_xlfn.TEXTJOIN(CHAR(10),TRUE,IF(Semestre=INDIRECT("base_de_datos["&amp;Carrera&amp;"]"),IF("x"=base_de_datos[Lunes],IF(base_de_datos[Hora inicio]&lt;=$B22,IF(base_de_datos[Hora fin]&gt;=$C22,base_de_datos[Aula]&amp;" "&amp;base_de_datos[Examen],""),""),""),""),"")</f>
        <v/>
      </c>
      <c r="F22" s="25" t="str" cm="1">
        <f t="array" aca="1" ref="F22" ca="1">_xlfn.TEXTJOIN(CHAR(10),TRUE,IF(Semestre=INDIRECT("base_de_datos["&amp;Carrera&amp;"]"),IF("x"=base_de_datos[Lunes],IF(base_de_datos[Hora inicio]&lt;=$B22,IF(base_de_datos[Hora fin]&gt;=$C22,base_de_datos[No clase],""),""),""),""),"")</f>
        <v/>
      </c>
      <c r="G22" s="24" t="str" cm="1">
        <f t="array" aca="1" ref="G22" ca="1">_xlfn.TEXTJOIN(CHAR(10),TRUE,IF(Semestre=INDIRECT("base_de_datos["&amp;Carrera&amp;"]"),IF("x"=base_de_datos[Martes],IF(base_de_datos[Hora inicio]&lt;=$B22,IF(base_de_datos[Hora fin]&gt;=$C22,base_de_datos[Materia]&amp;" "&amp;base_de_datos[[Número de grupo ]]&amp;" "&amp;base_de_datos[Profesor],""),""),""),""),"")</f>
        <v/>
      </c>
      <c r="H22" s="24" t="str" cm="1">
        <f t="array" aca="1" ref="H22" ca="1">_xlfn.TEXTJOIN(CHAR(10),TRUE,IF(Semestre=INDIRECT("base_de_datos["&amp;Carrera&amp;"]"),IF("x"=base_de_datos[Martes],IF(base_de_datos[Hora inicio]&lt;=$B22,IF(base_de_datos[Hora fin]&gt;=$C22,base_de_datos[Aula]&amp;" "&amp;base_de_datos[Examen],""),""),""),""),"")</f>
        <v/>
      </c>
      <c r="I22" s="24" t="str" cm="1">
        <f t="array" aca="1" ref="I22" ca="1">_xlfn.TEXTJOIN(CHAR(10),TRUE,IF(Semestre=INDIRECT("base_de_datos["&amp;Carrera&amp;"]"),IF("x"=base_de_datos[Martes],IF(base_de_datos[Hora inicio]&lt;=$B22,IF(base_de_datos[Hora fin]&gt;=$C22,base_de_datos[No clase],""),""),""),""),"")</f>
        <v/>
      </c>
      <c r="J22" s="25" t="str" cm="1">
        <f t="array" aca="1" ref="J22" ca="1">_xlfn.TEXTJOIN(CHAR(10),TRUE,IF(Semestre=INDIRECT("base_de_datos["&amp;Carrera&amp;"]"),IF("x"=base_de_datos[Miércoles],IF(base_de_datos[Hora inicio]&lt;=$B22,IF(base_de_datos[Hora fin]&gt;=$C22,base_de_datos[Materia]&amp;" "&amp;base_de_datos[[Número de grupo ]]&amp;" "&amp;base_de_datos[Profesor],""),""),""),""),"")</f>
        <v/>
      </c>
      <c r="K22" s="25" t="str" cm="1">
        <f t="array" aca="1" ref="K22" ca="1">_xlfn.TEXTJOIN(CHAR(10),TRUE,IF(Semestre=INDIRECT("base_de_datos["&amp;Carrera&amp;"]"),IF("x"=base_de_datos[Miércoles],IF(base_de_datos[Hora inicio]&lt;=$B22,IF(base_de_datos[Hora fin]&gt;=$C22,base_de_datos[Aula]&amp;" "&amp;base_de_datos[Examen],""),""),""),""),"")</f>
        <v/>
      </c>
      <c r="L22" s="25" t="str" cm="1">
        <f t="array" aca="1" ref="L22" ca="1">_xlfn.TEXTJOIN(CHAR(10),TRUE,IF(Semestre=INDIRECT("base_de_datos["&amp;Carrera&amp;"]"),IF("x"=base_de_datos[Miércoles],IF(base_de_datos[Hora inicio]&lt;=$B22,IF(base_de_datos[Hora fin]&gt;=$C22,base_de_datos[No clase],""),""),""),""),"")</f>
        <v/>
      </c>
      <c r="M22" s="24" t="str" cm="1">
        <f t="array" aca="1" ref="M22" ca="1">_xlfn.TEXTJOIN(CHAR(10),TRUE,IF(Semestre=INDIRECT("base_de_datos["&amp;Carrera&amp;"]"),IF("x"=base_de_datos[Jueves],IF(base_de_datos[Hora inicio]&lt;=$B22,IF(base_de_datos[Hora fin]&gt;=$C22,base_de_datos[Materia]&amp;" "&amp;base_de_datos[[Número de grupo ]]&amp;" "&amp;base_de_datos[Profesor],""),""),""),""),"")</f>
        <v/>
      </c>
      <c r="N22" s="24" t="str" cm="1">
        <f t="array" aca="1" ref="N22" ca="1">_xlfn.TEXTJOIN(CHAR(10),TRUE,IF(Semestre=INDIRECT("base_de_datos["&amp;Carrera&amp;"]"),IF("x"=base_de_datos[Jueves],IF(base_de_datos[Hora inicio]&lt;=$B22,IF(base_de_datos[Hora fin]&gt;=$C22,base_de_datos[Aula]&amp;" "&amp;base_de_datos[Examen],""),""),""),""),"")</f>
        <v/>
      </c>
      <c r="O22" s="24" t="str" cm="1">
        <f t="array" aca="1" ref="O22" ca="1">_xlfn.TEXTJOIN(CHAR(10),TRUE,IF(Semestre=INDIRECT("base_de_datos["&amp;Carrera&amp;"]"),IF("x"=base_de_datos[Jueves],IF(base_de_datos[Hora inicio]&lt;=$B22,IF(base_de_datos[Hora fin]&gt;=$C22,base_de_datos[No clase],""),""),""),""),"")</f>
        <v/>
      </c>
      <c r="P22" s="25" t="str" cm="1">
        <f t="array" aca="1" ref="P22" ca="1">_xlfn.TEXTJOIN(CHAR(10),TRUE,IF(Semestre=INDIRECT("base_de_datos["&amp;Carrera&amp;"]"),IF("x"=base_de_datos[Viernes],IF(base_de_datos[Hora inicio]&lt;=$B22,IF(base_de_datos[Hora fin]&gt;=$C22,base_de_datos[Materia]&amp;" "&amp;base_de_datos[[Número de grupo ]]&amp;" "&amp;base_de_datos[Profesor],""),""),""),""),"")</f>
        <v/>
      </c>
      <c r="Q22" s="25" t="str" cm="1">
        <f t="array" aca="1" ref="Q22" ca="1">_xlfn.TEXTJOIN(CHAR(10),TRUE,IF(Semestre=INDIRECT("base_de_datos["&amp;Carrera&amp;"]"),IF("x"=base_de_datos[Viernes],IF(base_de_datos[Hora inicio]&lt;=$B22,IF(base_de_datos[Hora fin]&gt;=$C22,base_de_datos[Aula]&amp;" "&amp;base_de_datos[Examen],""),""),""),""),"")</f>
        <v/>
      </c>
      <c r="R22" s="25" t="str" cm="1">
        <f t="array" aca="1" ref="R22" ca="1">_xlfn.TEXTJOIN(CHAR(10),TRUE,IF(Semestre=INDIRECT("base_de_datos["&amp;Carrera&amp;"]"),IF("x"=base_de_datos[Viernes],IF(base_de_datos[Hora inicio]&lt;=$B22,IF(base_de_datos[Hora fin]&gt;=$C22,base_de_datos[No clase],""),""),""),""),"")</f>
        <v/>
      </c>
      <c r="S22" s="24" t="str" cm="1">
        <f t="array" aca="1" ref="S22" ca="1">_xlfn.TEXTJOIN(CHAR(10),TRUE,IF(Semestre=INDIRECT("base_de_datos["&amp;Carrera&amp;"]"),IF("x"=base_de_datos[Sábado],IF(base_de_datos[Hora inicio]&lt;=$B22,IF(base_de_datos[Hora fin]&gt;=$C22,base_de_datos[Materia]&amp;" "&amp;base_de_datos[[Número de grupo ]]&amp;" "&amp;base_de_datos[Profesor],""),""),""),""),"")</f>
        <v/>
      </c>
      <c r="T22" s="24" t="str" cm="1">
        <f t="array" aca="1" ref="T22" ca="1">_xlfn.TEXTJOIN(CHAR(10),TRUE,IF(Semestre=INDIRECT("base_de_datos["&amp;Carrera&amp;"]"),IF("x"=base_de_datos[Sábado],IF(base_de_datos[Hora inicio]&lt;=$B22,IF(base_de_datos[Hora fin]&gt;=$C22,base_de_datos[Aula]&amp;" "&amp;#REF!,""),""),""),""),"")</f>
        <v/>
      </c>
      <c r="U22" s="24" t="str" cm="1">
        <f t="array" aca="1" ref="U22" ca="1">_xlfn.TEXTJOIN(CHAR(10),TRUE,IF(Semestre=INDIRECT("base_de_datos["&amp;Carrera&amp;"]"),IF("x"=base_de_datos[Sábado],IF(base_de_datos[Hora inicio]&lt;=$B22,IF(base_de_datos[Hora fin]&gt;=$C22,base_de_datos[No clase],""),""),""),""),"")</f>
        <v/>
      </c>
      <c r="V22" s="23"/>
      <c r="Z22" s="23"/>
      <c r="AA22" s="23"/>
      <c r="AW22" s="1" t="str">
        <f t="shared" si="0"/>
        <v/>
      </c>
    </row>
    <row r="23" spans="2:49" ht="15">
      <c r="B23" s="70">
        <v>0.66666666666666696</v>
      </c>
      <c r="C23" s="70">
        <v>0.687499999999994</v>
      </c>
      <c r="D23" s="25" t="str" cm="1">
        <f t="array" aca="1" ref="D23" ca="1">_xlfn.TEXTJOIN(CHAR(10),TRUE,IF(Semestre=INDIRECT("base_de_datos["&amp;Carrera&amp;"]"),IF("x"=base_de_datos[Lunes],IF(base_de_datos[Hora inicio]&lt;=$B23,IF(base_de_datos[Hora fin]&gt;=$C23,base_de_datos[Materia]&amp;" "&amp;base_de_datos[[Número de grupo ]]&amp;" "&amp;base_de_datos[Profesor],""),""),""),""),"")</f>
        <v/>
      </c>
      <c r="E23" s="24" t="str" cm="1">
        <f t="array" aca="1" ref="E23" ca="1">_xlfn.TEXTJOIN(CHAR(10),TRUE,IF(Semestre=INDIRECT("base_de_datos["&amp;Carrera&amp;"]"),IF("x"=base_de_datos[Lunes],IF(base_de_datos[Hora inicio]&lt;=$B23,IF(base_de_datos[Hora fin]&gt;=$C23,base_de_datos[Aula]&amp;" "&amp;base_de_datos[Examen],""),""),""),""),"")</f>
        <v/>
      </c>
      <c r="F23" s="25" t="str" cm="1">
        <f t="array" aca="1" ref="F23" ca="1">_xlfn.TEXTJOIN(CHAR(10),TRUE,IF(Semestre=INDIRECT("base_de_datos["&amp;Carrera&amp;"]"),IF("x"=base_de_datos[Lunes],IF(base_de_datos[Hora inicio]&lt;=$B23,IF(base_de_datos[Hora fin]&gt;=$C23,base_de_datos[No clase],""),""),""),""),"")</f>
        <v/>
      </c>
      <c r="G23" s="24" t="str" cm="1">
        <f t="array" aca="1" ref="G23" ca="1">_xlfn.TEXTJOIN(CHAR(10),TRUE,IF(Semestre=INDIRECT("base_de_datos["&amp;Carrera&amp;"]"),IF("x"=base_de_datos[Martes],IF(base_de_datos[Hora inicio]&lt;=$B23,IF(base_de_datos[Hora fin]&gt;=$C23,base_de_datos[Materia]&amp;" "&amp;base_de_datos[[Número de grupo ]]&amp;" "&amp;base_de_datos[Profesor],""),""),""),""),"")</f>
        <v/>
      </c>
      <c r="H23" s="24" t="str" cm="1">
        <f t="array" aca="1" ref="H23" ca="1">_xlfn.TEXTJOIN(CHAR(10),TRUE,IF(Semestre=INDIRECT("base_de_datos["&amp;Carrera&amp;"]"),IF("x"=base_de_datos[Martes],IF(base_de_datos[Hora inicio]&lt;=$B23,IF(base_de_datos[Hora fin]&gt;=$C23,base_de_datos[Aula]&amp;" "&amp;base_de_datos[Examen],""),""),""),""),"")</f>
        <v/>
      </c>
      <c r="I23" s="24" t="str" cm="1">
        <f t="array" aca="1" ref="I23" ca="1">_xlfn.TEXTJOIN(CHAR(10),TRUE,IF(Semestre=INDIRECT("base_de_datos["&amp;Carrera&amp;"]"),IF("x"=base_de_datos[Martes],IF(base_de_datos[Hora inicio]&lt;=$B23,IF(base_de_datos[Hora fin]&gt;=$C23,base_de_datos[No clase],""),""),""),""),"")</f>
        <v/>
      </c>
      <c r="J23" s="25" t="str" cm="1">
        <f t="array" aca="1" ref="J23" ca="1">_xlfn.TEXTJOIN(CHAR(10),TRUE,IF(Semestre=INDIRECT("base_de_datos["&amp;Carrera&amp;"]"),IF("x"=base_de_datos[Miércoles],IF(base_de_datos[Hora inicio]&lt;=$B23,IF(base_de_datos[Hora fin]&gt;=$C23,base_de_datos[Materia]&amp;" "&amp;base_de_datos[[Número de grupo ]]&amp;" "&amp;base_de_datos[Profesor],""),""),""),""),"")</f>
        <v/>
      </c>
      <c r="K23" s="25" t="str" cm="1">
        <f t="array" aca="1" ref="K23" ca="1">_xlfn.TEXTJOIN(CHAR(10),TRUE,IF(Semestre=INDIRECT("base_de_datos["&amp;Carrera&amp;"]"),IF("x"=base_de_datos[Miércoles],IF(base_de_datos[Hora inicio]&lt;=$B23,IF(base_de_datos[Hora fin]&gt;=$C23,base_de_datos[Aula]&amp;" "&amp;base_de_datos[Examen],""),""),""),""),"")</f>
        <v/>
      </c>
      <c r="L23" s="25" t="str" cm="1">
        <f t="array" aca="1" ref="L23" ca="1">_xlfn.TEXTJOIN(CHAR(10),TRUE,IF(Semestre=INDIRECT("base_de_datos["&amp;Carrera&amp;"]"),IF("x"=base_de_datos[Miércoles],IF(base_de_datos[Hora inicio]&lt;=$B23,IF(base_de_datos[Hora fin]&gt;=$C23,base_de_datos[No clase],""),""),""),""),"")</f>
        <v/>
      </c>
      <c r="M23" s="24" t="str" cm="1">
        <f t="array" aca="1" ref="M23" ca="1">_xlfn.TEXTJOIN(CHAR(10),TRUE,IF(Semestre=INDIRECT("base_de_datos["&amp;Carrera&amp;"]"),IF("x"=base_de_datos[Jueves],IF(base_de_datos[Hora inicio]&lt;=$B23,IF(base_de_datos[Hora fin]&gt;=$C23,base_de_datos[Materia]&amp;" "&amp;base_de_datos[[Número de grupo ]]&amp;" "&amp;base_de_datos[Profesor],""),""),""),""),"")</f>
        <v/>
      </c>
      <c r="N23" s="24" t="str" cm="1">
        <f t="array" aca="1" ref="N23" ca="1">_xlfn.TEXTJOIN(CHAR(10),TRUE,IF(Semestre=INDIRECT("base_de_datos["&amp;Carrera&amp;"]"),IF("x"=base_de_datos[Jueves],IF(base_de_datos[Hora inicio]&lt;=$B23,IF(base_de_datos[Hora fin]&gt;=$C23,base_de_datos[Aula]&amp;" "&amp;base_de_datos[Examen],""),""),""),""),"")</f>
        <v/>
      </c>
      <c r="O23" s="24" t="str" cm="1">
        <f t="array" aca="1" ref="O23" ca="1">_xlfn.TEXTJOIN(CHAR(10),TRUE,IF(Semestre=INDIRECT("base_de_datos["&amp;Carrera&amp;"]"),IF("x"=base_de_datos[Jueves],IF(base_de_datos[Hora inicio]&lt;=$B23,IF(base_de_datos[Hora fin]&gt;=$C23,base_de_datos[No clase],""),""),""),""),"")</f>
        <v/>
      </c>
      <c r="P23" s="24" t="str" cm="1">
        <f t="array" aca="1" ref="P23" ca="1">_xlfn.TEXTJOIN(CHAR(10),TRUE,IF(Semestre=INDIRECT("base_de_datos["&amp;Carrera&amp;"]"),IF("x"=base_de_datos[Viernes],IF(base_de_datos[Hora inicio]&lt;=$B23,IF(base_de_datos[Hora fin]&gt;=$C23,base_de_datos[Materia]&amp;" "&amp;base_de_datos[[Número de grupo ]]&amp;" "&amp;base_de_datos[Profesor],""),""),""),""),"")</f>
        <v/>
      </c>
      <c r="Q23" s="24" t="str" cm="1">
        <f t="array" aca="1" ref="Q23" ca="1">_xlfn.TEXTJOIN(CHAR(10),TRUE,IF(Semestre=INDIRECT("base_de_datos["&amp;Carrera&amp;"]"),IF("x"=base_de_datos[Viernes],IF(base_de_datos[Hora inicio]&lt;=$B23,IF(base_de_datos[Hora fin]&gt;=$C23,base_de_datos[Aula]&amp;" "&amp;base_de_datos[Examen],""),""),""),""),"")</f>
        <v/>
      </c>
      <c r="R23" s="24" t="str" cm="1">
        <f t="array" aca="1" ref="R23" ca="1">_xlfn.TEXTJOIN(CHAR(10),TRUE,IF(Semestre=INDIRECT("base_de_datos["&amp;Carrera&amp;"]"),IF("x"=base_de_datos[Viernes],IF(base_de_datos[Hora inicio]&lt;=$B23,IF(base_de_datos[Hora fin]&gt;=$C23,base_de_datos[No clase],""),""),""),""),"")</f>
        <v/>
      </c>
      <c r="S23" s="24" t="str" cm="1">
        <f t="array" aca="1" ref="S23" ca="1">_xlfn.TEXTJOIN(CHAR(10),TRUE,IF(Semestre=INDIRECT("base_de_datos["&amp;Carrera&amp;"]"),IF("x"=base_de_datos[Sábado],IF(base_de_datos[Hora inicio]&lt;=$B23,IF(base_de_datos[Hora fin]&gt;=$C23,base_de_datos[Materia]&amp;" "&amp;base_de_datos[[Número de grupo ]]&amp;" "&amp;base_de_datos[Profesor],""),""),""),""),"")</f>
        <v/>
      </c>
      <c r="T23" s="24" t="str" cm="1">
        <f t="array" aca="1" ref="T23" ca="1">_xlfn.TEXTJOIN(CHAR(10),TRUE,IF(Semestre=INDIRECT("base_de_datos["&amp;Carrera&amp;"]"),IF("x"=base_de_datos[Sábado],IF(base_de_datos[Hora inicio]&lt;=$B23,IF(base_de_datos[Hora fin]&gt;=$C23,base_de_datos[Aula]&amp;" "&amp;#REF!,""),""),""),""),"")</f>
        <v/>
      </c>
      <c r="U23" s="24" t="str" cm="1">
        <f t="array" aca="1" ref="U23" ca="1">_xlfn.TEXTJOIN(CHAR(10),TRUE,IF(Semestre=INDIRECT("base_de_datos["&amp;Carrera&amp;"]"),IF("x"=base_de_datos[Sábado],IF(base_de_datos[Hora inicio]&lt;=$B23,IF(base_de_datos[Hora fin]&gt;=$C23,base_de_datos[No clase],""),""),""),""),"")</f>
        <v/>
      </c>
      <c r="V23" s="23"/>
      <c r="Z23" s="23"/>
      <c r="AA23" s="23"/>
    </row>
    <row r="24" spans="2:49" ht="15">
      <c r="B24" s="70">
        <v>0.6875</v>
      </c>
      <c r="C24" s="70">
        <v>0.70833333333332704</v>
      </c>
      <c r="D24" s="25" t="str" cm="1">
        <f t="array" aca="1" ref="D24" ca="1">_xlfn.TEXTJOIN(CHAR(10),TRUE,IF(Semestre=INDIRECT("base_de_datos["&amp;Carrera&amp;"]"),IF("x"=base_de_datos[Lunes],IF(base_de_datos[Hora inicio]&lt;=$B24,IF(base_de_datos[Hora fin]&gt;=$C24,base_de_datos[Materia]&amp;" "&amp;base_de_datos[[Número de grupo ]]&amp;" "&amp;base_de_datos[Profesor],""),""),""),""),"")</f>
        <v/>
      </c>
      <c r="E24" s="24" t="str" cm="1">
        <f t="array" aca="1" ref="E24" ca="1">_xlfn.TEXTJOIN(CHAR(10),TRUE,IF(Semestre=INDIRECT("base_de_datos["&amp;Carrera&amp;"]"),IF("x"=base_de_datos[Lunes],IF(base_de_datos[Hora inicio]&lt;=$B24,IF(base_de_datos[Hora fin]&gt;=$C24,base_de_datos[Aula]&amp;" "&amp;base_de_datos[Examen],""),""),""),""),"")</f>
        <v/>
      </c>
      <c r="F24" s="25" t="str" cm="1">
        <f t="array" aca="1" ref="F24" ca="1">_xlfn.TEXTJOIN(CHAR(10),TRUE,IF(Semestre=INDIRECT("base_de_datos["&amp;Carrera&amp;"]"),IF("x"=base_de_datos[Lunes],IF(base_de_datos[Hora inicio]&lt;=$B24,IF(base_de_datos[Hora fin]&gt;=$C24,base_de_datos[No clase],""),""),""),""),"")</f>
        <v/>
      </c>
      <c r="G24" s="24" t="str" cm="1">
        <f t="array" aca="1" ref="G24" ca="1">_xlfn.TEXTJOIN(CHAR(10),TRUE,IF(Semestre=INDIRECT("base_de_datos["&amp;Carrera&amp;"]"),IF("x"=base_de_datos[Martes],IF(base_de_datos[Hora inicio]&lt;=$B24,IF(base_de_datos[Hora fin]&gt;=$C24,base_de_datos[Materia]&amp;" "&amp;base_de_datos[[Número de grupo ]]&amp;" "&amp;base_de_datos[Profesor],""),""),""),""),"")</f>
        <v/>
      </c>
      <c r="H24" s="24" t="str" cm="1">
        <f t="array" aca="1" ref="H24" ca="1">_xlfn.TEXTJOIN(CHAR(10),TRUE,IF(Semestre=INDIRECT("base_de_datos["&amp;Carrera&amp;"]"),IF("x"=base_de_datos[Martes],IF(base_de_datos[Hora inicio]&lt;=$B24,IF(base_de_datos[Hora fin]&gt;=$C24,base_de_datos[Aula]&amp;" "&amp;base_de_datos[Examen],""),""),""),""),"")</f>
        <v/>
      </c>
      <c r="I24" s="24" t="str" cm="1">
        <f t="array" aca="1" ref="I24" ca="1">_xlfn.TEXTJOIN(CHAR(10),TRUE,IF(Semestre=INDIRECT("base_de_datos["&amp;Carrera&amp;"]"),IF("x"=base_de_datos[Martes],IF(base_de_datos[Hora inicio]&lt;=$B24,IF(base_de_datos[Hora fin]&gt;=$C24,base_de_datos[No clase],""),""),""),""),"")</f>
        <v/>
      </c>
      <c r="J24" s="25" t="str" cm="1">
        <f t="array" aca="1" ref="J24" ca="1">_xlfn.TEXTJOIN(CHAR(10),TRUE,IF(Semestre=INDIRECT("base_de_datos["&amp;Carrera&amp;"]"),IF("x"=base_de_datos[Miércoles],IF(base_de_datos[Hora inicio]&lt;=$B24,IF(base_de_datos[Hora fin]&gt;=$C24,base_de_datos[Materia]&amp;" "&amp;base_de_datos[[Número de grupo ]]&amp;" "&amp;base_de_datos[Profesor],""),""),""),""),"")</f>
        <v/>
      </c>
      <c r="K24" s="25" t="str" cm="1">
        <f t="array" aca="1" ref="K24" ca="1">_xlfn.TEXTJOIN(CHAR(10),TRUE,IF(Semestre=INDIRECT("base_de_datos["&amp;Carrera&amp;"]"),IF("x"=base_de_datos[Miércoles],IF(base_de_datos[Hora inicio]&lt;=$B24,IF(base_de_datos[Hora fin]&gt;=$C24,base_de_datos[Aula]&amp;" "&amp;base_de_datos[Examen],""),""),""),""),"")</f>
        <v/>
      </c>
      <c r="L24" s="25" t="str" cm="1">
        <f t="array" aca="1" ref="L24" ca="1">_xlfn.TEXTJOIN(CHAR(10),TRUE,IF(Semestre=INDIRECT("base_de_datos["&amp;Carrera&amp;"]"),IF("x"=base_de_datos[Miércoles],IF(base_de_datos[Hora inicio]&lt;=$B24,IF(base_de_datos[Hora fin]&gt;=$C24,base_de_datos[No clase],""),""),""),""),"")</f>
        <v/>
      </c>
      <c r="M24" s="24" t="str" cm="1">
        <f t="array" aca="1" ref="M24" ca="1">_xlfn.TEXTJOIN(CHAR(10),TRUE,IF(Semestre=INDIRECT("base_de_datos["&amp;Carrera&amp;"]"),IF("x"=base_de_datos[Jueves],IF(base_de_datos[Hora inicio]&lt;=$B24,IF(base_de_datos[Hora fin]&gt;=$C24,base_de_datos[Materia]&amp;" "&amp;base_de_datos[[Número de grupo ]]&amp;" "&amp;base_de_datos[Profesor],""),""),""),""),"")</f>
        <v/>
      </c>
      <c r="N24" s="24" t="str" cm="1">
        <f t="array" aca="1" ref="N24" ca="1">_xlfn.TEXTJOIN(CHAR(10),TRUE,IF(Semestre=INDIRECT("base_de_datos["&amp;Carrera&amp;"]"),IF("x"=base_de_datos[Jueves],IF(base_de_datos[Hora inicio]&lt;=$B24,IF(base_de_datos[Hora fin]&gt;=$C24,base_de_datos[Aula]&amp;" "&amp;base_de_datos[Examen],""),""),""),""),"")</f>
        <v/>
      </c>
      <c r="O24" s="24" t="str" cm="1">
        <f t="array" aca="1" ref="O24" ca="1">_xlfn.TEXTJOIN(CHAR(10),TRUE,IF(Semestre=INDIRECT("base_de_datos["&amp;Carrera&amp;"]"),IF("x"=base_de_datos[Jueves],IF(base_de_datos[Hora inicio]&lt;=$B24,IF(base_de_datos[Hora fin]&gt;=$C24,base_de_datos[No clase],""),""),""),""),"")</f>
        <v/>
      </c>
      <c r="P24" s="24" t="str" cm="1">
        <f t="array" aca="1" ref="P24" ca="1">_xlfn.TEXTJOIN(CHAR(10),TRUE,IF(Semestre=INDIRECT("base_de_datos["&amp;Carrera&amp;"]"),IF("x"=base_de_datos[Viernes],IF(base_de_datos[Hora inicio]&lt;=$B24,IF(base_de_datos[Hora fin]&gt;=$C24,base_de_datos[Materia]&amp;" "&amp;base_de_datos[[Número de grupo ]]&amp;" "&amp;base_de_datos[Profesor],""),""),""),""),"")</f>
        <v/>
      </c>
      <c r="Q24" s="24" t="str" cm="1">
        <f t="array" aca="1" ref="Q24" ca="1">_xlfn.TEXTJOIN(CHAR(10),TRUE,IF(Semestre=INDIRECT("base_de_datos["&amp;Carrera&amp;"]"),IF("x"=base_de_datos[Viernes],IF(base_de_datos[Hora inicio]&lt;=$B24,IF(base_de_datos[Hora fin]&gt;=$C24,base_de_datos[Aula]&amp;" "&amp;base_de_datos[Examen],""),""),""),""),"")</f>
        <v/>
      </c>
      <c r="R24" s="24" t="str" cm="1">
        <f t="array" aca="1" ref="R24" ca="1">_xlfn.TEXTJOIN(CHAR(10),TRUE,IF(Semestre=INDIRECT("base_de_datos["&amp;Carrera&amp;"]"),IF("x"=base_de_datos[Viernes],IF(base_de_datos[Hora inicio]&lt;=$B24,IF(base_de_datos[Hora fin]&gt;=$C24,base_de_datos[No clase],""),""),""),""),"")</f>
        <v/>
      </c>
      <c r="S24" s="24" t="str" cm="1">
        <f t="array" aca="1" ref="S24" ca="1">_xlfn.TEXTJOIN(CHAR(10),TRUE,IF(Semestre=INDIRECT("base_de_datos["&amp;Carrera&amp;"]"),IF("x"=base_de_datos[Sábado],IF(base_de_datos[Hora inicio]&lt;=$B24,IF(base_de_datos[Hora fin]&gt;=$C24,base_de_datos[Materia]&amp;" "&amp;base_de_datos[[Número de grupo ]]&amp;" "&amp;base_de_datos[Profesor],""),""),""),""),"")</f>
        <v/>
      </c>
      <c r="T24" s="24" t="str" cm="1">
        <f t="array" aca="1" ref="T24" ca="1">_xlfn.TEXTJOIN(CHAR(10),TRUE,IF(Semestre=INDIRECT("base_de_datos["&amp;Carrera&amp;"]"),IF("x"=base_de_datos[Sábado],IF(base_de_datos[Hora inicio]&lt;=$B24,IF(base_de_datos[Hora fin]&gt;=$C24,base_de_datos[Aula]&amp;" "&amp;#REF!,""),""),""),""),"")</f>
        <v/>
      </c>
      <c r="U24" s="24" t="str" cm="1">
        <f t="array" aca="1" ref="U24" ca="1">_xlfn.TEXTJOIN(CHAR(10),TRUE,IF(Semestre=INDIRECT("base_de_datos["&amp;Carrera&amp;"]"),IF("x"=base_de_datos[Sábado],IF(base_de_datos[Hora inicio]&lt;=$B24,IF(base_de_datos[Hora fin]&gt;=$C24,base_de_datos[No clase],""),""),""),""),"")</f>
        <v/>
      </c>
      <c r="V24" s="23"/>
      <c r="Z24" s="23"/>
      <c r="AA24" s="23"/>
    </row>
    <row r="25" spans="2:49" ht="120">
      <c r="B25" s="70">
        <v>0.70833333333333304</v>
      </c>
      <c r="C25" s="70">
        <v>0.72916666666665997</v>
      </c>
      <c r="D25" s="24" t="str" cm="1">
        <f t="array" aca="1" ref="D25" ca="1">_xlfn.TEXTJOIN(CHAR(10),TRUE,IF(Semestre=INDIRECT("base_de_datos["&amp;Carrera&amp;"]"),IF("x"=base_de_datos[Lunes],IF(base_de_datos[Hora inicio]&lt;=$B25,IF(base_de_datos[Hora fin]&gt;=$C25,base_de_datos[Materia]&amp;" "&amp;base_de_datos[[Número de grupo ]]&amp;" "&amp;base_de_datos[Profesor],""),""),""),""),"")</f>
        <v>Optimización y metaheurísticas II 1 Claudia Nallely Sánchez Gómez</v>
      </c>
      <c r="E25" s="24" t="str" cm="1">
        <f t="array" aca="1" ref="E25" ca="1">_xlfn.TEXTJOIN(CHAR(10),TRUE,IF(Semestre=INDIRECT("base_de_datos["&amp;Carrera&amp;"]"),IF("x"=base_de_datos[Lunes],IF(base_de_datos[Hora inicio]&lt;=$B25,IF(base_de_datos[Hora fin]&gt;=$C25,base_de_datos[Aula]&amp;" "&amp;base_de_datos[Examen],""),""),""),""),"")</f>
        <v>Turing 2Lu</v>
      </c>
      <c r="F25" s="24" t="str" cm="1">
        <f t="array" aca="1" ref="F25" ca="1">_xlfn.TEXTJOIN(CHAR(10),TRUE,IF(Semestre=INDIRECT("base_de_datos["&amp;Carrera&amp;"]"),IF("x"=base_de_datos[Lunes],IF(base_de_datos[Hora inicio]&lt;=$B25,IF(base_de_datos[Hora fin]&gt;=$C25,base_de_datos[No clase],""),""),""),""),"")</f>
        <v>1466</v>
      </c>
      <c r="G25" s="24" t="str" cm="1">
        <f t="array" aca="1" ref="G25" ca="1">_xlfn.TEXTJOIN(CHAR(10),TRUE,IF(Semestre=INDIRECT("base_de_datos["&amp;Carrera&amp;"]"),IF("x"=base_de_datos[Martes],IF(base_de_datos[Hora inicio]&lt;=$B25,IF(base_de_datos[Hora fin]&gt;=$C25,base_de_datos[Materia]&amp;" "&amp;base_de_datos[[Número de grupo ]]&amp;" "&amp;base_de_datos[Profesor],""),""),""),""),"")</f>
        <v/>
      </c>
      <c r="H25" s="24" t="str" cm="1">
        <f t="array" aca="1" ref="H25" ca="1">_xlfn.TEXTJOIN(CHAR(10),TRUE,IF(Semestre=INDIRECT("base_de_datos["&amp;Carrera&amp;"]"),IF("x"=base_de_datos[Martes],IF(base_de_datos[Hora inicio]&lt;=$B25,IF(base_de_datos[Hora fin]&gt;=$C25,base_de_datos[Aula]&amp;" "&amp;base_de_datos[Examen],""),""),""),""),"")</f>
        <v/>
      </c>
      <c r="I25" s="24" t="str" cm="1">
        <f t="array" aca="1" ref="I25" ca="1">_xlfn.TEXTJOIN(CHAR(10),TRUE,IF(Semestre=INDIRECT("base_de_datos["&amp;Carrera&amp;"]"),IF("x"=base_de_datos[Martes],IF(base_de_datos[Hora inicio]&lt;=$B25,IF(base_de_datos[Hora fin]&gt;=$C25,base_de_datos[No clase],""),""),""),""),"")</f>
        <v/>
      </c>
      <c r="J25" s="24" t="str" cm="1">
        <f t="array" aca="1" ref="J25" ca="1">_xlfn.TEXTJOIN(CHAR(10),TRUE,IF(Semestre=INDIRECT("base_de_datos["&amp;Carrera&amp;"]"),IF("x"=base_de_datos[Miércoles],IF(base_de_datos[Hora inicio]&lt;=$B25,IF(base_de_datos[Hora fin]&gt;=$C25,base_de_datos[Materia]&amp;" "&amp;base_de_datos[[Número de grupo ]]&amp;" "&amp;base_de_datos[Profesor],""),""),""),""),"")</f>
        <v>Proyectos de inversión e introducción a la valuación de empresas 1 Francisco de Paula Morales Viesca
Proyectos de inversión e introducción a la valuación de empresas 2 Jorge Quiroga Garza
Proyectos de inversión e introducción a la valuación de empresas 3 Alberto Navarro Pérez</v>
      </c>
      <c r="K25" s="24" t="str" cm="1">
        <f t="array" aca="1" ref="K25" ca="1">_xlfn.TEXTJOIN(CHAR(10),TRUE,IF(Semestre=INDIRECT("base_de_datos["&amp;Carrera&amp;"]"),IF("x"=base_de_datos[Miércoles],IF(base_de_datos[Hora inicio]&lt;=$B25,IF(base_de_datos[Hora fin]&gt;=$C25,base_de_datos[Aula]&amp;" "&amp;base_de_datos[Examen],""),""),""),""),"")</f>
        <v>C-03 2Mi
C-04 2Mi
C-02 2Mi</v>
      </c>
      <c r="L25" s="24" t="str" cm="1">
        <f t="array" aca="1" ref="L25" ca="1">_xlfn.TEXTJOIN(CHAR(10),TRUE,IF(Semestre=INDIRECT("base_de_datos["&amp;Carrera&amp;"]"),IF("x"=base_de_datos[Miércoles],IF(base_de_datos[Hora inicio]&lt;=$B25,IF(base_de_datos[Hora fin]&gt;=$C25,base_de_datos[No clase],""),""),""),""),"")</f>
        <v>1577, 1580, 1583, 1586. 1589
1578, 1581, 1584, 1587, 1590
1579, 1582,1585,  1588, 1591</v>
      </c>
      <c r="M25" s="24" t="str" cm="1">
        <f t="array" aca="1" ref="M25" ca="1">_xlfn.TEXTJOIN(CHAR(10),TRUE,IF(Semestre=INDIRECT("base_de_datos["&amp;Carrera&amp;"]"),IF("x"=base_de_datos[Jueves],IF(base_de_datos[Hora inicio]&lt;=$B25,IF(base_de_datos[Hora fin]&gt;=$C25,base_de_datos[Materia]&amp;" "&amp;base_de_datos[[Número de grupo ]]&amp;" "&amp;base_de_datos[Profesor],""),""),""),""),"")</f>
        <v/>
      </c>
      <c r="N25" s="24" t="str" cm="1">
        <f t="array" aca="1" ref="N25" ca="1">_xlfn.TEXTJOIN(CHAR(10),TRUE,IF(Semestre=INDIRECT("base_de_datos["&amp;Carrera&amp;"]"),IF("x"=base_de_datos[Jueves],IF(base_de_datos[Hora inicio]&lt;=$B25,IF(base_de_datos[Hora fin]&gt;=$C25,base_de_datos[Aula]&amp;" "&amp;base_de_datos[Examen],""),""),""),""),"")</f>
        <v/>
      </c>
      <c r="O25" s="24" t="str" cm="1">
        <f t="array" aca="1" ref="O25" ca="1">_xlfn.TEXTJOIN(CHAR(10),TRUE,IF(Semestre=INDIRECT("base_de_datos["&amp;Carrera&amp;"]"),IF("x"=base_de_datos[Jueves],IF(base_de_datos[Hora inicio]&lt;=$B25,IF(base_de_datos[Hora fin]&gt;=$C25,base_de_datos[No clase],""),""),""),""),"")</f>
        <v/>
      </c>
      <c r="P25" s="24" t="str" cm="1">
        <f t="array" aca="1" ref="P25" ca="1">_xlfn.TEXTJOIN(CHAR(10),TRUE,IF(Semestre=INDIRECT("base_de_datos["&amp;Carrera&amp;"]"),IF("x"=base_de_datos[Viernes],IF(base_de_datos[Hora inicio]&lt;=$B25,IF(base_de_datos[Hora fin]&gt;=$C25,base_de_datos[Materia]&amp;" "&amp;base_de_datos[[Número de grupo ]]&amp;" "&amp;base_de_datos[Profesor],""),""),""),""),"")</f>
        <v/>
      </c>
      <c r="Q25" s="24" t="str" cm="1">
        <f t="array" aca="1" ref="Q25" ca="1">_xlfn.TEXTJOIN(CHAR(10),TRUE,IF(Semestre=INDIRECT("base_de_datos["&amp;Carrera&amp;"]"),IF("x"=base_de_datos[Viernes],IF(base_de_datos[Hora inicio]&lt;=$B25,IF(base_de_datos[Hora fin]&gt;=$C25,base_de_datos[Aula]&amp;" "&amp;base_de_datos[Examen],""),""),""),""),"")</f>
        <v/>
      </c>
      <c r="R25" s="24" t="str" cm="1">
        <f t="array" aca="1" ref="R25" ca="1">_xlfn.TEXTJOIN(CHAR(10),TRUE,IF(Semestre=INDIRECT("base_de_datos["&amp;Carrera&amp;"]"),IF("x"=base_de_datos[Viernes],IF(base_de_datos[Hora inicio]&lt;=$B25,IF(base_de_datos[Hora fin]&gt;=$C25,base_de_datos[No clase],""),""),""),""),"")</f>
        <v/>
      </c>
      <c r="S25" s="24" t="str" cm="1">
        <f t="array" aca="1" ref="S25" ca="1">_xlfn.TEXTJOIN(CHAR(10),TRUE,IF(Semestre=INDIRECT("base_de_datos["&amp;Carrera&amp;"]"),IF("x"=base_de_datos[Sábado],IF(base_de_datos[Hora inicio]&lt;=$B25,IF(base_de_datos[Hora fin]&gt;=$C25,base_de_datos[Materia]&amp;" "&amp;base_de_datos[[Número de grupo ]]&amp;" "&amp;base_de_datos[Profesor],""),""),""),""),"")</f>
        <v/>
      </c>
      <c r="T25" s="24" t="str" cm="1">
        <f t="array" aca="1" ref="T25" ca="1">_xlfn.TEXTJOIN(CHAR(10),TRUE,IF(Semestre=INDIRECT("base_de_datos["&amp;Carrera&amp;"]"),IF("x"=base_de_datos[Sábado],IF(base_de_datos[Hora inicio]&lt;=$B25,IF(base_de_datos[Hora fin]&gt;=$C25,base_de_datos[Aula]&amp;" "&amp;#REF!,""),""),""),""),"")</f>
        <v/>
      </c>
      <c r="U25" s="24" t="str" cm="1">
        <f t="array" aca="1" ref="U25" ca="1">_xlfn.TEXTJOIN(CHAR(10),TRUE,IF(Semestre=INDIRECT("base_de_datos["&amp;Carrera&amp;"]"),IF("x"=base_de_datos[Sábado],IF(base_de_datos[Hora inicio]&lt;=$B25,IF(base_de_datos[Hora fin]&gt;=$C25,base_de_datos[No clase],""),""),""),""),"")</f>
        <v/>
      </c>
      <c r="V25" s="23"/>
      <c r="Z25" s="23"/>
      <c r="AA25" s="23"/>
    </row>
    <row r="26" spans="2:49" ht="120">
      <c r="B26" s="70">
        <v>0.72916666666666696</v>
      </c>
      <c r="C26" s="70">
        <v>0.74999999999999301</v>
      </c>
      <c r="D26" s="24" t="str" cm="1">
        <f t="array" aca="1" ref="D26" ca="1">_xlfn.TEXTJOIN(CHAR(10),TRUE,IF(Semestre=INDIRECT("base_de_datos["&amp;Carrera&amp;"]"),IF("x"=base_de_datos[Lunes],IF(base_de_datos[Hora inicio]&lt;=$B26,IF(base_de_datos[Hora fin]&gt;=$C26,base_de_datos[Materia]&amp;" "&amp;base_de_datos[[Número de grupo ]]&amp;" "&amp;base_de_datos[Profesor],""),""),""),""),"")</f>
        <v>Optimización y metaheurísticas II 1 Claudia Nallely Sánchez Gómez</v>
      </c>
      <c r="E26" s="24" t="str" cm="1">
        <f t="array" aca="1" ref="E26" ca="1">_xlfn.TEXTJOIN(CHAR(10),TRUE,IF(Semestre=INDIRECT("base_de_datos["&amp;Carrera&amp;"]"),IF("x"=base_de_datos[Lunes],IF(base_de_datos[Hora inicio]&lt;=$B26,IF(base_de_datos[Hora fin]&gt;=$C26,base_de_datos[Aula]&amp;" "&amp;base_de_datos[Examen],""),""),""),""),"")</f>
        <v>Turing 2Lu</v>
      </c>
      <c r="F26" s="24" t="str" cm="1">
        <f t="array" aca="1" ref="F26" ca="1">_xlfn.TEXTJOIN(CHAR(10),TRUE,IF(Semestre=INDIRECT("base_de_datos["&amp;Carrera&amp;"]"),IF("x"=base_de_datos[Lunes],IF(base_de_datos[Hora inicio]&lt;=$B26,IF(base_de_datos[Hora fin]&gt;=$C26,base_de_datos[No clase],""),""),""),""),"")</f>
        <v>1466</v>
      </c>
      <c r="G26" s="24" t="str" cm="1">
        <f t="array" aca="1" ref="G26" ca="1">_xlfn.TEXTJOIN(CHAR(10),TRUE,IF(Semestre=INDIRECT("base_de_datos["&amp;Carrera&amp;"]"),IF("x"=base_de_datos[Martes],IF(base_de_datos[Hora inicio]&lt;=$B26,IF(base_de_datos[Hora fin]&gt;=$C26,base_de_datos[Materia]&amp;" "&amp;base_de_datos[[Número de grupo ]]&amp;" "&amp;base_de_datos[Profesor],""),""),""),""),"")</f>
        <v/>
      </c>
      <c r="H26" s="24" t="str" cm="1">
        <f t="array" aca="1" ref="H26" ca="1">_xlfn.TEXTJOIN(CHAR(10),TRUE,IF(Semestre=INDIRECT("base_de_datos["&amp;Carrera&amp;"]"),IF("x"=base_de_datos[Martes],IF(base_de_datos[Hora inicio]&lt;=$B26,IF(base_de_datos[Hora fin]&gt;=$C26,base_de_datos[Aula]&amp;" "&amp;base_de_datos[Examen],""),""),""),""),"")</f>
        <v/>
      </c>
      <c r="I26" s="24" t="str" cm="1">
        <f t="array" aca="1" ref="I26" ca="1">_xlfn.TEXTJOIN(CHAR(10),TRUE,IF(Semestre=INDIRECT("base_de_datos["&amp;Carrera&amp;"]"),IF("x"=base_de_datos[Martes],IF(base_de_datos[Hora inicio]&lt;=$B26,IF(base_de_datos[Hora fin]&gt;=$C26,base_de_datos[No clase],""),""),""),""),"")</f>
        <v/>
      </c>
      <c r="J26" s="24" t="str" cm="1">
        <f t="array" aca="1" ref="J26" ca="1">_xlfn.TEXTJOIN(CHAR(10),TRUE,IF(Semestre=INDIRECT("base_de_datos["&amp;Carrera&amp;"]"),IF("x"=base_de_datos[Miércoles],IF(base_de_datos[Hora inicio]&lt;=$B26,IF(base_de_datos[Hora fin]&gt;=$C26,base_de_datos[Materia]&amp;" "&amp;base_de_datos[[Número de grupo ]]&amp;" "&amp;base_de_datos[Profesor],""),""),""),""),"")</f>
        <v>Proyectos de inversión e introducción a la valuación de empresas 1 Francisco de Paula Morales Viesca
Proyectos de inversión e introducción a la valuación de empresas 2 Jorge Quiroga Garza
Proyectos de inversión e introducción a la valuación de empresas 3 Alberto Navarro Pérez</v>
      </c>
      <c r="K26" s="24" t="str" cm="1">
        <f t="array" aca="1" ref="K26" ca="1">_xlfn.TEXTJOIN(CHAR(10),TRUE,IF(Semestre=INDIRECT("base_de_datos["&amp;Carrera&amp;"]"),IF("x"=base_de_datos[Miércoles],IF(base_de_datos[Hora inicio]&lt;=$B26,IF(base_de_datos[Hora fin]&gt;=$C26,base_de_datos[Aula]&amp;" "&amp;base_de_datos[Examen],""),""),""),""),"")</f>
        <v>C-03 2Mi
C-04 2Mi
C-02 2Mi</v>
      </c>
      <c r="L26" s="24" t="str" cm="1">
        <f t="array" aca="1" ref="L26" ca="1">_xlfn.TEXTJOIN(CHAR(10),TRUE,IF(Semestre=INDIRECT("base_de_datos["&amp;Carrera&amp;"]"),IF("x"=base_de_datos[Miércoles],IF(base_de_datos[Hora inicio]&lt;=$B26,IF(base_de_datos[Hora fin]&gt;=$C26,base_de_datos[No clase],""),""),""),""),"")</f>
        <v>1577, 1580, 1583, 1586. 1589
1578, 1581, 1584, 1587, 1590
1579, 1582,1585,  1588, 1591</v>
      </c>
      <c r="M26" s="24" t="str" cm="1">
        <f t="array" aca="1" ref="M26" ca="1">_xlfn.TEXTJOIN(CHAR(10),TRUE,IF(Semestre=INDIRECT("base_de_datos["&amp;Carrera&amp;"]"),IF("x"=base_de_datos[Jueves],IF(base_de_datos[Hora inicio]&lt;=$B26,IF(base_de_datos[Hora fin]&gt;=$C26,base_de_datos[Materia]&amp;" "&amp;base_de_datos[[Número de grupo ]]&amp;" "&amp;base_de_datos[Profesor],""),""),""),""),"")</f>
        <v/>
      </c>
      <c r="N26" s="24" t="str" cm="1">
        <f t="array" aca="1" ref="N26" ca="1">_xlfn.TEXTJOIN(CHAR(10),TRUE,IF(Semestre=INDIRECT("base_de_datos["&amp;Carrera&amp;"]"),IF("x"=base_de_datos[Jueves],IF(base_de_datos[Hora inicio]&lt;=$B26,IF(base_de_datos[Hora fin]&gt;=$C26,base_de_datos[Aula]&amp;" "&amp;base_de_datos[Examen],""),""),""),""),"")</f>
        <v/>
      </c>
      <c r="O26" s="24" t="str" cm="1">
        <f t="array" aca="1" ref="O26" ca="1">_xlfn.TEXTJOIN(CHAR(10),TRUE,IF(Semestre=INDIRECT("base_de_datos["&amp;Carrera&amp;"]"),IF("x"=base_de_datos[Jueves],IF(base_de_datos[Hora inicio]&lt;=$B26,IF(base_de_datos[Hora fin]&gt;=$C26,base_de_datos[No clase],""),""),""),""),"")</f>
        <v/>
      </c>
      <c r="P26" s="24" t="str" cm="1">
        <f t="array" aca="1" ref="P26" ca="1">_xlfn.TEXTJOIN(CHAR(10),TRUE,IF(Semestre=INDIRECT("base_de_datos["&amp;Carrera&amp;"]"),IF("x"=base_de_datos[Viernes],IF(base_de_datos[Hora inicio]&lt;=$B26,IF(base_de_datos[Hora fin]&gt;=$C26,base_de_datos[Materia]&amp;" "&amp;base_de_datos[[Número de grupo ]]&amp;" "&amp;base_de_datos[Profesor],""),""),""),""),"")</f>
        <v/>
      </c>
      <c r="Q26" s="24" t="str" cm="1">
        <f t="array" aca="1" ref="Q26" ca="1">_xlfn.TEXTJOIN(CHAR(10),TRUE,IF(Semestre=INDIRECT("base_de_datos["&amp;Carrera&amp;"]"),IF("x"=base_de_datos[Viernes],IF(base_de_datos[Hora inicio]&lt;=$B26,IF(base_de_datos[Hora fin]&gt;=$C26,base_de_datos[Aula]&amp;" "&amp;base_de_datos[Examen],""),""),""),""),"")</f>
        <v/>
      </c>
      <c r="R26" s="24" t="str" cm="1">
        <f t="array" aca="1" ref="R26" ca="1">_xlfn.TEXTJOIN(CHAR(10),TRUE,IF(Semestre=INDIRECT("base_de_datos["&amp;Carrera&amp;"]"),IF("x"=base_de_datos[Viernes],IF(base_de_datos[Hora inicio]&lt;=$B26,IF(base_de_datos[Hora fin]&gt;=$C26,base_de_datos[No clase],""),""),""),""),"")</f>
        <v/>
      </c>
      <c r="S26" s="24" t="str" cm="1">
        <f t="array" aca="1" ref="S26" ca="1">_xlfn.TEXTJOIN(CHAR(10),TRUE,IF(Semestre=INDIRECT("base_de_datos["&amp;Carrera&amp;"]"),IF("x"=base_de_datos[Sábado],IF(base_de_datos[Hora inicio]&lt;=$B26,IF(base_de_datos[Hora fin]&gt;=$C26,base_de_datos[Materia]&amp;" "&amp;base_de_datos[[Número de grupo ]]&amp;" "&amp;base_de_datos[Profesor],""),""),""),""),"")</f>
        <v/>
      </c>
      <c r="T26" s="24" t="str" cm="1">
        <f t="array" aca="1" ref="T26" ca="1">_xlfn.TEXTJOIN(CHAR(10),TRUE,IF(Semestre=INDIRECT("base_de_datos["&amp;Carrera&amp;"]"),IF("x"=base_de_datos[Sábado],IF(base_de_datos[Hora inicio]&lt;=$B26,IF(base_de_datos[Hora fin]&gt;=$C26,base_de_datos[Aula]&amp;" "&amp;#REF!,""),""),""),""),"")</f>
        <v/>
      </c>
      <c r="U26" s="24" t="str" cm="1">
        <f t="array" aca="1" ref="U26" ca="1">_xlfn.TEXTJOIN(CHAR(10),TRUE,IF(Semestre=INDIRECT("base_de_datos["&amp;Carrera&amp;"]"),IF("x"=base_de_datos[Sábado],IF(base_de_datos[Hora inicio]&lt;=$B26,IF(base_de_datos[Hora fin]&gt;=$C26,base_de_datos[No clase],""),""),""),""),"")</f>
        <v/>
      </c>
      <c r="V26" s="23"/>
      <c r="Z26" s="23"/>
      <c r="AA26" s="23"/>
    </row>
    <row r="27" spans="2:49" ht="120">
      <c r="B27" s="70">
        <v>0.75</v>
      </c>
      <c r="C27" s="70">
        <v>0.77083333333332604</v>
      </c>
      <c r="D27" s="24" t="str" cm="1">
        <f t="array" aca="1" ref="D27" ca="1">_xlfn.TEXTJOIN(CHAR(10),TRUE,IF(Semestre=INDIRECT("base_de_datos["&amp;Carrera&amp;"]"),IF("x"=base_de_datos[Lunes],IF(base_de_datos[Hora inicio]&lt;=$B27,IF(base_de_datos[Hora fin]&gt;=$C27,base_de_datos[Materia]&amp;" "&amp;base_de_datos[[Número de grupo ]]&amp;" "&amp;base_de_datos[Profesor],""),""),""),""),"")</f>
        <v>Optimización y metaheurísticas II 1 Claudia Nallely Sánchez Gómez</v>
      </c>
      <c r="E27" s="24" t="str" cm="1">
        <f t="array" aca="1" ref="E27" ca="1">_xlfn.TEXTJOIN(CHAR(10),TRUE,IF(Semestre=INDIRECT("base_de_datos["&amp;Carrera&amp;"]"),IF("x"=base_de_datos[Lunes],IF(base_de_datos[Hora inicio]&lt;=$B27,IF(base_de_datos[Hora fin]&gt;=$C27,base_de_datos[Aula]&amp;" "&amp;base_de_datos[Examen],""),""),""),""),"")</f>
        <v>Turing 2Lu</v>
      </c>
      <c r="F27" s="24" t="str" cm="1">
        <f t="array" aca="1" ref="F27" ca="1">_xlfn.TEXTJOIN(CHAR(10),TRUE,IF(Semestre=INDIRECT("base_de_datos["&amp;Carrera&amp;"]"),IF("x"=base_de_datos[Lunes],IF(base_de_datos[Hora inicio]&lt;=$B27,IF(base_de_datos[Hora fin]&gt;=$C27,base_de_datos[No clase],""),""),""),""),"")</f>
        <v>1466</v>
      </c>
      <c r="G27" s="24" t="str" cm="1">
        <f t="array" aca="1" ref="G27" ca="1">_xlfn.TEXTJOIN(CHAR(10),TRUE,IF(Semestre=INDIRECT("base_de_datos["&amp;Carrera&amp;"]"),IF("x"=base_de_datos[Martes],IF(base_de_datos[Hora inicio]&lt;=$B27,IF(base_de_datos[Hora fin]&gt;=$C27,base_de_datos[Materia]&amp;" "&amp;base_de_datos[[Número de grupo ]]&amp;" "&amp;base_de_datos[Profesor],""),""),""),""),"")</f>
        <v/>
      </c>
      <c r="H27" s="24" t="str" cm="1">
        <f t="array" aca="1" ref="H27" ca="1">_xlfn.TEXTJOIN(CHAR(10),TRUE,IF(Semestre=INDIRECT("base_de_datos["&amp;Carrera&amp;"]"),IF("x"=base_de_datos[Martes],IF(base_de_datos[Hora inicio]&lt;=$B27,IF(base_de_datos[Hora fin]&gt;=$C27,base_de_datos[Aula]&amp;" "&amp;base_de_datos[Examen],""),""),""),""),"")</f>
        <v/>
      </c>
      <c r="I27" s="24" t="str" cm="1">
        <f t="array" aca="1" ref="I27" ca="1">_xlfn.TEXTJOIN(CHAR(10),TRUE,IF(Semestre=INDIRECT("base_de_datos["&amp;Carrera&amp;"]"),IF("x"=base_de_datos[Martes],IF(base_de_datos[Hora inicio]&lt;=$B27,IF(base_de_datos[Hora fin]&gt;=$C27,base_de_datos[No clase],""),""),""),""),"")</f>
        <v/>
      </c>
      <c r="J27" s="24" t="str" cm="1">
        <f t="array" aca="1" ref="J27" ca="1">_xlfn.TEXTJOIN(CHAR(10),TRUE,IF(Semestre=INDIRECT("base_de_datos["&amp;Carrera&amp;"]"),IF("x"=base_de_datos[Miércoles],IF(base_de_datos[Hora inicio]&lt;=$B27,IF(base_de_datos[Hora fin]&gt;=$C27,base_de_datos[Materia]&amp;" "&amp;base_de_datos[[Número de grupo ]]&amp;" "&amp;base_de_datos[Profesor],""),""),""),""),"")</f>
        <v>Proyectos de inversión e introducción a la valuación de empresas 1 Francisco de Paula Morales Viesca
Proyectos de inversión e introducción a la valuación de empresas 2 Jorge Quiroga Garza
Proyectos de inversión e introducción a la valuación de empresas 3 Alberto Navarro Pérez</v>
      </c>
      <c r="K27" s="24" t="str" cm="1">
        <f t="array" aca="1" ref="K27" ca="1">_xlfn.TEXTJOIN(CHAR(10),TRUE,IF(Semestre=INDIRECT("base_de_datos["&amp;Carrera&amp;"]"),IF("x"=base_de_datos[Miércoles],IF(base_de_datos[Hora inicio]&lt;=$B27,IF(base_de_datos[Hora fin]&gt;=$C27,base_de_datos[Aula]&amp;" "&amp;base_de_datos[Examen],""),""),""),""),"")</f>
        <v>C-03 2Mi
C-04 2Mi
C-02 2Mi</v>
      </c>
      <c r="L27" s="24" t="str" cm="1">
        <f t="array" aca="1" ref="L27" ca="1">_xlfn.TEXTJOIN(CHAR(10),TRUE,IF(Semestre=INDIRECT("base_de_datos["&amp;Carrera&amp;"]"),IF("x"=base_de_datos[Miércoles],IF(base_de_datos[Hora inicio]&lt;=$B27,IF(base_de_datos[Hora fin]&gt;=$C27,base_de_datos[No clase],""),""),""),""),"")</f>
        <v>1577, 1580, 1583, 1586. 1589
1578, 1581, 1584, 1587, 1590
1579, 1582,1585,  1588, 1591</v>
      </c>
      <c r="M27" s="24" t="str" cm="1">
        <f t="array" aca="1" ref="M27" ca="1">_xlfn.TEXTJOIN(CHAR(10),TRUE,IF(Semestre=INDIRECT("base_de_datos["&amp;Carrera&amp;"]"),IF("x"=base_de_datos[Jueves],IF(base_de_datos[Hora inicio]&lt;=$B27,IF(base_de_datos[Hora fin]&gt;=$C27,base_de_datos[Materia]&amp;" "&amp;base_de_datos[[Número de grupo ]]&amp;" "&amp;base_de_datos[Profesor],""),""),""),""),"")</f>
        <v/>
      </c>
      <c r="N27" s="24" t="str" cm="1">
        <f t="array" aca="1" ref="N27" ca="1">_xlfn.TEXTJOIN(CHAR(10),TRUE,IF(Semestre=INDIRECT("base_de_datos["&amp;Carrera&amp;"]"),IF("x"=base_de_datos[Jueves],IF(base_de_datos[Hora inicio]&lt;=$B27,IF(base_de_datos[Hora fin]&gt;=$C27,base_de_datos[Aula]&amp;" "&amp;base_de_datos[Examen],""),""),""),""),"")</f>
        <v/>
      </c>
      <c r="O27" s="24" t="str" cm="1">
        <f t="array" aca="1" ref="O27" ca="1">_xlfn.TEXTJOIN(CHAR(10),TRUE,IF(Semestre=INDIRECT("base_de_datos["&amp;Carrera&amp;"]"),IF("x"=base_de_datos[Jueves],IF(base_de_datos[Hora inicio]&lt;=$B27,IF(base_de_datos[Hora fin]&gt;=$C27,base_de_datos[No clase],""),""),""),""),"")</f>
        <v/>
      </c>
      <c r="P27" s="24" t="str" cm="1">
        <f t="array" aca="1" ref="P27" ca="1">_xlfn.TEXTJOIN(CHAR(10),TRUE,IF(Semestre=INDIRECT("base_de_datos["&amp;Carrera&amp;"]"),IF("x"=base_de_datos[Viernes],IF(base_de_datos[Hora inicio]&lt;=$B27,IF(base_de_datos[Hora fin]&gt;=$C27,base_de_datos[Materia]&amp;" "&amp;base_de_datos[[Número de grupo ]]&amp;" "&amp;base_de_datos[Profesor],""),""),""),""),"")</f>
        <v/>
      </c>
      <c r="Q27" s="24" t="str" cm="1">
        <f t="array" aca="1" ref="Q27" ca="1">_xlfn.TEXTJOIN(CHAR(10),TRUE,IF(Semestre=INDIRECT("base_de_datos["&amp;Carrera&amp;"]"),IF("x"=base_de_datos[Viernes],IF(base_de_datos[Hora inicio]&lt;=$B27,IF(base_de_datos[Hora fin]&gt;=$C27,base_de_datos[Aula]&amp;" "&amp;base_de_datos[Examen],""),""),""),""),"")</f>
        <v/>
      </c>
      <c r="R27" s="24" t="str" cm="1">
        <f t="array" aca="1" ref="R27" ca="1">_xlfn.TEXTJOIN(CHAR(10),TRUE,IF(Semestre=INDIRECT("base_de_datos["&amp;Carrera&amp;"]"),IF("x"=base_de_datos[Viernes],IF(base_de_datos[Hora inicio]&lt;=$B27,IF(base_de_datos[Hora fin]&gt;=$C27,base_de_datos[No clase],""),""),""),""),"")</f>
        <v/>
      </c>
      <c r="S27" s="24" t="str" cm="1">
        <f t="array" aca="1" ref="S27" ca="1">_xlfn.TEXTJOIN(CHAR(10),TRUE,IF(Semestre=INDIRECT("base_de_datos["&amp;Carrera&amp;"]"),IF("x"=base_de_datos[Sábado],IF(base_de_datos[Hora inicio]&lt;=$B27,IF(base_de_datos[Hora fin]&gt;=$C27,base_de_datos[Materia]&amp;" "&amp;base_de_datos[[Número de grupo ]]&amp;" "&amp;base_de_datos[Profesor],""),""),""),""),"")</f>
        <v/>
      </c>
      <c r="T27" s="24" t="str" cm="1">
        <f t="array" aca="1" ref="T27" ca="1">_xlfn.TEXTJOIN(CHAR(10),TRUE,IF(Semestre=INDIRECT("base_de_datos["&amp;Carrera&amp;"]"),IF("x"=base_de_datos[Sábado],IF(base_de_datos[Hora inicio]&lt;=$B27,IF(base_de_datos[Hora fin]&gt;=$C27,base_de_datos[Aula]&amp;" "&amp;#REF!,""),""),""),""),"")</f>
        <v/>
      </c>
      <c r="U27" s="24" t="str" cm="1">
        <f t="array" aca="1" ref="U27" ca="1">_xlfn.TEXTJOIN(CHAR(10),TRUE,IF(Semestre=INDIRECT("base_de_datos["&amp;Carrera&amp;"]"),IF("x"=base_de_datos[Sábado],IF(base_de_datos[Hora inicio]&lt;=$B27,IF(base_de_datos[Hora fin]&gt;=$C27,base_de_datos[No clase],""),""),""),""),"")</f>
        <v/>
      </c>
      <c r="V27" s="23"/>
      <c r="Z27" s="23"/>
      <c r="AA27" s="23"/>
    </row>
    <row r="28" spans="2:49" ht="120">
      <c r="B28" s="70">
        <v>0.77083333333333304</v>
      </c>
      <c r="C28" s="70">
        <v>0.79166666666665897</v>
      </c>
      <c r="D28" s="24" t="str" cm="1">
        <f t="array" aca="1" ref="D28" ca="1">_xlfn.TEXTJOIN(CHAR(10),TRUE,IF(Semestre=INDIRECT("base_de_datos["&amp;Carrera&amp;"]"),IF("x"=base_de_datos[Lunes],IF(base_de_datos[Hora inicio]&lt;=$B28,IF(base_de_datos[Hora fin]&gt;=$C28,base_de_datos[Materia]&amp;" "&amp;base_de_datos[[Número de grupo ]]&amp;" "&amp;base_de_datos[Profesor],""),""),""),""),"")</f>
        <v>Optimización y metaheurísticas II 1 Claudia Nallely Sánchez Gómez</v>
      </c>
      <c r="E28" s="24" t="str" cm="1">
        <f t="array" aca="1" ref="E28" ca="1">_xlfn.TEXTJOIN(CHAR(10),TRUE,IF(Semestre=INDIRECT("base_de_datos["&amp;Carrera&amp;"]"),IF("x"=base_de_datos[Lunes],IF(base_de_datos[Hora inicio]&lt;=$B28,IF(base_de_datos[Hora fin]&gt;=$C28,base_de_datos[Aula]&amp;" "&amp;base_de_datos[Examen],""),""),""),""),"")</f>
        <v>Turing 2Lu</v>
      </c>
      <c r="F28" s="24" t="str" cm="1">
        <f t="array" aca="1" ref="F28" ca="1">_xlfn.TEXTJOIN(CHAR(10),TRUE,IF(Semestre=INDIRECT("base_de_datos["&amp;Carrera&amp;"]"),IF("x"=base_de_datos[Lunes],IF(base_de_datos[Hora inicio]&lt;=$B28,IF(base_de_datos[Hora fin]&gt;=$C28,base_de_datos[No clase],""),""),""),""),"")</f>
        <v>1466</v>
      </c>
      <c r="G28" s="24" t="str" cm="1">
        <f t="array" aca="1" ref="G28" ca="1">_xlfn.TEXTJOIN(CHAR(10),TRUE,IF(Semestre=INDIRECT("base_de_datos["&amp;Carrera&amp;"]"),IF("x"=base_de_datos[Martes],IF(base_de_datos[Hora inicio]&lt;=$B28,IF(base_de_datos[Hora fin]&gt;=$C28,base_de_datos[Materia]&amp;" "&amp;base_de_datos[[Número de grupo ]]&amp;" "&amp;base_de_datos[Profesor],""),""),""),""),"")</f>
        <v/>
      </c>
      <c r="H28" s="24" t="str" cm="1">
        <f t="array" aca="1" ref="H28" ca="1">_xlfn.TEXTJOIN(CHAR(10),TRUE,IF(Semestre=INDIRECT("base_de_datos["&amp;Carrera&amp;"]"),IF("x"=base_de_datos[Martes],IF(base_de_datos[Hora inicio]&lt;=$B28,IF(base_de_datos[Hora fin]&gt;=$C28,base_de_datos[Aula]&amp;" "&amp;base_de_datos[Examen],""),""),""),""),"")</f>
        <v/>
      </c>
      <c r="I28" s="24" t="str" cm="1">
        <f t="array" aca="1" ref="I28" ca="1">_xlfn.TEXTJOIN(CHAR(10),TRUE,IF(Semestre=INDIRECT("base_de_datos["&amp;Carrera&amp;"]"),IF("x"=base_de_datos[Martes],IF(base_de_datos[Hora inicio]&lt;=$B28,IF(base_de_datos[Hora fin]&gt;=$C28,base_de_datos[No clase],""),""),""),""),"")</f>
        <v/>
      </c>
      <c r="J28" s="24" t="str" cm="1">
        <f t="array" aca="1" ref="J28" ca="1">_xlfn.TEXTJOIN(CHAR(10),TRUE,IF(Semestre=INDIRECT("base_de_datos["&amp;Carrera&amp;"]"),IF("x"=base_de_datos[Miércoles],IF(base_de_datos[Hora inicio]&lt;=$B28,IF(base_de_datos[Hora fin]&gt;=$C28,base_de_datos[Materia]&amp;" "&amp;base_de_datos[[Número de grupo ]]&amp;" "&amp;base_de_datos[Profesor],""),""),""),""),"")</f>
        <v>Proyectos de inversión e introducción a la valuación de empresas 1 Francisco de Paula Morales Viesca
Proyectos de inversión e introducción a la valuación de empresas 2 Jorge Quiroga Garza
Proyectos de inversión e introducción a la valuación de empresas 3 Alberto Navarro Pérez</v>
      </c>
      <c r="K28" s="137" t="str" cm="1">
        <f t="array" aca="1" ref="K28" ca="1">_xlfn.TEXTJOIN(CHAR(10),TRUE,IF(Semestre=INDIRECT("base_de_datos["&amp;Carrera&amp;"]"),IF("x"=base_de_datos[Miércoles],IF(base_de_datos[Hora inicio]&lt;=$B28,IF(base_de_datos[Hora fin]&gt;=$C28,base_de_datos[Aula]&amp;" "&amp;base_de_datos[Examen],""),""),""),""),"")</f>
        <v>C-03 2Mi
C-04 2Mi
C-02 2Mi</v>
      </c>
      <c r="L28" s="24" t="str" cm="1">
        <f t="array" aca="1" ref="L28" ca="1">_xlfn.TEXTJOIN(CHAR(10),TRUE,IF(Semestre=INDIRECT("base_de_datos["&amp;Carrera&amp;"]"),IF("x"=base_de_datos[Miércoles],IF(base_de_datos[Hora inicio]&lt;=$B28,IF(base_de_datos[Hora fin]&gt;=$C28,base_de_datos[No clase],""),""),""),""),"")</f>
        <v>1577, 1580, 1583, 1586. 1589
1578, 1581, 1584, 1587, 1590
1579, 1582,1585,  1588, 1591</v>
      </c>
      <c r="M28" s="24" t="str" cm="1">
        <f t="array" aca="1" ref="M28" ca="1">_xlfn.TEXTJOIN(CHAR(10),TRUE,IF(Semestre=INDIRECT("base_de_datos["&amp;Carrera&amp;"]"),IF("x"=base_de_datos[Jueves],IF(base_de_datos[Hora inicio]&lt;=$B28,IF(base_de_datos[Hora fin]&gt;=$C28,base_de_datos[Materia]&amp;" "&amp;base_de_datos[[Número de grupo ]]&amp;" "&amp;base_de_datos[Profesor],""),""),""),""),"")</f>
        <v/>
      </c>
      <c r="N28" s="24" t="str" cm="1">
        <f t="array" aca="1" ref="N28" ca="1">_xlfn.TEXTJOIN(CHAR(10),TRUE,IF(Semestre=INDIRECT("base_de_datos["&amp;Carrera&amp;"]"),IF("x"=base_de_datos[Jueves],IF(base_de_datos[Hora inicio]&lt;=$B28,IF(base_de_datos[Hora fin]&gt;=$C28,base_de_datos[Aula]&amp;" "&amp;base_de_datos[Examen],""),""),""),""),"")</f>
        <v/>
      </c>
      <c r="O28" s="24" t="str" cm="1">
        <f t="array" aca="1" ref="O28" ca="1">_xlfn.TEXTJOIN(CHAR(10),TRUE,IF(Semestre=INDIRECT("base_de_datos["&amp;Carrera&amp;"]"),IF("x"=base_de_datos[Jueves],IF(base_de_datos[Hora inicio]&lt;=$B28,IF(base_de_datos[Hora fin]&gt;=$C28,base_de_datos[No clase],""),""),""),""),"")</f>
        <v/>
      </c>
      <c r="P28" s="24" t="str" cm="1">
        <f t="array" aca="1" ref="P28" ca="1">_xlfn.TEXTJOIN(CHAR(10),TRUE,IF(Semestre=INDIRECT("base_de_datos["&amp;Carrera&amp;"]"),IF("x"=base_de_datos[Viernes],IF(base_de_datos[Hora inicio]&lt;=$B28,IF(base_de_datos[Hora fin]&gt;=$C28,base_de_datos[Materia]&amp;" "&amp;base_de_datos[[Número de grupo ]]&amp;" "&amp;base_de_datos[Profesor],""),""),""),""),"")</f>
        <v/>
      </c>
      <c r="Q28" s="24" t="str" cm="1">
        <f t="array" aca="1" ref="Q28" ca="1">_xlfn.TEXTJOIN(CHAR(10),TRUE,IF(Semestre=INDIRECT("base_de_datos["&amp;Carrera&amp;"]"),IF("x"=base_de_datos[Viernes],IF(base_de_datos[Hora inicio]&lt;=$B28,IF(base_de_datos[Hora fin]&gt;=$C28,base_de_datos[Aula]&amp;" "&amp;base_de_datos[Examen],""),""),""),""),"")</f>
        <v/>
      </c>
      <c r="R28" s="24" t="str" cm="1">
        <f t="array" aca="1" ref="R28" ca="1">_xlfn.TEXTJOIN(CHAR(10),TRUE,IF(Semestre=INDIRECT("base_de_datos["&amp;Carrera&amp;"]"),IF("x"=base_de_datos[Viernes],IF(base_de_datos[Hora inicio]&lt;=$B28,IF(base_de_datos[Hora fin]&gt;=$C28,base_de_datos[No clase],""),""),""),""),"")</f>
        <v/>
      </c>
      <c r="S28" s="24" t="str" cm="1">
        <f t="array" aca="1" ref="S28" ca="1">_xlfn.TEXTJOIN(CHAR(10),TRUE,IF(Semestre=INDIRECT("base_de_datos["&amp;Carrera&amp;"]"),IF("x"=base_de_datos[Sábado],IF(base_de_datos[Hora inicio]&lt;=$B28,IF(base_de_datos[Hora fin]&gt;=$C28,base_de_datos[Materia]&amp;" "&amp;base_de_datos[[Número de grupo ]]&amp;" "&amp;base_de_datos[Profesor],""),""),""),""),"")</f>
        <v/>
      </c>
      <c r="T28" s="24" t="str" cm="1">
        <f t="array" aca="1" ref="T28" ca="1">_xlfn.TEXTJOIN(CHAR(10),TRUE,IF(Semestre=INDIRECT("base_de_datos["&amp;Carrera&amp;"]"),IF("x"=base_de_datos[Sábado],IF(base_de_datos[Hora inicio]&lt;=$B28,IF(base_de_datos[Hora fin]&gt;=$C28,base_de_datos[Aula]&amp;" "&amp;#REF!,""),""),""),""),"")</f>
        <v/>
      </c>
      <c r="U28" s="24" t="str" cm="1">
        <f t="array" aca="1" ref="U28" ca="1">_xlfn.TEXTJOIN(CHAR(10),TRUE,IF(Semestre=INDIRECT("base_de_datos["&amp;Carrera&amp;"]"),IF("x"=base_de_datos[Sábado],IF(base_de_datos[Hora inicio]&lt;=$B28,IF(base_de_datos[Hora fin]&gt;=$C28,base_de_datos[No clase],""),""),""),""),"")</f>
        <v/>
      </c>
      <c r="V28" s="23"/>
      <c r="Z28" s="23"/>
      <c r="AA28" s="23"/>
    </row>
    <row r="29" spans="2:49" ht="120">
      <c r="B29" s="70">
        <v>0.79166666666666696</v>
      </c>
      <c r="C29" s="70">
        <v>0.81249999999999201</v>
      </c>
      <c r="D29" s="24" t="str" cm="1">
        <f t="array" aca="1" ref="D29" ca="1">_xlfn.TEXTJOIN(CHAR(10),TRUE,IF(Semestre=INDIRECT("base_de_datos["&amp;Carrera&amp;"]"),IF("x"=base_de_datos[Lunes],IF(base_de_datos[Hora inicio]&lt;=$B29,IF(base_de_datos[Hora fin]&gt;=$C29,base_de_datos[Materia]&amp;" "&amp;base_de_datos[[Número de grupo ]]&amp;" "&amp;base_de_datos[Profesor],""),""),""),""),"")</f>
        <v>Optimización y metaheurísticas II 1 Claudia Nallely Sánchez Gómez</v>
      </c>
      <c r="E29" s="24" t="str" cm="1">
        <f t="array" aca="1" ref="E29" ca="1">_xlfn.TEXTJOIN(CHAR(10),TRUE,IF(Semestre=INDIRECT("base_de_datos["&amp;Carrera&amp;"]"),IF("x"=base_de_datos[Lunes],IF(base_de_datos[Hora inicio]&lt;=$B29,IF(base_de_datos[Hora fin]&gt;=$C29,base_de_datos[Aula]&amp;" "&amp;base_de_datos[Examen],""),""),""),""),"")</f>
        <v>Turing 2Lu</v>
      </c>
      <c r="F29" s="24" t="str" cm="1">
        <f t="array" aca="1" ref="F29" ca="1">_xlfn.TEXTJOIN(CHAR(10),TRUE,IF(Semestre=INDIRECT("base_de_datos["&amp;Carrera&amp;"]"),IF("x"=base_de_datos[Lunes],IF(base_de_datos[Hora inicio]&lt;=$B29,IF(base_de_datos[Hora fin]&gt;=$C29,base_de_datos[No clase],""),""),""),""),"")</f>
        <v>1466</v>
      </c>
      <c r="G29" s="24" t="str" cm="1">
        <f t="array" aca="1" ref="G29" ca="1">_xlfn.TEXTJOIN(CHAR(10),TRUE,IF(Semestre=INDIRECT("base_de_datos["&amp;Carrera&amp;"]"),IF("x"=base_de_datos[Martes],IF(base_de_datos[Hora inicio]&lt;=$B29,IF(base_de_datos[Hora fin]&gt;=$C29,base_de_datos[Materia]&amp;" "&amp;base_de_datos[[Número de grupo ]]&amp;" "&amp;base_de_datos[Profesor],""),""),""),""),"")</f>
        <v>Hombre y mundo contemporáneo 1 Carlos Humberto Acosta Gastelúm
Hombre y mundo contemporáneo 2 Humberto Pacheco Martínez
Hombre y mundo contemporáneo 3 Ethel Beatriz Junco de Calabrese</v>
      </c>
      <c r="H29" s="24" t="str" cm="1">
        <f t="array" aca="1" ref="H29" ca="1">_xlfn.TEXTJOIN(CHAR(10),TRUE,IF(Semestre=INDIRECT("base_de_datos["&amp;Carrera&amp;"]"),IF("x"=base_de_datos[Martes],IF(base_de_datos[Hora inicio]&lt;=$B29,IF(base_de_datos[Hora fin]&gt;=$C29,base_de_datos[Aula]&amp;" "&amp;base_de_datos[Examen],""),""),""),""),"")</f>
        <v>C-24 1Ma
D-02 1Ma
D-03 1Ma</v>
      </c>
      <c r="I29" s="24" t="str" cm="1">
        <f t="array" aca="1" ref="I29" ca="1">_xlfn.TEXTJOIN(CHAR(10),TRUE,IF(Semestre=INDIRECT("base_de_datos["&amp;Carrera&amp;"]"),IF("x"=base_de_datos[Martes],IF(base_de_datos[Hora inicio]&lt;=$B29,IF(base_de_datos[Hora fin]&gt;=$C29,base_de_datos[No clase],""),""),""),""),"")</f>
        <v>2240, 2243, 2220
2241, 2244, 2246
2242, 2245, 2247</v>
      </c>
      <c r="J29" s="24" t="str" cm="1">
        <f t="array" aca="1" ref="J29" ca="1">_xlfn.TEXTJOIN(CHAR(10),TRUE,IF(Semestre=INDIRECT("base_de_datos["&amp;Carrera&amp;"]"),IF("x"=base_de_datos[Miércoles],IF(base_de_datos[Hora inicio]&lt;=$B29,IF(base_de_datos[Hora fin]&gt;=$C29,base_de_datos[Materia]&amp;" "&amp;base_de_datos[[Número de grupo ]]&amp;" "&amp;base_de_datos[Profesor],""),""),""),""),"")</f>
        <v>Proyectos de inversión e introducción a la valuación de empresas 1 Francisco de Paula Morales Viesca
Proyectos de inversión e introducción a la valuación de empresas 2 Jorge Quiroga Garza
Proyectos de inversión e introducción a la valuación de empresas 3 Alberto Navarro Pérez</v>
      </c>
      <c r="K29" s="24" t="str" cm="1">
        <f t="array" aca="1" ref="K29" ca="1">_xlfn.TEXTJOIN(CHAR(10),TRUE,IF(Semestre=INDIRECT("base_de_datos["&amp;Carrera&amp;"]"),IF("x"=base_de_datos[Miércoles],IF(base_de_datos[Hora inicio]&lt;=$B29,IF(base_de_datos[Hora fin]&gt;=$C29,base_de_datos[Aula]&amp;" "&amp;base_de_datos[Examen],""),""),""),""),"")</f>
        <v>C-03 2Mi
C-04 2Mi
C-02 2Mi</v>
      </c>
      <c r="L29" s="24" t="str" cm="1">
        <f t="array" aca="1" ref="L29" ca="1">_xlfn.TEXTJOIN(CHAR(10),TRUE,IF(Semestre=INDIRECT("base_de_datos["&amp;Carrera&amp;"]"),IF("x"=base_de_datos[Miércoles],IF(base_de_datos[Hora inicio]&lt;=$B29,IF(base_de_datos[Hora fin]&gt;=$C29,base_de_datos[No clase],""),""),""),""),"")</f>
        <v>1577, 1580, 1583, 1586. 1589
1578, 1581, 1584, 1587, 1590
1579, 1582,1585,  1588, 1591</v>
      </c>
      <c r="M29" s="24" t="str" cm="1">
        <f t="array" aca="1" ref="M29" ca="1">_xlfn.TEXTJOIN(CHAR(10),TRUE,IF(Semestre=INDIRECT("base_de_datos["&amp;Carrera&amp;"]"),IF("x"=base_de_datos[Jueves],IF(base_de_datos[Hora inicio]&lt;=$B29,IF(base_de_datos[Hora fin]&gt;=$C29,base_de_datos[Materia]&amp;" "&amp;base_de_datos[[Número de grupo ]]&amp;" "&amp;base_de_datos[Profesor],""),""),""),""),"")</f>
        <v>Cómputo distribuido 1 Alfredo Márquez Martínez</v>
      </c>
      <c r="N29" s="24" t="str" cm="1">
        <f t="array" aca="1" ref="N29" ca="1">_xlfn.TEXTJOIN(CHAR(10),TRUE,IF(Semestre=INDIRECT("base_de_datos["&amp;Carrera&amp;"]"),IF("x"=base_de_datos[Jueves],IF(base_de_datos[Hora inicio]&lt;=$B29,IF(base_de_datos[Hora fin]&gt;=$C29,base_de_datos[Aula]&amp;" "&amp;base_de_datos[Examen],""),""),""),""),"")</f>
        <v>A-21 1Ju</v>
      </c>
      <c r="O29" s="24" t="str" cm="1">
        <f t="array" aca="1" ref="O29" ca="1">_xlfn.TEXTJOIN(CHAR(10),TRUE,IF(Semestre=INDIRECT("base_de_datos["&amp;Carrera&amp;"]"),IF("x"=base_de_datos[Jueves],IF(base_de_datos[Hora inicio]&lt;=$B29,IF(base_de_datos[Hora fin]&gt;=$C29,base_de_datos[No clase],""),""),""),""),"")</f>
        <v>1502</v>
      </c>
      <c r="P29" s="24" t="str" cm="1">
        <f t="array" aca="1" ref="P29" ca="1">_xlfn.TEXTJOIN(CHAR(10),TRUE,IF(Semestre=INDIRECT("base_de_datos["&amp;Carrera&amp;"]"),IF("x"=base_de_datos[Viernes],IF(base_de_datos[Hora inicio]&lt;=$B29,IF(base_de_datos[Hora fin]&gt;=$C29,base_de_datos[Materia]&amp;" "&amp;base_de_datos[[Número de grupo ]]&amp;" "&amp;base_de_datos[Profesor],""),""),""),""),"")</f>
        <v>Desarrollo de aplicaciones para dispositivos inteligentes 1 Luis Manuel Ortiz de la Torre</v>
      </c>
      <c r="Q29" s="24" t="str" cm="1">
        <f t="array" aca="1" ref="Q29" ca="1">_xlfn.TEXTJOIN(CHAR(10),TRUE,IF(Semestre=INDIRECT("base_de_datos["&amp;Carrera&amp;"]"),IF("x"=base_de_datos[Viernes],IF(base_de_datos[Hora inicio]&lt;=$B29,IF(base_de_datos[Hora fin]&gt;=$C29,base_de_datos[Aula]&amp;" "&amp;base_de_datos[Examen],""),""),""),""),"")</f>
        <v>MIT 1Vi</v>
      </c>
      <c r="R29" s="24" t="str" cm="1">
        <f t="array" aca="1" ref="R29" ca="1">_xlfn.TEXTJOIN(CHAR(10),TRUE,IF(Semestre=INDIRECT("base_de_datos["&amp;Carrera&amp;"]"),IF("x"=base_de_datos[Viernes],IF(base_de_datos[Hora inicio]&lt;=$B29,IF(base_de_datos[Hora fin]&gt;=$C29,base_de_datos[No clase],""),""),""),""),"")</f>
        <v>1505 (7IIA, BIO)</v>
      </c>
      <c r="S29" s="24" t="str" cm="1">
        <f t="array" aca="1" ref="S29" ca="1">_xlfn.TEXTJOIN(CHAR(10),TRUE,IF(Semestre=INDIRECT("base_de_datos["&amp;Carrera&amp;"]"),IF("x"=base_de_datos[Sábado],IF(base_de_datos[Hora inicio]&lt;=$B29,IF(base_de_datos[Hora fin]&gt;=$C29,base_de_datos[Materia]&amp;" "&amp;base_de_datos[[Número de grupo ]]&amp;" "&amp;base_de_datos[Profesor],""),""),""),""),"")</f>
        <v/>
      </c>
      <c r="T29" s="24" t="str" cm="1">
        <f t="array" aca="1" ref="T29" ca="1">_xlfn.TEXTJOIN(CHAR(10),TRUE,IF(Semestre=INDIRECT("base_de_datos["&amp;Carrera&amp;"]"),IF("x"=base_de_datos[Sábado],IF(base_de_datos[Hora inicio]&lt;=$B29,IF(base_de_datos[Hora fin]&gt;=$C29,base_de_datos[Aula]&amp;" "&amp;#REF!,""),""),""),""),"")</f>
        <v/>
      </c>
      <c r="U29" s="24" t="str" cm="1">
        <f t="array" aca="1" ref="U29" ca="1">_xlfn.TEXTJOIN(CHAR(10),TRUE,IF(Semestre=INDIRECT("base_de_datos["&amp;Carrera&amp;"]"),IF("x"=base_de_datos[Sábado],IF(base_de_datos[Hora inicio]&lt;=$B29,IF(base_de_datos[Hora fin]&gt;=$C29,base_de_datos[No clase],""),""),""),""),"")</f>
        <v/>
      </c>
      <c r="V29" s="23"/>
      <c r="Z29" s="23"/>
      <c r="AA29" s="23"/>
    </row>
    <row r="30" spans="2:49" ht="120">
      <c r="B30" s="70">
        <v>0.8125</v>
      </c>
      <c r="C30" s="70">
        <v>0.83333333333332504</v>
      </c>
      <c r="D30" s="24" t="str" cm="1">
        <f t="array" aca="1" ref="D30" ca="1">_xlfn.TEXTJOIN(CHAR(10),TRUE,IF(Semestre=INDIRECT("base_de_datos["&amp;Carrera&amp;"]"),IF("x"=base_de_datos[Lunes],IF(base_de_datos[Hora inicio]&lt;=$B30,IF(base_de_datos[Hora fin]&gt;=$C30,base_de_datos[Materia]&amp;" "&amp;base_de_datos[[Número de grupo ]]&amp;" "&amp;base_de_datos[Profesor],""),""),""),""),"")</f>
        <v>Optimización y metaheurísticas II 1 Claudia Nallely Sánchez Gómez</v>
      </c>
      <c r="E30" s="24" t="str" cm="1">
        <f t="array" aca="1" ref="E30" ca="1">_xlfn.TEXTJOIN(CHAR(10),TRUE,IF(Semestre=INDIRECT("base_de_datos["&amp;Carrera&amp;"]"),IF("x"=base_de_datos[Lunes],IF(base_de_datos[Hora inicio]&lt;=$B30,IF(base_de_datos[Hora fin]&gt;=$C30,base_de_datos[Aula]&amp;" "&amp;base_de_datos[Examen],""),""),""),""),"")</f>
        <v>Turing 2Lu</v>
      </c>
      <c r="F30" s="24" t="str" cm="1">
        <f t="array" aca="1" ref="F30" ca="1">_xlfn.TEXTJOIN(CHAR(10),TRUE,IF(Semestre=INDIRECT("base_de_datos["&amp;Carrera&amp;"]"),IF("x"=base_de_datos[Lunes],IF(base_de_datos[Hora inicio]&lt;=$B30,IF(base_de_datos[Hora fin]&gt;=$C30,base_de_datos[No clase],""),""),""),""),"")</f>
        <v>1466</v>
      </c>
      <c r="G30" s="24" t="str" cm="1">
        <f t="array" aca="1" ref="G30" ca="1">_xlfn.TEXTJOIN(CHAR(10),TRUE,IF(Semestre=INDIRECT("base_de_datos["&amp;Carrera&amp;"]"),IF("x"=base_de_datos[Martes],IF(base_de_datos[Hora inicio]&lt;=$B30,IF(base_de_datos[Hora fin]&gt;=$C30,base_de_datos[Materia]&amp;" "&amp;base_de_datos[[Número de grupo ]]&amp;" "&amp;base_de_datos[Profesor],""),""),""),""),"")</f>
        <v>Hombre y mundo contemporáneo 1 Carlos Humberto Acosta Gastelúm
Hombre y mundo contemporáneo 2 Humberto Pacheco Martínez
Hombre y mundo contemporáneo 3 Ethel Beatriz Junco de Calabrese</v>
      </c>
      <c r="H30" s="24" t="str" cm="1">
        <f t="array" aca="1" ref="H30" ca="1">_xlfn.TEXTJOIN(CHAR(10),TRUE,IF(Semestre=INDIRECT("base_de_datos["&amp;Carrera&amp;"]"),IF("x"=base_de_datos[Martes],IF(base_de_datos[Hora inicio]&lt;=$B30,IF(base_de_datos[Hora fin]&gt;=$C30,base_de_datos[Aula]&amp;" "&amp;base_de_datos[Examen],""),""),""),""),"")</f>
        <v>C-24 1Ma
D-02 1Ma
D-03 1Ma</v>
      </c>
      <c r="I30" s="24" t="str" cm="1">
        <f t="array" aca="1" ref="I30" ca="1">_xlfn.TEXTJOIN(CHAR(10),TRUE,IF(Semestre=INDIRECT("base_de_datos["&amp;Carrera&amp;"]"),IF("x"=base_de_datos[Martes],IF(base_de_datos[Hora inicio]&lt;=$B30,IF(base_de_datos[Hora fin]&gt;=$C30,base_de_datos[No clase],""),""),""),""),"")</f>
        <v>2240, 2243, 2220
2241, 2244, 2246
2242, 2245, 2247</v>
      </c>
      <c r="J30" s="24" t="str" cm="1">
        <f t="array" aca="1" ref="J30" ca="1">_xlfn.TEXTJOIN(CHAR(10),TRUE,IF(Semestre=INDIRECT("base_de_datos["&amp;Carrera&amp;"]"),IF("x"=base_de_datos[Miércoles],IF(base_de_datos[Hora inicio]&lt;=$B30,IF(base_de_datos[Hora fin]&gt;=$C30,base_de_datos[Materia]&amp;" "&amp;base_de_datos[[Número de grupo ]]&amp;" "&amp;base_de_datos[Profesor],""),""),""),""),"")</f>
        <v>Proyectos de inversión e introducción a la valuación de empresas 1 Francisco de Paula Morales Viesca
Proyectos de inversión e introducción a la valuación de empresas 2 Jorge Quiroga Garza
Proyectos de inversión e introducción a la valuación de empresas 3 Alberto Navarro Pérez</v>
      </c>
      <c r="K30" s="24" t="str" cm="1">
        <f t="array" aca="1" ref="K30" ca="1">_xlfn.TEXTJOIN(CHAR(10),TRUE,IF(Semestre=INDIRECT("base_de_datos["&amp;Carrera&amp;"]"),IF("x"=base_de_datos[Miércoles],IF(base_de_datos[Hora inicio]&lt;=$B30,IF(base_de_datos[Hora fin]&gt;=$C30,base_de_datos[Aula]&amp;" "&amp;base_de_datos[Examen],""),""),""),""),"")</f>
        <v>C-03 2Mi
C-04 2Mi
C-02 2Mi</v>
      </c>
      <c r="L30" s="24" t="str" cm="1">
        <f t="array" aca="1" ref="L30" ca="1">_xlfn.TEXTJOIN(CHAR(10),TRUE,IF(Semestre=INDIRECT("base_de_datos["&amp;Carrera&amp;"]"),IF("x"=base_de_datos[Miércoles],IF(base_de_datos[Hora inicio]&lt;=$B30,IF(base_de_datos[Hora fin]&gt;=$C30,base_de_datos[No clase],""),""),""),""),"")</f>
        <v>1577, 1580, 1583, 1586. 1589
1578, 1581, 1584, 1587, 1590
1579, 1582,1585,  1588, 1591</v>
      </c>
      <c r="M30" s="24" t="str" cm="1">
        <f t="array" aca="1" ref="M30" ca="1">_xlfn.TEXTJOIN(CHAR(10),TRUE,IF(Semestre=INDIRECT("base_de_datos["&amp;Carrera&amp;"]"),IF("x"=base_de_datos[Jueves],IF(base_de_datos[Hora inicio]&lt;=$B30,IF(base_de_datos[Hora fin]&gt;=$C30,base_de_datos[Materia]&amp;" "&amp;base_de_datos[[Número de grupo ]]&amp;" "&amp;base_de_datos[Profesor],""),""),""),""),"")</f>
        <v>Cómputo distribuido 1 Alfredo Márquez Martínez</v>
      </c>
      <c r="N30" s="24" t="str" cm="1">
        <f t="array" aca="1" ref="N30" ca="1">_xlfn.TEXTJOIN(CHAR(10),TRUE,IF(Semestre=INDIRECT("base_de_datos["&amp;Carrera&amp;"]"),IF("x"=base_de_datos[Jueves],IF(base_de_datos[Hora inicio]&lt;=$B30,IF(base_de_datos[Hora fin]&gt;=$C30,base_de_datos[Aula]&amp;" "&amp;base_de_datos[Examen],""),""),""),""),"")</f>
        <v>A-21 1Ju</v>
      </c>
      <c r="O30" s="24" t="str" cm="1">
        <f t="array" aca="1" ref="O30" ca="1">_xlfn.TEXTJOIN(CHAR(10),TRUE,IF(Semestre=INDIRECT("base_de_datos["&amp;Carrera&amp;"]"),IF("x"=base_de_datos[Jueves],IF(base_de_datos[Hora inicio]&lt;=$B30,IF(base_de_datos[Hora fin]&gt;=$C30,base_de_datos[No clase],""),""),""),""),"")</f>
        <v>1502</v>
      </c>
      <c r="P30" s="24" t="str" cm="1">
        <f t="array" aca="1" ref="P30" ca="1">_xlfn.TEXTJOIN(CHAR(10),TRUE,IF(Semestre=INDIRECT("base_de_datos["&amp;Carrera&amp;"]"),IF("x"=base_de_datos[Viernes],IF(base_de_datos[Hora inicio]&lt;=$B30,IF(base_de_datos[Hora fin]&gt;=$C30,base_de_datos[Materia]&amp;" "&amp;base_de_datos[[Número de grupo ]]&amp;" "&amp;base_de_datos[Profesor],""),""),""),""),"")</f>
        <v>Desarrollo de aplicaciones para dispositivos inteligentes 1 Luis Manuel Ortiz de la Torre</v>
      </c>
      <c r="Q30" s="24" t="str" cm="1">
        <f t="array" aca="1" ref="Q30" ca="1">_xlfn.TEXTJOIN(CHAR(10),TRUE,IF(Semestre=INDIRECT("base_de_datos["&amp;Carrera&amp;"]"),IF("x"=base_de_datos[Viernes],IF(base_de_datos[Hora inicio]&lt;=$B30,IF(base_de_datos[Hora fin]&gt;=$C30,base_de_datos[Aula]&amp;" "&amp;base_de_datos[Examen],""),""),""),""),"")</f>
        <v>MIT 1Vi</v>
      </c>
      <c r="R30" s="24" t="str" cm="1">
        <f t="array" aca="1" ref="R30" ca="1">_xlfn.TEXTJOIN(CHAR(10),TRUE,IF(Semestre=INDIRECT("base_de_datos["&amp;Carrera&amp;"]"),IF("x"=base_de_datos[Viernes],IF(base_de_datos[Hora inicio]&lt;=$B30,IF(base_de_datos[Hora fin]&gt;=$C30,base_de_datos[No clase],""),""),""),""),"")</f>
        <v>1505 (7IIA, BIO)</v>
      </c>
      <c r="S30" s="24" t="str" cm="1">
        <f t="array" aca="1" ref="S30" ca="1">_xlfn.TEXTJOIN(CHAR(10),TRUE,IF(Semestre=INDIRECT("base_de_datos["&amp;Carrera&amp;"]"),IF("x"=base_de_datos[Sábado],IF(base_de_datos[Hora inicio]&lt;=$B30,IF(base_de_datos[Hora fin]&gt;=$C30,base_de_datos[Materia]&amp;" "&amp;base_de_datos[[Número de grupo ]]&amp;" "&amp;base_de_datos[Profesor],""),""),""),""),"")</f>
        <v/>
      </c>
      <c r="T30" s="24" t="str" cm="1">
        <f t="array" aca="1" ref="T30" ca="1">_xlfn.TEXTJOIN(CHAR(10),TRUE,IF(Semestre=INDIRECT("base_de_datos["&amp;Carrera&amp;"]"),IF("x"=base_de_datos[Sábado],IF(base_de_datos[Hora inicio]&lt;=$B30,IF(base_de_datos[Hora fin]&gt;=$C30,base_de_datos[Aula]&amp;" "&amp;#REF!,""),""),""),""),"")</f>
        <v/>
      </c>
      <c r="U30" s="24" t="str" cm="1">
        <f t="array" aca="1" ref="U30" ca="1">_xlfn.TEXTJOIN(CHAR(10),TRUE,IF(Semestre=INDIRECT("base_de_datos["&amp;Carrera&amp;"]"),IF("x"=base_de_datos[Sábado],IF(base_de_datos[Hora inicio]&lt;=$B30,IF(base_de_datos[Hora fin]&gt;=$C30,base_de_datos[No clase],""),""),""),""),"")</f>
        <v/>
      </c>
      <c r="V30" s="23"/>
      <c r="Z30" s="23"/>
      <c r="AA30" s="23"/>
    </row>
    <row r="31" spans="2:49" ht="90">
      <c r="B31" s="70">
        <v>0.83333333333333304</v>
      </c>
      <c r="C31" s="70">
        <v>0.85416666666665797</v>
      </c>
      <c r="D31" s="24" t="str" cm="1">
        <f t="array" aca="1" ref="D31" ca="1">_xlfn.TEXTJOIN(CHAR(10),TRUE,IF(Semestre=INDIRECT("base_de_datos["&amp;Carrera&amp;"]"),IF("x"=base_de_datos[Lunes],IF(base_de_datos[Hora inicio]&lt;=$B31,IF(base_de_datos[Hora fin]&gt;=$C31,base_de_datos[Materia]&amp;" "&amp;base_de_datos[[Número de grupo ]]&amp;" "&amp;base_de_datos[Profesor],""),""),""),""),"")</f>
        <v>Agentes inteligentes 1 Olivia Jimena Juárez Carrillo</v>
      </c>
      <c r="E31" s="24" t="str" cm="1">
        <f t="array" aca="1" ref="E31" ca="1">_xlfn.TEXTJOIN(CHAR(10),TRUE,IF(Semestre=INDIRECT("base_de_datos["&amp;Carrera&amp;"]"),IF("x"=base_de_datos[Lunes],IF(base_de_datos[Hora inicio]&lt;=$B31,IF(base_de_datos[Hora fin]&gt;=$C31,base_de_datos[Aula]&amp;" "&amp;base_de_datos[Examen],""),""),""),""),"")</f>
        <v>C-11 1Lu</v>
      </c>
      <c r="F31" s="24" t="str" cm="1">
        <f t="array" aca="1" ref="F31" ca="1">_xlfn.TEXTJOIN(CHAR(10),TRUE,IF(Semestre=INDIRECT("base_de_datos["&amp;Carrera&amp;"]"),IF("x"=base_de_datos[Lunes],IF(base_de_datos[Hora inicio]&lt;=$B31,IF(base_de_datos[Hora fin]&gt;=$C31,base_de_datos[No clase],""),""),""),""),"")</f>
        <v>1506</v>
      </c>
      <c r="G31" s="24" t="str" cm="1">
        <f t="array" aca="1" ref="G31" ca="1">_xlfn.TEXTJOIN(CHAR(10),TRUE,IF(Semestre=INDIRECT("base_de_datos["&amp;Carrera&amp;"]"),IF("x"=base_de_datos[Martes],IF(base_de_datos[Hora inicio]&lt;=$B31,IF(base_de_datos[Hora fin]&gt;=$C31,base_de_datos[Materia]&amp;" "&amp;base_de_datos[[Número de grupo ]]&amp;" "&amp;base_de_datos[Profesor],""),""),""),""),"")</f>
        <v>Hombre y mundo contemporáneo 1 Carlos Humberto Acosta Gastelúm
Hombre y mundo contemporáneo 2 Humberto Pacheco Martínez
Hombre y mundo contemporáneo 3 Ethel Beatriz Junco de Calabrese</v>
      </c>
      <c r="H31" s="24" t="str" cm="1">
        <f t="array" aca="1" ref="H31" ca="1">_xlfn.TEXTJOIN(CHAR(10),TRUE,IF(Semestre=INDIRECT("base_de_datos["&amp;Carrera&amp;"]"),IF("x"=base_de_datos[Martes],IF(base_de_datos[Hora inicio]&lt;=$B31,IF(base_de_datos[Hora fin]&gt;=$C31,base_de_datos[Aula]&amp;" "&amp;base_de_datos[Examen],""),""),""),""),"")</f>
        <v>C-24 1Ma
D-02 1Ma
D-03 1Ma</v>
      </c>
      <c r="I31" s="24" t="str" cm="1">
        <f t="array" aca="1" ref="I31" ca="1">_xlfn.TEXTJOIN(CHAR(10),TRUE,IF(Semestre=INDIRECT("base_de_datos["&amp;Carrera&amp;"]"),IF("x"=base_de_datos[Martes],IF(base_de_datos[Hora inicio]&lt;=$B31,IF(base_de_datos[Hora fin]&gt;=$C31,base_de_datos[No clase],""),""),""),""),"")</f>
        <v>2240, 2243, 2220
2241, 2244, 2246
2242, 2245, 2247</v>
      </c>
      <c r="J31" s="24" t="str" cm="1">
        <f t="array" aca="1" ref="J31" ca="1">_xlfn.TEXTJOIN(CHAR(10),TRUE,IF(Semestre=INDIRECT("base_de_datos["&amp;Carrera&amp;"]"),IF("x"=base_de_datos[Miércoles],IF(base_de_datos[Hora inicio]&lt;=$B31,IF(base_de_datos[Hora fin]&gt;=$C31,base_de_datos[Materia]&amp;" "&amp;base_de_datos[[Número de grupo ]]&amp;" "&amp;base_de_datos[Profesor],""),""),""),""),"")</f>
        <v>Agentes inteligentes 1 Olivia Jimena Juárez Carrillo</v>
      </c>
      <c r="K31" s="24" t="str" cm="1">
        <f t="array" aca="1" ref="K31" ca="1">_xlfn.TEXTJOIN(CHAR(10),TRUE,IF(Semestre=INDIRECT("base_de_datos["&amp;Carrera&amp;"]"),IF("x"=base_de_datos[Miércoles],IF(base_de_datos[Hora inicio]&lt;=$B31,IF(base_de_datos[Hora fin]&gt;=$C31,base_de_datos[Aula]&amp;" "&amp;base_de_datos[Examen],""),""),""),""),"")</f>
        <v>C-11 1Lu</v>
      </c>
      <c r="L31" s="24" t="str" cm="1">
        <f t="array" aca="1" ref="L31" ca="1">_xlfn.TEXTJOIN(CHAR(10),TRUE,IF(Semestre=INDIRECT("base_de_datos["&amp;Carrera&amp;"]"),IF("x"=base_de_datos[Miércoles],IF(base_de_datos[Hora inicio]&lt;=$B31,IF(base_de_datos[Hora fin]&gt;=$C31,base_de_datos[No clase],""),""),""),""),"")</f>
        <v>1506</v>
      </c>
      <c r="M31" s="24" t="str" cm="1">
        <f t="array" aca="1" ref="M31" ca="1">_xlfn.TEXTJOIN(CHAR(10),TRUE,IF(Semestre=INDIRECT("base_de_datos["&amp;Carrera&amp;"]"),IF("x"=base_de_datos[Jueves],IF(base_de_datos[Hora inicio]&lt;=$B31,IF(base_de_datos[Hora fin]&gt;=$C31,base_de_datos[Materia]&amp;" "&amp;base_de_datos[[Número de grupo ]]&amp;" "&amp;base_de_datos[Profesor],""),""),""),""),"")</f>
        <v>Cómputo distribuido 1 Alfredo Márquez Martínez</v>
      </c>
      <c r="N31" s="24" t="str" cm="1">
        <f t="array" aca="1" ref="N31" ca="1">_xlfn.TEXTJOIN(CHAR(10),TRUE,IF(Semestre=INDIRECT("base_de_datos["&amp;Carrera&amp;"]"),IF("x"=base_de_datos[Jueves],IF(base_de_datos[Hora inicio]&lt;=$B31,IF(base_de_datos[Hora fin]&gt;=$C31,base_de_datos[Aula]&amp;" "&amp;base_de_datos[Examen],""),""),""),""),"")</f>
        <v>A-21 1Ju</v>
      </c>
      <c r="O31" s="24" t="str" cm="1">
        <f t="array" aca="1" ref="O31" ca="1">_xlfn.TEXTJOIN(CHAR(10),TRUE,IF(Semestre=INDIRECT("base_de_datos["&amp;Carrera&amp;"]"),IF("x"=base_de_datos[Jueves],IF(base_de_datos[Hora inicio]&lt;=$B31,IF(base_de_datos[Hora fin]&gt;=$C31,base_de_datos[No clase],""),""),""),""),"")</f>
        <v>1502</v>
      </c>
      <c r="P31" s="24" t="str" cm="1">
        <f t="array" aca="1" ref="P31" ca="1">_xlfn.TEXTJOIN(CHAR(10),TRUE,IF(Semestre=INDIRECT("base_de_datos["&amp;Carrera&amp;"]"),IF("x"=base_de_datos[Viernes],IF(base_de_datos[Hora inicio]&lt;=$B31,IF(base_de_datos[Hora fin]&gt;=$C31,base_de_datos[Materia]&amp;" "&amp;base_de_datos[[Número de grupo ]]&amp;" "&amp;base_de_datos[Profesor],""),""),""),""),"")</f>
        <v>Desarrollo de aplicaciones para dispositivos inteligentes 1 Luis Manuel Ortiz de la Torre</v>
      </c>
      <c r="Q31" s="24" t="str" cm="1">
        <f t="array" aca="1" ref="Q31" ca="1">_xlfn.TEXTJOIN(CHAR(10),TRUE,IF(Semestre=INDIRECT("base_de_datos["&amp;Carrera&amp;"]"),IF("x"=base_de_datos[Viernes],IF(base_de_datos[Hora inicio]&lt;=$B31,IF(base_de_datos[Hora fin]&gt;=$C31,base_de_datos[Aula]&amp;" "&amp;base_de_datos[Examen],""),""),""),""),"")</f>
        <v>MIT 1Vi</v>
      </c>
      <c r="R31" s="24" t="str" cm="1">
        <f t="array" aca="1" ref="R31" ca="1">_xlfn.TEXTJOIN(CHAR(10),TRUE,IF(Semestre=INDIRECT("base_de_datos["&amp;Carrera&amp;"]"),IF("x"=base_de_datos[Viernes],IF(base_de_datos[Hora inicio]&lt;=$B31,IF(base_de_datos[Hora fin]&gt;=$C31,base_de_datos[No clase],""),""),""),""),"")</f>
        <v>1505 (7IIA, BIO)</v>
      </c>
      <c r="S31" s="24" t="str" cm="1">
        <f t="array" aca="1" ref="S31" ca="1">_xlfn.TEXTJOIN(CHAR(10),TRUE,IF(Semestre=INDIRECT("base_de_datos["&amp;Carrera&amp;"]"),IF("x"=base_de_datos[Sábado],IF(base_de_datos[Hora inicio]&lt;=$B31,IF(base_de_datos[Hora fin]&gt;=$C31,base_de_datos[Materia]&amp;" "&amp;base_de_datos[[Número de grupo ]]&amp;" "&amp;base_de_datos[Profesor],""),""),""),""),"")</f>
        <v/>
      </c>
      <c r="T31" s="24" t="str" cm="1">
        <f t="array" aca="1" ref="T31" ca="1">_xlfn.TEXTJOIN(CHAR(10),TRUE,IF(Semestre=INDIRECT("base_de_datos["&amp;Carrera&amp;"]"),IF("x"=base_de_datos[Sábado],IF(base_de_datos[Hora inicio]&lt;=$B31,IF(base_de_datos[Hora fin]&gt;=$C31,base_de_datos[Aula]&amp;" "&amp;#REF!,""),""),""),""),"")</f>
        <v/>
      </c>
      <c r="U31" s="24" t="str" cm="1">
        <f t="array" aca="1" ref="U31" ca="1">_xlfn.TEXTJOIN(CHAR(10),TRUE,IF(Semestre=INDIRECT("base_de_datos["&amp;Carrera&amp;"]"),IF("x"=base_de_datos[Sábado],IF(base_de_datos[Hora inicio]&lt;=$B31,IF(base_de_datos[Hora fin]&gt;=$C31,base_de_datos[No clase],""),""),""),""),"")</f>
        <v/>
      </c>
      <c r="V31" s="23"/>
      <c r="Z31" s="23"/>
      <c r="AA31" s="23"/>
    </row>
    <row r="32" spans="2:49" ht="90">
      <c r="B32" s="70">
        <v>0.85416666666666696</v>
      </c>
      <c r="C32" s="70">
        <v>0.87499999999999001</v>
      </c>
      <c r="D32" s="24" t="str" cm="1">
        <f t="array" aca="1" ref="D32" ca="1">_xlfn.TEXTJOIN(CHAR(10),TRUE,IF(Semestre=INDIRECT("base_de_datos["&amp;Carrera&amp;"]"),IF("x"=base_de_datos[Lunes],IF(base_de_datos[Hora inicio]&lt;=$B32,IF(base_de_datos[Hora fin]&gt;=$C32,base_de_datos[Materia]&amp;" "&amp;base_de_datos[[Número de grupo ]]&amp;" "&amp;base_de_datos[Profesor],""),""),""),""),"")</f>
        <v>Agentes inteligentes 1 Olivia Jimena Juárez Carrillo</v>
      </c>
      <c r="E32" s="24" t="str" cm="1">
        <f t="array" aca="1" ref="E32" ca="1">_xlfn.TEXTJOIN(CHAR(10),TRUE,IF(Semestre=INDIRECT("base_de_datos["&amp;Carrera&amp;"]"),IF("x"=base_de_datos[Lunes],IF(base_de_datos[Hora inicio]&lt;=$B32,IF(base_de_datos[Hora fin]&gt;=$C32,base_de_datos[Aula]&amp;" "&amp;base_de_datos[Examen],""),""),""),""),"")</f>
        <v>C-11 1Lu</v>
      </c>
      <c r="F32" s="24" t="str" cm="1">
        <f t="array" aca="1" ref="F32" ca="1">_xlfn.TEXTJOIN(CHAR(10),TRUE,IF(Semestre=INDIRECT("base_de_datos["&amp;Carrera&amp;"]"),IF("x"=base_de_datos[Lunes],IF(base_de_datos[Hora inicio]&lt;=$B32,IF(base_de_datos[Hora fin]&gt;=$C32,base_de_datos[No clase],""),""),""),""),"")</f>
        <v>1506</v>
      </c>
      <c r="G32" s="24" t="str" cm="1">
        <f t="array" aca="1" ref="G32" ca="1">_xlfn.TEXTJOIN(CHAR(10),TRUE,IF(Semestre=INDIRECT("base_de_datos["&amp;Carrera&amp;"]"),IF("x"=base_de_datos[Martes],IF(base_de_datos[Hora inicio]&lt;=$B32,IF(base_de_datos[Hora fin]&gt;=$C32,base_de_datos[Materia]&amp;" "&amp;base_de_datos[[Número de grupo ]]&amp;" "&amp;base_de_datos[Profesor],""),""),""),""),"")</f>
        <v>Hombre y mundo contemporáneo 1 Carlos Humberto Acosta Gastelúm
Hombre y mundo contemporáneo 2 Humberto Pacheco Martínez
Hombre y mundo contemporáneo 3 Ethel Beatriz Junco de Calabrese</v>
      </c>
      <c r="H32" s="24" t="str" cm="1">
        <f t="array" aca="1" ref="H32" ca="1">_xlfn.TEXTJOIN(CHAR(10),TRUE,IF(Semestre=INDIRECT("base_de_datos["&amp;Carrera&amp;"]"),IF("x"=base_de_datos[Martes],IF(base_de_datos[Hora inicio]&lt;=$B32,IF(base_de_datos[Hora fin]&gt;=$C32,base_de_datos[Aula]&amp;" "&amp;base_de_datos[Examen],""),""),""),""),"")</f>
        <v>C-24 1Ma
D-02 1Ma
D-03 1Ma</v>
      </c>
      <c r="I32" s="24" t="str" cm="1">
        <f t="array" aca="1" ref="I32" ca="1">_xlfn.TEXTJOIN(CHAR(10),TRUE,IF(Semestre=INDIRECT("base_de_datos["&amp;Carrera&amp;"]"),IF("x"=base_de_datos[Martes],IF(base_de_datos[Hora inicio]&lt;=$B32,IF(base_de_datos[Hora fin]&gt;=$C32,base_de_datos[No clase],""),""),""),""),"")</f>
        <v>2240, 2243, 2220
2241, 2244, 2246
2242, 2245, 2247</v>
      </c>
      <c r="J32" s="24" t="str" cm="1">
        <f t="array" aca="1" ref="J32" ca="1">_xlfn.TEXTJOIN(CHAR(10),TRUE,IF(Semestre=INDIRECT("base_de_datos["&amp;Carrera&amp;"]"),IF("x"=base_de_datos[Miércoles],IF(base_de_datos[Hora inicio]&lt;=$B32,IF(base_de_datos[Hora fin]&gt;=$C32,base_de_datos[Materia]&amp;" "&amp;base_de_datos[[Número de grupo ]]&amp;" "&amp;base_de_datos[Profesor],""),""),""),""),"")</f>
        <v>Agentes inteligentes 1 Olivia Jimena Juárez Carrillo</v>
      </c>
      <c r="K32" s="24" t="str" cm="1">
        <f t="array" aca="1" ref="K32" ca="1">_xlfn.TEXTJOIN(CHAR(10),TRUE,IF(Semestre=INDIRECT("base_de_datos["&amp;Carrera&amp;"]"),IF("x"=base_de_datos[Miércoles],IF(base_de_datos[Hora inicio]&lt;=$B32,IF(base_de_datos[Hora fin]&gt;=$C32,base_de_datos[Aula]&amp;" "&amp;base_de_datos[Examen],""),""),""),""),"")</f>
        <v>C-11 1Lu</v>
      </c>
      <c r="L32" s="24" t="str" cm="1">
        <f t="array" aca="1" ref="L32" ca="1">_xlfn.TEXTJOIN(CHAR(10),TRUE,IF(Semestre=INDIRECT("base_de_datos["&amp;Carrera&amp;"]"),IF("x"=base_de_datos[Miércoles],IF(base_de_datos[Hora inicio]&lt;=$B32,IF(base_de_datos[Hora fin]&gt;=$C32,base_de_datos[No clase],""),""),""),""),"")</f>
        <v>1506</v>
      </c>
      <c r="M32" s="24" t="str" cm="1">
        <f t="array" aca="1" ref="M32" ca="1">_xlfn.TEXTJOIN(CHAR(10),TRUE,IF(Semestre=INDIRECT("base_de_datos["&amp;Carrera&amp;"]"),IF("x"=base_de_datos[Jueves],IF(base_de_datos[Hora inicio]&lt;=$B32,IF(base_de_datos[Hora fin]&gt;=$C32,base_de_datos[Materia]&amp;" "&amp;base_de_datos[[Número de grupo ]]&amp;" "&amp;base_de_datos[Profesor],""),""),""),""),"")</f>
        <v>Cómputo distribuido 1 Alfredo Márquez Martínez</v>
      </c>
      <c r="N32" s="24" t="str" cm="1">
        <f t="array" aca="1" ref="N32" ca="1">_xlfn.TEXTJOIN(CHAR(10),TRUE,IF(Semestre=INDIRECT("base_de_datos["&amp;Carrera&amp;"]"),IF("x"=base_de_datos[Jueves],IF(base_de_datos[Hora inicio]&lt;=$B32,IF(base_de_datos[Hora fin]&gt;=$C32,base_de_datos[Aula]&amp;" "&amp;base_de_datos[Examen],""),""),""),""),"")</f>
        <v>A-21 1Ju</v>
      </c>
      <c r="O32" s="24" t="str" cm="1">
        <f t="array" aca="1" ref="O32" ca="1">_xlfn.TEXTJOIN(CHAR(10),TRUE,IF(Semestre=INDIRECT("base_de_datos["&amp;Carrera&amp;"]"),IF("x"=base_de_datos[Jueves],IF(base_de_datos[Hora inicio]&lt;=$B32,IF(base_de_datos[Hora fin]&gt;=$C32,base_de_datos[No clase],""),""),""),""),"")</f>
        <v>1502</v>
      </c>
      <c r="P32" s="24" t="str" cm="1">
        <f t="array" aca="1" ref="P32" ca="1">_xlfn.TEXTJOIN(CHAR(10),TRUE,IF(Semestre=INDIRECT("base_de_datos["&amp;Carrera&amp;"]"),IF("x"=base_de_datos[Viernes],IF(base_de_datos[Hora inicio]&lt;=$B32,IF(base_de_datos[Hora fin]&gt;=$C32,base_de_datos[Materia]&amp;" "&amp;base_de_datos[[Número de grupo ]]&amp;" "&amp;base_de_datos[Profesor],""),""),""),""),"")</f>
        <v>Desarrollo de aplicaciones para dispositivos inteligentes 1 Luis Manuel Ortiz de la Torre</v>
      </c>
      <c r="Q32" s="24" t="str" cm="1">
        <f t="array" aca="1" ref="Q32" ca="1">_xlfn.TEXTJOIN(CHAR(10),TRUE,IF(Semestre=INDIRECT("base_de_datos["&amp;Carrera&amp;"]"),IF("x"=base_de_datos[Viernes],IF(base_de_datos[Hora inicio]&lt;=$B32,IF(base_de_datos[Hora fin]&gt;=$C32,base_de_datos[Aula]&amp;" "&amp;base_de_datos[Examen],""),""),""),""),"")</f>
        <v>MIT 1Vi</v>
      </c>
      <c r="R32" s="24" t="str" cm="1">
        <f t="array" aca="1" ref="R32" ca="1">_xlfn.TEXTJOIN(CHAR(10),TRUE,IF(Semestre=INDIRECT("base_de_datos["&amp;Carrera&amp;"]"),IF("x"=base_de_datos[Viernes],IF(base_de_datos[Hora inicio]&lt;=$B32,IF(base_de_datos[Hora fin]&gt;=$C32,base_de_datos[No clase],""),""),""),""),"")</f>
        <v>1505 (7IIA, BIO)</v>
      </c>
      <c r="S32" s="24" t="str" cm="1">
        <f t="array" aca="1" ref="S32" ca="1">_xlfn.TEXTJOIN(CHAR(10),TRUE,IF(Semestre=INDIRECT("base_de_datos["&amp;Carrera&amp;"]"),IF("x"=base_de_datos[Sábado],IF(base_de_datos[Hora inicio]&lt;=$B32,IF(base_de_datos[Hora fin]&gt;=$C32,base_de_datos[Materia]&amp;" "&amp;base_de_datos[[Número de grupo ]]&amp;" "&amp;base_de_datos[Profesor],""),""),""),""),"")</f>
        <v/>
      </c>
      <c r="T32" s="24" t="str" cm="1">
        <f t="array" aca="1" ref="T32" ca="1">_xlfn.TEXTJOIN(CHAR(10),TRUE,IF(Semestre=INDIRECT("base_de_datos["&amp;Carrera&amp;"]"),IF("x"=base_de_datos[Sábado],IF(base_de_datos[Hora inicio]&lt;=$B32,IF(base_de_datos[Hora fin]&gt;=$C32,base_de_datos[Aula]&amp;" "&amp;#REF!,""),""),""),""),"")</f>
        <v/>
      </c>
      <c r="U32" s="24" t="str" cm="1">
        <f t="array" aca="1" ref="U32" ca="1">_xlfn.TEXTJOIN(CHAR(10),TRUE,IF(Semestre=INDIRECT("base_de_datos["&amp;Carrera&amp;"]"),IF("x"=base_de_datos[Sábado],IF(base_de_datos[Hora inicio]&lt;=$B32,IF(base_de_datos[Hora fin]&gt;=$C32,base_de_datos[No clase],""),""),""),""),"")</f>
        <v/>
      </c>
      <c r="V32" s="23"/>
      <c r="Z32" s="23"/>
      <c r="AA32" s="23"/>
    </row>
    <row r="33" spans="2:27" ht="90">
      <c r="B33" s="70">
        <v>0.875</v>
      </c>
      <c r="C33" s="70">
        <v>0.89583333333332305</v>
      </c>
      <c r="D33" s="24" t="str" cm="1">
        <f t="array" aca="1" ref="D33" ca="1">_xlfn.TEXTJOIN(CHAR(10),TRUE,IF(Semestre=INDIRECT("base_de_datos["&amp;Carrera&amp;"]"),IF("x"=base_de_datos[Lunes],IF(base_de_datos[Hora inicio]&lt;=$B33,IF(base_de_datos[Hora fin]&gt;=$C33,base_de_datos[Materia]&amp;" "&amp;base_de_datos[[Número de grupo ]]&amp;" "&amp;base_de_datos[Profesor],""),""),""),""),"")</f>
        <v>Agentes inteligentes 1 Olivia Jimena Juárez Carrillo</v>
      </c>
      <c r="E33" s="24" t="str" cm="1">
        <f t="array" aca="1" ref="E33" ca="1">_xlfn.TEXTJOIN(CHAR(10),TRUE,IF(Semestre=INDIRECT("base_de_datos["&amp;Carrera&amp;"]"),IF("x"=base_de_datos[Lunes],IF(base_de_datos[Hora inicio]&lt;=$B33,IF(base_de_datos[Hora fin]&gt;=$C33,base_de_datos[Aula]&amp;" "&amp;base_de_datos[Examen],""),""),""),""),"")</f>
        <v>C-11 1Lu</v>
      </c>
      <c r="F33" s="24" t="str" cm="1">
        <f t="array" aca="1" ref="F33" ca="1">_xlfn.TEXTJOIN(CHAR(10),TRUE,IF(Semestre=INDIRECT("base_de_datos["&amp;Carrera&amp;"]"),IF("x"=base_de_datos[Lunes],IF(base_de_datos[Hora inicio]&lt;=$B33,IF(base_de_datos[Hora fin]&gt;=$C33,base_de_datos[No clase],""),""),""),""),"")</f>
        <v>1506</v>
      </c>
      <c r="G33" s="24" t="str" cm="1">
        <f t="array" aca="1" ref="G33" ca="1">_xlfn.TEXTJOIN(CHAR(10),TRUE,IF(Semestre=INDIRECT("base_de_datos["&amp;Carrera&amp;"]"),IF("x"=base_de_datos[Martes],IF(base_de_datos[Hora inicio]&lt;=$B33,IF(base_de_datos[Hora fin]&gt;=$C33,base_de_datos[Materia]&amp;" "&amp;base_de_datos[[Número de grupo ]]&amp;" "&amp;base_de_datos[Profesor],""),""),""),""),"")</f>
        <v>Hombre y mundo contemporáneo 1 Carlos Humberto Acosta Gastelúm
Hombre y mundo contemporáneo 2 Humberto Pacheco Martínez
Hombre y mundo contemporáneo 3 Ethel Beatriz Junco de Calabrese</v>
      </c>
      <c r="H33" s="24" t="str" cm="1">
        <f t="array" aca="1" ref="H33" ca="1">_xlfn.TEXTJOIN(CHAR(10),TRUE,IF(Semestre=INDIRECT("base_de_datos["&amp;Carrera&amp;"]"),IF("x"=base_de_datos[Martes],IF(base_de_datos[Hora inicio]&lt;=$B33,IF(base_de_datos[Hora fin]&gt;=$C33,base_de_datos[Aula]&amp;" "&amp;base_de_datos[Examen],""),""),""),""),"")</f>
        <v>C-24 1Ma
D-02 1Ma
D-03 1Ma</v>
      </c>
      <c r="I33" s="24" t="str" cm="1">
        <f t="array" aca="1" ref="I33" ca="1">_xlfn.TEXTJOIN(CHAR(10),TRUE,IF(Semestre=INDIRECT("base_de_datos["&amp;Carrera&amp;"]"),IF("x"=base_de_datos[Martes],IF(base_de_datos[Hora inicio]&lt;=$B33,IF(base_de_datos[Hora fin]&gt;=$C33,base_de_datos[No clase],""),""),""),""),"")</f>
        <v>2240, 2243, 2220
2241, 2244, 2246
2242, 2245, 2247</v>
      </c>
      <c r="J33" s="24" t="str" cm="1">
        <f t="array" aca="1" ref="J33" ca="1">_xlfn.TEXTJOIN(CHAR(10),TRUE,IF(Semestre=INDIRECT("base_de_datos["&amp;Carrera&amp;"]"),IF("x"=base_de_datos[Miércoles],IF(base_de_datos[Hora inicio]&lt;=$B33,IF(base_de_datos[Hora fin]&gt;=$C33,base_de_datos[Materia]&amp;" "&amp;base_de_datos[[Número de grupo ]]&amp;" "&amp;base_de_datos[Profesor],""),""),""),""),"")</f>
        <v>Agentes inteligentes 1 Olivia Jimena Juárez Carrillo</v>
      </c>
      <c r="K33" s="24" t="str" cm="1">
        <f t="array" aca="1" ref="K33" ca="1">_xlfn.TEXTJOIN(CHAR(10),TRUE,IF(Semestre=INDIRECT("base_de_datos["&amp;Carrera&amp;"]"),IF("x"=base_de_datos[Miércoles],IF(base_de_datos[Hora inicio]&lt;=$B33,IF(base_de_datos[Hora fin]&gt;=$C33,base_de_datos[Aula]&amp;" "&amp;base_de_datos[Examen],""),""),""),""),"")</f>
        <v>C-11 1Lu</v>
      </c>
      <c r="L33" s="24" t="str" cm="1">
        <f t="array" aca="1" ref="L33" ca="1">_xlfn.TEXTJOIN(CHAR(10),TRUE,IF(Semestre=INDIRECT("base_de_datos["&amp;Carrera&amp;"]"),IF("x"=base_de_datos[Miércoles],IF(base_de_datos[Hora inicio]&lt;=$B33,IF(base_de_datos[Hora fin]&gt;=$C33,base_de_datos[No clase],""),""),""),""),"")</f>
        <v>1506</v>
      </c>
      <c r="M33" s="24" t="str" cm="1">
        <f t="array" aca="1" ref="M33" ca="1">_xlfn.TEXTJOIN(CHAR(10),TRUE,IF(Semestre=INDIRECT("base_de_datos["&amp;Carrera&amp;"]"),IF("x"=base_de_datos[Jueves],IF(base_de_datos[Hora inicio]&lt;=$B33,IF(base_de_datos[Hora fin]&gt;=$C33,base_de_datos[Materia]&amp;" "&amp;base_de_datos[[Número de grupo ]]&amp;" "&amp;base_de_datos[Profesor],""),""),""),""),"")</f>
        <v>Cómputo distribuido 1 Alfredo Márquez Martínez</v>
      </c>
      <c r="N33" s="24" t="str" cm="1">
        <f t="array" aca="1" ref="N33" ca="1">_xlfn.TEXTJOIN(CHAR(10),TRUE,IF(Semestre=INDIRECT("base_de_datos["&amp;Carrera&amp;"]"),IF("x"=base_de_datos[Jueves],IF(base_de_datos[Hora inicio]&lt;=$B33,IF(base_de_datos[Hora fin]&gt;=$C33,base_de_datos[Aula]&amp;" "&amp;base_de_datos[Examen],""),""),""),""),"")</f>
        <v>A-21 1Ju</v>
      </c>
      <c r="O33" s="24" t="str" cm="1">
        <f t="array" aca="1" ref="O33" ca="1">_xlfn.TEXTJOIN(CHAR(10),TRUE,IF(Semestre=INDIRECT("base_de_datos["&amp;Carrera&amp;"]"),IF("x"=base_de_datos[Jueves],IF(base_de_datos[Hora inicio]&lt;=$B33,IF(base_de_datos[Hora fin]&gt;=$C33,base_de_datos[No clase],""),""),""),""),"")</f>
        <v>1502</v>
      </c>
      <c r="P33" s="24" t="str" cm="1">
        <f t="array" aca="1" ref="P33" ca="1">_xlfn.TEXTJOIN(CHAR(10),TRUE,IF(Semestre=INDIRECT("base_de_datos["&amp;Carrera&amp;"]"),IF("x"=base_de_datos[Viernes],IF(base_de_datos[Hora inicio]&lt;=$B33,IF(base_de_datos[Hora fin]&gt;=$C33,base_de_datos[Materia]&amp;" "&amp;base_de_datos[[Número de grupo ]]&amp;" "&amp;base_de_datos[Profesor],""),""),""),""),"")</f>
        <v>Desarrollo de aplicaciones para dispositivos inteligentes 1 Luis Manuel Ortiz de la Torre</v>
      </c>
      <c r="Q33" s="24" t="str" cm="1">
        <f t="array" aca="1" ref="Q33" ca="1">_xlfn.TEXTJOIN(CHAR(10),TRUE,IF(Semestre=INDIRECT("base_de_datos["&amp;Carrera&amp;"]"),IF("x"=base_de_datos[Viernes],IF(base_de_datos[Hora inicio]&lt;=$B33,IF(base_de_datos[Hora fin]&gt;=$C33,base_de_datos[Aula]&amp;" "&amp;base_de_datos[Examen],""),""),""),""),"")</f>
        <v>MIT 1Vi</v>
      </c>
      <c r="R33" s="24" t="str" cm="1">
        <f t="array" aca="1" ref="R33" ca="1">_xlfn.TEXTJOIN(CHAR(10),TRUE,IF(Semestre=INDIRECT("base_de_datos["&amp;Carrera&amp;"]"),IF("x"=base_de_datos[Viernes],IF(base_de_datos[Hora inicio]&lt;=$B33,IF(base_de_datos[Hora fin]&gt;=$C33,base_de_datos[No clase],""),""),""),""),"")</f>
        <v>1505 (7IIA, BIO)</v>
      </c>
      <c r="S33" s="24" t="str" cm="1">
        <f t="array" aca="1" ref="S33" ca="1">_xlfn.TEXTJOIN(CHAR(10),TRUE,IF(Semestre=INDIRECT("base_de_datos["&amp;Carrera&amp;"]"),IF("x"=base_de_datos[Sábado],IF(base_de_datos[Hora inicio]&lt;=$B33,IF(base_de_datos[Hora fin]&gt;=$C33,base_de_datos[Materia]&amp;" "&amp;base_de_datos[[Número de grupo ]]&amp;" "&amp;base_de_datos[Profesor],""),""),""),""),"")</f>
        <v/>
      </c>
      <c r="T33" s="24" t="str" cm="1">
        <f t="array" aca="1" ref="T33" ca="1">_xlfn.TEXTJOIN(CHAR(10),TRUE,IF(Semestre=INDIRECT("base_de_datos["&amp;Carrera&amp;"]"),IF("x"=base_de_datos[Sábado],IF(base_de_datos[Hora inicio]&lt;=$B33,IF(base_de_datos[Hora fin]&gt;=$C33,base_de_datos[Aula]&amp;" "&amp;#REF!,""),""),""),""),"")</f>
        <v/>
      </c>
      <c r="U33" s="24" t="str" cm="1">
        <f t="array" aca="1" ref="U33" ca="1">_xlfn.TEXTJOIN(CHAR(10),TRUE,IF(Semestre=INDIRECT("base_de_datos["&amp;Carrera&amp;"]"),IF("x"=base_de_datos[Sábado],IF(base_de_datos[Hora inicio]&lt;=$B33,IF(base_de_datos[Hora fin]&gt;=$C33,base_de_datos[No clase],""),""),""),""),"")</f>
        <v/>
      </c>
      <c r="V33" s="23"/>
      <c r="Z33" s="23"/>
      <c r="AA33" s="23"/>
    </row>
    <row r="34" spans="2:27" ht="90">
      <c r="B34" s="70">
        <v>0.89583333333333304</v>
      </c>
      <c r="C34" s="70">
        <v>0.91666666666665697</v>
      </c>
      <c r="D34" s="24" t="str" cm="1">
        <f t="array" aca="1" ref="D34" ca="1">_xlfn.TEXTJOIN(CHAR(10),TRUE,IF(Semestre=INDIRECT("base_de_datos["&amp;Carrera&amp;"]"),IF("x"=base_de_datos[Lunes],IF(base_de_datos[Hora inicio]&lt;=$B34,IF(base_de_datos[Hora fin]&gt;=$C34,base_de_datos[Materia]&amp;" "&amp;base_de_datos[[Número de grupo ]]&amp;" "&amp;base_de_datos[Profesor],""),""),""),""),"")</f>
        <v/>
      </c>
      <c r="E34" s="24" t="str" cm="1">
        <f t="array" aca="1" ref="E34" ca="1">_xlfn.TEXTJOIN(CHAR(10),TRUE,IF(Semestre=INDIRECT("base_de_datos["&amp;Carrera&amp;"]"),IF("x"=base_de_datos[Lunes],IF(base_de_datos[Hora inicio]&lt;=$B34,IF(base_de_datos[Hora fin]&gt;=$C34,base_de_datos[Aula]&amp;" "&amp;base_de_datos[Examen],""),""),""),""),"")</f>
        <v/>
      </c>
      <c r="F34" s="24" t="str" cm="1">
        <f t="array" aca="1" ref="F34" ca="1">_xlfn.TEXTJOIN(CHAR(10),TRUE,IF(Semestre=INDIRECT("base_de_datos["&amp;Carrera&amp;"]"),IF("x"=base_de_datos[Lunes],IF(base_de_datos[Hora inicio]&lt;=$B34,IF(base_de_datos[Hora fin]&gt;=$C34,base_de_datos[No clase],""),""),""),""),"")</f>
        <v/>
      </c>
      <c r="G34" s="24" t="str" cm="1">
        <f t="array" aca="1" ref="G34" ca="1">_xlfn.TEXTJOIN(CHAR(10),TRUE,IF(Semestre=INDIRECT("base_de_datos["&amp;Carrera&amp;"]"),IF("x"=base_de_datos[Martes],IF(base_de_datos[Hora inicio]&lt;=$B34,IF(base_de_datos[Hora fin]&gt;=$C34,base_de_datos[Materia]&amp;" "&amp;base_de_datos[[Número de grupo ]]&amp;" "&amp;base_de_datos[Profesor],""),""),""),""),"")</f>
        <v>Hombre y mundo contemporáneo 1 Carlos Humberto Acosta Gastelúm
Hombre y mundo contemporáneo 2 Humberto Pacheco Martínez
Hombre y mundo contemporáneo 3 Ethel Beatriz Junco de Calabrese</v>
      </c>
      <c r="H34" s="24" t="str" cm="1">
        <f t="array" aca="1" ref="H34" ca="1">_xlfn.TEXTJOIN(CHAR(10),TRUE,IF(Semestre=INDIRECT("base_de_datos["&amp;Carrera&amp;"]"),IF("x"=base_de_datos[Martes],IF(base_de_datos[Hora inicio]&lt;=$B34,IF(base_de_datos[Hora fin]&gt;=$C34,base_de_datos[Aula]&amp;" "&amp;base_de_datos[Examen],""),""),""),""),"")</f>
        <v>C-24 1Ma
D-02 1Ma
D-03 1Ma</v>
      </c>
      <c r="I34" s="24" t="str" cm="1">
        <f t="array" aca="1" ref="I34" ca="1">_xlfn.TEXTJOIN(CHAR(10),TRUE,IF(Semestre=INDIRECT("base_de_datos["&amp;Carrera&amp;"]"),IF("x"=base_de_datos[Martes],IF(base_de_datos[Hora inicio]&lt;=$B34,IF(base_de_datos[Hora fin]&gt;=$C34,base_de_datos[No clase],""),""),""),""),"")</f>
        <v>2240, 2243, 2220
2241, 2244, 2246
2242, 2245, 2247</v>
      </c>
      <c r="J34" s="24" t="str" cm="1">
        <f t="array" aca="1" ref="J34" ca="1">_xlfn.TEXTJOIN(CHAR(10),TRUE,IF(Semestre=INDIRECT("base_de_datos["&amp;Carrera&amp;"]"),IF("x"=base_de_datos[Miércoles],IF(base_de_datos[Hora inicio]&lt;=$B34,IF(base_de_datos[Hora fin]&gt;=$C34,base_de_datos[Materia]&amp;" "&amp;base_de_datos[[Número de grupo ]]&amp;" "&amp;base_de_datos[Profesor],""),""),""),""),"")</f>
        <v/>
      </c>
      <c r="K34" s="24" t="str" cm="1">
        <f t="array" aca="1" ref="K34" ca="1">_xlfn.TEXTJOIN(CHAR(10),TRUE,IF(Semestre=INDIRECT("base_de_datos["&amp;Carrera&amp;"]"),IF("x"=base_de_datos[Miércoles],IF(base_de_datos[Hora inicio]&lt;=$B34,IF(base_de_datos[Hora fin]&gt;=$C34,base_de_datos[Aula]&amp;" "&amp;base_de_datos[Examen],""),""),""),""),"")</f>
        <v/>
      </c>
      <c r="L34" s="24" t="str" cm="1">
        <f t="array" aca="1" ref="L34" ca="1">_xlfn.TEXTJOIN(CHAR(10),TRUE,IF(Semestre=INDIRECT("base_de_datos["&amp;Carrera&amp;"]"),IF("x"=base_de_datos[Miércoles],IF(base_de_datos[Hora inicio]&lt;=$B34,IF(base_de_datos[Hora fin]&gt;=$C34,base_de_datos[No clase],""),""),""),""),"")</f>
        <v/>
      </c>
      <c r="M34" s="24" t="str" cm="1">
        <f t="array" aca="1" ref="M34" ca="1">_xlfn.TEXTJOIN(CHAR(10),TRUE,IF(Semestre=INDIRECT("base_de_datos["&amp;Carrera&amp;"]"),IF("x"=base_de_datos[Jueves],IF(base_de_datos[Hora inicio]&lt;=$B34,IF(base_de_datos[Hora fin]&gt;=$C34,base_de_datos[Materia]&amp;" "&amp;base_de_datos[[Número de grupo ]]&amp;" "&amp;base_de_datos[Profesor],""),""),""),""),"")</f>
        <v>Cómputo distribuido 1 Alfredo Márquez Martínez</v>
      </c>
      <c r="N34" s="24" t="str" cm="1">
        <f t="array" aca="1" ref="N34" ca="1">_xlfn.TEXTJOIN(CHAR(10),TRUE,IF(Semestre=INDIRECT("base_de_datos["&amp;Carrera&amp;"]"),IF("x"=base_de_datos[Jueves],IF(base_de_datos[Hora inicio]&lt;=$B34,IF(base_de_datos[Hora fin]&gt;=$C34,base_de_datos[Aula]&amp;" "&amp;base_de_datos[Examen],""),""),""),""),"")</f>
        <v>A-21 1Ju</v>
      </c>
      <c r="O34" s="24" t="str" cm="1">
        <f t="array" aca="1" ref="O34" ca="1">_xlfn.TEXTJOIN(CHAR(10),TRUE,IF(Semestre=INDIRECT("base_de_datos["&amp;Carrera&amp;"]"),IF("x"=base_de_datos[Jueves],IF(base_de_datos[Hora inicio]&lt;=$B34,IF(base_de_datos[Hora fin]&gt;=$C34,base_de_datos[No clase],""),""),""),""),"")</f>
        <v>1502</v>
      </c>
      <c r="P34" s="24" t="str" cm="1">
        <f t="array" aca="1" ref="P34" ca="1">_xlfn.TEXTJOIN(CHAR(10),TRUE,IF(Semestre=INDIRECT("base_de_datos["&amp;Carrera&amp;"]"),IF("x"=base_de_datos[Viernes],IF(base_de_datos[Hora inicio]&lt;=$B34,IF(base_de_datos[Hora fin]&gt;=$C34,base_de_datos[Materia]&amp;" "&amp;base_de_datos[[Número de grupo ]]&amp;" "&amp;base_de_datos[Profesor],""),""),""),""),"")</f>
        <v>Desarrollo de aplicaciones para dispositivos inteligentes 1 Luis Manuel Ortiz de la Torre</v>
      </c>
      <c r="Q34" s="24" t="str" cm="1">
        <f t="array" aca="1" ref="Q34" ca="1">_xlfn.TEXTJOIN(CHAR(10),TRUE,IF(Semestre=INDIRECT("base_de_datos["&amp;Carrera&amp;"]"),IF("x"=base_de_datos[Viernes],IF(base_de_datos[Hora inicio]&lt;=$B34,IF(base_de_datos[Hora fin]&gt;=$C34,base_de_datos[Aula]&amp;" "&amp;base_de_datos[Examen],""),""),""),""),"")</f>
        <v>MIT 1Vi</v>
      </c>
      <c r="R34" s="24" t="str" cm="1">
        <f t="array" aca="1" ref="R34" ca="1">_xlfn.TEXTJOIN(CHAR(10),TRUE,IF(Semestre=INDIRECT("base_de_datos["&amp;Carrera&amp;"]"),IF("x"=base_de_datos[Viernes],IF(base_de_datos[Hora inicio]&lt;=$B34,IF(base_de_datos[Hora fin]&gt;=$C34,base_de_datos[No clase],""),""),""),""),"")</f>
        <v>1505 (7IIA, BIO)</v>
      </c>
      <c r="S34" s="24" t="str" cm="1">
        <f t="array" aca="1" ref="S34" ca="1">_xlfn.TEXTJOIN(CHAR(10),TRUE,IF(Semestre=INDIRECT("base_de_datos["&amp;Carrera&amp;"]"),IF("x"=base_de_datos[Sábado],IF(base_de_datos[Hora inicio]&lt;=$B34,IF(base_de_datos[Hora fin]&gt;=$C34,base_de_datos[Materia]&amp;" "&amp;base_de_datos[[Número de grupo ]]&amp;" "&amp;base_de_datos[Profesor],""),""),""),""),"")</f>
        <v/>
      </c>
      <c r="T34" s="24" t="str" cm="1">
        <f t="array" aca="1" ref="T34" ca="1">_xlfn.TEXTJOIN(CHAR(10),TRUE,IF(Semestre=INDIRECT("base_de_datos["&amp;Carrera&amp;"]"),IF("x"=base_de_datos[Sábado],IF(base_de_datos[Hora inicio]&lt;=$B34,IF(base_de_datos[Hora fin]&gt;=$C34,base_de_datos[Aula]&amp;" "&amp;#REF!,""),""),""),""),"")</f>
        <v/>
      </c>
      <c r="U34" s="24" t="str" cm="1">
        <f t="array" aca="1" ref="U34" ca="1">_xlfn.TEXTJOIN(CHAR(10),TRUE,IF(Semestre=INDIRECT("base_de_datos["&amp;Carrera&amp;"]"),IF("x"=base_de_datos[Sábado],IF(base_de_datos[Hora inicio]&lt;=$B34,IF(base_de_datos[Hora fin]&gt;=$C34,base_de_datos[No clase],""),""),""),""),"")</f>
        <v/>
      </c>
      <c r="V34" s="23"/>
      <c r="Z34" s="23"/>
      <c r="AA34" s="23"/>
    </row>
    <row r="35" spans="2:27">
      <c r="C35" s="3"/>
      <c r="D35" s="23"/>
      <c r="E35" s="23"/>
      <c r="F35" s="23"/>
      <c r="G35" s="23"/>
      <c r="H35" s="26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Z35" s="23"/>
      <c r="AA35" s="23"/>
    </row>
    <row r="36" spans="2:27">
      <c r="C36" s="3"/>
      <c r="D36" s="23"/>
      <c r="E36" s="23"/>
      <c r="F36" s="23"/>
      <c r="G36" s="23"/>
      <c r="H36" s="26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Z36" s="23"/>
      <c r="AA36" s="23"/>
    </row>
    <row r="37" spans="2:27">
      <c r="C37" s="3"/>
      <c r="D37" s="23"/>
      <c r="E37" s="23"/>
      <c r="F37" s="23"/>
      <c r="G37" s="23"/>
      <c r="H37" s="26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Z37" s="23"/>
      <c r="AA37" s="23"/>
    </row>
    <row r="38" spans="2:27">
      <c r="C38" s="3"/>
      <c r="D38" s="23"/>
      <c r="E38" s="23"/>
      <c r="F38" s="23"/>
      <c r="G38" s="23"/>
      <c r="H38" s="26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Z38" s="23"/>
      <c r="AA38" s="23"/>
    </row>
    <row r="39" spans="2:27">
      <c r="C39" s="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Z39" s="23"/>
      <c r="AA39" s="23"/>
    </row>
    <row r="40" spans="2:27">
      <c r="C40" s="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Z40" s="23"/>
      <c r="AA40" s="23"/>
    </row>
    <row r="41" spans="2:27">
      <c r="C41" s="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Z41" s="23"/>
      <c r="AA41" s="23"/>
    </row>
    <row r="42" spans="2:27">
      <c r="C42" s="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Z42" s="23"/>
      <c r="AA42" s="23"/>
    </row>
    <row r="43" spans="2:27">
      <c r="C43" s="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Z43" s="23"/>
      <c r="AA43" s="23"/>
    </row>
    <row r="44" spans="2:27">
      <c r="C44" s="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Z44" s="23"/>
      <c r="AA44" s="23"/>
    </row>
    <row r="45" spans="2:27">
      <c r="C45" s="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Z45" s="23"/>
      <c r="AA45" s="23"/>
    </row>
    <row r="46" spans="2:27">
      <c r="C46" s="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Z46" s="23"/>
      <c r="AA46" s="23"/>
    </row>
    <row r="47" spans="2:27">
      <c r="C47" s="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Z47" s="23"/>
      <c r="AA47" s="23"/>
    </row>
    <row r="48" spans="2:27">
      <c r="C48" s="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Z48" s="23"/>
      <c r="AA48" s="23"/>
    </row>
    <row r="49" spans="3:27">
      <c r="C49" s="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Z49" s="23"/>
      <c r="AA49" s="23"/>
    </row>
    <row r="50" spans="3:27">
      <c r="C50" s="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Z50" s="23"/>
      <c r="AA50" s="23"/>
    </row>
    <row r="51" spans="3:27">
      <c r="C51" s="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Z51" s="23"/>
      <c r="AA51" s="23"/>
    </row>
    <row r="52" spans="3:27">
      <c r="C52" s="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Z52" s="23"/>
      <c r="AA52" s="23"/>
    </row>
    <row r="53" spans="3:27">
      <c r="C53" s="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Z53" s="23"/>
      <c r="AA53" s="23"/>
    </row>
    <row r="54" spans="3:27">
      <c r="C54" s="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Z54" s="23"/>
      <c r="AA54" s="23"/>
    </row>
    <row r="55" spans="3:27">
      <c r="C55" s="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Z55" s="23"/>
      <c r="AA55" s="23"/>
    </row>
    <row r="56" spans="3:27">
      <c r="C56" s="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Z56" s="23"/>
      <c r="AA56" s="23"/>
    </row>
    <row r="57" spans="3:27">
      <c r="C57" s="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Z57" s="23"/>
      <c r="AA57" s="23"/>
    </row>
    <row r="58" spans="3:27">
      <c r="C58" s="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Z58" s="23"/>
      <c r="AA58" s="23"/>
    </row>
    <row r="59" spans="3:27">
      <c r="C59" s="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Z59" s="23"/>
      <c r="AA59" s="23"/>
    </row>
    <row r="60" spans="3:27">
      <c r="C60" s="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Z60" s="23"/>
      <c r="AA60" s="23"/>
    </row>
    <row r="61" spans="3:27">
      <c r="C61" s="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Z61" s="23"/>
      <c r="AA61" s="23"/>
    </row>
    <row r="62" spans="3:27">
      <c r="C62" s="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Z62" s="23"/>
      <c r="AA62" s="23"/>
    </row>
    <row r="63" spans="3:27">
      <c r="C63" s="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Z63" s="23"/>
      <c r="AA63" s="23"/>
    </row>
    <row r="64" spans="3:27">
      <c r="C64" s="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Z64" s="23"/>
      <c r="AA64" s="23"/>
    </row>
    <row r="65" spans="3:27">
      <c r="C65" s="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Z65" s="23"/>
      <c r="AA65" s="23"/>
    </row>
    <row r="66" spans="3:27">
      <c r="C66" s="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Z66" s="23"/>
      <c r="AA66" s="23"/>
    </row>
    <row r="67" spans="3:27">
      <c r="C67" s="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Z67" s="23"/>
      <c r="AA67" s="23"/>
    </row>
    <row r="68" spans="3:27">
      <c r="C68" s="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Z68" s="23"/>
      <c r="AA68" s="23"/>
    </row>
    <row r="69" spans="3:27">
      <c r="C69" s="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Z69" s="23"/>
      <c r="AA69" s="23"/>
    </row>
    <row r="70" spans="3:27">
      <c r="C70" s="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Z70" s="23"/>
      <c r="AA70" s="23"/>
    </row>
    <row r="71" spans="3:27">
      <c r="C71" s="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Z71" s="23"/>
      <c r="AA71" s="23"/>
    </row>
    <row r="72" spans="3:27">
      <c r="C72" s="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Z72" s="23"/>
      <c r="AA72" s="23"/>
    </row>
    <row r="73" spans="3:27">
      <c r="C73" s="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Z73" s="23"/>
      <c r="AA73" s="23"/>
    </row>
    <row r="74" spans="3:27">
      <c r="C74" s="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Z74" s="23"/>
      <c r="AA74" s="23"/>
    </row>
    <row r="75" spans="3:27">
      <c r="C75" s="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Z75" s="23"/>
      <c r="AA75" s="23"/>
    </row>
    <row r="76" spans="3:27">
      <c r="C76" s="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Z76" s="23"/>
      <c r="AA76" s="23"/>
    </row>
    <row r="77" spans="3:27">
      <c r="C77" s="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Z77" s="23"/>
      <c r="AA77" s="23"/>
    </row>
    <row r="78" spans="3:27">
      <c r="C78" s="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Z78" s="23"/>
      <c r="AA78" s="23"/>
    </row>
    <row r="79" spans="3:27">
      <c r="C79" s="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Z79" s="23"/>
      <c r="AA79" s="23"/>
    </row>
    <row r="80" spans="3:27">
      <c r="C80" s="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Z80" s="23"/>
      <c r="AA80" s="23"/>
    </row>
    <row r="81" spans="3:27">
      <c r="C81" s="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Z81" s="23"/>
      <c r="AA81" s="23"/>
    </row>
    <row r="82" spans="3:27">
      <c r="C82" s="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Z82" s="23"/>
      <c r="AA82" s="23"/>
    </row>
    <row r="83" spans="3:27">
      <c r="C83" s="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Z83" s="23"/>
      <c r="AA83" s="23"/>
    </row>
    <row r="84" spans="3:27">
      <c r="C84" s="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Z84" s="23"/>
      <c r="AA84" s="23"/>
    </row>
    <row r="85" spans="3:27">
      <c r="C85" s="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Z85" s="23"/>
      <c r="AA85" s="23"/>
    </row>
    <row r="86" spans="3:27">
      <c r="C86" s="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Z86" s="23"/>
      <c r="AA86" s="23"/>
    </row>
    <row r="87" spans="3:27">
      <c r="C87" s="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Z87" s="23"/>
      <c r="AA87" s="23"/>
    </row>
    <row r="88" spans="3:27">
      <c r="C88" s="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Z88" s="23"/>
      <c r="AA88" s="23"/>
    </row>
    <row r="89" spans="3:27">
      <c r="C89" s="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Z89" s="23"/>
      <c r="AA89" s="23"/>
    </row>
    <row r="90" spans="3:27">
      <c r="C90" s="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Z90" s="23"/>
      <c r="AA90" s="23"/>
    </row>
    <row r="91" spans="3:27">
      <c r="C91" s="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Z91" s="23"/>
      <c r="AA91" s="23"/>
    </row>
    <row r="92" spans="3:27">
      <c r="C92" s="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Z92" s="23"/>
      <c r="AA92" s="23"/>
    </row>
    <row r="93" spans="3:27">
      <c r="C93" s="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Z93" s="23"/>
      <c r="AA93" s="23"/>
    </row>
    <row r="94" spans="3:27">
      <c r="C94" s="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Z94" s="23"/>
      <c r="AA94" s="23"/>
    </row>
    <row r="95" spans="3:27">
      <c r="C95" s="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Z95" s="23"/>
      <c r="AA95" s="23"/>
    </row>
    <row r="96" spans="3:27">
      <c r="C96" s="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Z96" s="23"/>
      <c r="AA96" s="23"/>
    </row>
    <row r="97" spans="3:27">
      <c r="C97" s="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Z97" s="23"/>
      <c r="AA97" s="23"/>
    </row>
    <row r="98" spans="3:27">
      <c r="C98" s="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Z98" s="23"/>
      <c r="AA98" s="23"/>
    </row>
    <row r="99" spans="3:27">
      <c r="C99" s="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Z99" s="23"/>
      <c r="AA99" s="23"/>
    </row>
    <row r="100" spans="3:27">
      <c r="C100" s="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Z100" s="23"/>
      <c r="AA100" s="23"/>
    </row>
    <row r="101" spans="3:27">
      <c r="C101" s="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Z101" s="23"/>
      <c r="AA101" s="23"/>
    </row>
    <row r="102" spans="3:27">
      <c r="C102" s="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Z102" s="23"/>
      <c r="AA102" s="23"/>
    </row>
    <row r="103" spans="3:27">
      <c r="C103" s="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Z103" s="23"/>
      <c r="AA103" s="23"/>
    </row>
    <row r="104" spans="3:27">
      <c r="C104" s="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Z104" s="23"/>
      <c r="AA104" s="23"/>
    </row>
    <row r="105" spans="3:27">
      <c r="C105" s="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Z105" s="23"/>
      <c r="AA105" s="23"/>
    </row>
    <row r="106" spans="3:27">
      <c r="C106" s="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Z106" s="23"/>
      <c r="AA106" s="23"/>
    </row>
    <row r="107" spans="3:27">
      <c r="C107" s="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Z107" s="23"/>
      <c r="AA107" s="23"/>
    </row>
    <row r="108" spans="3:27">
      <c r="C108" s="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Z108" s="23"/>
      <c r="AA108" s="23"/>
    </row>
    <row r="109" spans="3:27">
      <c r="C109" s="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Z109" s="23"/>
      <c r="AA109" s="23"/>
    </row>
    <row r="110" spans="3:27">
      <c r="C110" s="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Z110" s="23"/>
      <c r="AA110" s="23"/>
    </row>
    <row r="111" spans="3:27">
      <c r="C111" s="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Z111" s="23"/>
      <c r="AA111" s="23"/>
    </row>
    <row r="112" spans="3:27">
      <c r="C112" s="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Z112" s="23"/>
      <c r="AA112" s="23"/>
    </row>
    <row r="113" spans="3:27">
      <c r="C113" s="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Z113" s="23"/>
      <c r="AA113" s="23"/>
    </row>
    <row r="114" spans="3:27">
      <c r="C114" s="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Z114" s="23"/>
      <c r="AA114" s="23"/>
    </row>
    <row r="115" spans="3:27">
      <c r="C115" s="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Z115" s="23"/>
      <c r="AA115" s="23"/>
    </row>
    <row r="116" spans="3:27">
      <c r="C116" s="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Z116" s="23"/>
      <c r="AA116" s="23"/>
    </row>
    <row r="117" spans="3:27">
      <c r="C117" s="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Z117" s="23"/>
      <c r="AA117" s="23"/>
    </row>
    <row r="118" spans="3:27">
      <c r="C118" s="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Z118" s="23"/>
      <c r="AA118" s="23"/>
    </row>
    <row r="119" spans="3:27">
      <c r="C119" s="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Z119" s="23"/>
      <c r="AA119" s="23"/>
    </row>
    <row r="120" spans="3:27">
      <c r="C120" s="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Z120" s="23"/>
      <c r="AA120" s="23"/>
    </row>
    <row r="121" spans="3:27">
      <c r="C121" s="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Z121" s="23"/>
      <c r="AA121" s="23"/>
    </row>
    <row r="122" spans="3:27">
      <c r="C122" s="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Z122" s="23"/>
      <c r="AA122" s="23"/>
    </row>
    <row r="123" spans="3:27">
      <c r="C123" s="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Z123" s="23"/>
      <c r="AA123" s="23"/>
    </row>
    <row r="124" spans="3:27">
      <c r="C124" s="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Z124" s="23"/>
      <c r="AA124" s="23"/>
    </row>
    <row r="125" spans="3:27">
      <c r="C125" s="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Z125" s="23"/>
      <c r="AA125" s="23"/>
    </row>
    <row r="126" spans="3:27">
      <c r="C126" s="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Z126" s="23"/>
      <c r="AA126" s="23"/>
    </row>
    <row r="127" spans="3:27">
      <c r="C127" s="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Z127" s="23"/>
      <c r="AA127" s="23"/>
    </row>
    <row r="128" spans="3:27">
      <c r="C128" s="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Z128" s="23"/>
      <c r="AA128" s="23"/>
    </row>
    <row r="129" spans="3:27">
      <c r="C129" s="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Z129" s="23"/>
      <c r="AA129" s="23"/>
    </row>
    <row r="130" spans="3:27">
      <c r="C130" s="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Z130" s="23"/>
      <c r="AA130" s="23"/>
    </row>
    <row r="131" spans="3:27">
      <c r="C131" s="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Z131" s="23"/>
      <c r="AA131" s="23"/>
    </row>
    <row r="132" spans="3:27">
      <c r="C132" s="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Z132" s="23"/>
      <c r="AA132" s="23"/>
    </row>
    <row r="133" spans="3:27">
      <c r="C133" s="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Z133" s="23"/>
      <c r="AA133" s="23"/>
    </row>
    <row r="134" spans="3:27">
      <c r="C134" s="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Z134" s="23"/>
      <c r="AA134" s="23"/>
    </row>
    <row r="135" spans="3:27">
      <c r="C135" s="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Z135" s="23"/>
      <c r="AA135" s="23"/>
    </row>
    <row r="136" spans="3:27">
      <c r="C136" s="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Z136" s="23"/>
      <c r="AA136" s="23"/>
    </row>
    <row r="137" spans="3:27">
      <c r="C137" s="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Z137" s="23"/>
      <c r="AA137" s="23"/>
    </row>
    <row r="138" spans="3:27">
      <c r="C138" s="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Z138" s="23"/>
      <c r="AA138" s="23"/>
    </row>
    <row r="139" spans="3:27">
      <c r="C139" s="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Z139" s="23"/>
      <c r="AA139" s="23"/>
    </row>
    <row r="140" spans="3:27">
      <c r="C140" s="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Z140" s="23"/>
      <c r="AA140" s="23"/>
    </row>
    <row r="141" spans="3:27">
      <c r="C141" s="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Z141" s="23"/>
      <c r="AA141" s="23"/>
    </row>
    <row r="142" spans="3:27">
      <c r="C142" s="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Z142" s="23"/>
      <c r="AA142" s="23"/>
    </row>
    <row r="143" spans="3:27">
      <c r="C143" s="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Z143" s="23"/>
      <c r="AA143" s="23"/>
    </row>
    <row r="144" spans="3:27">
      <c r="C144" s="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Z144" s="23"/>
      <c r="AA144" s="23"/>
    </row>
    <row r="145" spans="3:27">
      <c r="C145" s="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Z145" s="23"/>
      <c r="AA145" s="23"/>
    </row>
    <row r="146" spans="3:27">
      <c r="C146" s="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Z146" s="23"/>
      <c r="AA146" s="23"/>
    </row>
    <row r="147" spans="3:27">
      <c r="C147" s="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Z147" s="23"/>
      <c r="AA147" s="23"/>
    </row>
    <row r="148" spans="3:27">
      <c r="C148" s="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Z148" s="23"/>
      <c r="AA148" s="23"/>
    </row>
    <row r="149" spans="3:27">
      <c r="C149" s="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Z149" s="23"/>
      <c r="AA149" s="23"/>
    </row>
    <row r="150" spans="3:27">
      <c r="C150" s="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Z150" s="23"/>
      <c r="AA150" s="23"/>
    </row>
    <row r="151" spans="3:27">
      <c r="C151" s="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Z151" s="23"/>
      <c r="AA151" s="23"/>
    </row>
    <row r="152" spans="3:27">
      <c r="C152" s="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Z152" s="23"/>
      <c r="AA152" s="23"/>
    </row>
    <row r="153" spans="3:27">
      <c r="C153" s="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Z153" s="23"/>
      <c r="AA153" s="23"/>
    </row>
    <row r="154" spans="3:27">
      <c r="C154" s="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Z154" s="23"/>
      <c r="AA154" s="23"/>
    </row>
    <row r="155" spans="3:27">
      <c r="C155" s="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Z155" s="23"/>
      <c r="AA155" s="23"/>
    </row>
    <row r="156" spans="3:27">
      <c r="C156" s="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Z156" s="23"/>
      <c r="AA156" s="23"/>
    </row>
    <row r="157" spans="3:27">
      <c r="C157" s="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Z157" s="23"/>
      <c r="AA157" s="23"/>
    </row>
    <row r="158" spans="3:27">
      <c r="C158" s="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Z158" s="23"/>
      <c r="AA158" s="23"/>
    </row>
    <row r="159" spans="3:27">
      <c r="C159" s="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Z159" s="23"/>
      <c r="AA159" s="23"/>
    </row>
    <row r="160" spans="3:27">
      <c r="C160" s="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Z160" s="23"/>
      <c r="AA160" s="23"/>
    </row>
    <row r="161" spans="3:27">
      <c r="C161" s="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Z161" s="23"/>
      <c r="AA161" s="23"/>
    </row>
    <row r="162" spans="3:27">
      <c r="C162" s="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Z162" s="23"/>
      <c r="AA162" s="23"/>
    </row>
    <row r="163" spans="3:27">
      <c r="C163" s="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Z163" s="23"/>
      <c r="AA163" s="23"/>
    </row>
    <row r="164" spans="3:27">
      <c r="C164" s="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Z164" s="23"/>
      <c r="AA164" s="23"/>
    </row>
    <row r="165" spans="3:27">
      <c r="C165" s="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Z165" s="23"/>
      <c r="AA165" s="23"/>
    </row>
    <row r="166" spans="3:27">
      <c r="C166" s="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Z166" s="23"/>
      <c r="AA166" s="23"/>
    </row>
    <row r="167" spans="3:27">
      <c r="C167" s="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Z167" s="23"/>
      <c r="AA167" s="23"/>
    </row>
    <row r="168" spans="3:27">
      <c r="C168" s="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Z168" s="23"/>
      <c r="AA168" s="23"/>
    </row>
    <row r="169" spans="3:27">
      <c r="C169" s="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Z169" s="23"/>
      <c r="AA169" s="23"/>
    </row>
    <row r="170" spans="3:27">
      <c r="C170" s="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Z170" s="23"/>
      <c r="AA170" s="23"/>
    </row>
    <row r="171" spans="3:27">
      <c r="C171" s="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Z171" s="23"/>
      <c r="AA171" s="23"/>
    </row>
    <row r="172" spans="3:27">
      <c r="C172" s="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Z172" s="23"/>
      <c r="AA172" s="23"/>
    </row>
    <row r="173" spans="3:27">
      <c r="C173" s="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Z173" s="23"/>
      <c r="AA173" s="23"/>
    </row>
    <row r="174" spans="3:27">
      <c r="C174" s="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Z174" s="23"/>
      <c r="AA174" s="23"/>
    </row>
    <row r="175" spans="3:27">
      <c r="C175" s="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Z175" s="23"/>
      <c r="AA175" s="23"/>
    </row>
    <row r="176" spans="3:27">
      <c r="C176" s="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Z176" s="23"/>
      <c r="AA176" s="23"/>
    </row>
    <row r="177" spans="3:27">
      <c r="C177" s="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Z177" s="23"/>
      <c r="AA177" s="23"/>
    </row>
    <row r="178" spans="3:27">
      <c r="C178" s="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Z178" s="23"/>
      <c r="AA178" s="23"/>
    </row>
    <row r="179" spans="3:27">
      <c r="C179" s="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Z179" s="23"/>
      <c r="AA179" s="23"/>
    </row>
    <row r="180" spans="3:27">
      <c r="C180" s="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Z180" s="23"/>
      <c r="AA180" s="23"/>
    </row>
    <row r="181" spans="3:27">
      <c r="C181" s="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Z181" s="23"/>
      <c r="AA181" s="23"/>
    </row>
    <row r="182" spans="3:27">
      <c r="C182" s="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Z182" s="23"/>
      <c r="AA182" s="23"/>
    </row>
    <row r="183" spans="3:27">
      <c r="C183" s="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Z183" s="23"/>
      <c r="AA183" s="23"/>
    </row>
    <row r="184" spans="3:27">
      <c r="C184" s="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Z184" s="23"/>
      <c r="AA184" s="23"/>
    </row>
    <row r="185" spans="3:27">
      <c r="C185" s="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Z185" s="23"/>
      <c r="AA185" s="23"/>
    </row>
    <row r="186" spans="3:27">
      <c r="C186" s="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Z186" s="23"/>
      <c r="AA186" s="23"/>
    </row>
    <row r="187" spans="3:27">
      <c r="C187" s="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Z187" s="23"/>
      <c r="AA187" s="23"/>
    </row>
    <row r="188" spans="3:27">
      <c r="C188" s="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Z188" s="23"/>
      <c r="AA188" s="23"/>
    </row>
    <row r="189" spans="3:27">
      <c r="C189" s="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Z189" s="23"/>
      <c r="AA189" s="23"/>
    </row>
    <row r="190" spans="3:27">
      <c r="C190" s="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Z190" s="23"/>
      <c r="AA190" s="23"/>
    </row>
    <row r="191" spans="3:27">
      <c r="C191" s="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Z191" s="23"/>
      <c r="AA191" s="23"/>
    </row>
    <row r="192" spans="3:27">
      <c r="C192" s="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Z192" s="23"/>
      <c r="AA192" s="23"/>
    </row>
    <row r="193" spans="3:27">
      <c r="C193" s="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Z193" s="23"/>
      <c r="AA193" s="23"/>
    </row>
    <row r="194" spans="3:27">
      <c r="C194" s="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Z194" s="23"/>
      <c r="AA194" s="23"/>
    </row>
    <row r="195" spans="3:27">
      <c r="C195" s="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Z195" s="23"/>
      <c r="AA195" s="23"/>
    </row>
    <row r="196" spans="3:27">
      <c r="C196" s="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Z196" s="23"/>
      <c r="AA196" s="23"/>
    </row>
    <row r="197" spans="3:27">
      <c r="C197" s="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Z197" s="23"/>
      <c r="AA197" s="23"/>
    </row>
    <row r="198" spans="3:27">
      <c r="C198" s="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Z198" s="23"/>
      <c r="AA198" s="23"/>
    </row>
    <row r="199" spans="3:27">
      <c r="C199" s="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Z199" s="23"/>
      <c r="AA199" s="23"/>
    </row>
    <row r="200" spans="3:27">
      <c r="C200" s="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Z200" s="23"/>
      <c r="AA200" s="23"/>
    </row>
    <row r="201" spans="3:27">
      <c r="C201" s="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Z201" s="23"/>
      <c r="AA201" s="23"/>
    </row>
    <row r="202" spans="3:27">
      <c r="C202" s="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Z202" s="23"/>
      <c r="AA202" s="23"/>
    </row>
    <row r="203" spans="3:27">
      <c r="C203" s="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Z203" s="23"/>
      <c r="AA203" s="23"/>
    </row>
    <row r="204" spans="3:27">
      <c r="C204" s="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Z204" s="23"/>
      <c r="AA204" s="23"/>
    </row>
    <row r="205" spans="3:27">
      <c r="C205" s="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Z205" s="23"/>
      <c r="AA205" s="23"/>
    </row>
    <row r="206" spans="3:27">
      <c r="C206" s="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Z206" s="23"/>
      <c r="AA206" s="23"/>
    </row>
    <row r="207" spans="3:27">
      <c r="C207" s="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Z207" s="23"/>
      <c r="AA207" s="23"/>
    </row>
    <row r="208" spans="3:27">
      <c r="C208" s="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Z208" s="23"/>
      <c r="AA208" s="23"/>
    </row>
    <row r="209" spans="3:27">
      <c r="C209" s="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Z209" s="23"/>
      <c r="AA209" s="23"/>
    </row>
    <row r="210" spans="3:27">
      <c r="C210" s="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Z210" s="23"/>
      <c r="AA210" s="23"/>
    </row>
    <row r="211" spans="3:27">
      <c r="C211" s="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Z211" s="23"/>
      <c r="AA211" s="23"/>
    </row>
    <row r="212" spans="3:27">
      <c r="C212" s="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Z212" s="23"/>
      <c r="AA212" s="23"/>
    </row>
    <row r="213" spans="3:27">
      <c r="C213" s="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Z213" s="23"/>
      <c r="AA213" s="23"/>
    </row>
    <row r="214" spans="3:27">
      <c r="C214" s="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Z214" s="23"/>
      <c r="AA214" s="23"/>
    </row>
    <row r="215" spans="3:27">
      <c r="C215" s="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Z215" s="23"/>
      <c r="AA215" s="23"/>
    </row>
    <row r="216" spans="3:27">
      <c r="C216" s="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Z216" s="23"/>
      <c r="AA216" s="23"/>
    </row>
    <row r="217" spans="3:27">
      <c r="C217" s="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Z217" s="23"/>
      <c r="AA217" s="23"/>
    </row>
    <row r="218" spans="3:27">
      <c r="C218" s="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Z218" s="23"/>
      <c r="AA218" s="23"/>
    </row>
    <row r="219" spans="3:27">
      <c r="C219" s="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Z219" s="23"/>
      <c r="AA219" s="23"/>
    </row>
    <row r="220" spans="3:27">
      <c r="C220" s="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Z220" s="23"/>
      <c r="AA220" s="23"/>
    </row>
    <row r="221" spans="3:27">
      <c r="C221" s="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Z221" s="23"/>
      <c r="AA221" s="23"/>
    </row>
    <row r="222" spans="3:27">
      <c r="C222" s="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Z222" s="23"/>
      <c r="AA222" s="23"/>
    </row>
    <row r="223" spans="3:27">
      <c r="C223" s="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Z223" s="23"/>
      <c r="AA223" s="23"/>
    </row>
    <row r="224" spans="3:27">
      <c r="C224" s="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Z224" s="23"/>
      <c r="AA224" s="23"/>
    </row>
    <row r="225" spans="3:27">
      <c r="C225" s="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Z225" s="23"/>
      <c r="AA225" s="23"/>
    </row>
    <row r="226" spans="3:27">
      <c r="C226" s="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Z226" s="23"/>
      <c r="AA226" s="23"/>
    </row>
    <row r="227" spans="3:27">
      <c r="C227" s="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Z227" s="23"/>
      <c r="AA227" s="23"/>
    </row>
    <row r="228" spans="3:27">
      <c r="C228" s="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Z228" s="23"/>
      <c r="AA228" s="23"/>
    </row>
    <row r="229" spans="3:27">
      <c r="C229" s="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Z229" s="23"/>
      <c r="AA229" s="23"/>
    </row>
    <row r="230" spans="3:27">
      <c r="C230" s="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Z230" s="23"/>
      <c r="AA230" s="23"/>
    </row>
    <row r="231" spans="3:27">
      <c r="C231" s="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Z231" s="23"/>
      <c r="AA231" s="23"/>
    </row>
    <row r="232" spans="3:27">
      <c r="C232" s="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Z232" s="23"/>
      <c r="AA232" s="23"/>
    </row>
    <row r="233" spans="3:27">
      <c r="C233" s="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Z233" s="23"/>
      <c r="AA233" s="23"/>
    </row>
    <row r="234" spans="3:27">
      <c r="C234" s="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Z234" s="23"/>
      <c r="AA234" s="23"/>
    </row>
    <row r="235" spans="3:27">
      <c r="C235" s="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Z235" s="23"/>
      <c r="AA235" s="23"/>
    </row>
    <row r="236" spans="3:27">
      <c r="C236" s="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Z236" s="23"/>
      <c r="AA236" s="23"/>
    </row>
    <row r="237" spans="3:27">
      <c r="C237" s="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Z237" s="23"/>
      <c r="AA237" s="23"/>
    </row>
    <row r="238" spans="3:27">
      <c r="C238" s="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Z238" s="23"/>
      <c r="AA238" s="23"/>
    </row>
    <row r="239" spans="3:27">
      <c r="C239" s="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Z239" s="23"/>
      <c r="AA239" s="23"/>
    </row>
    <row r="240" spans="3:27">
      <c r="C240" s="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Z240" s="23"/>
      <c r="AA240" s="23"/>
    </row>
    <row r="241" spans="3:27">
      <c r="C241" s="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Z241" s="23"/>
      <c r="AA241" s="23"/>
    </row>
    <row r="242" spans="3:27">
      <c r="C242" s="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Z242" s="23"/>
      <c r="AA242" s="23"/>
    </row>
    <row r="243" spans="3:27">
      <c r="C243" s="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Z243" s="23"/>
      <c r="AA243" s="23"/>
    </row>
    <row r="244" spans="3:27">
      <c r="C244" s="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Z244" s="23"/>
      <c r="AA244" s="23"/>
    </row>
    <row r="245" spans="3:27">
      <c r="C245" s="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Z245" s="23"/>
      <c r="AA245" s="23"/>
    </row>
    <row r="246" spans="3:27">
      <c r="C246" s="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Z246" s="23"/>
      <c r="AA246" s="23"/>
    </row>
    <row r="247" spans="3:27"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Z247" s="23"/>
      <c r="AA247" s="23"/>
    </row>
    <row r="248" spans="3:27"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Z248" s="23"/>
      <c r="AA248" s="23"/>
    </row>
    <row r="249" spans="3:27"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Z249" s="23"/>
      <c r="AA249" s="23"/>
    </row>
    <row r="250" spans="3:27"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Z250" s="23"/>
      <c r="AA250" s="23"/>
    </row>
    <row r="251" spans="3:27"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Z251" s="23"/>
      <c r="AA251" s="23"/>
    </row>
    <row r="252" spans="3:27"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Z252" s="23"/>
      <c r="AA252" s="23"/>
    </row>
    <row r="253" spans="3:27">
      <c r="C253" s="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Z253" s="23"/>
      <c r="AA253" s="23"/>
    </row>
    <row r="254" spans="3:27">
      <c r="C254" s="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Z254" s="23"/>
      <c r="AA254" s="23"/>
    </row>
    <row r="255" spans="3:27">
      <c r="C255" s="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Z255" s="23"/>
      <c r="AA255" s="23"/>
    </row>
    <row r="256" spans="3:27">
      <c r="C256" s="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Z256" s="23"/>
      <c r="AA256" s="23"/>
    </row>
    <row r="257" spans="3:27">
      <c r="C257" s="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Z257" s="23"/>
      <c r="AA257" s="23"/>
    </row>
    <row r="258" spans="3:27">
      <c r="C258" s="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Z258" s="23"/>
      <c r="AA258" s="23"/>
    </row>
    <row r="259" spans="3:27">
      <c r="C259" s="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Z259" s="23"/>
      <c r="AA259" s="23"/>
    </row>
    <row r="260" spans="3:27">
      <c r="C260" s="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Z260" s="23"/>
      <c r="AA260" s="23"/>
    </row>
    <row r="261" spans="3:27">
      <c r="C261" s="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Z261" s="23"/>
      <c r="AA261" s="23"/>
    </row>
    <row r="262" spans="3:27">
      <c r="C262" s="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Z262" s="23"/>
      <c r="AA262" s="23"/>
    </row>
    <row r="263" spans="3:27">
      <c r="C263" s="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Z263" s="23"/>
      <c r="AA263" s="23"/>
    </row>
    <row r="264" spans="3:27">
      <c r="C264" s="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Z264" s="23"/>
      <c r="AA264" s="23"/>
    </row>
    <row r="265" spans="3:27">
      <c r="C265" s="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Z265" s="23"/>
      <c r="AA265" s="23"/>
    </row>
    <row r="266" spans="3:27">
      <c r="C266" s="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Z266" s="23"/>
      <c r="AA266" s="23"/>
    </row>
    <row r="267" spans="3:27">
      <c r="C267" s="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Z267" s="23"/>
      <c r="AA267" s="23"/>
    </row>
    <row r="268" spans="3:27">
      <c r="C268" s="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Z268" s="23"/>
      <c r="AA268" s="23"/>
    </row>
    <row r="269" spans="3:27">
      <c r="C269" s="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Z269" s="23"/>
      <c r="AA269" s="23"/>
    </row>
    <row r="270" spans="3:27">
      <c r="C270" s="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Z270" s="23"/>
      <c r="AA270" s="23"/>
    </row>
    <row r="271" spans="3:27">
      <c r="C271" s="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Z271" s="23"/>
      <c r="AA271" s="23"/>
    </row>
    <row r="272" spans="3:27">
      <c r="C272" s="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Z272" s="23"/>
      <c r="AA272" s="23"/>
    </row>
    <row r="273" spans="3:27">
      <c r="C273" s="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Z273" s="23"/>
      <c r="AA273" s="23"/>
    </row>
    <row r="274" spans="3:27">
      <c r="C274" s="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Z274" s="23"/>
      <c r="AA274" s="23"/>
    </row>
    <row r="275" spans="3:27">
      <c r="C275" s="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Z275" s="23"/>
      <c r="AA275" s="23"/>
    </row>
    <row r="276" spans="3:27">
      <c r="C276" s="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Z276" s="23"/>
      <c r="AA276" s="23"/>
    </row>
    <row r="277" spans="3:27">
      <c r="C277" s="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Z277" s="23"/>
      <c r="AA277" s="23"/>
    </row>
    <row r="278" spans="3:27">
      <c r="C278" s="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Z278" s="23"/>
      <c r="AA278" s="23"/>
    </row>
    <row r="279" spans="3:27">
      <c r="C279" s="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Z279" s="23"/>
      <c r="AA279" s="23"/>
    </row>
    <row r="280" spans="3:27">
      <c r="C280" s="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Z280" s="23"/>
      <c r="AA280" s="23"/>
    </row>
    <row r="281" spans="3:27">
      <c r="C281" s="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Z281" s="23"/>
      <c r="AA281" s="23"/>
    </row>
    <row r="282" spans="3:27">
      <c r="C282" s="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Z282" s="23"/>
      <c r="AA282" s="23"/>
    </row>
    <row r="283" spans="3:27">
      <c r="C283" s="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Z283" s="23"/>
      <c r="AA283" s="23"/>
    </row>
    <row r="284" spans="3:27">
      <c r="C284" s="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Z284" s="23"/>
      <c r="AA284" s="23"/>
    </row>
    <row r="285" spans="3:27">
      <c r="C285" s="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Z285" s="23"/>
      <c r="AA285" s="23"/>
    </row>
    <row r="286" spans="3:27">
      <c r="C286" s="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Z286" s="23"/>
      <c r="AA286" s="23"/>
    </row>
    <row r="287" spans="3:27">
      <c r="C287" s="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Z287" s="23"/>
      <c r="AA287" s="23"/>
    </row>
    <row r="288" spans="3:27">
      <c r="C288" s="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Z288" s="23"/>
      <c r="AA288" s="23"/>
    </row>
    <row r="289" spans="3:27">
      <c r="C289" s="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Z289" s="23"/>
      <c r="AA289" s="23"/>
    </row>
    <row r="290" spans="3:27">
      <c r="C290" s="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Z290" s="23"/>
      <c r="AA290" s="23"/>
    </row>
    <row r="291" spans="3:27">
      <c r="C291" s="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Z291" s="23"/>
      <c r="AA291" s="23"/>
    </row>
    <row r="292" spans="3:27">
      <c r="C292" s="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Z292" s="23"/>
      <c r="AA292" s="23"/>
    </row>
    <row r="293" spans="3:27">
      <c r="C293" s="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Z293" s="23"/>
      <c r="AA293" s="23"/>
    </row>
    <row r="294" spans="3:27">
      <c r="C294" s="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Z294" s="23"/>
      <c r="AA294" s="23"/>
    </row>
    <row r="295" spans="3:27">
      <c r="C295" s="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Z295" s="23"/>
      <c r="AA295" s="23"/>
    </row>
    <row r="296" spans="3:27">
      <c r="C296" s="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Z296" s="23"/>
      <c r="AA296" s="23"/>
    </row>
    <row r="297" spans="3:27">
      <c r="C297" s="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Z297" s="23"/>
      <c r="AA297" s="23"/>
    </row>
    <row r="298" spans="3:27">
      <c r="C298" s="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Z298" s="23"/>
      <c r="AA298" s="23"/>
    </row>
    <row r="299" spans="3:27">
      <c r="C299" s="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Z299" s="23"/>
      <c r="AA299" s="23"/>
    </row>
    <row r="300" spans="3:27">
      <c r="C300" s="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Z300" s="23"/>
      <c r="AA300" s="23"/>
    </row>
    <row r="301" spans="3:27">
      <c r="C301" s="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Z301" s="23"/>
      <c r="AA301" s="23"/>
    </row>
    <row r="302" spans="3:27">
      <c r="C302" s="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Z302" s="23"/>
      <c r="AA302" s="23"/>
    </row>
    <row r="303" spans="3:27">
      <c r="C303" s="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Z303" s="23"/>
      <c r="AA303" s="23"/>
    </row>
    <row r="304" spans="3:27">
      <c r="C304" s="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Z304" s="23"/>
      <c r="AA304" s="23"/>
    </row>
    <row r="305" spans="3:27">
      <c r="C305" s="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Z305" s="23"/>
      <c r="AA305" s="23"/>
    </row>
    <row r="306" spans="3:27">
      <c r="C306" s="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Z306" s="23"/>
      <c r="AA306" s="23"/>
    </row>
    <row r="307" spans="3:27">
      <c r="C307" s="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Z307" s="23"/>
      <c r="AA307" s="23"/>
    </row>
    <row r="308" spans="3:27">
      <c r="C308" s="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Z308" s="23"/>
      <c r="AA308" s="23"/>
    </row>
    <row r="309" spans="3:27">
      <c r="C309" s="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Z309" s="23"/>
      <c r="AA309" s="23"/>
    </row>
    <row r="310" spans="3:27">
      <c r="C310" s="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Z310" s="23"/>
      <c r="AA310" s="23"/>
    </row>
    <row r="311" spans="3:27">
      <c r="C311" s="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Z311" s="23"/>
      <c r="AA311" s="23"/>
    </row>
    <row r="312" spans="3:27">
      <c r="C312" s="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Z312" s="23"/>
      <c r="AA312" s="23"/>
    </row>
    <row r="313" spans="3:27">
      <c r="C313" s="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Z313" s="23"/>
      <c r="AA313" s="23"/>
    </row>
    <row r="314" spans="3:27">
      <c r="C314" s="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Z314" s="23"/>
      <c r="AA314" s="23"/>
    </row>
    <row r="315" spans="3:27">
      <c r="C315" s="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Z315" s="23"/>
      <c r="AA315" s="23"/>
    </row>
    <row r="316" spans="3:27">
      <c r="C316" s="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Z316" s="23"/>
      <c r="AA316" s="23"/>
    </row>
    <row r="317" spans="3:27">
      <c r="C317" s="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Z317" s="23"/>
      <c r="AA317" s="23"/>
    </row>
    <row r="318" spans="3:27">
      <c r="C318" s="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Z318" s="23"/>
      <c r="AA318" s="23"/>
    </row>
    <row r="319" spans="3:27">
      <c r="C319" s="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Z319" s="23"/>
      <c r="AA319" s="23"/>
    </row>
    <row r="320" spans="3:27">
      <c r="C320" s="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Z320" s="23"/>
      <c r="AA320" s="23"/>
    </row>
    <row r="321" spans="3:27">
      <c r="C321" s="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Z321" s="23"/>
      <c r="AA321" s="23"/>
    </row>
    <row r="322" spans="3:27">
      <c r="C322" s="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Z322" s="23"/>
      <c r="AA322" s="23"/>
    </row>
    <row r="323" spans="3:27">
      <c r="C323" s="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Z323" s="23"/>
      <c r="AA323" s="23"/>
    </row>
    <row r="324" spans="3:27">
      <c r="C324" s="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Z324" s="23"/>
      <c r="AA324" s="23"/>
    </row>
    <row r="325" spans="3:27">
      <c r="C325" s="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Z325" s="23"/>
      <c r="AA325" s="23"/>
    </row>
    <row r="326" spans="3:27">
      <c r="C326" s="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Z326" s="23"/>
      <c r="AA326" s="23"/>
    </row>
    <row r="327" spans="3:27">
      <c r="C327" s="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Z327" s="23"/>
      <c r="AA327" s="23"/>
    </row>
    <row r="328" spans="3:27">
      <c r="C328" s="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Z328" s="23"/>
      <c r="AA328" s="23"/>
    </row>
    <row r="329" spans="3:27">
      <c r="C329" s="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Z329" s="23"/>
      <c r="AA329" s="23"/>
    </row>
    <row r="330" spans="3:27">
      <c r="C330" s="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Z330" s="23"/>
      <c r="AA330" s="23"/>
    </row>
    <row r="331" spans="3:27">
      <c r="C331" s="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Z331" s="23"/>
      <c r="AA331" s="23"/>
    </row>
    <row r="332" spans="3:27">
      <c r="C332" s="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Z332" s="23"/>
      <c r="AA332" s="23"/>
    </row>
    <row r="333" spans="3:27">
      <c r="C333" s="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Z333" s="23"/>
      <c r="AA333" s="23"/>
    </row>
    <row r="334" spans="3:27">
      <c r="C334" s="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Z334" s="23"/>
      <c r="AA334" s="23"/>
    </row>
    <row r="335" spans="3:27">
      <c r="C335" s="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Z335" s="23"/>
      <c r="AA335" s="23"/>
    </row>
    <row r="336" spans="3:27">
      <c r="C336" s="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Z336" s="23"/>
      <c r="AA336" s="23"/>
    </row>
    <row r="337" spans="3:27">
      <c r="C337" s="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Z337" s="23"/>
      <c r="AA337" s="23"/>
    </row>
    <row r="338" spans="3:27">
      <c r="C338" s="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Z338" s="23"/>
      <c r="AA338" s="23"/>
    </row>
    <row r="339" spans="3:27">
      <c r="C339" s="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Z339" s="23"/>
      <c r="AA339" s="23"/>
    </row>
    <row r="340" spans="3:27">
      <c r="C340" s="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Z340" s="23"/>
      <c r="AA340" s="23"/>
    </row>
    <row r="341" spans="3:27">
      <c r="C341" s="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Z341" s="23"/>
      <c r="AA341" s="23"/>
    </row>
    <row r="342" spans="3:27">
      <c r="C342" s="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Z342" s="23"/>
      <c r="AA342" s="23"/>
    </row>
    <row r="343" spans="3:27">
      <c r="C343" s="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Z343" s="23"/>
      <c r="AA343" s="23"/>
    </row>
    <row r="344" spans="3:27">
      <c r="C344" s="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Z344" s="23"/>
      <c r="AA344" s="23"/>
    </row>
    <row r="345" spans="3:27">
      <c r="C345" s="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Z345" s="23"/>
      <c r="AA345" s="23"/>
    </row>
    <row r="346" spans="3:27">
      <c r="C346" s="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Z346" s="23"/>
      <c r="AA346" s="23"/>
    </row>
    <row r="347" spans="3:27">
      <c r="C347" s="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Z347" s="23"/>
      <c r="AA347" s="23"/>
    </row>
    <row r="348" spans="3:27">
      <c r="C348" s="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Z348" s="23"/>
      <c r="AA348" s="23"/>
    </row>
    <row r="349" spans="3:27">
      <c r="C349" s="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Z349" s="23"/>
      <c r="AA349" s="23"/>
    </row>
    <row r="350" spans="3:27">
      <c r="C350" s="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Z350" s="23"/>
      <c r="AA350" s="23"/>
    </row>
    <row r="351" spans="3:27">
      <c r="C351" s="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Z351" s="23"/>
      <c r="AA351" s="23"/>
    </row>
    <row r="352" spans="3:27">
      <c r="C352" s="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Z352" s="23"/>
      <c r="AA352" s="23"/>
    </row>
    <row r="353" spans="3:27">
      <c r="C353" s="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Z353" s="23"/>
      <c r="AA353" s="23"/>
    </row>
    <row r="354" spans="3:27">
      <c r="C354" s="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Z354" s="23"/>
      <c r="AA354" s="23"/>
    </row>
    <row r="355" spans="3:27">
      <c r="C355" s="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Z355" s="23"/>
      <c r="AA355" s="23"/>
    </row>
    <row r="356" spans="3:27">
      <c r="C356" s="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Z356" s="23"/>
      <c r="AA356" s="23"/>
    </row>
    <row r="357" spans="3:27">
      <c r="C357" s="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Z357" s="23"/>
      <c r="AA357" s="23"/>
    </row>
    <row r="358" spans="3:27">
      <c r="C358" s="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Z358" s="23"/>
      <c r="AA358" s="23"/>
    </row>
    <row r="359" spans="3:27">
      <c r="C359" s="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Z359" s="23"/>
      <c r="AA359" s="23"/>
    </row>
    <row r="360" spans="3:27">
      <c r="C360" s="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Z360" s="23"/>
      <c r="AA360" s="23"/>
    </row>
    <row r="361" spans="3:27">
      <c r="C361" s="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Z361" s="23"/>
      <c r="AA361" s="23"/>
    </row>
    <row r="362" spans="3:27">
      <c r="C362" s="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Z362" s="23"/>
      <c r="AA362" s="23"/>
    </row>
    <row r="363" spans="3:27">
      <c r="C363" s="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Z363" s="23"/>
      <c r="AA363" s="23"/>
    </row>
    <row r="364" spans="3:27">
      <c r="C364" s="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Z364" s="23"/>
      <c r="AA364" s="23"/>
    </row>
    <row r="365" spans="3:27">
      <c r="C365" s="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Z365" s="23"/>
      <c r="AA365" s="23"/>
    </row>
    <row r="366" spans="3:27">
      <c r="C366" s="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Z366" s="23"/>
      <c r="AA366" s="23"/>
    </row>
    <row r="367" spans="3:27">
      <c r="C367" s="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Z367" s="23"/>
      <c r="AA367" s="23"/>
    </row>
    <row r="368" spans="3:27">
      <c r="C368" s="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Z368" s="23"/>
      <c r="AA368" s="23"/>
    </row>
    <row r="369" spans="3:27">
      <c r="C369" s="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Z369" s="23"/>
      <c r="AA369" s="23"/>
    </row>
    <row r="370" spans="3:27">
      <c r="C370" s="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Z370" s="23"/>
      <c r="AA370" s="23"/>
    </row>
    <row r="371" spans="3:27">
      <c r="C371" s="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Z371" s="23"/>
      <c r="AA371" s="23"/>
    </row>
    <row r="372" spans="3:27">
      <c r="C372" s="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Z372" s="23"/>
      <c r="AA372" s="23"/>
    </row>
    <row r="373" spans="3:27">
      <c r="C373" s="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Z373" s="23"/>
      <c r="AA373" s="23"/>
    </row>
    <row r="374" spans="3:27">
      <c r="C374" s="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Z374" s="23"/>
      <c r="AA374" s="23"/>
    </row>
    <row r="375" spans="3:27">
      <c r="C375" s="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Z375" s="23"/>
      <c r="AA375" s="23"/>
    </row>
    <row r="376" spans="3:27">
      <c r="C376" s="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Z376" s="23"/>
      <c r="AA376" s="23"/>
    </row>
    <row r="377" spans="3:27">
      <c r="C377" s="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Z377" s="23"/>
      <c r="AA377" s="23"/>
    </row>
    <row r="378" spans="3:27">
      <c r="C378" s="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Z378" s="23"/>
      <c r="AA378" s="23"/>
    </row>
    <row r="379" spans="3:27">
      <c r="C379" s="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Z379" s="23"/>
      <c r="AA379" s="23"/>
    </row>
    <row r="380" spans="3:27">
      <c r="C380" s="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Z380" s="23"/>
      <c r="AA380" s="23"/>
    </row>
    <row r="381" spans="3:27">
      <c r="C381" s="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Z381" s="23"/>
      <c r="AA381" s="23"/>
    </row>
    <row r="382" spans="3:27">
      <c r="C382" s="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Z382" s="23"/>
      <c r="AA382" s="23"/>
    </row>
    <row r="383" spans="3:27">
      <c r="C383" s="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Z383" s="23"/>
      <c r="AA383" s="23"/>
    </row>
    <row r="384" spans="3:27">
      <c r="C384" s="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Z384" s="23"/>
      <c r="AA384" s="23"/>
    </row>
    <row r="385" spans="3:27">
      <c r="C385" s="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Z385" s="23"/>
      <c r="AA385" s="23"/>
    </row>
    <row r="386" spans="3:27">
      <c r="C386" s="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Z386" s="23"/>
      <c r="AA386" s="23"/>
    </row>
    <row r="387" spans="3:27">
      <c r="C387" s="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Z387" s="23"/>
      <c r="AA387" s="23"/>
    </row>
    <row r="388" spans="3:27">
      <c r="C388" s="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Z388" s="23"/>
      <c r="AA388" s="23"/>
    </row>
    <row r="389" spans="3:27">
      <c r="C389" s="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Z389" s="23"/>
      <c r="AA389" s="23"/>
    </row>
    <row r="390" spans="3:27">
      <c r="C390" s="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Z390" s="23"/>
      <c r="AA390" s="23"/>
    </row>
    <row r="391" spans="3:27">
      <c r="C391" s="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Z391" s="23"/>
      <c r="AA391" s="23"/>
    </row>
    <row r="392" spans="3:27">
      <c r="C392" s="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Z392" s="23"/>
      <c r="AA392" s="23"/>
    </row>
    <row r="393" spans="3:27">
      <c r="C393" s="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Z393" s="23"/>
      <c r="AA393" s="23"/>
    </row>
    <row r="394" spans="3:27">
      <c r="C394" s="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Z394" s="23"/>
      <c r="AA394" s="23"/>
    </row>
    <row r="395" spans="3:27">
      <c r="C395" s="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Z395" s="23"/>
      <c r="AA395" s="23"/>
    </row>
    <row r="396" spans="3:27">
      <c r="C396" s="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Z396" s="23"/>
      <c r="AA396" s="23"/>
    </row>
    <row r="397" spans="3:27">
      <c r="C397" s="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Z397" s="23"/>
      <c r="AA397" s="23"/>
    </row>
    <row r="398" spans="3:27">
      <c r="C398" s="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Z398" s="23"/>
      <c r="AA398" s="23"/>
    </row>
    <row r="399" spans="3:27">
      <c r="C399" s="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Z399" s="23"/>
      <c r="AA399" s="23"/>
    </row>
    <row r="400" spans="3:27">
      <c r="C400" s="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Z400" s="23"/>
      <c r="AA400" s="23"/>
    </row>
    <row r="401" spans="3:27">
      <c r="C401" s="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Z401" s="23"/>
      <c r="AA401" s="23"/>
    </row>
    <row r="402" spans="3:27">
      <c r="C402" s="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Z402" s="23"/>
      <c r="AA402" s="23"/>
    </row>
    <row r="403" spans="3:27">
      <c r="C403" s="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Z403" s="23"/>
      <c r="AA403" s="23"/>
    </row>
    <row r="404" spans="3:27">
      <c r="C404" s="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Z404" s="23"/>
      <c r="AA404" s="23"/>
    </row>
    <row r="405" spans="3:27">
      <c r="C405" s="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Z405" s="23"/>
      <c r="AA405" s="23"/>
    </row>
    <row r="406" spans="3:27">
      <c r="C406" s="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Z406" s="23"/>
      <c r="AA406" s="23"/>
    </row>
    <row r="407" spans="3:27">
      <c r="C407" s="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Z407" s="23"/>
      <c r="AA407" s="23"/>
    </row>
    <row r="408" spans="3:27">
      <c r="C408" s="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Z408" s="23"/>
      <c r="AA408" s="23"/>
    </row>
    <row r="409" spans="3:27">
      <c r="C409" s="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Z409" s="23"/>
      <c r="AA409" s="23"/>
    </row>
    <row r="410" spans="3:27">
      <c r="C410" s="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Z410" s="23"/>
      <c r="AA410" s="23"/>
    </row>
    <row r="411" spans="3:27">
      <c r="C411" s="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Z411" s="23"/>
      <c r="AA411" s="23"/>
    </row>
    <row r="412" spans="3:27">
      <c r="C412" s="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Z412" s="23"/>
      <c r="AA412" s="23"/>
    </row>
    <row r="413" spans="3:27">
      <c r="C413" s="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Z413" s="23"/>
      <c r="AA413" s="23"/>
    </row>
    <row r="414" spans="3:27">
      <c r="C414" s="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Z414" s="23"/>
      <c r="AA414" s="23"/>
    </row>
    <row r="415" spans="3:27">
      <c r="C415" s="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Z415" s="23"/>
      <c r="AA415" s="23"/>
    </row>
    <row r="416" spans="3:27">
      <c r="C416" s="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Z416" s="23"/>
      <c r="AA416" s="23"/>
    </row>
    <row r="417" spans="3:27">
      <c r="C417" s="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Z417" s="23"/>
      <c r="AA417" s="23"/>
    </row>
    <row r="418" spans="3:27">
      <c r="C418" s="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Z418" s="23"/>
      <c r="AA418" s="23"/>
    </row>
    <row r="419" spans="3:27">
      <c r="C419" s="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Z419" s="23"/>
      <c r="AA419" s="23"/>
    </row>
    <row r="420" spans="3:27">
      <c r="C420" s="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Z420" s="23"/>
      <c r="AA420" s="23"/>
    </row>
    <row r="421" spans="3:27">
      <c r="C421" s="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Z421" s="23"/>
      <c r="AA421" s="23"/>
    </row>
    <row r="422" spans="3:27">
      <c r="C422" s="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Z422" s="23"/>
      <c r="AA422" s="23"/>
    </row>
    <row r="423" spans="3:27">
      <c r="C423" s="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Z423" s="23"/>
      <c r="AA423" s="23"/>
    </row>
    <row r="424" spans="3:27">
      <c r="C424" s="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Z424" s="23"/>
      <c r="AA424" s="23"/>
    </row>
    <row r="425" spans="3:27">
      <c r="C425" s="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Z425" s="23"/>
      <c r="AA425" s="23"/>
    </row>
    <row r="426" spans="3:27">
      <c r="C426" s="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Z426" s="23"/>
      <c r="AA426" s="23"/>
    </row>
    <row r="427" spans="3:27">
      <c r="C427" s="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Z427" s="23"/>
      <c r="AA427" s="23"/>
    </row>
    <row r="428" spans="3:27">
      <c r="C428" s="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Z428" s="23"/>
      <c r="AA428" s="23"/>
    </row>
    <row r="429" spans="3:27">
      <c r="C429" s="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Z429" s="23"/>
      <c r="AA429" s="23"/>
    </row>
    <row r="430" spans="3:27">
      <c r="C430" s="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Z430" s="23"/>
      <c r="AA430" s="23"/>
    </row>
    <row r="431" spans="3:27">
      <c r="C431" s="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Z431" s="23"/>
      <c r="AA431" s="23"/>
    </row>
    <row r="432" spans="3:27">
      <c r="C432" s="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Z432" s="23"/>
      <c r="AA432" s="23"/>
    </row>
    <row r="433" spans="3:27">
      <c r="C433" s="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Z433" s="23"/>
      <c r="AA433" s="23"/>
    </row>
    <row r="434" spans="3:27">
      <c r="C434" s="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Z434" s="23"/>
      <c r="AA434" s="23"/>
    </row>
    <row r="435" spans="3:27">
      <c r="C435" s="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Z435" s="23"/>
      <c r="AA435" s="23"/>
    </row>
    <row r="436" spans="3:27">
      <c r="C436" s="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Z436" s="23"/>
      <c r="AA436" s="23"/>
    </row>
    <row r="437" spans="3:27">
      <c r="C437" s="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Z437" s="23"/>
      <c r="AA437" s="23"/>
    </row>
    <row r="438" spans="3:27">
      <c r="C438" s="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Z438" s="23"/>
      <c r="AA438" s="23"/>
    </row>
    <row r="439" spans="3:27">
      <c r="C439" s="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Z439" s="23"/>
      <c r="AA439" s="23"/>
    </row>
    <row r="440" spans="3:27">
      <c r="C440" s="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Z440" s="23"/>
      <c r="AA440" s="23"/>
    </row>
    <row r="441" spans="3:27">
      <c r="C441" s="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Z441" s="23"/>
      <c r="AA441" s="23"/>
    </row>
    <row r="442" spans="3:27">
      <c r="C442" s="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Z442" s="23"/>
      <c r="AA442" s="23"/>
    </row>
    <row r="443" spans="3:27">
      <c r="C443" s="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Z443" s="23"/>
      <c r="AA443" s="23"/>
    </row>
    <row r="444" spans="3:27">
      <c r="C444" s="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Z444" s="23"/>
      <c r="AA444" s="23"/>
    </row>
    <row r="445" spans="3:27">
      <c r="C445" s="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Z445" s="23"/>
      <c r="AA445" s="23"/>
    </row>
    <row r="446" spans="3:27">
      <c r="C446" s="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Z446" s="23"/>
      <c r="AA446" s="23"/>
    </row>
    <row r="447" spans="3:27">
      <c r="C447" s="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Z447" s="23"/>
      <c r="AA447" s="23"/>
    </row>
    <row r="448" spans="3:27">
      <c r="C448" s="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Z448" s="23"/>
      <c r="AA448" s="23"/>
    </row>
    <row r="449" spans="3:27">
      <c r="C449" s="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Z449" s="23"/>
      <c r="AA449" s="23"/>
    </row>
    <row r="450" spans="3:27">
      <c r="C450" s="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Z450" s="23"/>
      <c r="AA450" s="23"/>
    </row>
    <row r="451" spans="3:27">
      <c r="C451" s="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Z451" s="23"/>
      <c r="AA451" s="23"/>
    </row>
    <row r="452" spans="3:27">
      <c r="C452" s="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Z452" s="23"/>
      <c r="AA452" s="23"/>
    </row>
    <row r="453" spans="3:27">
      <c r="C453" s="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Z453" s="23"/>
      <c r="AA453" s="23"/>
    </row>
    <row r="454" spans="3:27">
      <c r="C454" s="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Z454" s="23"/>
      <c r="AA454" s="23"/>
    </row>
    <row r="455" spans="3:27">
      <c r="C455" s="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Z455" s="23"/>
      <c r="AA455" s="23"/>
    </row>
    <row r="456" spans="3:27">
      <c r="C456" s="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Z456" s="23"/>
      <c r="AA456" s="23"/>
    </row>
    <row r="457" spans="3:27">
      <c r="C457" s="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Z457" s="23"/>
      <c r="AA457" s="23"/>
    </row>
    <row r="458" spans="3:27">
      <c r="C458" s="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Z458" s="23"/>
      <c r="AA458" s="23"/>
    </row>
    <row r="459" spans="3:27">
      <c r="C459" s="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Z459" s="23"/>
      <c r="AA459" s="23"/>
    </row>
    <row r="460" spans="3:27">
      <c r="C460" s="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Z460" s="23"/>
      <c r="AA460" s="23"/>
    </row>
    <row r="461" spans="3:27">
      <c r="C461" s="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Z461" s="23"/>
      <c r="AA461" s="23"/>
    </row>
    <row r="462" spans="3:27">
      <c r="C462" s="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Z462" s="23"/>
      <c r="AA462" s="23"/>
    </row>
    <row r="463" spans="3:27">
      <c r="C463" s="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Z463" s="23"/>
      <c r="AA463" s="23"/>
    </row>
    <row r="464" spans="3:27">
      <c r="C464" s="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Z464" s="23"/>
      <c r="AA464" s="23"/>
    </row>
    <row r="465" spans="3:27">
      <c r="C465" s="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Z465" s="23"/>
      <c r="AA465" s="23"/>
    </row>
    <row r="466" spans="3:27">
      <c r="C466" s="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Z466" s="23"/>
      <c r="AA466" s="23"/>
    </row>
    <row r="467" spans="3:27">
      <c r="C467" s="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Z467" s="23"/>
      <c r="AA467" s="23"/>
    </row>
    <row r="468" spans="3:27">
      <c r="C468" s="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Z468" s="23"/>
      <c r="AA468" s="23"/>
    </row>
    <row r="469" spans="3:27">
      <c r="C469" s="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Z469" s="23"/>
      <c r="AA469" s="23"/>
    </row>
    <row r="470" spans="3:27">
      <c r="C470" s="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Z470" s="23"/>
      <c r="AA470" s="23"/>
    </row>
    <row r="471" spans="3:27">
      <c r="C471" s="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Z471" s="23"/>
      <c r="AA471" s="23"/>
    </row>
    <row r="472" spans="3:27">
      <c r="C472" s="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Z472" s="23"/>
      <c r="AA472" s="23"/>
    </row>
    <row r="473" spans="3:27">
      <c r="C473" s="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Z473" s="23"/>
      <c r="AA473" s="23"/>
    </row>
    <row r="474" spans="3:27">
      <c r="C474" s="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Z474" s="23"/>
      <c r="AA474" s="23"/>
    </row>
    <row r="475" spans="3:27">
      <c r="C475" s="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Z475" s="23"/>
      <c r="AA475" s="23"/>
    </row>
    <row r="476" spans="3:27">
      <c r="C476" s="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Z476" s="23"/>
      <c r="AA476" s="23"/>
    </row>
    <row r="477" spans="3:27">
      <c r="C477" s="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Z477" s="23"/>
      <c r="AA477" s="23"/>
    </row>
    <row r="478" spans="3:27">
      <c r="C478" s="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Z478" s="23"/>
      <c r="AA478" s="23"/>
    </row>
    <row r="479" spans="3:27">
      <c r="C479" s="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Z479" s="23"/>
      <c r="AA479" s="23"/>
    </row>
    <row r="480" spans="3:27">
      <c r="C480" s="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Z480" s="23"/>
      <c r="AA480" s="23"/>
    </row>
    <row r="481" spans="3:27">
      <c r="C481" s="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Z481" s="23"/>
      <c r="AA481" s="23"/>
    </row>
    <row r="482" spans="3:27">
      <c r="C482" s="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Z482" s="23"/>
      <c r="AA482" s="23"/>
    </row>
    <row r="483" spans="3:27">
      <c r="C483" s="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Z483" s="23"/>
      <c r="AA483" s="23"/>
    </row>
    <row r="484" spans="3:27">
      <c r="C484" s="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Z484" s="23"/>
      <c r="AA484" s="23"/>
    </row>
    <row r="485" spans="3:27">
      <c r="C485" s="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Z485" s="23"/>
      <c r="AA485" s="23"/>
    </row>
    <row r="486" spans="3:27">
      <c r="C486" s="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Z486" s="23"/>
      <c r="AA486" s="23"/>
    </row>
    <row r="487" spans="3:27">
      <c r="C487" s="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Z487" s="23"/>
      <c r="AA487" s="23"/>
    </row>
    <row r="488" spans="3:27">
      <c r="C488" s="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Z488" s="23"/>
      <c r="AA488" s="23"/>
    </row>
    <row r="489" spans="3:27">
      <c r="C489" s="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Z489" s="23"/>
      <c r="AA489" s="23"/>
    </row>
    <row r="490" spans="3:27">
      <c r="C490" s="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Z490" s="23"/>
      <c r="AA490" s="23"/>
    </row>
    <row r="491" spans="3:27">
      <c r="C491" s="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Z491" s="23"/>
      <c r="AA491" s="23"/>
    </row>
    <row r="492" spans="3:27">
      <c r="C492" s="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Z492" s="23"/>
      <c r="AA492" s="23"/>
    </row>
    <row r="493" spans="3:27">
      <c r="C493" s="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Z493" s="23"/>
      <c r="AA493" s="23"/>
    </row>
    <row r="494" spans="3:27">
      <c r="C494" s="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Z494" s="23"/>
      <c r="AA494" s="23"/>
    </row>
    <row r="495" spans="3:27">
      <c r="C495" s="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Z495" s="23"/>
      <c r="AA495" s="23"/>
    </row>
    <row r="496" spans="3:27">
      <c r="C496" s="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Z496" s="23"/>
      <c r="AA496" s="23"/>
    </row>
    <row r="497" spans="3:27">
      <c r="C497" s="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Z497" s="23"/>
      <c r="AA497" s="23"/>
    </row>
    <row r="498" spans="3:27">
      <c r="C498" s="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Z498" s="23"/>
      <c r="AA498" s="23"/>
    </row>
    <row r="499" spans="3:27">
      <c r="C499" s="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Z499" s="23"/>
      <c r="AA499" s="23"/>
    </row>
    <row r="500" spans="3:27">
      <c r="C500" s="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Z500" s="23"/>
      <c r="AA500" s="23"/>
    </row>
    <row r="501" spans="3:27">
      <c r="C501" s="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Z501" s="23"/>
      <c r="AA501" s="23"/>
    </row>
    <row r="502" spans="3:27">
      <c r="C502" s="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Z502" s="23"/>
      <c r="AA502" s="23"/>
    </row>
    <row r="503" spans="3:27">
      <c r="C503" s="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Z503" s="23"/>
      <c r="AA503" s="23"/>
    </row>
    <row r="504" spans="3:27">
      <c r="C504" s="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Z504" s="23"/>
      <c r="AA504" s="23"/>
    </row>
    <row r="505" spans="3:27">
      <c r="C505" s="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Z505" s="23"/>
      <c r="AA505" s="23"/>
    </row>
    <row r="506" spans="3:27">
      <c r="C506" s="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Z506" s="23"/>
      <c r="AA506" s="23"/>
    </row>
    <row r="507" spans="3:27">
      <c r="C507" s="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Z507" s="23"/>
      <c r="AA507" s="23"/>
    </row>
    <row r="508" spans="3:27">
      <c r="C508" s="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Z508" s="23"/>
      <c r="AA508" s="23"/>
    </row>
    <row r="509" spans="3:27">
      <c r="C509" s="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Z509" s="23"/>
      <c r="AA509" s="23"/>
    </row>
    <row r="510" spans="3:27">
      <c r="C510" s="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Z510" s="23"/>
      <c r="AA510" s="23"/>
    </row>
    <row r="511" spans="3:27">
      <c r="C511" s="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Z511" s="23"/>
      <c r="AA511" s="23"/>
    </row>
    <row r="512" spans="3:27">
      <c r="C512" s="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Z512" s="23"/>
      <c r="AA512" s="23"/>
    </row>
    <row r="513" spans="3:27">
      <c r="C513" s="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Z513" s="23"/>
      <c r="AA513" s="23"/>
    </row>
    <row r="514" spans="3:27">
      <c r="C514" s="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Z514" s="23"/>
      <c r="AA514" s="23"/>
    </row>
    <row r="515" spans="3:27">
      <c r="C515" s="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Z515" s="23"/>
      <c r="AA515" s="23"/>
    </row>
    <row r="516" spans="3:27">
      <c r="C516" s="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Z516" s="23"/>
      <c r="AA516" s="23"/>
    </row>
    <row r="517" spans="3:27">
      <c r="C517" s="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Z517" s="23"/>
      <c r="AA517" s="23"/>
    </row>
    <row r="518" spans="3:27">
      <c r="C518" s="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Z518" s="23"/>
      <c r="AA518" s="23"/>
    </row>
    <row r="519" spans="3:27">
      <c r="C519" s="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Z519" s="23"/>
      <c r="AA519" s="23"/>
    </row>
    <row r="520" spans="3:27">
      <c r="C520" s="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Z520" s="23"/>
      <c r="AA520" s="23"/>
    </row>
    <row r="521" spans="3:27">
      <c r="C521" s="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Z521" s="23"/>
      <c r="AA521" s="23"/>
    </row>
    <row r="522" spans="3:27">
      <c r="C522" s="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Z522" s="23"/>
      <c r="AA522" s="23"/>
    </row>
    <row r="523" spans="3:27">
      <c r="C523" s="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Z523" s="23"/>
      <c r="AA523" s="23"/>
    </row>
    <row r="524" spans="3:27">
      <c r="C524" s="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Z524" s="23"/>
      <c r="AA524" s="23"/>
    </row>
    <row r="525" spans="3:27">
      <c r="C525" s="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Z525" s="23"/>
      <c r="AA525" s="23"/>
    </row>
    <row r="526" spans="3:27">
      <c r="C526" s="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Z526" s="23"/>
      <c r="AA526" s="23"/>
    </row>
    <row r="527" spans="3:27">
      <c r="C527" s="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Z527" s="23"/>
      <c r="AA527" s="23"/>
    </row>
    <row r="528" spans="3:27">
      <c r="C528" s="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Z528" s="23"/>
      <c r="AA528" s="23"/>
    </row>
    <row r="529" spans="3:27">
      <c r="C529" s="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Z529" s="23"/>
      <c r="AA529" s="23"/>
    </row>
    <row r="530" spans="3:27">
      <c r="C530" s="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Z530" s="23"/>
      <c r="AA530" s="23"/>
    </row>
    <row r="531" spans="3:27">
      <c r="C531" s="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Z531" s="23"/>
      <c r="AA531" s="23"/>
    </row>
    <row r="532" spans="3:27">
      <c r="C532" s="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Z532" s="23"/>
      <c r="AA532" s="23"/>
    </row>
    <row r="533" spans="3:27">
      <c r="C533" s="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Z533" s="23"/>
      <c r="AA533" s="23"/>
    </row>
    <row r="534" spans="3:27">
      <c r="C534" s="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Z534" s="23"/>
      <c r="AA534" s="23"/>
    </row>
    <row r="535" spans="3:27">
      <c r="C535" s="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Z535" s="23"/>
      <c r="AA535" s="23"/>
    </row>
    <row r="536" spans="3:27">
      <c r="C536" s="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Z536" s="23"/>
      <c r="AA536" s="23"/>
    </row>
    <row r="537" spans="3:27">
      <c r="C537" s="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Z537" s="23"/>
      <c r="AA537" s="23"/>
    </row>
    <row r="538" spans="3:27">
      <c r="C538" s="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Z538" s="23"/>
      <c r="AA538" s="23"/>
    </row>
    <row r="539" spans="3:27">
      <c r="C539" s="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Z539" s="23"/>
      <c r="AA539" s="23"/>
    </row>
    <row r="540" spans="3:27">
      <c r="C540" s="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Z540" s="23"/>
      <c r="AA540" s="23"/>
    </row>
    <row r="541" spans="3:27">
      <c r="C541" s="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Z541" s="23"/>
      <c r="AA541" s="23"/>
    </row>
    <row r="542" spans="3:27">
      <c r="C542" s="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Z542" s="23"/>
      <c r="AA542" s="23"/>
    </row>
    <row r="543" spans="3:27">
      <c r="C543" s="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Z543" s="23"/>
      <c r="AA543" s="23"/>
    </row>
    <row r="544" spans="3:27">
      <c r="C544" s="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Z544" s="23"/>
      <c r="AA544" s="23"/>
    </row>
    <row r="545" spans="3:27">
      <c r="C545" s="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Z545" s="23"/>
      <c r="AA545" s="23"/>
    </row>
    <row r="546" spans="3:27">
      <c r="C546" s="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Z546" s="23"/>
      <c r="AA546" s="23"/>
    </row>
    <row r="547" spans="3:27">
      <c r="C547" s="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Z547" s="23"/>
      <c r="AA547" s="23"/>
    </row>
    <row r="548" spans="3:27">
      <c r="C548" s="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Z548" s="23"/>
      <c r="AA548" s="23"/>
    </row>
    <row r="549" spans="3:27">
      <c r="C549" s="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Z549" s="23"/>
      <c r="AA549" s="23"/>
    </row>
    <row r="550" spans="3:27">
      <c r="C550" s="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Z550" s="23"/>
      <c r="AA550" s="23"/>
    </row>
    <row r="551" spans="3:27">
      <c r="C551" s="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Z551" s="23"/>
      <c r="AA551" s="23"/>
    </row>
    <row r="552" spans="3:27">
      <c r="C552" s="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Z552" s="23"/>
      <c r="AA552" s="23"/>
    </row>
    <row r="553" spans="3:27">
      <c r="C553" s="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Z553" s="23"/>
      <c r="AA553" s="23"/>
    </row>
    <row r="554" spans="3:27">
      <c r="C554" s="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Z554" s="23"/>
      <c r="AA554" s="23"/>
    </row>
    <row r="555" spans="3:27">
      <c r="C555" s="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Z555" s="23"/>
      <c r="AA555" s="23"/>
    </row>
    <row r="556" spans="3:27">
      <c r="C556" s="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Z556" s="23"/>
      <c r="AA556" s="23"/>
    </row>
    <row r="557" spans="3:27">
      <c r="C557" s="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Z557" s="23"/>
      <c r="AA557" s="23"/>
    </row>
    <row r="558" spans="3:27">
      <c r="C558" s="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Z558" s="23"/>
      <c r="AA558" s="23"/>
    </row>
    <row r="559" spans="3:27">
      <c r="C559" s="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Z559" s="23"/>
      <c r="AA559" s="23"/>
    </row>
    <row r="560" spans="3:27">
      <c r="C560" s="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Z560" s="23"/>
      <c r="AA560" s="23"/>
    </row>
    <row r="561" spans="3:27">
      <c r="C561" s="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Z561" s="23"/>
      <c r="AA561" s="23"/>
    </row>
    <row r="562" spans="3:27">
      <c r="C562" s="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Z562" s="23"/>
      <c r="AA562" s="23"/>
    </row>
    <row r="563" spans="3:27">
      <c r="C563" s="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Z563" s="23"/>
      <c r="AA563" s="23"/>
    </row>
    <row r="564" spans="3:27">
      <c r="C564" s="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Z564" s="23"/>
      <c r="AA564" s="23"/>
    </row>
    <row r="565" spans="3:27">
      <c r="C565" s="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Z565" s="23"/>
      <c r="AA565" s="23"/>
    </row>
    <row r="566" spans="3:27">
      <c r="C566" s="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Z566" s="23"/>
      <c r="AA566" s="23"/>
    </row>
    <row r="567" spans="3:27">
      <c r="C567" s="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Z567" s="23"/>
      <c r="AA567" s="23"/>
    </row>
    <row r="568" spans="3:27">
      <c r="C568" s="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Z568" s="23"/>
      <c r="AA568" s="23"/>
    </row>
    <row r="569" spans="3:27">
      <c r="C569" s="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Z569" s="23"/>
      <c r="AA569" s="23"/>
    </row>
    <row r="570" spans="3:27">
      <c r="C570" s="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Z570" s="23"/>
      <c r="AA570" s="23"/>
    </row>
    <row r="571" spans="3:27">
      <c r="C571" s="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Z571" s="23"/>
      <c r="AA571" s="23"/>
    </row>
    <row r="572" spans="3:27">
      <c r="C572" s="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Z572" s="23"/>
      <c r="AA572" s="23"/>
    </row>
    <row r="573" spans="3:27">
      <c r="C573" s="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Z573" s="23"/>
      <c r="AA573" s="23"/>
    </row>
    <row r="574" spans="3:27">
      <c r="C574" s="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Z574" s="23"/>
      <c r="AA574" s="23"/>
    </row>
    <row r="575" spans="3:27">
      <c r="C575" s="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Z575" s="23"/>
      <c r="AA575" s="23"/>
    </row>
    <row r="576" spans="3:27">
      <c r="C576" s="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Z576" s="23"/>
      <c r="AA576" s="23"/>
    </row>
    <row r="577" spans="3:27">
      <c r="C577" s="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Z577" s="23"/>
      <c r="AA577" s="23"/>
    </row>
    <row r="578" spans="3:27">
      <c r="C578" s="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Z578" s="23"/>
      <c r="AA578" s="23"/>
    </row>
    <row r="579" spans="3:27">
      <c r="C579" s="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Z579" s="23"/>
      <c r="AA579" s="23"/>
    </row>
    <row r="580" spans="3:27">
      <c r="C580" s="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Z580" s="23"/>
      <c r="AA580" s="23"/>
    </row>
    <row r="581" spans="3:27">
      <c r="C581" s="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Z581" s="23"/>
      <c r="AA581" s="23"/>
    </row>
    <row r="582" spans="3:27">
      <c r="C582" s="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Z582" s="23"/>
      <c r="AA582" s="23"/>
    </row>
    <row r="583" spans="3:27">
      <c r="C583" s="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Z583" s="23"/>
      <c r="AA583" s="23"/>
    </row>
    <row r="584" spans="3:27">
      <c r="C584" s="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Z584" s="23"/>
      <c r="AA584" s="23"/>
    </row>
    <row r="585" spans="3:27">
      <c r="C585" s="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Z585" s="23"/>
      <c r="AA585" s="23"/>
    </row>
    <row r="586" spans="3:27">
      <c r="C586" s="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Z586" s="23"/>
      <c r="AA586" s="23"/>
    </row>
    <row r="587" spans="3:27">
      <c r="C587" s="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Z587" s="23"/>
      <c r="AA587" s="23"/>
    </row>
    <row r="588" spans="3:27">
      <c r="C588" s="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Z588" s="23"/>
      <c r="AA588" s="23"/>
    </row>
    <row r="589" spans="3:27">
      <c r="C589" s="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Z589" s="23"/>
      <c r="AA589" s="23"/>
    </row>
    <row r="590" spans="3:27">
      <c r="C590" s="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Z590" s="23"/>
      <c r="AA590" s="23"/>
    </row>
    <row r="591" spans="3:27">
      <c r="C591" s="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Z591" s="23"/>
      <c r="AA591" s="23"/>
    </row>
    <row r="592" spans="3:27">
      <c r="C592" s="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Z592" s="23"/>
      <c r="AA592" s="23"/>
    </row>
    <row r="593" spans="3:27">
      <c r="C593" s="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Z593" s="23"/>
      <c r="AA593" s="23"/>
    </row>
    <row r="594" spans="3:27">
      <c r="C594" s="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Z594" s="23"/>
      <c r="AA594" s="23"/>
    </row>
    <row r="595" spans="3:27">
      <c r="C595" s="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Z595" s="23"/>
      <c r="AA595" s="23"/>
    </row>
    <row r="596" spans="3:27">
      <c r="C596" s="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Z596" s="23"/>
      <c r="AA596" s="23"/>
    </row>
    <row r="597" spans="3:27">
      <c r="C597" s="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Z597" s="23"/>
      <c r="AA597" s="23"/>
    </row>
    <row r="598" spans="3:27">
      <c r="C598" s="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Z598" s="23"/>
      <c r="AA598" s="23"/>
    </row>
    <row r="599" spans="3:27">
      <c r="C599" s="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Z599" s="23"/>
      <c r="AA599" s="23"/>
    </row>
    <row r="600" spans="3:27">
      <c r="C600" s="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Z600" s="23"/>
      <c r="AA600" s="23"/>
    </row>
    <row r="601" spans="3:27">
      <c r="C601" s="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Z601" s="23"/>
      <c r="AA601" s="23"/>
    </row>
    <row r="602" spans="3:27">
      <c r="C602" s="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Z602" s="23"/>
      <c r="AA602" s="23"/>
    </row>
    <row r="603" spans="3:27">
      <c r="C603" s="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Z603" s="23"/>
      <c r="AA603" s="23"/>
    </row>
    <row r="604" spans="3:27">
      <c r="C604" s="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Z604" s="23"/>
      <c r="AA604" s="23"/>
    </row>
    <row r="605" spans="3:27">
      <c r="C605" s="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Z605" s="23"/>
      <c r="AA605" s="23"/>
    </row>
    <row r="606" spans="3:27">
      <c r="C606" s="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Z606" s="23"/>
      <c r="AA606" s="23"/>
    </row>
    <row r="607" spans="3:27">
      <c r="C607" s="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Z607" s="23"/>
      <c r="AA607" s="23"/>
    </row>
    <row r="608" spans="3:27">
      <c r="C608" s="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Z608" s="23"/>
      <c r="AA608" s="23"/>
    </row>
    <row r="609" spans="3:27">
      <c r="C609" s="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Z609" s="23"/>
      <c r="AA609" s="23"/>
    </row>
    <row r="610" spans="3:27">
      <c r="C610" s="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Z610" s="23"/>
      <c r="AA610" s="23"/>
    </row>
    <row r="611" spans="3:27">
      <c r="C611" s="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Z611" s="23"/>
      <c r="AA611" s="23"/>
    </row>
    <row r="612" spans="3:27">
      <c r="C612" s="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Z612" s="23"/>
      <c r="AA612" s="23"/>
    </row>
    <row r="613" spans="3:27">
      <c r="C613" s="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Z613" s="23"/>
      <c r="AA613" s="23"/>
    </row>
    <row r="614" spans="3:27">
      <c r="C614" s="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Z614" s="23"/>
      <c r="AA614" s="23"/>
    </row>
    <row r="615" spans="3:27">
      <c r="C615" s="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Z615" s="23"/>
      <c r="AA615" s="23"/>
    </row>
    <row r="616" spans="3:27">
      <c r="C616" s="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Z616" s="23"/>
      <c r="AA616" s="23"/>
    </row>
    <row r="617" spans="3:27">
      <c r="C617" s="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Z617" s="23"/>
      <c r="AA617" s="23"/>
    </row>
    <row r="618" spans="3:27">
      <c r="C618" s="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Z618" s="23"/>
      <c r="AA618" s="23"/>
    </row>
    <row r="619" spans="3:27">
      <c r="C619" s="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Z619" s="23"/>
      <c r="AA619" s="23"/>
    </row>
    <row r="620" spans="3:27">
      <c r="C620" s="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Z620" s="23"/>
      <c r="AA620" s="23"/>
    </row>
    <row r="621" spans="3:27">
      <c r="C621" s="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Z621" s="23"/>
      <c r="AA621" s="23"/>
    </row>
    <row r="622" spans="3:27">
      <c r="C622" s="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Z622" s="23"/>
      <c r="AA622" s="23"/>
    </row>
    <row r="623" spans="3:27">
      <c r="C623" s="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Z623" s="23"/>
      <c r="AA623" s="23"/>
    </row>
    <row r="624" spans="3:27">
      <c r="C624" s="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Z624" s="23"/>
      <c r="AA624" s="23"/>
    </row>
    <row r="625" spans="3:27">
      <c r="C625" s="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Z625" s="23"/>
      <c r="AA625" s="23"/>
    </row>
    <row r="626" spans="3:27">
      <c r="C626" s="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Z626" s="23"/>
      <c r="AA626" s="23"/>
    </row>
    <row r="627" spans="3:27">
      <c r="C627" s="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Z627" s="23"/>
      <c r="AA627" s="23"/>
    </row>
    <row r="628" spans="3:27">
      <c r="C628" s="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Z628" s="23"/>
      <c r="AA628" s="23"/>
    </row>
    <row r="629" spans="3:27">
      <c r="C629" s="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Z629" s="23"/>
      <c r="AA629" s="23"/>
    </row>
    <row r="630" spans="3:27">
      <c r="C630" s="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Z630" s="23"/>
      <c r="AA630" s="23"/>
    </row>
    <row r="631" spans="3:27">
      <c r="C631" s="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Z631" s="23"/>
      <c r="AA631" s="23"/>
    </row>
    <row r="632" spans="3:27">
      <c r="C632" s="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Z632" s="23"/>
      <c r="AA632" s="23"/>
    </row>
    <row r="633" spans="3:27">
      <c r="C633" s="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Z633" s="23"/>
      <c r="AA633" s="23"/>
    </row>
    <row r="634" spans="3:27">
      <c r="C634" s="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Z634" s="23"/>
      <c r="AA634" s="23"/>
    </row>
    <row r="635" spans="3:27">
      <c r="C635" s="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Z635" s="23"/>
      <c r="AA635" s="23"/>
    </row>
    <row r="636" spans="3:27">
      <c r="C636" s="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Z636" s="23"/>
      <c r="AA636" s="23"/>
    </row>
    <row r="637" spans="3:27">
      <c r="C637" s="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Z637" s="23"/>
      <c r="AA637" s="23"/>
    </row>
    <row r="638" spans="3:27">
      <c r="C638" s="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Z638" s="23"/>
      <c r="AA638" s="23"/>
    </row>
    <row r="639" spans="3:27">
      <c r="C639" s="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Z639" s="23"/>
      <c r="AA639" s="23"/>
    </row>
    <row r="640" spans="3:27">
      <c r="C640" s="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Z640" s="23"/>
      <c r="AA640" s="23"/>
    </row>
    <row r="641" spans="3:27">
      <c r="C641" s="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Z641" s="23"/>
      <c r="AA641" s="23"/>
    </row>
    <row r="642" spans="3:27">
      <c r="C642" s="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Z642" s="23"/>
      <c r="AA642" s="23"/>
    </row>
    <row r="643" spans="3:27">
      <c r="C643" s="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Z643" s="23"/>
      <c r="AA643" s="23"/>
    </row>
    <row r="644" spans="3:27">
      <c r="C644" s="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Z644" s="23"/>
      <c r="AA644" s="23"/>
    </row>
    <row r="645" spans="3:27">
      <c r="C645" s="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Z645" s="23"/>
      <c r="AA645" s="23"/>
    </row>
    <row r="646" spans="3:27">
      <c r="C646" s="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Z646" s="23"/>
      <c r="AA646" s="23"/>
    </row>
    <row r="647" spans="3:27">
      <c r="C647" s="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Z647" s="23"/>
      <c r="AA647" s="23"/>
    </row>
    <row r="648" spans="3:27">
      <c r="C648" s="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Z648" s="23"/>
      <c r="AA648" s="23"/>
    </row>
    <row r="649" spans="3:27">
      <c r="C649" s="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Z649" s="23"/>
      <c r="AA649" s="23"/>
    </row>
    <row r="650" spans="3:27">
      <c r="C650" s="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Z650" s="23"/>
      <c r="AA650" s="23"/>
    </row>
    <row r="651" spans="3:27">
      <c r="C651" s="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Z651" s="23"/>
      <c r="AA651" s="23"/>
    </row>
    <row r="652" spans="3:27">
      <c r="C652" s="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Z652" s="23"/>
      <c r="AA652" s="23"/>
    </row>
    <row r="653" spans="3:27">
      <c r="C653" s="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Z653" s="23"/>
      <c r="AA653" s="23"/>
    </row>
    <row r="654" spans="3:27">
      <c r="C654" s="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Z654" s="23"/>
      <c r="AA654" s="23"/>
    </row>
    <row r="655" spans="3:27">
      <c r="C655" s="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Z655" s="23"/>
      <c r="AA655" s="23"/>
    </row>
    <row r="656" spans="3:27">
      <c r="C656" s="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Z656" s="23"/>
      <c r="AA656" s="23"/>
    </row>
    <row r="657" spans="3:27">
      <c r="C657" s="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Z657" s="23"/>
      <c r="AA657" s="23"/>
    </row>
    <row r="658" spans="3:27">
      <c r="C658" s="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Z658" s="23"/>
      <c r="AA658" s="23"/>
    </row>
    <row r="659" spans="3:27">
      <c r="C659" s="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Z659" s="23"/>
      <c r="AA659" s="23"/>
    </row>
    <row r="660" spans="3:27">
      <c r="C660" s="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Z660" s="23"/>
      <c r="AA660" s="23"/>
    </row>
    <row r="661" spans="3:27">
      <c r="C661" s="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Z661" s="23"/>
      <c r="AA661" s="23"/>
    </row>
    <row r="662" spans="3:27">
      <c r="C662" s="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Z662" s="23"/>
      <c r="AA662" s="23"/>
    </row>
    <row r="663" spans="3:27">
      <c r="C663" s="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Z663" s="23"/>
      <c r="AA663" s="23"/>
    </row>
    <row r="664" spans="3:27">
      <c r="C664" s="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Z664" s="23"/>
      <c r="AA664" s="23"/>
    </row>
    <row r="665" spans="3:27">
      <c r="C665" s="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Z665" s="23"/>
      <c r="AA665" s="23"/>
    </row>
    <row r="666" spans="3:27">
      <c r="C666" s="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Z666" s="23"/>
      <c r="AA666" s="23"/>
    </row>
    <row r="667" spans="3:27">
      <c r="C667" s="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Z667" s="23"/>
      <c r="AA667" s="23"/>
    </row>
    <row r="668" spans="3:27">
      <c r="C668" s="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Z668" s="23"/>
      <c r="AA668" s="23"/>
    </row>
    <row r="669" spans="3:27">
      <c r="C669" s="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Z669" s="23"/>
      <c r="AA669" s="23"/>
    </row>
    <row r="670" spans="3:27">
      <c r="C670" s="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Z670" s="23"/>
      <c r="AA670" s="23"/>
    </row>
    <row r="671" spans="3:27">
      <c r="C671" s="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Z671" s="23"/>
      <c r="AA671" s="23"/>
    </row>
    <row r="672" spans="3:27">
      <c r="C672" s="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Z672" s="23"/>
      <c r="AA672" s="23"/>
    </row>
    <row r="673" spans="3:27">
      <c r="C673" s="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Z673" s="23"/>
      <c r="AA673" s="23"/>
    </row>
    <row r="674" spans="3:27">
      <c r="C674" s="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Z674" s="23"/>
      <c r="AA674" s="23"/>
    </row>
    <row r="675" spans="3:27">
      <c r="C675" s="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Z675" s="23"/>
      <c r="AA675" s="23"/>
    </row>
    <row r="676" spans="3:27">
      <c r="C676" s="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Z676" s="23"/>
      <c r="AA676" s="23"/>
    </row>
    <row r="677" spans="3:27">
      <c r="C677" s="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Z677" s="23"/>
      <c r="AA677" s="23"/>
    </row>
    <row r="678" spans="3:27">
      <c r="C678" s="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Z678" s="23"/>
      <c r="AA678" s="23"/>
    </row>
    <row r="679" spans="3:27">
      <c r="C679" s="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Z679" s="23"/>
      <c r="AA679" s="23"/>
    </row>
    <row r="680" spans="3:27">
      <c r="C680" s="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Z680" s="23"/>
      <c r="AA680" s="23"/>
    </row>
    <row r="681" spans="3:27">
      <c r="C681" s="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Z681" s="23"/>
      <c r="AA681" s="23"/>
    </row>
    <row r="682" spans="3:27">
      <c r="C682" s="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Z682" s="23"/>
      <c r="AA682" s="23"/>
    </row>
    <row r="683" spans="3:27">
      <c r="C683" s="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Z683" s="23"/>
      <c r="AA683" s="23"/>
    </row>
    <row r="684" spans="3:27">
      <c r="C684" s="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Z684" s="23"/>
      <c r="AA684" s="23"/>
    </row>
    <row r="685" spans="3:27">
      <c r="C685" s="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Z685" s="23"/>
      <c r="AA685" s="23"/>
    </row>
    <row r="686" spans="3:27">
      <c r="C686" s="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Z686" s="23"/>
      <c r="AA686" s="23"/>
    </row>
    <row r="687" spans="3:27">
      <c r="C687" s="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Z687" s="23"/>
      <c r="AA687" s="23"/>
    </row>
    <row r="688" spans="3:27">
      <c r="C688" s="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Z688" s="23"/>
      <c r="AA688" s="23"/>
    </row>
    <row r="689" spans="3:27">
      <c r="C689" s="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Z689" s="23"/>
      <c r="AA689" s="23"/>
    </row>
    <row r="690" spans="3:27">
      <c r="C690" s="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Z690" s="23"/>
      <c r="AA690" s="23"/>
    </row>
    <row r="691" spans="3:27">
      <c r="C691" s="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Z691" s="23"/>
      <c r="AA691" s="23"/>
    </row>
    <row r="692" spans="3:27">
      <c r="C692" s="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Z692" s="23"/>
      <c r="AA692" s="23"/>
    </row>
    <row r="693" spans="3:27">
      <c r="C693" s="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Z693" s="23"/>
      <c r="AA693" s="23"/>
    </row>
    <row r="694" spans="3:27">
      <c r="C694" s="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Z694" s="23"/>
      <c r="AA694" s="23"/>
    </row>
    <row r="695" spans="3:27">
      <c r="C695" s="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Z695" s="23"/>
      <c r="AA695" s="23"/>
    </row>
    <row r="696" spans="3:27">
      <c r="C696" s="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Z696" s="23"/>
      <c r="AA696" s="23"/>
    </row>
    <row r="697" spans="3:27">
      <c r="C697" s="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Z697" s="23"/>
      <c r="AA697" s="23"/>
    </row>
    <row r="698" spans="3:27">
      <c r="C698" s="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Z698" s="23"/>
      <c r="AA698" s="23"/>
    </row>
    <row r="699" spans="3:27">
      <c r="C699" s="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Z699" s="23"/>
      <c r="AA699" s="23"/>
    </row>
    <row r="700" spans="3:27">
      <c r="C700" s="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Z700" s="23"/>
      <c r="AA700" s="23"/>
    </row>
    <row r="701" spans="3:27">
      <c r="C701" s="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Z701" s="23"/>
      <c r="AA701" s="23"/>
    </row>
    <row r="702" spans="3:27">
      <c r="C702" s="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Z702" s="23"/>
      <c r="AA702" s="23"/>
    </row>
    <row r="703" spans="3:27">
      <c r="C703" s="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Z703" s="23"/>
      <c r="AA703" s="23"/>
    </row>
    <row r="704" spans="3:27">
      <c r="C704" s="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Z704" s="23"/>
      <c r="AA704" s="23"/>
    </row>
    <row r="705" spans="3:27">
      <c r="C705" s="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Z705" s="23"/>
      <c r="AA705" s="23"/>
    </row>
    <row r="706" spans="3:27">
      <c r="C706" s="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Z706" s="23"/>
      <c r="AA706" s="23"/>
    </row>
    <row r="707" spans="3:27">
      <c r="C707" s="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Z707" s="23"/>
      <c r="AA707" s="23"/>
    </row>
    <row r="708" spans="3:27">
      <c r="C708" s="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Z708" s="23"/>
      <c r="AA708" s="23"/>
    </row>
    <row r="709" spans="3:27">
      <c r="C709" s="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Z709" s="23"/>
      <c r="AA709" s="23"/>
    </row>
    <row r="710" spans="3:27">
      <c r="C710" s="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Z710" s="23"/>
      <c r="AA710" s="23"/>
    </row>
    <row r="711" spans="3:27">
      <c r="C711" s="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Z711" s="23"/>
      <c r="AA711" s="23"/>
    </row>
    <row r="712" spans="3:27">
      <c r="C712" s="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Z712" s="23"/>
      <c r="AA712" s="23"/>
    </row>
    <row r="713" spans="3:27">
      <c r="C713" s="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Z713" s="23"/>
      <c r="AA713" s="23"/>
    </row>
    <row r="714" spans="3:27">
      <c r="C714" s="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Z714" s="23"/>
      <c r="AA714" s="23"/>
    </row>
    <row r="715" spans="3:27">
      <c r="C715" s="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Z715" s="23"/>
      <c r="AA715" s="23"/>
    </row>
    <row r="716" spans="3:27">
      <c r="C716" s="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Z716" s="23"/>
      <c r="AA716" s="23"/>
    </row>
    <row r="717" spans="3:27">
      <c r="C717" s="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Z717" s="23"/>
      <c r="AA717" s="23"/>
    </row>
    <row r="718" spans="3:27">
      <c r="C718" s="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Z718" s="23"/>
      <c r="AA718" s="23"/>
    </row>
    <row r="719" spans="3:27">
      <c r="C719" s="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Z719" s="23"/>
      <c r="AA719" s="23"/>
    </row>
    <row r="720" spans="3:27">
      <c r="C720" s="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Z720" s="23"/>
      <c r="AA720" s="23"/>
    </row>
    <row r="721" spans="3:27">
      <c r="C721" s="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Z721" s="23"/>
      <c r="AA721" s="23"/>
    </row>
    <row r="722" spans="3:27">
      <c r="C722" s="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Z722" s="23"/>
      <c r="AA722" s="23"/>
    </row>
    <row r="723" spans="3:27">
      <c r="C723" s="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Z723" s="23"/>
      <c r="AA723" s="23"/>
    </row>
    <row r="724" spans="3:27">
      <c r="C724" s="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Z724" s="23"/>
      <c r="AA724" s="23"/>
    </row>
    <row r="725" spans="3:27">
      <c r="C725" s="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Z725" s="23"/>
      <c r="AA725" s="23"/>
    </row>
    <row r="726" spans="3:27">
      <c r="C726" s="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Z726" s="23"/>
      <c r="AA726" s="23"/>
    </row>
    <row r="727" spans="3:27">
      <c r="C727" s="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Z727" s="23"/>
      <c r="AA727" s="23"/>
    </row>
    <row r="728" spans="3:27">
      <c r="C728" s="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Z728" s="23"/>
      <c r="AA728" s="23"/>
    </row>
    <row r="729" spans="3:27">
      <c r="C729" s="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Z729" s="23"/>
      <c r="AA729" s="23"/>
    </row>
    <row r="730" spans="3:27">
      <c r="C730" s="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Z730" s="23"/>
      <c r="AA730" s="23"/>
    </row>
    <row r="731" spans="3:27">
      <c r="C731" s="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Z731" s="23"/>
      <c r="AA731" s="23"/>
    </row>
    <row r="732" spans="3:27">
      <c r="C732" s="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Z732" s="23"/>
      <c r="AA732" s="23"/>
    </row>
    <row r="733" spans="3:27">
      <c r="C733" s="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Z733" s="23"/>
      <c r="AA733" s="23"/>
    </row>
    <row r="734" spans="3:27">
      <c r="C734" s="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Z734" s="23"/>
      <c r="AA734" s="23"/>
    </row>
    <row r="735" spans="3:27">
      <c r="C735" s="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Z735" s="23"/>
      <c r="AA735" s="23"/>
    </row>
    <row r="736" spans="3:27">
      <c r="C736" s="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Z736" s="23"/>
      <c r="AA736" s="23"/>
    </row>
    <row r="737" spans="3:27">
      <c r="C737" s="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Z737" s="23"/>
      <c r="AA737" s="23"/>
    </row>
    <row r="738" spans="3:27">
      <c r="C738" s="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Z738" s="23"/>
      <c r="AA738" s="23"/>
    </row>
    <row r="739" spans="3:27">
      <c r="C739" s="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Z739" s="23"/>
      <c r="AA739" s="23"/>
    </row>
    <row r="740" spans="3:27">
      <c r="C740" s="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Z740" s="23"/>
      <c r="AA740" s="23"/>
    </row>
    <row r="741" spans="3:27">
      <c r="C741" s="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Z741" s="23"/>
      <c r="AA741" s="23"/>
    </row>
    <row r="742" spans="3:27">
      <c r="C742" s="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Z742" s="23"/>
      <c r="AA742" s="23"/>
    </row>
    <row r="743" spans="3:27">
      <c r="C743" s="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Z743" s="23"/>
      <c r="AA743" s="23"/>
    </row>
    <row r="744" spans="3:27">
      <c r="C744" s="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Z744" s="23"/>
      <c r="AA744" s="23"/>
    </row>
    <row r="745" spans="3:27">
      <c r="C745" s="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Z745" s="23"/>
      <c r="AA745" s="23"/>
    </row>
    <row r="746" spans="3:27">
      <c r="C746" s="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Z746" s="23"/>
      <c r="AA746" s="23"/>
    </row>
    <row r="747" spans="3:27">
      <c r="C747" s="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Z747" s="23"/>
      <c r="AA747" s="23"/>
    </row>
    <row r="748" spans="3:27">
      <c r="C748" s="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Z748" s="23"/>
      <c r="AA748" s="23"/>
    </row>
    <row r="749" spans="3:27">
      <c r="C749" s="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Z749" s="23"/>
      <c r="AA749" s="23"/>
    </row>
    <row r="750" spans="3:27">
      <c r="C750" s="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Z750" s="23"/>
      <c r="AA750" s="23"/>
    </row>
    <row r="751" spans="3:27">
      <c r="C751" s="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Z751" s="23"/>
      <c r="AA751" s="23"/>
    </row>
    <row r="752" spans="3:27">
      <c r="C752" s="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Z752" s="23"/>
      <c r="AA752" s="23"/>
    </row>
    <row r="753" spans="3:27">
      <c r="C753" s="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Z753" s="23"/>
      <c r="AA753" s="23"/>
    </row>
    <row r="754" spans="3:27">
      <c r="C754" s="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Z754" s="23"/>
      <c r="AA754" s="23"/>
    </row>
    <row r="755" spans="3:27">
      <c r="C755" s="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Z755" s="23"/>
      <c r="AA755" s="23"/>
    </row>
    <row r="756" spans="3:27">
      <c r="C756" s="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Z756" s="23"/>
      <c r="AA756" s="23"/>
    </row>
    <row r="757" spans="3:27">
      <c r="C757" s="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Z757" s="23"/>
      <c r="AA757" s="23"/>
    </row>
    <row r="758" spans="3:27">
      <c r="C758" s="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Z758" s="23"/>
      <c r="AA758" s="23"/>
    </row>
    <row r="759" spans="3:27">
      <c r="C759" s="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Z759" s="23"/>
      <c r="AA759" s="23"/>
    </row>
    <row r="760" spans="3:27">
      <c r="C760" s="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Z760" s="23"/>
      <c r="AA760" s="23"/>
    </row>
    <row r="761" spans="3:27">
      <c r="C761" s="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Z761" s="23"/>
      <c r="AA761" s="23"/>
    </row>
    <row r="762" spans="3:27">
      <c r="C762" s="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Z762" s="23"/>
      <c r="AA762" s="23"/>
    </row>
    <row r="763" spans="3:27">
      <c r="C763" s="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Z763" s="23"/>
      <c r="AA763" s="23"/>
    </row>
    <row r="764" spans="3:27">
      <c r="C764" s="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Z764" s="23"/>
      <c r="AA764" s="23"/>
    </row>
    <row r="765" spans="3:27">
      <c r="C765" s="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Z765" s="23"/>
      <c r="AA765" s="23"/>
    </row>
    <row r="766" spans="3:27">
      <c r="C766" s="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Z766" s="23"/>
      <c r="AA766" s="23"/>
    </row>
    <row r="767" spans="3:27">
      <c r="C767" s="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Z767" s="23"/>
      <c r="AA767" s="23"/>
    </row>
    <row r="768" spans="3:27">
      <c r="C768" s="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Z768" s="23"/>
      <c r="AA768" s="23"/>
    </row>
    <row r="769" spans="3:27">
      <c r="C769" s="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Z769" s="23"/>
      <c r="AA769" s="23"/>
    </row>
    <row r="770" spans="3:27">
      <c r="C770" s="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Z770" s="23"/>
      <c r="AA770" s="23"/>
    </row>
    <row r="771" spans="3:27">
      <c r="C771" s="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Z771" s="23"/>
      <c r="AA771" s="23"/>
    </row>
    <row r="772" spans="3:27">
      <c r="C772" s="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Z772" s="23"/>
      <c r="AA772" s="23"/>
    </row>
    <row r="773" spans="3:27">
      <c r="C773" s="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Z773" s="23"/>
      <c r="AA773" s="23"/>
    </row>
    <row r="774" spans="3:27">
      <c r="C774" s="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Z774" s="23"/>
      <c r="AA774" s="23"/>
    </row>
    <row r="775" spans="3:27">
      <c r="C775" s="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Z775" s="23"/>
      <c r="AA775" s="23"/>
    </row>
    <row r="776" spans="3:27">
      <c r="C776" s="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Z776" s="23"/>
      <c r="AA776" s="23"/>
    </row>
    <row r="777" spans="3:27">
      <c r="C777" s="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Z777" s="23"/>
      <c r="AA777" s="23"/>
    </row>
    <row r="778" spans="3:27">
      <c r="C778" s="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Z778" s="23"/>
      <c r="AA778" s="23"/>
    </row>
    <row r="779" spans="3:27">
      <c r="C779" s="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Z779" s="23"/>
      <c r="AA779" s="23"/>
    </row>
    <row r="780" spans="3:27">
      <c r="C780" s="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Z780" s="23"/>
      <c r="AA780" s="23"/>
    </row>
    <row r="781" spans="3:27">
      <c r="C781" s="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Z781" s="23"/>
      <c r="AA781" s="23"/>
    </row>
    <row r="782" spans="3:27">
      <c r="C782" s="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Z782" s="23"/>
      <c r="AA782" s="23"/>
    </row>
    <row r="783" spans="3:27">
      <c r="C783" s="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Z783" s="23"/>
      <c r="AA783" s="23"/>
    </row>
    <row r="784" spans="3:27">
      <c r="C784" s="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Z784" s="23"/>
      <c r="AA784" s="23"/>
    </row>
    <row r="785" spans="3:27">
      <c r="C785" s="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Z785" s="23"/>
      <c r="AA785" s="23"/>
    </row>
    <row r="786" spans="3:27">
      <c r="C786" s="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Z786" s="23"/>
      <c r="AA786" s="23"/>
    </row>
    <row r="787" spans="3:27">
      <c r="C787" s="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Z787" s="23"/>
      <c r="AA787" s="23"/>
    </row>
    <row r="788" spans="3:27">
      <c r="C788" s="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Z788" s="23"/>
      <c r="AA788" s="23"/>
    </row>
    <row r="789" spans="3:27">
      <c r="C789" s="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Z789" s="23"/>
      <c r="AA789" s="23"/>
    </row>
    <row r="790" spans="3:27">
      <c r="C790" s="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Z790" s="23"/>
      <c r="AA790" s="23"/>
    </row>
    <row r="791" spans="3:27">
      <c r="C791" s="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Z791" s="23"/>
      <c r="AA791" s="23"/>
    </row>
    <row r="792" spans="3:27">
      <c r="C792" s="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Z792" s="23"/>
      <c r="AA792" s="23"/>
    </row>
    <row r="793" spans="3:27">
      <c r="C793" s="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Z793" s="23"/>
      <c r="AA793" s="23"/>
    </row>
    <row r="794" spans="3:27">
      <c r="C794" s="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Z794" s="23"/>
      <c r="AA794" s="23"/>
    </row>
    <row r="795" spans="3:27">
      <c r="C795" s="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Z795" s="23"/>
      <c r="AA795" s="23"/>
    </row>
    <row r="796" spans="3:27">
      <c r="C796" s="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Z796" s="23"/>
      <c r="AA796" s="23"/>
    </row>
    <row r="797" spans="3:27">
      <c r="C797" s="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Z797" s="23"/>
      <c r="AA797" s="23"/>
    </row>
    <row r="798" spans="3:27">
      <c r="C798" s="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Z798" s="23"/>
      <c r="AA798" s="23"/>
    </row>
    <row r="799" spans="3:27">
      <c r="C799" s="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Z799" s="23"/>
      <c r="AA799" s="23"/>
    </row>
    <row r="800" spans="3:27">
      <c r="C800" s="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Z800" s="23"/>
      <c r="AA800" s="23"/>
    </row>
    <row r="801" spans="3:27">
      <c r="C801" s="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Z801" s="23"/>
      <c r="AA801" s="23"/>
    </row>
    <row r="802" spans="3:27">
      <c r="C802" s="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Z802" s="23"/>
      <c r="AA802" s="23"/>
    </row>
    <row r="803" spans="3:27">
      <c r="C803" s="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Z803" s="23"/>
      <c r="AA803" s="23"/>
    </row>
    <row r="804" spans="3:27">
      <c r="C804" s="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Z804" s="23"/>
      <c r="AA804" s="23"/>
    </row>
    <row r="805" spans="3:27">
      <c r="C805" s="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Z805" s="23"/>
      <c r="AA805" s="23"/>
    </row>
    <row r="806" spans="3:27">
      <c r="C806" s="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Z806" s="23"/>
      <c r="AA806" s="23"/>
    </row>
    <row r="807" spans="3:27">
      <c r="C807" s="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Z807" s="23"/>
      <c r="AA807" s="23"/>
    </row>
    <row r="808" spans="3:27">
      <c r="C808" s="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Z808" s="23"/>
      <c r="AA808" s="23"/>
    </row>
    <row r="809" spans="3:27">
      <c r="C809" s="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Z809" s="23"/>
      <c r="AA809" s="23"/>
    </row>
    <row r="810" spans="3:27">
      <c r="C810" s="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Z810" s="23"/>
      <c r="AA810" s="23"/>
    </row>
    <row r="811" spans="3:27">
      <c r="C811" s="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Z811" s="23"/>
      <c r="AA811" s="23"/>
    </row>
    <row r="812" spans="3:27">
      <c r="C812" s="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Z812" s="23"/>
      <c r="AA812" s="23"/>
    </row>
    <row r="813" spans="3:27">
      <c r="C813" s="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Z813" s="23"/>
      <c r="AA813" s="23"/>
    </row>
    <row r="814" spans="3:27">
      <c r="C814" s="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Z814" s="23"/>
      <c r="AA814" s="23"/>
    </row>
    <row r="815" spans="3:27">
      <c r="C815" s="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Z815" s="23"/>
      <c r="AA815" s="23"/>
    </row>
    <row r="816" spans="3:27">
      <c r="C816" s="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Z816" s="23"/>
      <c r="AA816" s="23"/>
    </row>
    <row r="817" spans="3:27">
      <c r="C817" s="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Z817" s="23"/>
      <c r="AA817" s="23"/>
    </row>
    <row r="818" spans="3:27">
      <c r="C818" s="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Z818" s="23"/>
      <c r="AA818" s="23"/>
    </row>
    <row r="819" spans="3:27">
      <c r="C819" s="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Z819" s="23"/>
      <c r="AA819" s="23"/>
    </row>
    <row r="820" spans="3:27">
      <c r="C820" s="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Z820" s="23"/>
      <c r="AA820" s="23"/>
    </row>
    <row r="821" spans="3:27">
      <c r="C821" s="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Z821" s="23"/>
      <c r="AA821" s="23"/>
    </row>
    <row r="822" spans="3:27">
      <c r="C822" s="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Z822" s="23"/>
      <c r="AA822" s="23"/>
    </row>
    <row r="823" spans="3:27">
      <c r="C823" s="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Z823" s="23"/>
      <c r="AA823" s="23"/>
    </row>
    <row r="824" spans="3:27">
      <c r="C824" s="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Z824" s="23"/>
      <c r="AA824" s="23"/>
    </row>
    <row r="825" spans="3:27">
      <c r="C825" s="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Z825" s="23"/>
      <c r="AA825" s="23"/>
    </row>
    <row r="826" spans="3:27">
      <c r="C826" s="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Z826" s="23"/>
      <c r="AA826" s="23"/>
    </row>
    <row r="827" spans="3:27">
      <c r="C827" s="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Z827" s="23"/>
      <c r="AA827" s="23"/>
    </row>
    <row r="828" spans="3:27">
      <c r="C828" s="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Z828" s="23"/>
      <c r="AA828" s="23"/>
    </row>
    <row r="829" spans="3:27">
      <c r="C829" s="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Z829" s="23"/>
      <c r="AA829" s="23"/>
    </row>
    <row r="830" spans="3:27">
      <c r="C830" s="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Z830" s="23"/>
      <c r="AA830" s="23"/>
    </row>
    <row r="831" spans="3:27">
      <c r="C831" s="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Z831" s="23"/>
      <c r="AA831" s="23"/>
    </row>
    <row r="832" spans="3:27">
      <c r="C832" s="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Z832" s="23"/>
      <c r="AA832" s="23"/>
    </row>
    <row r="833" spans="3:27">
      <c r="C833" s="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Z833" s="23"/>
      <c r="AA833" s="23"/>
    </row>
    <row r="834" spans="3:27">
      <c r="C834" s="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Z834" s="23"/>
      <c r="AA834" s="23"/>
    </row>
    <row r="835" spans="3:27">
      <c r="C835" s="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Z835" s="23"/>
      <c r="AA835" s="23"/>
    </row>
    <row r="836" spans="3:27">
      <c r="C836" s="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Z836" s="23"/>
      <c r="AA836" s="23"/>
    </row>
    <row r="837" spans="3:27">
      <c r="C837" s="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Z837" s="23"/>
      <c r="AA837" s="23"/>
    </row>
    <row r="838" spans="3:27">
      <c r="C838" s="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Z838" s="23"/>
      <c r="AA838" s="23"/>
    </row>
    <row r="839" spans="3:27">
      <c r="C839" s="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Z839" s="23"/>
      <c r="AA839" s="23"/>
    </row>
    <row r="840" spans="3:27">
      <c r="C840" s="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Z840" s="23"/>
      <c r="AA840" s="23"/>
    </row>
    <row r="841" spans="3:27">
      <c r="C841" s="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Z841" s="23"/>
      <c r="AA841" s="23"/>
    </row>
    <row r="842" spans="3:27">
      <c r="C842" s="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Z842" s="23"/>
      <c r="AA842" s="23"/>
    </row>
    <row r="843" spans="3:27">
      <c r="C843" s="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Z843" s="23"/>
      <c r="AA843" s="23"/>
    </row>
    <row r="844" spans="3:27">
      <c r="C844" s="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Z844" s="23"/>
      <c r="AA844" s="23"/>
    </row>
    <row r="845" spans="3:27">
      <c r="C845" s="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Z845" s="23"/>
      <c r="AA845" s="23"/>
    </row>
    <row r="846" spans="3:27">
      <c r="C846" s="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Z846" s="23"/>
      <c r="AA846" s="23"/>
    </row>
    <row r="847" spans="3:27">
      <c r="C847" s="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Z847" s="23"/>
      <c r="AA847" s="23"/>
    </row>
    <row r="848" spans="3:27">
      <c r="C848" s="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Z848" s="23"/>
      <c r="AA848" s="23"/>
    </row>
    <row r="849" spans="3:27">
      <c r="C849" s="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Z849" s="23"/>
      <c r="AA849" s="23"/>
    </row>
    <row r="850" spans="3:27">
      <c r="C850" s="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Z850" s="23"/>
      <c r="AA850" s="23"/>
    </row>
    <row r="851" spans="3:27">
      <c r="C851" s="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Z851" s="23"/>
      <c r="AA851" s="23"/>
    </row>
    <row r="852" spans="3:27">
      <c r="C852" s="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Z852" s="23"/>
      <c r="AA852" s="23"/>
    </row>
    <row r="853" spans="3:27">
      <c r="C853" s="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Z853" s="23"/>
      <c r="AA853" s="23"/>
    </row>
    <row r="854" spans="3:27">
      <c r="C854" s="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Z854" s="23"/>
      <c r="AA854" s="23"/>
    </row>
    <row r="855" spans="3:27">
      <c r="C855" s="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Z855" s="23"/>
      <c r="AA855" s="23"/>
    </row>
    <row r="856" spans="3:27">
      <c r="C856" s="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Z856" s="23"/>
      <c r="AA856" s="23"/>
    </row>
    <row r="857" spans="3:27">
      <c r="C857" s="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Z857" s="23"/>
      <c r="AA857" s="23"/>
    </row>
    <row r="858" spans="3:27">
      <c r="C858" s="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Z858" s="23"/>
      <c r="AA858" s="23"/>
    </row>
    <row r="859" spans="3:27">
      <c r="C859" s="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Z859" s="23"/>
      <c r="AA859" s="23"/>
    </row>
    <row r="860" spans="3:27">
      <c r="C860" s="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Z860" s="23"/>
      <c r="AA860" s="23"/>
    </row>
    <row r="861" spans="3:27">
      <c r="C861" s="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Z861" s="23"/>
      <c r="AA861" s="23"/>
    </row>
    <row r="862" spans="3:27">
      <c r="C862" s="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Z862" s="23"/>
      <c r="AA862" s="23"/>
    </row>
    <row r="863" spans="3:27">
      <c r="C863" s="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Z863" s="23"/>
      <c r="AA863" s="23"/>
    </row>
    <row r="864" spans="3:27">
      <c r="C864" s="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Z864" s="23"/>
      <c r="AA864" s="23"/>
    </row>
    <row r="865" spans="3:27">
      <c r="C865" s="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Z865" s="23"/>
      <c r="AA865" s="23"/>
    </row>
    <row r="866" spans="3:27">
      <c r="C866" s="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Z866" s="23"/>
      <c r="AA866" s="23"/>
    </row>
    <row r="867" spans="3:27">
      <c r="C867" s="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Z867" s="23"/>
      <c r="AA867" s="23"/>
    </row>
    <row r="868" spans="3:27">
      <c r="C868" s="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Z868" s="23"/>
      <c r="AA868" s="23"/>
    </row>
    <row r="869" spans="3:27">
      <c r="C869" s="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Z869" s="23"/>
      <c r="AA869" s="23"/>
    </row>
    <row r="870" spans="3:27">
      <c r="C870" s="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Z870" s="23"/>
      <c r="AA870" s="23"/>
    </row>
    <row r="871" spans="3:27">
      <c r="C871" s="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Z871" s="23"/>
      <c r="AA871" s="23"/>
    </row>
    <row r="872" spans="3:27">
      <c r="C872" s="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Z872" s="23"/>
      <c r="AA872" s="23"/>
    </row>
    <row r="873" spans="3:27">
      <c r="C873" s="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Z873" s="23"/>
      <c r="AA873" s="23"/>
    </row>
    <row r="874" spans="3:27">
      <c r="C874" s="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Z874" s="23"/>
      <c r="AA874" s="23"/>
    </row>
    <row r="875" spans="3:27">
      <c r="C875" s="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Z875" s="23"/>
      <c r="AA875" s="23"/>
    </row>
    <row r="876" spans="3:27">
      <c r="C876" s="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Z876" s="23"/>
      <c r="AA876" s="23"/>
    </row>
    <row r="877" spans="3:27">
      <c r="C877" s="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Z877" s="23"/>
      <c r="AA877" s="23"/>
    </row>
    <row r="878" spans="3:27">
      <c r="C878" s="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Z878" s="23"/>
      <c r="AA878" s="23"/>
    </row>
    <row r="879" spans="3:27">
      <c r="C879" s="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Z879" s="23"/>
      <c r="AA879" s="23"/>
    </row>
    <row r="880" spans="3:27">
      <c r="C880" s="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Z880" s="23"/>
      <c r="AA880" s="23"/>
    </row>
    <row r="881" spans="3:27">
      <c r="C881" s="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Z881" s="23"/>
      <c r="AA881" s="23"/>
    </row>
    <row r="882" spans="3:27">
      <c r="C882" s="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Z882" s="23"/>
      <c r="AA882" s="23"/>
    </row>
    <row r="883" spans="3:27">
      <c r="C883" s="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Z883" s="23"/>
      <c r="AA883" s="23"/>
    </row>
    <row r="884" spans="3:27">
      <c r="C884" s="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Z884" s="23"/>
      <c r="AA884" s="23"/>
    </row>
    <row r="885" spans="3:27">
      <c r="C885" s="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Z885" s="23"/>
      <c r="AA885" s="23"/>
    </row>
    <row r="886" spans="3:27">
      <c r="C886" s="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Z886" s="23"/>
      <c r="AA886" s="23"/>
    </row>
    <row r="887" spans="3:27">
      <c r="C887" s="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Z887" s="23"/>
      <c r="AA887" s="23"/>
    </row>
    <row r="888" spans="3:27">
      <c r="C888" s="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Z888" s="23"/>
      <c r="AA888" s="23"/>
    </row>
    <row r="889" spans="3:27">
      <c r="C889" s="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Z889" s="23"/>
      <c r="AA889" s="23"/>
    </row>
    <row r="890" spans="3:27">
      <c r="C890" s="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Z890" s="23"/>
      <c r="AA890" s="23"/>
    </row>
    <row r="891" spans="3:27">
      <c r="C891" s="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Z891" s="23"/>
      <c r="AA891" s="23"/>
    </row>
    <row r="892" spans="3:27">
      <c r="C892" s="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Z892" s="23"/>
      <c r="AA892" s="23"/>
    </row>
    <row r="893" spans="3:27">
      <c r="C893" s="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Z893" s="23"/>
      <c r="AA893" s="23"/>
    </row>
    <row r="894" spans="3:27">
      <c r="C894" s="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Z894" s="23"/>
      <c r="AA894" s="23"/>
    </row>
    <row r="895" spans="3:27">
      <c r="C895" s="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Z895" s="23"/>
      <c r="AA895" s="23"/>
    </row>
    <row r="896" spans="3:27">
      <c r="C896" s="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Z896" s="23"/>
      <c r="AA896" s="23"/>
    </row>
    <row r="897" spans="3:27">
      <c r="C897" s="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Z897" s="23"/>
      <c r="AA897" s="23"/>
    </row>
    <row r="898" spans="3:27">
      <c r="C898" s="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Z898" s="23"/>
      <c r="AA898" s="23"/>
    </row>
    <row r="899" spans="3:27">
      <c r="C899" s="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Z899" s="23"/>
      <c r="AA899" s="23"/>
    </row>
    <row r="900" spans="3:27">
      <c r="C900" s="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Z900" s="23"/>
      <c r="AA900" s="23"/>
    </row>
    <row r="901" spans="3:27">
      <c r="C901" s="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Z901" s="23"/>
      <c r="AA901" s="23"/>
    </row>
    <row r="902" spans="3:27">
      <c r="C902" s="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Z902" s="23"/>
      <c r="AA902" s="23"/>
    </row>
    <row r="903" spans="3:27">
      <c r="C903" s="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Z903" s="23"/>
      <c r="AA903" s="23"/>
    </row>
    <row r="904" spans="3:27">
      <c r="C904" s="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Z904" s="23"/>
      <c r="AA904" s="23"/>
    </row>
    <row r="905" spans="3:27">
      <c r="C905" s="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Z905" s="23"/>
      <c r="AA905" s="23"/>
    </row>
    <row r="906" spans="3:27">
      <c r="C906" s="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Z906" s="23"/>
      <c r="AA906" s="23"/>
    </row>
    <row r="907" spans="3:27">
      <c r="C907" s="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Z907" s="23"/>
      <c r="AA907" s="23"/>
    </row>
    <row r="908" spans="3:27">
      <c r="C908" s="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Z908" s="23"/>
      <c r="AA908" s="23"/>
    </row>
    <row r="909" spans="3:27">
      <c r="C909" s="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Z909" s="23"/>
      <c r="AA909" s="23"/>
    </row>
    <row r="910" spans="3:27">
      <c r="C910" s="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Z910" s="23"/>
      <c r="AA910" s="23"/>
    </row>
    <row r="911" spans="3:27">
      <c r="C911" s="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Z911" s="23"/>
      <c r="AA911" s="23"/>
    </row>
    <row r="912" spans="3:27">
      <c r="C912" s="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Z912" s="23"/>
      <c r="AA912" s="23"/>
    </row>
    <row r="913" spans="3:27">
      <c r="C913" s="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Z913" s="23"/>
      <c r="AA913" s="23"/>
    </row>
    <row r="914" spans="3:27">
      <c r="C914" s="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Z914" s="23"/>
      <c r="AA914" s="23"/>
    </row>
    <row r="915" spans="3:27">
      <c r="C915" s="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Z915" s="23"/>
      <c r="AA915" s="23"/>
    </row>
    <row r="916" spans="3:27"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Z916" s="23"/>
      <c r="AA916" s="23"/>
    </row>
    <row r="917" spans="3:27"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Z917" s="23"/>
      <c r="AA917" s="23"/>
    </row>
    <row r="918" spans="3:27"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Z918" s="23"/>
      <c r="AA918" s="23"/>
    </row>
    <row r="919" spans="3:27"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Z919" s="23"/>
      <c r="AA919" s="23"/>
    </row>
    <row r="920" spans="3:27"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Z920" s="23"/>
      <c r="AA920" s="23"/>
    </row>
    <row r="921" spans="3:27"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Z921" s="23"/>
      <c r="AA921" s="23"/>
    </row>
    <row r="922" spans="3:27"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Z922" s="23"/>
      <c r="AA922" s="23"/>
    </row>
    <row r="923" spans="3:27"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Z923" s="23"/>
      <c r="AA923" s="23"/>
    </row>
    <row r="924" spans="3:27"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Z924" s="23"/>
      <c r="AA924" s="23"/>
    </row>
    <row r="925" spans="3:27"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Z925" s="23"/>
      <c r="AA925" s="23"/>
    </row>
    <row r="926" spans="3:27"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Z926" s="23"/>
      <c r="AA926" s="23"/>
    </row>
    <row r="927" spans="3:27"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Z927" s="23"/>
      <c r="AA927" s="23"/>
    </row>
    <row r="928" spans="3:27"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Z928" s="23"/>
      <c r="AA928" s="23"/>
    </row>
    <row r="929" spans="4:27"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Z929" s="23"/>
      <c r="AA929" s="23"/>
    </row>
    <row r="930" spans="4:27"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Z930" s="23"/>
      <c r="AA930" s="23"/>
    </row>
    <row r="931" spans="4:27"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Z931" s="23"/>
      <c r="AA931" s="23"/>
    </row>
    <row r="932" spans="4:27"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Z932" s="23"/>
      <c r="AA932" s="23"/>
    </row>
    <row r="933" spans="4:27"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Z933" s="23"/>
      <c r="AA933" s="23"/>
    </row>
    <row r="934" spans="4:27"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Z934" s="23"/>
      <c r="AA934" s="23"/>
    </row>
    <row r="935" spans="4:27"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Z935" s="23"/>
      <c r="AA935" s="23"/>
    </row>
    <row r="936" spans="4:27"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Z936" s="23"/>
      <c r="AA936" s="23"/>
    </row>
    <row r="937" spans="4:27"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Z937" s="23"/>
      <c r="AA937" s="23"/>
    </row>
    <row r="938" spans="4:27"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Z938" s="23"/>
      <c r="AA938" s="23"/>
    </row>
    <row r="939" spans="4:27"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Z939" s="23"/>
      <c r="AA939" s="23"/>
    </row>
    <row r="940" spans="4:27"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Z940" s="23"/>
      <c r="AA940" s="23"/>
    </row>
    <row r="941" spans="4:27"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Z941" s="23"/>
      <c r="AA941" s="23"/>
    </row>
  </sheetData>
  <mergeCells count="3">
    <mergeCell ref="B4:C4"/>
    <mergeCell ref="B2:C2"/>
    <mergeCell ref="E2:F2"/>
  </mergeCells>
  <conditionalFormatting sqref="W5:AW17">
    <cfRule type="expression" dxfId="184" priority="7">
      <formula>AND(($W5=$AW5),($W5&lt;&gt;""))</formula>
    </cfRule>
    <cfRule type="expression" dxfId="183" priority="8">
      <formula>$AW5=""</formula>
    </cfRule>
    <cfRule type="expression" dxfId="182" priority="9">
      <formula>$AW5=0</formula>
    </cfRule>
  </conditionalFormatting>
  <dataValidations count="2">
    <dataValidation type="list" allowBlank="1" showInputMessage="1" showErrorMessage="1" sqref="G2" xr:uid="{00000000-0002-0000-0000-000000000000}">
      <formula1>Semestres</formula1>
    </dataValidation>
    <dataValidation type="list" allowBlank="1" showInputMessage="1" showErrorMessage="1" sqref="D2" xr:uid="{00000000-0002-0000-0000-000001000000}">
      <formula1>Carreras</formula1>
    </dataValidation>
  </dataValidations>
  <pageMargins left="0.7" right="0.7" top="0.75" bottom="0.75" header="0" footer="0"/>
  <pageSetup scale="1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las_grupo">
                <anchor moveWithCells="1" sizeWithCells="1">
                  <from>
                    <xdr:col>7</xdr:col>
                    <xdr:colOff>482600</xdr:colOff>
                    <xdr:row>0</xdr:row>
                    <xdr:rowOff>152400</xdr:rowOff>
                  </from>
                  <to>
                    <xdr:col>9</xdr:col>
                    <xdr:colOff>1828800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1F372-3842-466D-9F75-64794A57C484}">
  <sheetPr codeName="Hoja9">
    <pageSetUpPr fitToPage="1"/>
  </sheetPr>
  <dimension ref="A2:Z941"/>
  <sheetViews>
    <sheetView topLeftCell="A3" zoomScale="85" zoomScaleNormal="85" workbookViewId="0">
      <selection activeCell="F8" sqref="F8:F12"/>
    </sheetView>
  </sheetViews>
  <sheetFormatPr baseColWidth="10" defaultColWidth="14.5" defaultRowHeight="14"/>
  <cols>
    <col min="1" max="1" width="4" style="1" customWidth="1"/>
    <col min="2" max="3" width="7.5" style="2" customWidth="1"/>
    <col min="4" max="4" width="28.5" style="1" customWidth="1"/>
    <col min="5" max="5" width="12.1640625" style="1" customWidth="1"/>
    <col min="6" max="6" width="28.5" style="1" customWidth="1"/>
    <col min="7" max="7" width="12.1640625" style="1" customWidth="1"/>
    <col min="8" max="8" width="28.5" style="1" customWidth="1"/>
    <col min="9" max="9" width="12.1640625" style="1" customWidth="1"/>
    <col min="10" max="10" width="28.5" style="1" customWidth="1"/>
    <col min="11" max="11" width="12.1640625" style="1" customWidth="1"/>
    <col min="12" max="12" width="28.5" style="1" customWidth="1"/>
    <col min="13" max="13" width="12.1640625" style="1" customWidth="1"/>
    <col min="14" max="14" width="28.5" style="1" customWidth="1"/>
    <col min="15" max="15" width="12.1640625" style="1" customWidth="1"/>
    <col min="16" max="16" width="13" style="1" bestFit="1" customWidth="1"/>
    <col min="17" max="17" width="24.5" style="1" customWidth="1"/>
    <col min="18" max="18" width="13" style="1" bestFit="1" customWidth="1"/>
    <col min="19" max="19" width="10.6640625" style="1" customWidth="1"/>
    <col min="20" max="20" width="12" style="1" customWidth="1"/>
    <col min="21" max="24" width="10.6640625" style="1" customWidth="1"/>
    <col min="25" max="16384" width="14.5" style="1"/>
  </cols>
  <sheetData>
    <row r="2" spans="1:26" ht="17">
      <c r="A2" s="22"/>
      <c r="B2" s="185" t="s">
        <v>4</v>
      </c>
      <c r="C2" s="186"/>
      <c r="D2" s="187" t="s">
        <v>18</v>
      </c>
      <c r="E2" s="188"/>
      <c r="F2" s="189"/>
      <c r="G2" s="22"/>
      <c r="I2" s="22"/>
      <c r="J2" s="22"/>
      <c r="K2" s="22"/>
      <c r="L2" s="22"/>
      <c r="M2" s="22"/>
      <c r="N2" s="22"/>
      <c r="O2" s="22"/>
      <c r="V2" s="22"/>
      <c r="W2" s="22"/>
      <c r="X2" s="22"/>
      <c r="Y2" s="22"/>
      <c r="Z2" s="22"/>
    </row>
    <row r="4" spans="1:26" ht="16">
      <c r="B4" s="183" t="s">
        <v>2</v>
      </c>
      <c r="C4" s="184"/>
      <c r="D4" s="67" t="s">
        <v>3</v>
      </c>
      <c r="E4" s="67" t="s">
        <v>5</v>
      </c>
      <c r="F4" s="69" t="s">
        <v>6</v>
      </c>
      <c r="G4" s="67" t="s">
        <v>5</v>
      </c>
      <c r="H4" s="69" t="s">
        <v>7</v>
      </c>
      <c r="I4" s="67" t="s">
        <v>5</v>
      </c>
      <c r="J4" s="69" t="s">
        <v>8</v>
      </c>
      <c r="K4" s="67" t="s">
        <v>5</v>
      </c>
      <c r="L4" s="69" t="s">
        <v>9</v>
      </c>
      <c r="M4" s="67" t="s">
        <v>5</v>
      </c>
      <c r="N4" s="69" t="s">
        <v>10</v>
      </c>
      <c r="O4" s="67" t="s">
        <v>5</v>
      </c>
      <c r="V4" s="23"/>
      <c r="W4" s="23"/>
      <c r="X4" s="23"/>
    </row>
    <row r="5" spans="1:26" ht="15">
      <c r="B5" s="70">
        <v>0.29166666666666669</v>
      </c>
      <c r="C5" s="71">
        <v>0.3125</v>
      </c>
      <c r="D5" s="24" t="str" cm="1">
        <f t="array" ref="D5">_xlfn.TEXTJOIN(CHAR(10),TRUE,IF(Aula=base_de_datos[Aula],IF("x"=base_de_datos[Lunes],IF(base_de_datos[Hora inicio]&lt;=$B5,IF(base_de_datos[Hora fin]&gt;=$C5,base_de_datos[Materia]&amp;" "&amp;base_de_datos[[Número de grupo ]],""),""),""),""),"")</f>
        <v/>
      </c>
      <c r="E5" s="24" t="str" cm="1">
        <f t="array" ref="E5">_xlfn.TEXTJOIN(CHAR(10),TRUE,IF(Aula=base_de_datos[Aula],IF("x"=base_de_datos[Lunes],IF(base_de_datos[Hora inicio]&lt;=$B5,IF(base_de_datos[Hora fin]&gt;=$C5,base_de_datos[No clase],""),""),""),""),"")</f>
        <v/>
      </c>
      <c r="F5" s="24" t="str" cm="1">
        <f t="array" ref="F5">_xlfn.TEXTJOIN(CHAR(10),TRUE,IF(Aula=base_de_datos[Aula],IF("x"=base_de_datos[Martes],IF(base_de_datos[Hora inicio]&lt;=$B5,IF(base_de_datos[Hora fin]&gt;=$C5,base_de_datos[Materia]&amp;" "&amp;base_de_datos[[Número de grupo ]],""),""),""),""),"")</f>
        <v/>
      </c>
      <c r="G5" s="24" t="str" cm="1">
        <f t="array" ref="G5">_xlfn.TEXTJOIN(CHAR(10),TRUE,IF(Aula=base_de_datos[Aula],IF("x"=base_de_datos[Martes],IF(base_de_datos[Hora inicio]&lt;=$B5,IF(base_de_datos[Hora fin]&gt;=$C5,base_de_datos[No clase],""),""),""),""),"")</f>
        <v/>
      </c>
      <c r="H5" s="24" t="str" cm="1">
        <f t="array" ref="H5">_xlfn.TEXTJOIN(CHAR(10),TRUE,IF(Aula=base_de_datos[Aula],IF("x"=base_de_datos[Miércoles],IF(base_de_datos[Hora inicio]&lt;=$B5,IF(base_de_datos[Hora fin]&gt;=$C5,base_de_datos[Materia]&amp;" "&amp;base_de_datos[[Número de grupo ]],""),""),""),""),"")</f>
        <v/>
      </c>
      <c r="I5" s="24" t="str" cm="1">
        <f t="array" ref="I5">_xlfn.TEXTJOIN(CHAR(10),TRUE,IF(Aula=base_de_datos[Aula],IF("x"=base_de_datos[Miércoles],IF(base_de_datos[Hora inicio]&lt;=$B5,IF(base_de_datos[Hora fin]&gt;=$C5,base_de_datos[No clase],""),""),""),""),"")</f>
        <v/>
      </c>
      <c r="J5" s="24" t="str" cm="1">
        <f t="array" ref="J5">_xlfn.TEXTJOIN(CHAR(10),TRUE,IF(Aula=base_de_datos[Aula],IF("x"=base_de_datos[Jueves],IF(base_de_datos[Hora inicio]&lt;=$B5,IF(base_de_datos[Hora fin]&gt;=$C5,base_de_datos[Materia]&amp;" "&amp;base_de_datos[[Número de grupo ]],""),""),""),""),"")</f>
        <v/>
      </c>
      <c r="K5" s="24" t="str" cm="1">
        <f t="array" ref="K5">_xlfn.TEXTJOIN(CHAR(10),TRUE,IF(Aula=base_de_datos[Aula],IF("x"=base_de_datos[Jueves],IF(base_de_datos[Hora inicio]&lt;=$B5,IF(base_de_datos[Hora fin]&gt;=$C5,base_de_datos[No clase],""),""),""),""),"")</f>
        <v/>
      </c>
      <c r="L5" s="24" t="str" cm="1">
        <f t="array" ref="L5">_xlfn.TEXTJOIN(CHAR(10),TRUE,IF(Aula=base_de_datos[Aula],IF("x"=base_de_datos[Viernes],IF(base_de_datos[Hora inicio]&lt;=$B5,IF(base_de_datos[Hora fin]&gt;=$C5,base_de_datos[Materia]&amp;" "&amp;base_de_datos[[Número de grupo ]],""),""),""),""),"")</f>
        <v/>
      </c>
      <c r="M5" s="24" t="str" cm="1">
        <f t="array" ref="M5">_xlfn.TEXTJOIN(CHAR(10),TRUE,IF(Aula=base_de_datos[Aula],IF("x"=base_de_datos[Viernes],IF(base_de_datos[Hora inicio]&lt;=$B5,IF(base_de_datos[Hora fin]&gt;=$C5,base_de_datos[No clase],""),""),""),""),"")</f>
        <v/>
      </c>
      <c r="N5" s="24" t="str" cm="1">
        <f t="array" ref="N5">_xlfn.TEXTJOIN(CHAR(10),TRUE,IF(Aula=base_de_datos[Aula],IF("x"=base_de_datos[Sábado],IF(base_de_datos[Hora inicio]&lt;=$B5,IF(base_de_datos[Hora fin]&gt;=$C5,base_de_datos[Materia]&amp;" "&amp;base_de_datos[[Número de grupo ]],""),""),""),""),"")</f>
        <v/>
      </c>
      <c r="O5" s="24" t="str" cm="1">
        <f t="array" ref="O5">_xlfn.TEXTJOIN(CHAR(10),TRUE,IF(Aula=base_de_datos[Aula],IF("x"=base_de_datos[Sábado],IF(base_de_datos[Hora inicio]&lt;=$B5,IF(base_de_datos[Hora fin]&gt;=$C5,base_de_datos[No clase],""),""),""),""),"")</f>
        <v/>
      </c>
      <c r="V5" s="23"/>
      <c r="W5" s="23"/>
      <c r="X5" s="23"/>
    </row>
    <row r="6" spans="1:26" ht="15">
      <c r="B6" s="70">
        <v>0.3125</v>
      </c>
      <c r="C6" s="70">
        <v>0.33333333333333298</v>
      </c>
      <c r="D6" s="24" t="str" cm="1">
        <f t="array" ref="D6">_xlfn.TEXTJOIN(CHAR(10),TRUE,IF(Aula=base_de_datos[Aula],IF("x"=base_de_datos[Lunes],IF(base_de_datos[Hora inicio]&lt;=$B6,IF(base_de_datos[Hora fin]&gt;=$C6,base_de_datos[Materia]&amp;" "&amp;base_de_datos[[Número de grupo ]],""),""),""),""),"")</f>
        <v/>
      </c>
      <c r="E6" s="24" t="str" cm="1">
        <f t="array" ref="E6">_xlfn.TEXTJOIN(CHAR(10),TRUE,IF(Aula=base_de_datos[Aula],IF("x"=base_de_datos[Lunes],IF(base_de_datos[Hora inicio]&lt;=$B6,IF(base_de_datos[Hora fin]&gt;=$C6,base_de_datos[No clase],""),""),""),""),"")</f>
        <v/>
      </c>
      <c r="F6" s="24" t="str" cm="1">
        <f t="array" ref="F6">_xlfn.TEXTJOIN(CHAR(10),TRUE,IF(Aula=base_de_datos[Aula],IF("x"=base_de_datos[Martes],IF(base_de_datos[Hora inicio]&lt;=$B6,IF(base_de_datos[Hora fin]&gt;=$C6,base_de_datos[Materia]&amp;" "&amp;base_de_datos[[Número de grupo ]],""),""),""),""),"")</f>
        <v/>
      </c>
      <c r="G6" s="24" t="str" cm="1">
        <f t="array" ref="G6">_xlfn.TEXTJOIN(CHAR(10),TRUE,IF(Aula=base_de_datos[Aula],IF("x"=base_de_datos[Martes],IF(base_de_datos[Hora inicio]&lt;=$B6,IF(base_de_datos[Hora fin]&gt;=$C6,base_de_datos[No clase],""),""),""),""),"")</f>
        <v/>
      </c>
      <c r="H6" s="24" t="str" cm="1">
        <f t="array" ref="H6">_xlfn.TEXTJOIN(CHAR(10),TRUE,IF(Aula=base_de_datos[Aula],IF("x"=base_de_datos[Miércoles],IF(base_de_datos[Hora inicio]&lt;=$B6,IF(base_de_datos[Hora fin]&gt;=$C6,base_de_datos[Materia]&amp;" "&amp;base_de_datos[[Número de grupo ]],""),""),""),""),"")</f>
        <v/>
      </c>
      <c r="I6" s="24" t="str" cm="1">
        <f t="array" ref="I6">_xlfn.TEXTJOIN(CHAR(10),TRUE,IF(Aula=base_de_datos[Aula],IF("x"=base_de_datos[Miércoles],IF(base_de_datos[Hora inicio]&lt;=$B6,IF(base_de_datos[Hora fin]&gt;=$C6,base_de_datos[No clase],""),""),""),""),"")</f>
        <v/>
      </c>
      <c r="J6" s="24" t="str" cm="1">
        <f t="array" ref="J6">_xlfn.TEXTJOIN(CHAR(10),TRUE,IF(Aula=base_de_datos[Aula],IF("x"=base_de_datos[Jueves],IF(base_de_datos[Hora inicio]&lt;=$B6,IF(base_de_datos[Hora fin]&gt;=$C6,base_de_datos[Materia]&amp;" "&amp;base_de_datos[[Número de grupo ]],""),""),""),""),"")</f>
        <v/>
      </c>
      <c r="K6" s="24" t="str" cm="1">
        <f t="array" ref="K6">_xlfn.TEXTJOIN(CHAR(10),TRUE,IF(Aula=base_de_datos[Aula],IF("x"=base_de_datos[Jueves],IF(base_de_datos[Hora inicio]&lt;=$B6,IF(base_de_datos[Hora fin]&gt;=$C6,base_de_datos[No clase],""),""),""),""),"")</f>
        <v/>
      </c>
      <c r="L6" s="24" t="str" cm="1">
        <f t="array" ref="L6">_xlfn.TEXTJOIN(CHAR(10),TRUE,IF(Aula=base_de_datos[Aula],IF("x"=base_de_datos[Viernes],IF(base_de_datos[Hora inicio]&lt;=$B6,IF(base_de_datos[Hora fin]&gt;=$C6,base_de_datos[Materia]&amp;" "&amp;base_de_datos[[Número de grupo ]],""),""),""),""),"")</f>
        <v/>
      </c>
      <c r="M6" s="24" t="str" cm="1">
        <f t="array" ref="M6">_xlfn.TEXTJOIN(CHAR(10),TRUE,IF(Aula=base_de_datos[Aula],IF("x"=base_de_datos[Viernes],IF(base_de_datos[Hora inicio]&lt;=$B6,IF(base_de_datos[Hora fin]&gt;=$C6,base_de_datos[No clase],""),""),""),""),"")</f>
        <v/>
      </c>
      <c r="N6" s="24" t="str" cm="1">
        <f t="array" ref="N6">_xlfn.TEXTJOIN(CHAR(10),TRUE,IF(Aula=base_de_datos[Aula],IF("x"=base_de_datos[Sábado],IF(base_de_datos[Hora inicio]&lt;=$B6,IF(base_de_datos[Hora fin]&gt;=$C6,base_de_datos[Materia]&amp;" "&amp;base_de_datos[[Número de grupo ]],""),""),""),""),"")</f>
        <v/>
      </c>
      <c r="O6" s="24" t="str" cm="1">
        <f t="array" ref="O6">_xlfn.TEXTJOIN(CHAR(10),TRUE,IF(Aula=base_de_datos[Aula],IF("x"=base_de_datos[Sábado],IF(base_de_datos[Hora inicio]&lt;=$B6,IF(base_de_datos[Hora fin]&gt;=$C6,base_de_datos[No clase],""),""),""),""),"")</f>
        <v/>
      </c>
      <c r="V6" s="23"/>
      <c r="W6" s="23"/>
      <c r="X6" s="23"/>
    </row>
    <row r="7" spans="1:26" ht="15">
      <c r="B7" s="70">
        <v>0.33333333333333298</v>
      </c>
      <c r="C7" s="70">
        <v>0.35416666666666602</v>
      </c>
      <c r="D7" s="24" t="str" cm="1">
        <f t="array" ref="D7">_xlfn.TEXTJOIN(CHAR(10),TRUE,IF(Aula=base_de_datos[Aula],IF("x"=base_de_datos[Lunes],IF(base_de_datos[Hora inicio]&lt;=$B7,IF(base_de_datos[Hora fin]&gt;=$C7,base_de_datos[Materia]&amp;" "&amp;base_de_datos[[Número de grupo ]],""),""),""),""),"")</f>
        <v/>
      </c>
      <c r="E7" s="24" t="str" cm="1">
        <f t="array" ref="E7">_xlfn.TEXTJOIN(CHAR(10),TRUE,IF(Aula=base_de_datos[Aula],IF("x"=base_de_datos[Lunes],IF(base_de_datos[Hora inicio]&lt;=$B7,IF(base_de_datos[Hora fin]&gt;=$C7,base_de_datos[No clase],""),""),""),""),"")</f>
        <v/>
      </c>
      <c r="F7" s="24" t="str" cm="1">
        <f t="array" ref="F7">_xlfn.TEXTJOIN(CHAR(10),TRUE,IF(Aula=base_de_datos[Aula],IF("x"=base_de_datos[Martes],IF(base_de_datos[Hora inicio]&lt;=$B7,IF(base_de_datos[Hora fin]&gt;=$C7,base_de_datos[Materia]&amp;" "&amp;base_de_datos[[Número de grupo ]],""),""),""),""),"")</f>
        <v/>
      </c>
      <c r="G7" s="24" t="str" cm="1">
        <f t="array" ref="G7">_xlfn.TEXTJOIN(CHAR(10),TRUE,IF(Aula=base_de_datos[Aula],IF("x"=base_de_datos[Martes],IF(base_de_datos[Hora inicio]&lt;=$B7,IF(base_de_datos[Hora fin]&gt;=$C7,base_de_datos[No clase],""),""),""),""),"")</f>
        <v/>
      </c>
      <c r="H7" s="24" t="str" cm="1">
        <f t="array" ref="H7">_xlfn.TEXTJOIN(CHAR(10),TRUE,IF(Aula=base_de_datos[Aula],IF("x"=base_de_datos[Miércoles],IF(base_de_datos[Hora inicio]&lt;=$B7,IF(base_de_datos[Hora fin]&gt;=$C7,base_de_datos[Materia]&amp;" "&amp;base_de_datos[[Número de grupo ]],""),""),""),""),"")</f>
        <v/>
      </c>
      <c r="I7" s="24" t="str" cm="1">
        <f t="array" ref="I7">_xlfn.TEXTJOIN(CHAR(10),TRUE,IF(Aula=base_de_datos[Aula],IF("x"=base_de_datos[Miércoles],IF(base_de_datos[Hora inicio]&lt;=$B7,IF(base_de_datos[Hora fin]&gt;=$C7,base_de_datos[No clase],""),""),""),""),"")</f>
        <v/>
      </c>
      <c r="J7" s="24" t="str" cm="1">
        <f t="array" ref="J7">_xlfn.TEXTJOIN(CHAR(10),TRUE,IF(Aula=base_de_datos[Aula],IF("x"=base_de_datos[Jueves],IF(base_de_datos[Hora inicio]&lt;=$B7,IF(base_de_datos[Hora fin]&gt;=$C7,base_de_datos[Materia]&amp;" "&amp;base_de_datos[[Número de grupo ]],""),""),""),""),"")</f>
        <v/>
      </c>
      <c r="K7" s="24" t="str" cm="1">
        <f t="array" ref="K7">_xlfn.TEXTJOIN(CHAR(10),TRUE,IF(Aula=base_de_datos[Aula],IF("x"=base_de_datos[Jueves],IF(base_de_datos[Hora inicio]&lt;=$B7,IF(base_de_datos[Hora fin]&gt;=$C7,base_de_datos[No clase],""),""),""),""),"")</f>
        <v/>
      </c>
      <c r="L7" s="24" t="str" cm="1">
        <f t="array" ref="L7">_xlfn.TEXTJOIN(CHAR(10),TRUE,IF(Aula=base_de_datos[Aula],IF("x"=base_de_datos[Viernes],IF(base_de_datos[Hora inicio]&lt;=$B7,IF(base_de_datos[Hora fin]&gt;=$C7,base_de_datos[Materia]&amp;" "&amp;base_de_datos[[Número de grupo ]],""),""),""),""),"")</f>
        <v/>
      </c>
      <c r="M7" s="24" t="str" cm="1">
        <f t="array" ref="M7">_xlfn.TEXTJOIN(CHAR(10),TRUE,IF(Aula=base_de_datos[Aula],IF("x"=base_de_datos[Viernes],IF(base_de_datos[Hora inicio]&lt;=$B7,IF(base_de_datos[Hora fin]&gt;=$C7,base_de_datos[No clase],""),""),""),""),"")</f>
        <v/>
      </c>
      <c r="N7" s="24" t="str" cm="1">
        <f t="array" ref="N7">_xlfn.TEXTJOIN(CHAR(10),TRUE,IF(Aula=base_de_datos[Aula],IF("x"=base_de_datos[Sábado],IF(base_de_datos[Hora inicio]&lt;=$B7,IF(base_de_datos[Hora fin]&gt;=$C7,base_de_datos[Materia]&amp;" "&amp;base_de_datos[[Número de grupo ]],""),""),""),""),"")</f>
        <v xml:space="preserve"> </v>
      </c>
      <c r="O7" s="24" t="str" cm="1">
        <f t="array" ref="O7">_xlfn.TEXTJOIN(CHAR(10),TRUE,IF(Aula=base_de_datos[Aula],IF("x"=base_de_datos[Sábado],IF(base_de_datos[Hora inicio]&lt;=$B7,IF(base_de_datos[Hora fin]&gt;=$C7,base_de_datos[No clase],""),""),""),""),"")</f>
        <v>Idiomas</v>
      </c>
      <c r="V7" s="23"/>
      <c r="W7" s="23"/>
      <c r="X7" s="23"/>
    </row>
    <row r="8" spans="1:26" ht="15">
      <c r="B8" s="70">
        <v>0.35416666666666702</v>
      </c>
      <c r="C8" s="70">
        <v>0.374999999999999</v>
      </c>
      <c r="D8" s="24" t="str" cm="1">
        <f t="array" ref="D8">_xlfn.TEXTJOIN(CHAR(10),TRUE,IF(Aula=base_de_datos[Aula],IF("x"=base_de_datos[Lunes],IF(base_de_datos[Hora inicio]&lt;=$B8,IF(base_de_datos[Hora fin]&gt;=$C8,base_de_datos[Materia]&amp;" "&amp;base_de_datos[[Número de grupo ]],""),""),""),""),"")</f>
        <v/>
      </c>
      <c r="E8" s="24" t="str" cm="1">
        <f t="array" ref="E8">_xlfn.TEXTJOIN(CHAR(10),TRUE,IF(Aula=base_de_datos[Aula],IF("x"=base_de_datos[Lunes],IF(base_de_datos[Hora inicio]&lt;=$B8,IF(base_de_datos[Hora fin]&gt;=$C8,base_de_datos[No clase],""),""),""),""),"")</f>
        <v/>
      </c>
      <c r="F8" s="24" t="str" cm="1">
        <f t="array" ref="F8">_xlfn.TEXTJOIN(CHAR(10),TRUE,IF(Aula=base_de_datos[Aula],IF("x"=base_de_datos[Martes],IF(base_de_datos[Hora inicio]&lt;=$B8,IF(base_de_datos[Hora fin]&gt;=$C8,base_de_datos[Materia]&amp;" "&amp;base_de_datos[[Número de grupo ]],""),""),""),""),"")</f>
        <v/>
      </c>
      <c r="G8" s="24" t="str" cm="1">
        <f t="array" ref="G8">_xlfn.TEXTJOIN(CHAR(10),TRUE,IF(Aula=base_de_datos[Aula],IF("x"=base_de_datos[Martes],IF(base_de_datos[Hora inicio]&lt;=$B8,IF(base_de_datos[Hora fin]&gt;=$C8,base_de_datos[No clase],""),""),""),""),"")</f>
        <v/>
      </c>
      <c r="H8" s="24" t="str" cm="1">
        <f t="array" ref="H8">_xlfn.TEXTJOIN(CHAR(10),TRUE,IF(Aula=base_de_datos[Aula],IF("x"=base_de_datos[Miércoles],IF(base_de_datos[Hora inicio]&lt;=$B8,IF(base_de_datos[Hora fin]&gt;=$C8,base_de_datos[Materia]&amp;" "&amp;base_de_datos[[Número de grupo ]],""),""),""),""),"")</f>
        <v/>
      </c>
      <c r="I8" s="24" t="str" cm="1">
        <f t="array" ref="I8">_xlfn.TEXTJOIN(CHAR(10),TRUE,IF(Aula=base_de_datos[Aula],IF("x"=base_de_datos[Miércoles],IF(base_de_datos[Hora inicio]&lt;=$B8,IF(base_de_datos[Hora fin]&gt;=$C8,base_de_datos[No clase],""),""),""),""),"")</f>
        <v/>
      </c>
      <c r="J8" s="24" t="str" cm="1">
        <f t="array" ref="J8">_xlfn.TEXTJOIN(CHAR(10),TRUE,IF(Aula=base_de_datos[Aula],IF("x"=base_de_datos[Jueves],IF(base_de_datos[Hora inicio]&lt;=$B8,IF(base_de_datos[Hora fin]&gt;=$C8,base_de_datos[Materia]&amp;" "&amp;base_de_datos[[Número de grupo ]],""),""),""),""),"")</f>
        <v/>
      </c>
      <c r="K8" s="24" t="str" cm="1">
        <f t="array" ref="K8">_xlfn.TEXTJOIN(CHAR(10),TRUE,IF(Aula=base_de_datos[Aula],IF("x"=base_de_datos[Jueves],IF(base_de_datos[Hora inicio]&lt;=$B8,IF(base_de_datos[Hora fin]&gt;=$C8,base_de_datos[No clase],""),""),""),""),"")</f>
        <v/>
      </c>
      <c r="L8" s="24" t="str" cm="1">
        <f t="array" ref="L8">_xlfn.TEXTJOIN(CHAR(10),TRUE,IF(Aula=base_de_datos[Aula],IF("x"=base_de_datos[Viernes],IF(base_de_datos[Hora inicio]&lt;=$B8,IF(base_de_datos[Hora fin]&gt;=$C8,base_de_datos[Materia]&amp;" "&amp;base_de_datos[[Número de grupo ]],""),""),""),""),"")</f>
        <v/>
      </c>
      <c r="M8" s="24" t="str" cm="1">
        <f t="array" ref="M8">_xlfn.TEXTJOIN(CHAR(10),TRUE,IF(Aula=base_de_datos[Aula],IF("x"=base_de_datos[Viernes],IF(base_de_datos[Hora inicio]&lt;=$B8,IF(base_de_datos[Hora fin]&gt;=$C8,base_de_datos[No clase],""),""),""),""),"")</f>
        <v/>
      </c>
      <c r="N8" s="24" t="str" cm="1">
        <f t="array" ref="N8">_xlfn.TEXTJOIN(CHAR(10),TRUE,IF(Aula=base_de_datos[Aula],IF("x"=base_de_datos[Sábado],IF(base_de_datos[Hora inicio]&lt;=$B8,IF(base_de_datos[Hora fin]&gt;=$C8,base_de_datos[Materia]&amp;" "&amp;base_de_datos[[Número de grupo ]],""),""),""),""),"")</f>
        <v xml:space="preserve"> </v>
      </c>
      <c r="O8" s="24" t="str" cm="1">
        <f t="array" ref="O8">_xlfn.TEXTJOIN(CHAR(10),TRUE,IF(Aula=base_de_datos[Aula],IF("x"=base_de_datos[Sábado],IF(base_de_datos[Hora inicio]&lt;=$B8,IF(base_de_datos[Hora fin]&gt;=$C8,base_de_datos[No clase],""),""),""),""),"")</f>
        <v>Idiomas</v>
      </c>
      <c r="V8" s="23"/>
      <c r="W8" s="23"/>
      <c r="X8" s="23"/>
    </row>
    <row r="9" spans="1:26" ht="15">
      <c r="B9" s="70">
        <v>0.375</v>
      </c>
      <c r="C9" s="70">
        <v>0.39583333333333198</v>
      </c>
      <c r="D9" s="24" t="str" cm="1">
        <f t="array" ref="D9">_xlfn.TEXTJOIN(CHAR(10),TRUE,IF(Aula=base_de_datos[Aula],IF("x"=base_de_datos[Lunes],IF(base_de_datos[Hora inicio]&lt;=$B9,IF(base_de_datos[Hora fin]&gt;=$C9,base_de_datos[Materia]&amp;" "&amp;base_de_datos[[Número de grupo ]],""),""),""),""),"")</f>
        <v/>
      </c>
      <c r="E9" s="24" t="str" cm="1">
        <f t="array" ref="E9">_xlfn.TEXTJOIN(CHAR(10),TRUE,IF(Aula=base_de_datos[Aula],IF("x"=base_de_datos[Lunes],IF(base_de_datos[Hora inicio]&lt;=$B9,IF(base_de_datos[Hora fin]&gt;=$C9,base_de_datos[No clase],""),""),""),""),"")</f>
        <v/>
      </c>
      <c r="F9" s="24" t="str" cm="1">
        <f t="array" ref="F9">_xlfn.TEXTJOIN(CHAR(10),TRUE,IF(Aula=base_de_datos[Aula],IF("x"=base_de_datos[Martes],IF(base_de_datos[Hora inicio]&lt;=$B9,IF(base_de_datos[Hora fin]&gt;=$C9,base_de_datos[Materia]&amp;" "&amp;base_de_datos[[Número de grupo ]],""),""),""),""),"")</f>
        <v/>
      </c>
      <c r="G9" s="24" t="str" cm="1">
        <f t="array" ref="G9">_xlfn.TEXTJOIN(CHAR(10),TRUE,IF(Aula=base_de_datos[Aula],IF("x"=base_de_datos[Martes],IF(base_de_datos[Hora inicio]&lt;=$B9,IF(base_de_datos[Hora fin]&gt;=$C9,base_de_datos[No clase],""),""),""),""),"")</f>
        <v/>
      </c>
      <c r="H9" s="24" t="str" cm="1">
        <f t="array" ref="H9">_xlfn.TEXTJOIN(CHAR(10),TRUE,IF(Aula=base_de_datos[Aula],IF("x"=base_de_datos[Miércoles],IF(base_de_datos[Hora inicio]&lt;=$B9,IF(base_de_datos[Hora fin]&gt;=$C9,base_de_datos[Materia]&amp;" "&amp;base_de_datos[[Número de grupo ]],""),""),""),""),"")</f>
        <v>Fundamentos de hidráulica 1</v>
      </c>
      <c r="I9" s="24" t="str" cm="1">
        <f t="array" ref="I9">_xlfn.TEXTJOIN(CHAR(10),TRUE,IF(Aula=base_de_datos[Aula],IF("x"=base_de_datos[Miércoles],IF(base_de_datos[Hora inicio]&lt;=$B9,IF(base_de_datos[Hora fin]&gt;=$C9,base_de_datos[No clase],""),""),""),""),"")</f>
        <v>1616/1617</v>
      </c>
      <c r="J9" s="24" t="str" cm="1">
        <f t="array" ref="J9">_xlfn.TEXTJOIN(CHAR(10),TRUE,IF(Aula=base_de_datos[Aula],IF("x"=base_de_datos[Jueves],IF(base_de_datos[Hora inicio]&lt;=$B9,IF(base_de_datos[Hora fin]&gt;=$C9,base_de_datos[Materia]&amp;" "&amp;base_de_datos[[Número de grupo ]],""),""),""),""),"")</f>
        <v>Fundamentos de hidráulica 1</v>
      </c>
      <c r="K9" s="24" t="str" cm="1">
        <f t="array" ref="K9">_xlfn.TEXTJOIN(CHAR(10),TRUE,IF(Aula=base_de_datos[Aula],IF("x"=base_de_datos[Jueves],IF(base_de_datos[Hora inicio]&lt;=$B9,IF(base_de_datos[Hora fin]&gt;=$C9,base_de_datos[No clase],""),""),""),""),"")</f>
        <v>1616/1617</v>
      </c>
      <c r="L9" s="24" t="str" cm="1">
        <f t="array" ref="L9">_xlfn.TEXTJOIN(CHAR(10),TRUE,IF(Aula=base_de_datos[Aula],IF("x"=base_de_datos[Viernes],IF(base_de_datos[Hora inicio]&lt;=$B9,IF(base_de_datos[Hora fin]&gt;=$C9,base_de_datos[Materia]&amp;" "&amp;base_de_datos[[Número de grupo ]],""),""),""),""),"")</f>
        <v/>
      </c>
      <c r="M9" s="24" t="str" cm="1">
        <f t="array" ref="M9">_xlfn.TEXTJOIN(CHAR(10),TRUE,IF(Aula=base_de_datos[Aula],IF("x"=base_de_datos[Viernes],IF(base_de_datos[Hora inicio]&lt;=$B9,IF(base_de_datos[Hora fin]&gt;=$C9,base_de_datos[No clase],""),""),""),""),"")</f>
        <v/>
      </c>
      <c r="N9" s="24" t="str" cm="1">
        <f t="array" ref="N9">_xlfn.TEXTJOIN(CHAR(10),TRUE,IF(Aula=base_de_datos[Aula],IF("x"=base_de_datos[Sábado],IF(base_de_datos[Hora inicio]&lt;=$B9,IF(base_de_datos[Hora fin]&gt;=$C9,base_de_datos[Materia]&amp;" "&amp;base_de_datos[[Número de grupo ]],""),""),""),""),"")</f>
        <v xml:space="preserve"> </v>
      </c>
      <c r="O9" s="24" t="str" cm="1">
        <f t="array" ref="O9">_xlfn.TEXTJOIN(CHAR(10),TRUE,IF(Aula=base_de_datos[Aula],IF("x"=base_de_datos[Sábado],IF(base_de_datos[Hora inicio]&lt;=$B9,IF(base_de_datos[Hora fin]&gt;=$C9,base_de_datos[No clase],""),""),""),""),"")</f>
        <v>Idiomas</v>
      </c>
      <c r="V9" s="23"/>
      <c r="W9" s="23"/>
      <c r="X9" s="23"/>
    </row>
    <row r="10" spans="1:26" ht="15">
      <c r="B10" s="70">
        <v>0.39583333333333398</v>
      </c>
      <c r="C10" s="70">
        <v>0.41666666666666502</v>
      </c>
      <c r="D10" s="24" t="str" cm="1">
        <f t="array" ref="D10">_xlfn.TEXTJOIN(CHAR(10),TRUE,IF(Aula=base_de_datos[Aula],IF("x"=base_de_datos[Lunes],IF(base_de_datos[Hora inicio]&lt;=$B10,IF(base_de_datos[Hora fin]&gt;=$C10,base_de_datos[Materia]&amp;" "&amp;base_de_datos[[Número de grupo ]],""),""),""),""),"")</f>
        <v/>
      </c>
      <c r="E10" s="24" t="str" cm="1">
        <f t="array" ref="E10">_xlfn.TEXTJOIN(CHAR(10),TRUE,IF(Aula=base_de_datos[Aula],IF("x"=base_de_datos[Lunes],IF(base_de_datos[Hora inicio]&lt;=$B10,IF(base_de_datos[Hora fin]&gt;=$C10,base_de_datos[No clase],""),""),""),""),"")</f>
        <v/>
      </c>
      <c r="F10" s="24" t="str" cm="1">
        <f t="array" ref="F10">_xlfn.TEXTJOIN(CHAR(10),TRUE,IF(Aula=base_de_datos[Aula],IF("x"=base_de_datos[Martes],IF(base_de_datos[Hora inicio]&lt;=$B10,IF(base_de_datos[Hora fin]&gt;=$C10,base_de_datos[Materia]&amp;" "&amp;base_de_datos[[Número de grupo ]],""),""),""),""),"")</f>
        <v/>
      </c>
      <c r="G10" s="24" t="str" cm="1">
        <f t="array" ref="G10">_xlfn.TEXTJOIN(CHAR(10),TRUE,IF(Aula=base_de_datos[Aula],IF("x"=base_de_datos[Martes],IF(base_de_datos[Hora inicio]&lt;=$B10,IF(base_de_datos[Hora fin]&gt;=$C10,base_de_datos[No clase],""),""),""),""),"")</f>
        <v/>
      </c>
      <c r="H10" s="24" t="str" cm="1">
        <f t="array" ref="H10">_xlfn.TEXTJOIN(CHAR(10),TRUE,IF(Aula=base_de_datos[Aula],IF("x"=base_de_datos[Miércoles],IF(base_de_datos[Hora inicio]&lt;=$B10,IF(base_de_datos[Hora fin]&gt;=$C10,base_de_datos[Materia]&amp;" "&amp;base_de_datos[[Número de grupo ]],""),""),""),""),"")</f>
        <v>Fundamentos de hidráulica 1</v>
      </c>
      <c r="I10" s="24" t="str" cm="1">
        <f t="array" ref="I10">_xlfn.TEXTJOIN(CHAR(10),TRUE,IF(Aula=base_de_datos[Aula],IF("x"=base_de_datos[Miércoles],IF(base_de_datos[Hora inicio]&lt;=$B10,IF(base_de_datos[Hora fin]&gt;=$C10,base_de_datos[No clase],""),""),""),""),"")</f>
        <v>1616/1617</v>
      </c>
      <c r="J10" s="24" t="str" cm="1">
        <f t="array" ref="J10">_xlfn.TEXTJOIN(CHAR(10),TRUE,IF(Aula=base_de_datos[Aula],IF("x"=base_de_datos[Jueves],IF(base_de_datos[Hora inicio]&lt;=$B10,IF(base_de_datos[Hora fin]&gt;=$C10,base_de_datos[Materia]&amp;" "&amp;base_de_datos[[Número de grupo ]],""),""),""),""),"")</f>
        <v>Fundamentos de hidráulica 1</v>
      </c>
      <c r="K10" s="24" t="str" cm="1">
        <f t="array" ref="K10">_xlfn.TEXTJOIN(CHAR(10),TRUE,IF(Aula=base_de_datos[Aula],IF("x"=base_de_datos[Jueves],IF(base_de_datos[Hora inicio]&lt;=$B10,IF(base_de_datos[Hora fin]&gt;=$C10,base_de_datos[No clase],""),""),""),""),"")</f>
        <v>1616/1617</v>
      </c>
      <c r="L10" s="24" t="str" cm="1">
        <f t="array" ref="L10">_xlfn.TEXTJOIN(CHAR(10),TRUE,IF(Aula=base_de_datos[Aula],IF("x"=base_de_datos[Viernes],IF(base_de_datos[Hora inicio]&lt;=$B10,IF(base_de_datos[Hora fin]&gt;=$C10,base_de_datos[Materia]&amp;" "&amp;base_de_datos[[Número de grupo ]],""),""),""),""),"")</f>
        <v/>
      </c>
      <c r="M10" s="24" t="str" cm="1">
        <f t="array" ref="M10">_xlfn.TEXTJOIN(CHAR(10),TRUE,IF(Aula=base_de_datos[Aula],IF("x"=base_de_datos[Viernes],IF(base_de_datos[Hora inicio]&lt;=$B10,IF(base_de_datos[Hora fin]&gt;=$C10,base_de_datos[No clase],""),""),""),""),"")</f>
        <v/>
      </c>
      <c r="N10" s="24" t="str" cm="1">
        <f t="array" ref="N10">_xlfn.TEXTJOIN(CHAR(10),TRUE,IF(Aula=base_de_datos[Aula],IF("x"=base_de_datos[Sábado],IF(base_de_datos[Hora inicio]&lt;=$B10,IF(base_de_datos[Hora fin]&gt;=$C10,base_de_datos[Materia]&amp;" "&amp;base_de_datos[[Número de grupo ]],""),""),""),""),"")</f>
        <v xml:space="preserve"> </v>
      </c>
      <c r="O10" s="24" t="str" cm="1">
        <f t="array" ref="O10">_xlfn.TEXTJOIN(CHAR(10),TRUE,IF(Aula=base_de_datos[Aula],IF("x"=base_de_datos[Sábado],IF(base_de_datos[Hora inicio]&lt;=$B10,IF(base_de_datos[Hora fin]&gt;=$C10,base_de_datos[No clase],""),""),""),""),"")</f>
        <v>Idiomas</v>
      </c>
      <c r="V10" s="23"/>
      <c r="W10" s="23"/>
      <c r="X10" s="23"/>
    </row>
    <row r="11" spans="1:26" ht="15">
      <c r="B11" s="70">
        <v>0.41666666666666702</v>
      </c>
      <c r="C11" s="70">
        <v>0.437499999999998</v>
      </c>
      <c r="D11" s="24" t="str" cm="1">
        <f t="array" ref="D11">_xlfn.TEXTJOIN(CHAR(10),TRUE,IF(Aula=base_de_datos[Aula],IF("x"=base_de_datos[Lunes],IF(base_de_datos[Hora inicio]&lt;=$B11,IF(base_de_datos[Hora fin]&gt;=$C11,base_de_datos[Materia]&amp;" "&amp;base_de_datos[[Número de grupo ]],""),""),""),""),"")</f>
        <v/>
      </c>
      <c r="E11" s="24" t="str" cm="1">
        <f t="array" ref="E11">_xlfn.TEXTJOIN(CHAR(10),TRUE,IF(Aula=base_de_datos[Aula],IF("x"=base_de_datos[Lunes],IF(base_de_datos[Hora inicio]&lt;=$B11,IF(base_de_datos[Hora fin]&gt;=$C11,base_de_datos[No clase],""),""),""),""),"")</f>
        <v/>
      </c>
      <c r="F11" s="24" t="str" cm="1">
        <f t="array" ref="F11">_xlfn.TEXTJOIN(CHAR(10),TRUE,IF(Aula=base_de_datos[Aula],IF("x"=base_de_datos[Martes],IF(base_de_datos[Hora inicio]&lt;=$B11,IF(base_de_datos[Hora fin]&gt;=$C11,base_de_datos[Materia]&amp;" "&amp;base_de_datos[[Número de grupo ]],""),""),""),""),"")</f>
        <v/>
      </c>
      <c r="G11" s="24" t="str" cm="1">
        <f t="array" ref="G11">_xlfn.TEXTJOIN(CHAR(10),TRUE,IF(Aula=base_de_datos[Aula],IF("x"=base_de_datos[Martes],IF(base_de_datos[Hora inicio]&lt;=$B11,IF(base_de_datos[Hora fin]&gt;=$C11,base_de_datos[No clase],""),""),""),""),"")</f>
        <v/>
      </c>
      <c r="H11" s="24" t="str" cm="1">
        <f t="array" ref="H11">_xlfn.TEXTJOIN(CHAR(10),TRUE,IF(Aula=base_de_datos[Aula],IF("x"=base_de_datos[Miércoles],IF(base_de_datos[Hora inicio]&lt;=$B11,IF(base_de_datos[Hora fin]&gt;=$C11,base_de_datos[Materia]&amp;" "&amp;base_de_datos[[Número de grupo ]],""),""),""),""),"")</f>
        <v>Fundamentos de hidráulica 1</v>
      </c>
      <c r="I11" s="24" t="str" cm="1">
        <f t="array" ref="I11">_xlfn.TEXTJOIN(CHAR(10),TRUE,IF(Aula=base_de_datos[Aula],IF("x"=base_de_datos[Miércoles],IF(base_de_datos[Hora inicio]&lt;=$B11,IF(base_de_datos[Hora fin]&gt;=$C11,base_de_datos[No clase],""),""),""),""),"")</f>
        <v>1616/1617</v>
      </c>
      <c r="J11" s="24" t="str" cm="1">
        <f t="array" ref="J11">_xlfn.TEXTJOIN(CHAR(10),TRUE,IF(Aula=base_de_datos[Aula],IF("x"=base_de_datos[Jueves],IF(base_de_datos[Hora inicio]&lt;=$B11,IF(base_de_datos[Hora fin]&gt;=$C11,base_de_datos[Materia]&amp;" "&amp;base_de_datos[[Número de grupo ]],""),""),""),""),"")</f>
        <v>Fundamentos de hidráulica 1</v>
      </c>
      <c r="K11" s="24" t="str" cm="1">
        <f t="array" ref="K11">_xlfn.TEXTJOIN(CHAR(10),TRUE,IF(Aula=base_de_datos[Aula],IF("x"=base_de_datos[Jueves],IF(base_de_datos[Hora inicio]&lt;=$B11,IF(base_de_datos[Hora fin]&gt;=$C11,base_de_datos[No clase],""),""),""),""),"")</f>
        <v>1616/1617</v>
      </c>
      <c r="L11" s="24" t="str" cm="1">
        <f t="array" ref="L11">_xlfn.TEXTJOIN(CHAR(10),TRUE,IF(Aula=base_de_datos[Aula],IF("x"=base_de_datos[Viernes],IF(base_de_datos[Hora inicio]&lt;=$B11,IF(base_de_datos[Hora fin]&gt;=$C11,base_de_datos[Materia]&amp;" "&amp;base_de_datos[[Número de grupo ]],""),""),""),""),"")</f>
        <v/>
      </c>
      <c r="M11" s="24" t="str" cm="1">
        <f t="array" ref="M11">_xlfn.TEXTJOIN(CHAR(10),TRUE,IF(Aula=base_de_datos[Aula],IF("x"=base_de_datos[Viernes],IF(base_de_datos[Hora inicio]&lt;=$B11,IF(base_de_datos[Hora fin]&gt;=$C11,base_de_datos[No clase],""),""),""),""),"")</f>
        <v/>
      </c>
      <c r="N11" s="24" t="str" cm="1">
        <f t="array" ref="N11">_xlfn.TEXTJOIN(CHAR(10),TRUE,IF(Aula=base_de_datos[Aula],IF("x"=base_de_datos[Sábado],IF(base_de_datos[Hora inicio]&lt;=$B11,IF(base_de_datos[Hora fin]&gt;=$C11,base_de_datos[Materia]&amp;" "&amp;base_de_datos[[Número de grupo ]],""),""),""),""),"")</f>
        <v xml:space="preserve"> </v>
      </c>
      <c r="O11" s="24" t="str" cm="1">
        <f t="array" ref="O11">_xlfn.TEXTJOIN(CHAR(10),TRUE,IF(Aula=base_de_datos[Aula],IF("x"=base_de_datos[Sábado],IF(base_de_datos[Hora inicio]&lt;=$B11,IF(base_de_datos[Hora fin]&gt;=$C11,base_de_datos[No clase],""),""),""),""),"")</f>
        <v>Idiomas</v>
      </c>
      <c r="V11" s="23"/>
      <c r="W11" s="23"/>
      <c r="X11" s="23"/>
    </row>
    <row r="12" spans="1:26" ht="15">
      <c r="B12" s="70">
        <v>0.4375</v>
      </c>
      <c r="C12" s="70">
        <v>0.45833333333333098</v>
      </c>
      <c r="D12" s="24" t="str" cm="1">
        <f t="array" ref="D12">_xlfn.TEXTJOIN(CHAR(10),TRUE,IF(Aula=base_de_datos[Aula],IF("x"=base_de_datos[Lunes],IF(base_de_datos[Hora inicio]&lt;=$B12,IF(base_de_datos[Hora fin]&gt;=$C12,base_de_datos[Materia]&amp;" "&amp;base_de_datos[[Número de grupo ]],""),""),""),""),"")</f>
        <v/>
      </c>
      <c r="E12" s="24" t="str" cm="1">
        <f t="array" ref="E12">_xlfn.TEXTJOIN(CHAR(10),TRUE,IF(Aula=base_de_datos[Aula],IF("x"=base_de_datos[Lunes],IF(base_de_datos[Hora inicio]&lt;=$B12,IF(base_de_datos[Hora fin]&gt;=$C12,base_de_datos[No clase],""),""),""),""),"")</f>
        <v/>
      </c>
      <c r="F12" s="24" t="str" cm="1">
        <f t="array" ref="F12">_xlfn.TEXTJOIN(CHAR(10),TRUE,IF(Aula=base_de_datos[Aula],IF("x"=base_de_datos[Martes],IF(base_de_datos[Hora inicio]&lt;=$B12,IF(base_de_datos[Hora fin]&gt;=$C12,base_de_datos[Materia]&amp;" "&amp;base_de_datos[[Número de grupo ]],""),""),""),""),"")</f>
        <v/>
      </c>
      <c r="G12" s="24" t="str" cm="1">
        <f t="array" ref="G12">_xlfn.TEXTJOIN(CHAR(10),TRUE,IF(Aula=base_de_datos[Aula],IF("x"=base_de_datos[Martes],IF(base_de_datos[Hora inicio]&lt;=$B12,IF(base_de_datos[Hora fin]&gt;=$C12,base_de_datos[No clase],""),""),""),""),"")</f>
        <v/>
      </c>
      <c r="H12" s="24" t="str" cm="1">
        <f t="array" ref="H12">_xlfn.TEXTJOIN(CHAR(10),TRUE,IF(Aula=base_de_datos[Aula],IF("x"=base_de_datos[Miércoles],IF(base_de_datos[Hora inicio]&lt;=$B12,IF(base_de_datos[Hora fin]&gt;=$C12,base_de_datos[Materia]&amp;" "&amp;base_de_datos[[Número de grupo ]],""),""),""),""),"")</f>
        <v>Fundamentos de hidráulica 1</v>
      </c>
      <c r="I12" s="24" t="str" cm="1">
        <f t="array" ref="I12">_xlfn.TEXTJOIN(CHAR(10),TRUE,IF(Aula=base_de_datos[Aula],IF("x"=base_de_datos[Miércoles],IF(base_de_datos[Hora inicio]&lt;=$B12,IF(base_de_datos[Hora fin]&gt;=$C12,base_de_datos[No clase],""),""),""),""),"")</f>
        <v>1616/1617</v>
      </c>
      <c r="J12" s="24" t="str" cm="1">
        <f t="array" ref="J12">_xlfn.TEXTJOIN(CHAR(10),TRUE,IF(Aula=base_de_datos[Aula],IF("x"=base_de_datos[Jueves],IF(base_de_datos[Hora inicio]&lt;=$B12,IF(base_de_datos[Hora fin]&gt;=$C12,base_de_datos[Materia]&amp;" "&amp;base_de_datos[[Número de grupo ]],""),""),""),""),"")</f>
        <v>Fundamentos de hidráulica 1</v>
      </c>
      <c r="K12" s="24" t="str" cm="1">
        <f t="array" ref="K12">_xlfn.TEXTJOIN(CHAR(10),TRUE,IF(Aula=base_de_datos[Aula],IF("x"=base_de_datos[Jueves],IF(base_de_datos[Hora inicio]&lt;=$B12,IF(base_de_datos[Hora fin]&gt;=$C12,base_de_datos[No clase],""),""),""),""),"")</f>
        <v>1616/1617</v>
      </c>
      <c r="L12" s="24" t="str" cm="1">
        <f t="array" ref="L12">_xlfn.TEXTJOIN(CHAR(10),TRUE,IF(Aula=base_de_datos[Aula],IF("x"=base_de_datos[Viernes],IF(base_de_datos[Hora inicio]&lt;=$B12,IF(base_de_datos[Hora fin]&gt;=$C12,base_de_datos[Materia]&amp;" "&amp;base_de_datos[[Número de grupo ]],""),""),""),""),"")</f>
        <v/>
      </c>
      <c r="M12" s="24" t="str" cm="1">
        <f t="array" ref="M12">_xlfn.TEXTJOIN(CHAR(10),TRUE,IF(Aula=base_de_datos[Aula],IF("x"=base_de_datos[Viernes],IF(base_de_datos[Hora inicio]&lt;=$B12,IF(base_de_datos[Hora fin]&gt;=$C12,base_de_datos[No clase],""),""),""),""),"")</f>
        <v/>
      </c>
      <c r="N12" s="24" t="str" cm="1">
        <f t="array" ref="N12">_xlfn.TEXTJOIN(CHAR(10),TRUE,IF(Aula=base_de_datos[Aula],IF("x"=base_de_datos[Sábado],IF(base_de_datos[Hora inicio]&lt;=$B12,IF(base_de_datos[Hora fin]&gt;=$C12,base_de_datos[Materia]&amp;" "&amp;base_de_datos[[Número de grupo ]],""),""),""),""),"")</f>
        <v xml:space="preserve"> </v>
      </c>
      <c r="O12" s="24" t="str" cm="1">
        <f t="array" ref="O12">_xlfn.TEXTJOIN(CHAR(10),TRUE,IF(Aula=base_de_datos[Aula],IF("x"=base_de_datos[Sábado],IF(base_de_datos[Hora inicio]&lt;=$B12,IF(base_de_datos[Hora fin]&gt;=$C12,base_de_datos[No clase],""),""),""),""),"")</f>
        <v>Idiomas</v>
      </c>
      <c r="V12" s="23"/>
      <c r="W12" s="23"/>
      <c r="X12" s="23"/>
    </row>
    <row r="13" spans="1:26" ht="15">
      <c r="B13" s="70">
        <v>0.45833333333333398</v>
      </c>
      <c r="C13" s="70">
        <v>0.47916666666666402</v>
      </c>
      <c r="D13" s="174" t="str" cm="1">
        <f t="array" ref="D13">_xlfn.TEXTJOIN(CHAR(10),TRUE,IF(Aula=base_de_datos[Aula],IF("x"=base_de_datos[Lunes],IF(base_de_datos[Hora inicio]&lt;=$B13,IF(base_de_datos[Hora fin]&gt;=$C13,base_de_datos[Materia]&amp;" "&amp;base_de_datos[[Número de grupo ]],""),""),""),""),"")</f>
        <v/>
      </c>
      <c r="E13" s="25" t="str" cm="1">
        <f t="array" ref="E13">_xlfn.TEXTJOIN(CHAR(10),TRUE,IF(Aula=base_de_datos[Aula],IF("x"=base_de_datos[Lunes],IF(base_de_datos[Hora inicio]&lt;=$B13,IF(base_de_datos[Hora fin]&gt;=$C13,base_de_datos[No clase],""),""),""),""),"")</f>
        <v/>
      </c>
      <c r="F13" s="25" t="str" cm="1">
        <f t="array" ref="F13">_xlfn.TEXTJOIN(CHAR(10),TRUE,IF(Aula=base_de_datos[Aula],IF("x"=base_de_datos[Martes],IF(base_de_datos[Hora inicio]&lt;=$B13,IF(base_de_datos[Hora fin]&gt;=$C13,base_de_datos[Materia]&amp;" "&amp;base_de_datos[[Número de grupo ]],""),""),""),""),"")</f>
        <v/>
      </c>
      <c r="G13" s="25" t="str" cm="1">
        <f t="array" ref="G13">_xlfn.TEXTJOIN(CHAR(10),TRUE,IF(Aula=base_de_datos[Aula],IF("x"=base_de_datos[Martes],IF(base_de_datos[Hora inicio]&lt;=$B13,IF(base_de_datos[Hora fin]&gt;=$C13,base_de_datos[No clase],""),""),""),""),"")</f>
        <v/>
      </c>
      <c r="H13" s="25" t="str" cm="1">
        <f t="array" ref="H13">_xlfn.TEXTJOIN(CHAR(10),TRUE,IF(Aula=base_de_datos[Aula],IF("x"=base_de_datos[Miércoles],IF(base_de_datos[Hora inicio]&lt;=$B13,IF(base_de_datos[Hora fin]&gt;=$C13,base_de_datos[Materia]&amp;" "&amp;base_de_datos[[Número de grupo ]],""),""),""),""),"")</f>
        <v/>
      </c>
      <c r="I13" s="25" t="str" cm="1">
        <f t="array" ref="I13">_xlfn.TEXTJOIN(CHAR(10),TRUE,IF(Aula=base_de_datos[Aula],IF("x"=base_de_datos[Miércoles],IF(base_de_datos[Hora inicio]&lt;=$B13,IF(base_de_datos[Hora fin]&gt;=$C13,base_de_datos[No clase],""),""),""),""),"")</f>
        <v/>
      </c>
      <c r="J13" s="25" t="str" cm="1">
        <f t="array" ref="J13">_xlfn.TEXTJOIN(CHAR(10),TRUE,IF(Aula=base_de_datos[Aula],IF("x"=base_de_datos[Jueves],IF(base_de_datos[Hora inicio]&lt;=$B13,IF(base_de_datos[Hora fin]&gt;=$C13,base_de_datos[Materia]&amp;" "&amp;base_de_datos[[Número de grupo ]],""),""),""),""),"")</f>
        <v/>
      </c>
      <c r="K13" s="25" t="str" cm="1">
        <f t="array" ref="K13">_xlfn.TEXTJOIN(CHAR(10),TRUE,IF(Aula=base_de_datos[Aula],IF("x"=base_de_datos[Jueves],IF(base_de_datos[Hora inicio]&lt;=$B13,IF(base_de_datos[Hora fin]&gt;=$C13,base_de_datos[No clase],""),""),""),""),"")</f>
        <v/>
      </c>
      <c r="L13" s="25" t="str" cm="1">
        <f t="array" ref="L13">_xlfn.TEXTJOIN(CHAR(10),TRUE,IF(Aula=base_de_datos[Aula],IF("x"=base_de_datos[Viernes],IF(base_de_datos[Hora inicio]&lt;=$B13,IF(base_de_datos[Hora fin]&gt;=$C13,base_de_datos[Materia]&amp;" "&amp;base_de_datos[[Número de grupo ]],""),""),""),""),"")</f>
        <v/>
      </c>
      <c r="M13" s="24" t="str" cm="1">
        <f t="array" ref="M13">_xlfn.TEXTJOIN(CHAR(10),TRUE,IF(Aula=base_de_datos[Aula],IF("x"=base_de_datos[Viernes],IF(base_de_datos[Hora inicio]&lt;=$B13,IF(base_de_datos[Hora fin]&gt;=$C13,base_de_datos[No clase],""),""),""),""),"")</f>
        <v/>
      </c>
      <c r="N13" s="24" t="str" cm="1">
        <f t="array" ref="N13">_xlfn.TEXTJOIN(CHAR(10),TRUE,IF(Aula=base_de_datos[Aula],IF("x"=base_de_datos[Sábado],IF(base_de_datos[Hora inicio]&lt;=$B13,IF(base_de_datos[Hora fin]&gt;=$C13,base_de_datos[Materia]&amp;" "&amp;base_de_datos[[Número de grupo ]],""),""),""),""),"")</f>
        <v xml:space="preserve"> </v>
      </c>
      <c r="O13" s="24" t="str" cm="1">
        <f t="array" ref="O13">_xlfn.TEXTJOIN(CHAR(10),TRUE,IF(Aula=base_de_datos[Aula],IF("x"=base_de_datos[Sábado],IF(base_de_datos[Hora inicio]&lt;=$B13,IF(base_de_datos[Hora fin]&gt;=$C13,base_de_datos[No clase],""),""),""),""),"")</f>
        <v>Idiomas</v>
      </c>
      <c r="V13" s="23"/>
      <c r="W13" s="23"/>
      <c r="X13" s="23"/>
    </row>
    <row r="14" spans="1:26" ht="15">
      <c r="B14" s="70">
        <v>0.47916666666666702</v>
      </c>
      <c r="C14" s="70">
        <v>0.499999999999997</v>
      </c>
      <c r="D14" s="174" t="str" cm="1">
        <f t="array" ref="D14">_xlfn.TEXTJOIN(CHAR(10),TRUE,IF(Aula=base_de_datos[Aula],IF("x"=base_de_datos[Lunes],IF(base_de_datos[Hora inicio]&lt;=$B14,IF(base_de_datos[Hora fin]&gt;=$C14,base_de_datos[Materia]&amp;" "&amp;base_de_datos[[Número de grupo ]],""),""),""),""),"")</f>
        <v/>
      </c>
      <c r="E14" s="25" t="str" cm="1">
        <f t="array" ref="E14">_xlfn.TEXTJOIN(CHAR(10),TRUE,IF(Aula=base_de_datos[Aula],IF("x"=base_de_datos[Lunes],IF(base_de_datos[Hora inicio]&lt;=$B14,IF(base_de_datos[Hora fin]&gt;=$C14,base_de_datos[No clase],""),""),""),""),"")</f>
        <v/>
      </c>
      <c r="F14" s="25" t="str" cm="1">
        <f t="array" ref="F14">_xlfn.TEXTJOIN(CHAR(10),TRUE,IF(Aula=base_de_datos[Aula],IF("x"=base_de_datos[Martes],IF(base_de_datos[Hora inicio]&lt;=$B14,IF(base_de_datos[Hora fin]&gt;=$C14,base_de_datos[Materia]&amp;" "&amp;base_de_datos[[Número de grupo ]],""),""),""),""),"")</f>
        <v/>
      </c>
      <c r="G14" s="25" t="str" cm="1">
        <f t="array" ref="G14">_xlfn.TEXTJOIN(CHAR(10),TRUE,IF(Aula=base_de_datos[Aula],IF("x"=base_de_datos[Martes],IF(base_de_datos[Hora inicio]&lt;=$B14,IF(base_de_datos[Hora fin]&gt;=$C14,base_de_datos[No clase],""),""),""),""),"")</f>
        <v/>
      </c>
      <c r="H14" s="25" t="str" cm="1">
        <f t="array" ref="H14">_xlfn.TEXTJOIN(CHAR(10),TRUE,IF(Aula=base_de_datos[Aula],IF("x"=base_de_datos[Miércoles],IF(base_de_datos[Hora inicio]&lt;=$B14,IF(base_de_datos[Hora fin]&gt;=$C14,base_de_datos[Materia]&amp;" "&amp;base_de_datos[[Número de grupo ]],""),""),""),""),"")</f>
        <v/>
      </c>
      <c r="I14" s="25" t="str" cm="1">
        <f t="array" ref="I14">_xlfn.TEXTJOIN(CHAR(10),TRUE,IF(Aula=base_de_datos[Aula],IF("x"=base_de_datos[Miércoles],IF(base_de_datos[Hora inicio]&lt;=$B14,IF(base_de_datos[Hora fin]&gt;=$C14,base_de_datos[No clase],""),""),""),""),"")</f>
        <v/>
      </c>
      <c r="J14" s="25" t="str" cm="1">
        <f t="array" ref="J14">_xlfn.TEXTJOIN(CHAR(10),TRUE,IF(Aula=base_de_datos[Aula],IF("x"=base_de_datos[Jueves],IF(base_de_datos[Hora inicio]&lt;=$B14,IF(base_de_datos[Hora fin]&gt;=$C14,base_de_datos[Materia]&amp;" "&amp;base_de_datos[[Número de grupo ]],""),""),""),""),"")</f>
        <v/>
      </c>
      <c r="K14" s="25" t="str" cm="1">
        <f t="array" ref="K14">_xlfn.TEXTJOIN(CHAR(10),TRUE,IF(Aula=base_de_datos[Aula],IF("x"=base_de_datos[Jueves],IF(base_de_datos[Hora inicio]&lt;=$B14,IF(base_de_datos[Hora fin]&gt;=$C14,base_de_datos[No clase],""),""),""),""),"")</f>
        <v/>
      </c>
      <c r="L14" s="25" t="str" cm="1">
        <f t="array" ref="L14">_xlfn.TEXTJOIN(CHAR(10),TRUE,IF(Aula=base_de_datos[Aula],IF("x"=base_de_datos[Viernes],IF(base_de_datos[Hora inicio]&lt;=$B14,IF(base_de_datos[Hora fin]&gt;=$C14,base_de_datos[Materia]&amp;" "&amp;base_de_datos[[Número de grupo ]],""),""),""),""),"")</f>
        <v/>
      </c>
      <c r="M14" s="24" t="str" cm="1">
        <f t="array" ref="M14">_xlfn.TEXTJOIN(CHAR(10),TRUE,IF(Aula=base_de_datos[Aula],IF("x"=base_de_datos[Viernes],IF(base_de_datos[Hora inicio]&lt;=$B14,IF(base_de_datos[Hora fin]&gt;=$C14,base_de_datos[No clase],""),""),""),""),"")</f>
        <v/>
      </c>
      <c r="N14" s="24" t="str" cm="1">
        <f t="array" ref="N14">_xlfn.TEXTJOIN(CHAR(10),TRUE,IF(Aula=base_de_datos[Aula],IF("x"=base_de_datos[Sábado],IF(base_de_datos[Hora inicio]&lt;=$B14,IF(base_de_datos[Hora fin]&gt;=$C14,base_de_datos[Materia]&amp;" "&amp;base_de_datos[[Número de grupo ]],""),""),""),""),"")</f>
        <v xml:space="preserve"> </v>
      </c>
      <c r="O14" s="24" t="str" cm="1">
        <f t="array" ref="O14">_xlfn.TEXTJOIN(CHAR(10),TRUE,IF(Aula=base_de_datos[Aula],IF("x"=base_de_datos[Sábado],IF(base_de_datos[Hora inicio]&lt;=$B14,IF(base_de_datos[Hora fin]&gt;=$C14,base_de_datos[No clase],""),""),""),""),"")</f>
        <v>Idiomas</v>
      </c>
      <c r="V14" s="23"/>
      <c r="W14" s="23"/>
      <c r="X14" s="23"/>
    </row>
    <row r="15" spans="1:26" ht="15">
      <c r="B15" s="70">
        <v>0.5</v>
      </c>
      <c r="C15" s="70">
        <v>0.52083333333333004</v>
      </c>
      <c r="D15" s="24" t="str" cm="1">
        <f t="array" ref="D15">_xlfn.TEXTJOIN(CHAR(10),TRUE,IF(Aula=base_de_datos[Aula],IF("x"=base_de_datos[Lunes],IF(base_de_datos[Hora inicio]&lt;=$B15,IF(base_de_datos[Hora fin]&gt;=$C15,base_de_datos[Materia]&amp;" "&amp;base_de_datos[[Número de grupo ]],""),""),""),""),"")</f>
        <v>Dispositivos inteligentes 1</v>
      </c>
      <c r="E15" s="24" t="str" cm="1">
        <f t="array" ref="E15">_xlfn.TEXTJOIN(CHAR(10),TRUE,IF(Aula=base_de_datos[Aula],IF("x"=base_de_datos[Lunes],IF(base_de_datos[Hora inicio]&lt;=$B15,IF(base_de_datos[Hora fin]&gt;=$C15,base_de_datos[No clase],""),""),""),""),"")</f>
        <v>1467</v>
      </c>
      <c r="F15" s="24" t="str" cm="1">
        <f t="array" ref="F15">_xlfn.TEXTJOIN(CHAR(10),TRUE,IF(Aula=base_de_datos[Aula],IF("x"=base_de_datos[Martes],IF(base_de_datos[Hora inicio]&lt;=$B15,IF(base_de_datos[Hora fin]&gt;=$C15,base_de_datos[Materia]&amp;" "&amp;base_de_datos[[Número de grupo ]],""),""),""),""),"")</f>
        <v>Dispositivos inteligentes 1</v>
      </c>
      <c r="G15" s="24" t="str" cm="1">
        <f t="array" ref="G15">_xlfn.TEXTJOIN(CHAR(10),TRUE,IF(Aula=base_de_datos[Aula],IF("x"=base_de_datos[Martes],IF(base_de_datos[Hora inicio]&lt;=$B15,IF(base_de_datos[Hora fin]&gt;=$C15,base_de_datos[No clase],""),""),""),""),"")</f>
        <v>1467</v>
      </c>
      <c r="H15" s="24" t="str" cm="1">
        <f t="array" ref="H15">_xlfn.TEXTJOIN(CHAR(10),TRUE,IF(Aula=base_de_datos[Aula],IF("x"=base_de_datos[Miércoles],IF(base_de_datos[Hora inicio]&lt;=$B15,IF(base_de_datos[Hora fin]&gt;=$C15,base_de_datos[Materia]&amp;" "&amp;base_de_datos[[Número de grupo ]],""),""),""),""),"")</f>
        <v>Tecnología del concreto 1</v>
      </c>
      <c r="I15" s="24" t="str" cm="1">
        <f t="array" ref="I15">_xlfn.TEXTJOIN(CHAR(10),TRUE,IF(Aula=base_de_datos[Aula],IF("x"=base_de_datos[Miércoles],IF(base_de_datos[Hora inicio]&lt;=$B15,IF(base_de_datos[Hora fin]&gt;=$C15,base_de_datos[No clase],""),""),""),""),"")</f>
        <v>1742/43</v>
      </c>
      <c r="J15" s="24" t="str" cm="1">
        <f t="array" ref="J15">_xlfn.TEXTJOIN(CHAR(10),TRUE,IF(Aula=base_de_datos[Aula],IF("x"=base_de_datos[Jueves],IF(base_de_datos[Hora inicio]&lt;=$B15,IF(base_de_datos[Hora fin]&gt;=$C15,base_de_datos[Materia]&amp;" "&amp;base_de_datos[[Número de grupo ]],""),""),""),""),"")</f>
        <v>Impacto ambiental 1</v>
      </c>
      <c r="K15" s="24" t="str" cm="1">
        <f t="array" ref="K15">_xlfn.TEXTJOIN(CHAR(10),TRUE,IF(Aula=base_de_datos[Aula],IF("x"=base_de_datos[Jueves],IF(base_de_datos[Hora inicio]&lt;=$B15,IF(base_de_datos[Hora fin]&gt;=$C15,base_de_datos[No clase],""),""),""),""),"")</f>
        <v>5250</v>
      </c>
      <c r="L15" s="24" t="str" cm="1">
        <f t="array" ref="L15">_xlfn.TEXTJOIN(CHAR(10),TRUE,IF(Aula=base_de_datos[Aula],IF("x"=base_de_datos[Viernes],IF(base_de_datos[Hora inicio]&lt;=$B15,IF(base_de_datos[Hora fin]&gt;=$C15,base_de_datos[Materia]&amp;" "&amp;base_de_datos[[Número de grupo ]],""),""),""),""),"")</f>
        <v>Tecnología del concreto 1</v>
      </c>
      <c r="M15" s="24" t="str" cm="1">
        <f t="array" ref="M15">_xlfn.TEXTJOIN(CHAR(10),TRUE,IF(Aula=base_de_datos[Aula],IF("x"=base_de_datos[Viernes],IF(base_de_datos[Hora inicio]&lt;=$B15,IF(base_de_datos[Hora fin]&gt;=$C15,base_de_datos[No clase],""),""),""),""),"")</f>
        <v>1742/43</v>
      </c>
      <c r="N15" s="24" t="str" cm="1">
        <f t="array" ref="N15">_xlfn.TEXTJOIN(CHAR(10),TRUE,IF(Aula=base_de_datos[Aula],IF("x"=base_de_datos[Sábado],IF(base_de_datos[Hora inicio]&lt;=$B15,IF(base_de_datos[Hora fin]&gt;=$C15,base_de_datos[Materia]&amp;" "&amp;base_de_datos[[Número de grupo ]],""),""),""),""),"")</f>
        <v xml:space="preserve"> </v>
      </c>
      <c r="O15" s="24" t="str" cm="1">
        <f t="array" ref="O15">_xlfn.TEXTJOIN(CHAR(10),TRUE,IF(Aula=base_de_datos[Aula],IF("x"=base_de_datos[Sábado],IF(base_de_datos[Hora inicio]&lt;=$B15,IF(base_de_datos[Hora fin]&gt;=$C15,base_de_datos[No clase],""),""),""),""),"")</f>
        <v>Idiomas</v>
      </c>
      <c r="V15" s="23"/>
      <c r="W15" s="23"/>
      <c r="X15" s="23"/>
    </row>
    <row r="16" spans="1:26" ht="15">
      <c r="B16" s="70">
        <v>0.52083333333333304</v>
      </c>
      <c r="C16" s="70">
        <v>0.54166666666666297</v>
      </c>
      <c r="D16" s="24" t="str" cm="1">
        <f t="array" ref="D16">_xlfn.TEXTJOIN(CHAR(10),TRUE,IF(Aula=base_de_datos[Aula],IF("x"=base_de_datos[Lunes],IF(base_de_datos[Hora inicio]&lt;=$B16,IF(base_de_datos[Hora fin]&gt;=$C16,base_de_datos[Materia]&amp;" "&amp;base_de_datos[[Número de grupo ]],""),""),""),""),"")</f>
        <v>Dispositivos inteligentes 1</v>
      </c>
      <c r="E16" s="24" t="str" cm="1">
        <f t="array" ref="E16">_xlfn.TEXTJOIN(CHAR(10),TRUE,IF(Aula=base_de_datos[Aula],IF("x"=base_de_datos[Lunes],IF(base_de_datos[Hora inicio]&lt;=$B16,IF(base_de_datos[Hora fin]&gt;=$C16,base_de_datos[No clase],""),""),""),""),"")</f>
        <v>1467</v>
      </c>
      <c r="F16" s="24" t="str" cm="1">
        <f t="array" ref="F16">_xlfn.TEXTJOIN(CHAR(10),TRUE,IF(Aula=base_de_datos[Aula],IF("x"=base_de_datos[Martes],IF(base_de_datos[Hora inicio]&lt;=$B16,IF(base_de_datos[Hora fin]&gt;=$C16,base_de_datos[Materia]&amp;" "&amp;base_de_datos[[Número de grupo ]],""),""),""),""),"")</f>
        <v>Dispositivos inteligentes 1</v>
      </c>
      <c r="G16" s="24" t="str" cm="1">
        <f t="array" ref="G16">_xlfn.TEXTJOIN(CHAR(10),TRUE,IF(Aula=base_de_datos[Aula],IF("x"=base_de_datos[Martes],IF(base_de_datos[Hora inicio]&lt;=$B16,IF(base_de_datos[Hora fin]&gt;=$C16,base_de_datos[No clase],""),""),""),""),"")</f>
        <v>1467</v>
      </c>
      <c r="H16" s="24" t="str" cm="1">
        <f t="array" ref="H16">_xlfn.TEXTJOIN(CHAR(10),TRUE,IF(Aula=base_de_datos[Aula],IF("x"=base_de_datos[Miércoles],IF(base_de_datos[Hora inicio]&lt;=$B16,IF(base_de_datos[Hora fin]&gt;=$C16,base_de_datos[Materia]&amp;" "&amp;base_de_datos[[Número de grupo ]],""),""),""),""),"")</f>
        <v>Tecnología del concreto 1</v>
      </c>
      <c r="I16" s="24" t="str" cm="1">
        <f t="array" ref="I16">_xlfn.TEXTJOIN(CHAR(10),TRUE,IF(Aula=base_de_datos[Aula],IF("x"=base_de_datos[Miércoles],IF(base_de_datos[Hora inicio]&lt;=$B16,IF(base_de_datos[Hora fin]&gt;=$C16,base_de_datos[No clase],""),""),""),""),"")</f>
        <v>1742/43</v>
      </c>
      <c r="J16" s="24" t="str" cm="1">
        <f t="array" ref="J16">_xlfn.TEXTJOIN(CHAR(10),TRUE,IF(Aula=base_de_datos[Aula],IF("x"=base_de_datos[Jueves],IF(base_de_datos[Hora inicio]&lt;=$B16,IF(base_de_datos[Hora fin]&gt;=$C16,base_de_datos[Materia]&amp;" "&amp;base_de_datos[[Número de grupo ]],""),""),""),""),"")</f>
        <v>Impacto ambiental 1</v>
      </c>
      <c r="K16" s="24" t="str" cm="1">
        <f t="array" ref="K16">_xlfn.TEXTJOIN(CHAR(10),TRUE,IF(Aula=base_de_datos[Aula],IF("x"=base_de_datos[Jueves],IF(base_de_datos[Hora inicio]&lt;=$B16,IF(base_de_datos[Hora fin]&gt;=$C16,base_de_datos[No clase],""),""),""),""),"")</f>
        <v>5250</v>
      </c>
      <c r="L16" s="24" t="str" cm="1">
        <f t="array" ref="L16">_xlfn.TEXTJOIN(CHAR(10),TRUE,IF(Aula=base_de_datos[Aula],IF("x"=base_de_datos[Viernes],IF(base_de_datos[Hora inicio]&lt;=$B16,IF(base_de_datos[Hora fin]&gt;=$C16,base_de_datos[Materia]&amp;" "&amp;base_de_datos[[Número de grupo ]],""),""),""),""),"")</f>
        <v>Tecnología del concreto 1</v>
      </c>
      <c r="M16" s="24" t="str" cm="1">
        <f t="array" ref="M16">_xlfn.TEXTJOIN(CHAR(10),TRUE,IF(Aula=base_de_datos[Aula],IF("x"=base_de_datos[Viernes],IF(base_de_datos[Hora inicio]&lt;=$B16,IF(base_de_datos[Hora fin]&gt;=$C16,base_de_datos[No clase],""),""),""),""),"")</f>
        <v>1742/43</v>
      </c>
      <c r="N16" s="24" t="str" cm="1">
        <f t="array" ref="N16">_xlfn.TEXTJOIN(CHAR(10),TRUE,IF(Aula=base_de_datos[Aula],IF("x"=base_de_datos[Sábado],IF(base_de_datos[Hora inicio]&lt;=$B16,IF(base_de_datos[Hora fin]&gt;=$C16,base_de_datos[Materia]&amp;" "&amp;base_de_datos[[Número de grupo ]],""),""),""),""),"")</f>
        <v xml:space="preserve"> </v>
      </c>
      <c r="O16" s="24" t="str" cm="1">
        <f t="array" ref="O16">_xlfn.TEXTJOIN(CHAR(10),TRUE,IF(Aula=base_de_datos[Aula],IF("x"=base_de_datos[Sábado],IF(base_de_datos[Hora inicio]&lt;=$B16,IF(base_de_datos[Hora fin]&gt;=$C16,base_de_datos[No clase],""),""),""),""),"")</f>
        <v>Idiomas</v>
      </c>
      <c r="V16" s="23"/>
      <c r="W16" s="23"/>
      <c r="X16" s="23"/>
    </row>
    <row r="17" spans="2:24" ht="15">
      <c r="B17" s="70">
        <v>0.54166666666666696</v>
      </c>
      <c r="C17" s="70">
        <v>0.562499999999996</v>
      </c>
      <c r="D17" s="24" t="str" cm="1">
        <f t="array" ref="D17">_xlfn.TEXTJOIN(CHAR(10),TRUE,IF(Aula=base_de_datos[Aula],IF("x"=base_de_datos[Lunes],IF(base_de_datos[Hora inicio]&lt;=$B17,IF(base_de_datos[Hora fin]&gt;=$C17,base_de_datos[Materia]&amp;" "&amp;base_de_datos[[Número de grupo ]],""),""),""),""),"")</f>
        <v>Dispositivos inteligentes 1</v>
      </c>
      <c r="E17" s="24" t="str" cm="1">
        <f t="array" ref="E17">_xlfn.TEXTJOIN(CHAR(10),TRUE,IF(Aula=base_de_datos[Aula],IF("x"=base_de_datos[Lunes],IF(base_de_datos[Hora inicio]&lt;=$B17,IF(base_de_datos[Hora fin]&gt;=$C17,base_de_datos[No clase],""),""),""),""),"")</f>
        <v>1467</v>
      </c>
      <c r="F17" s="24" t="str" cm="1">
        <f t="array" ref="F17">_xlfn.TEXTJOIN(CHAR(10),TRUE,IF(Aula=base_de_datos[Aula],IF("x"=base_de_datos[Martes],IF(base_de_datos[Hora inicio]&lt;=$B17,IF(base_de_datos[Hora fin]&gt;=$C17,base_de_datos[Materia]&amp;" "&amp;base_de_datos[[Número de grupo ]],""),""),""),""),"")</f>
        <v>Dispositivos inteligentes 1</v>
      </c>
      <c r="G17" s="24" t="str" cm="1">
        <f t="array" ref="G17">_xlfn.TEXTJOIN(CHAR(10),TRUE,IF(Aula=base_de_datos[Aula],IF("x"=base_de_datos[Martes],IF(base_de_datos[Hora inicio]&lt;=$B17,IF(base_de_datos[Hora fin]&gt;=$C17,base_de_datos[No clase],""),""),""),""),"")</f>
        <v>1467</v>
      </c>
      <c r="H17" s="24" t="str" cm="1">
        <f t="array" ref="H17">_xlfn.TEXTJOIN(CHAR(10),TRUE,IF(Aula=base_de_datos[Aula],IF("x"=base_de_datos[Miércoles],IF(base_de_datos[Hora inicio]&lt;=$B17,IF(base_de_datos[Hora fin]&gt;=$C17,base_de_datos[Materia]&amp;" "&amp;base_de_datos[[Número de grupo ]],""),""),""),""),"")</f>
        <v>Tecnología del concreto 1</v>
      </c>
      <c r="I17" s="24" t="str" cm="1">
        <f t="array" ref="I17">_xlfn.TEXTJOIN(CHAR(10),TRUE,IF(Aula=base_de_datos[Aula],IF("x"=base_de_datos[Miércoles],IF(base_de_datos[Hora inicio]&lt;=$B17,IF(base_de_datos[Hora fin]&gt;=$C17,base_de_datos[No clase],""),""),""),""),"")</f>
        <v>1742/43</v>
      </c>
      <c r="J17" s="24" t="str" cm="1">
        <f t="array" ref="J17">_xlfn.TEXTJOIN(CHAR(10),TRUE,IF(Aula=base_de_datos[Aula],IF("x"=base_de_datos[Jueves],IF(base_de_datos[Hora inicio]&lt;=$B17,IF(base_de_datos[Hora fin]&gt;=$C17,base_de_datos[Materia]&amp;" "&amp;base_de_datos[[Número de grupo ]],""),""),""),""),"")</f>
        <v>Impacto ambiental 1</v>
      </c>
      <c r="K17" s="24" t="str" cm="1">
        <f t="array" ref="K17">_xlfn.TEXTJOIN(CHAR(10),TRUE,IF(Aula=base_de_datos[Aula],IF("x"=base_de_datos[Jueves],IF(base_de_datos[Hora inicio]&lt;=$B17,IF(base_de_datos[Hora fin]&gt;=$C17,base_de_datos[No clase],""),""),""),""),"")</f>
        <v>5250</v>
      </c>
      <c r="L17" s="24" t="str" cm="1">
        <f t="array" ref="L17">_xlfn.TEXTJOIN(CHAR(10),TRUE,IF(Aula=base_de_datos[Aula],IF("x"=base_de_datos[Viernes],IF(base_de_datos[Hora inicio]&lt;=$B17,IF(base_de_datos[Hora fin]&gt;=$C17,base_de_datos[Materia]&amp;" "&amp;base_de_datos[[Número de grupo ]],""),""),""),""),"")</f>
        <v>Tecnología del concreto 1</v>
      </c>
      <c r="M17" s="24" t="str" cm="1">
        <f t="array" ref="M17">_xlfn.TEXTJOIN(CHAR(10),TRUE,IF(Aula=base_de_datos[Aula],IF("x"=base_de_datos[Viernes],IF(base_de_datos[Hora inicio]&lt;=$B17,IF(base_de_datos[Hora fin]&gt;=$C17,base_de_datos[No clase],""),""),""),""),"")</f>
        <v>1742/43</v>
      </c>
      <c r="N17" s="24" t="str" cm="1">
        <f t="array" ref="N17">_xlfn.TEXTJOIN(CHAR(10),TRUE,IF(Aula=base_de_datos[Aula],IF("x"=base_de_datos[Sábado],IF(base_de_datos[Hora inicio]&lt;=$B17,IF(base_de_datos[Hora fin]&gt;=$C17,base_de_datos[Materia]&amp;" "&amp;base_de_datos[[Número de grupo ]],""),""),""),""),"")</f>
        <v xml:space="preserve"> </v>
      </c>
      <c r="O17" s="24" t="str" cm="1">
        <f t="array" ref="O17">_xlfn.TEXTJOIN(CHAR(10),TRUE,IF(Aula=base_de_datos[Aula],IF("x"=base_de_datos[Sábado],IF(base_de_datos[Hora inicio]&lt;=$B17,IF(base_de_datos[Hora fin]&gt;=$C17,base_de_datos[No clase],""),""),""),""),"")</f>
        <v>Idiomas</v>
      </c>
      <c r="V17" s="23"/>
      <c r="W17" s="23"/>
      <c r="X17" s="23"/>
    </row>
    <row r="18" spans="2:24" ht="15">
      <c r="B18" s="70">
        <v>0.5625</v>
      </c>
      <c r="C18" s="70">
        <v>0.58333333333332904</v>
      </c>
      <c r="D18" s="24" t="str" cm="1">
        <f t="array" ref="D18">_xlfn.TEXTJOIN(CHAR(10),TRUE,IF(Aula=base_de_datos[Aula],IF("x"=base_de_datos[Lunes],IF(base_de_datos[Hora inicio]&lt;=$B18,IF(base_de_datos[Hora fin]&gt;=$C18,base_de_datos[Materia]&amp;" "&amp;base_de_datos[[Número de grupo ]],""),""),""),""),"")</f>
        <v>Dispositivos inteligentes 1</v>
      </c>
      <c r="E18" s="24" t="str" cm="1">
        <f t="array" ref="E18">_xlfn.TEXTJOIN(CHAR(10),TRUE,IF(Aula=base_de_datos[Aula],IF("x"=base_de_datos[Lunes],IF(base_de_datos[Hora inicio]&lt;=$B18,IF(base_de_datos[Hora fin]&gt;=$C18,base_de_datos[No clase],""),""),""),""),"")</f>
        <v>1467</v>
      </c>
      <c r="F18" s="24" t="str" cm="1">
        <f t="array" ref="F18">_xlfn.TEXTJOIN(CHAR(10),TRUE,IF(Aula=base_de_datos[Aula],IF("x"=base_de_datos[Martes],IF(base_de_datos[Hora inicio]&lt;=$B18,IF(base_de_datos[Hora fin]&gt;=$C18,base_de_datos[Materia]&amp;" "&amp;base_de_datos[[Número de grupo ]],""),""),""),""),"")</f>
        <v>Dispositivos inteligentes 1</v>
      </c>
      <c r="G18" s="24" t="str" cm="1">
        <f t="array" ref="G18">_xlfn.TEXTJOIN(CHAR(10),TRUE,IF(Aula=base_de_datos[Aula],IF("x"=base_de_datos[Martes],IF(base_de_datos[Hora inicio]&lt;=$B18,IF(base_de_datos[Hora fin]&gt;=$C18,base_de_datos[No clase],""),""),""),""),"")</f>
        <v>1467</v>
      </c>
      <c r="H18" s="24" t="str" cm="1">
        <f t="array" ref="H18">_xlfn.TEXTJOIN(CHAR(10),TRUE,IF(Aula=base_de_datos[Aula],IF("x"=base_de_datos[Miércoles],IF(base_de_datos[Hora inicio]&lt;=$B18,IF(base_de_datos[Hora fin]&gt;=$C18,base_de_datos[Materia]&amp;" "&amp;base_de_datos[[Número de grupo ]],""),""),""),""),"")</f>
        <v>Tecnología del concreto 1</v>
      </c>
      <c r="I18" s="24" t="str" cm="1">
        <f t="array" ref="I18">_xlfn.TEXTJOIN(CHAR(10),TRUE,IF(Aula=base_de_datos[Aula],IF("x"=base_de_datos[Miércoles],IF(base_de_datos[Hora inicio]&lt;=$B18,IF(base_de_datos[Hora fin]&gt;=$C18,base_de_datos[No clase],""),""),""),""),"")</f>
        <v>1742/43</v>
      </c>
      <c r="J18" s="24" t="str" cm="1">
        <f t="array" ref="J18">_xlfn.TEXTJOIN(CHAR(10),TRUE,IF(Aula=base_de_datos[Aula],IF("x"=base_de_datos[Jueves],IF(base_de_datos[Hora inicio]&lt;=$B18,IF(base_de_datos[Hora fin]&gt;=$C18,base_de_datos[Materia]&amp;" "&amp;base_de_datos[[Número de grupo ]],""),""),""),""),"")</f>
        <v>Impacto ambiental 1</v>
      </c>
      <c r="K18" s="24" t="str" cm="1">
        <f t="array" ref="K18">_xlfn.TEXTJOIN(CHAR(10),TRUE,IF(Aula=base_de_datos[Aula],IF("x"=base_de_datos[Jueves],IF(base_de_datos[Hora inicio]&lt;=$B18,IF(base_de_datos[Hora fin]&gt;=$C18,base_de_datos[No clase],""),""),""),""),"")</f>
        <v>5250</v>
      </c>
      <c r="L18" s="24" t="str" cm="1">
        <f t="array" ref="L18">_xlfn.TEXTJOIN(CHAR(10),TRUE,IF(Aula=base_de_datos[Aula],IF("x"=base_de_datos[Viernes],IF(base_de_datos[Hora inicio]&lt;=$B18,IF(base_de_datos[Hora fin]&gt;=$C18,base_de_datos[Materia]&amp;" "&amp;base_de_datos[[Número de grupo ]],""),""),""),""),"")</f>
        <v>Tecnología del concreto 1</v>
      </c>
      <c r="M18" s="24" t="str" cm="1">
        <f t="array" ref="M18">_xlfn.TEXTJOIN(CHAR(10),TRUE,IF(Aula=base_de_datos[Aula],IF("x"=base_de_datos[Viernes],IF(base_de_datos[Hora inicio]&lt;=$B18,IF(base_de_datos[Hora fin]&gt;=$C18,base_de_datos[No clase],""),""),""),""),"")</f>
        <v>1742/43</v>
      </c>
      <c r="N18" s="24" t="str" cm="1">
        <f t="array" ref="N18">_xlfn.TEXTJOIN(CHAR(10),TRUE,IF(Aula=base_de_datos[Aula],IF("x"=base_de_datos[Sábado],IF(base_de_datos[Hora inicio]&lt;=$B18,IF(base_de_datos[Hora fin]&gt;=$C18,base_de_datos[Materia]&amp;" "&amp;base_de_datos[[Número de grupo ]],""),""),""),""),"")</f>
        <v xml:space="preserve"> </v>
      </c>
      <c r="O18" s="24" t="str" cm="1">
        <f t="array" ref="O18">_xlfn.TEXTJOIN(CHAR(10),TRUE,IF(Aula=base_de_datos[Aula],IF("x"=base_de_datos[Sábado],IF(base_de_datos[Hora inicio]&lt;=$B18,IF(base_de_datos[Hora fin]&gt;=$C18,base_de_datos[No clase],""),""),""),""),"")</f>
        <v>Idiomas</v>
      </c>
    </row>
    <row r="19" spans="2:24" ht="15">
      <c r="B19" s="70">
        <v>0.58333333333333304</v>
      </c>
      <c r="C19" s="70">
        <v>0.60416666666666197</v>
      </c>
      <c r="D19" s="24" t="str" cm="1">
        <f t="array" ref="D19">_xlfn.TEXTJOIN(CHAR(10),TRUE,IF(Aula=base_de_datos[Aula],IF("x"=base_de_datos[Lunes],IF(base_de_datos[Hora inicio]&lt;=$B19,IF(base_de_datos[Hora fin]&gt;=$C19,base_de_datos[Materia]&amp;" "&amp;base_de_datos[[Número de grupo ]],""),""),""),""),"")</f>
        <v/>
      </c>
      <c r="E19" s="24" t="str" cm="1">
        <f t="array" ref="E19">_xlfn.TEXTJOIN(CHAR(10),TRUE,IF(Aula=base_de_datos[Aula],IF("x"=base_de_datos[Lunes],IF(base_de_datos[Hora inicio]&lt;=$B19,IF(base_de_datos[Hora fin]&gt;=$C19,base_de_datos[No clase],""),""),""),""),"")</f>
        <v/>
      </c>
      <c r="F19" s="24" t="str" cm="1">
        <f t="array" ref="F19">_xlfn.TEXTJOIN(CHAR(10),TRUE,IF(Aula=base_de_datos[Aula],IF("x"=base_de_datos[Martes],IF(base_de_datos[Hora inicio]&lt;=$B19,IF(base_de_datos[Hora fin]&gt;=$C19,base_de_datos[Materia]&amp;" "&amp;base_de_datos[[Número de grupo ]],""),""),""),""),"")</f>
        <v/>
      </c>
      <c r="G19" s="24" t="str" cm="1">
        <f t="array" ref="G19">_xlfn.TEXTJOIN(CHAR(10),TRUE,IF(Aula=base_de_datos[Aula],IF("x"=base_de_datos[Martes],IF(base_de_datos[Hora inicio]&lt;=$B19,IF(base_de_datos[Hora fin]&gt;=$C19,base_de_datos[No clase],""),""),""),""),"")</f>
        <v/>
      </c>
      <c r="H19" s="24" t="str" cm="1">
        <f t="array" ref="H19">_xlfn.TEXTJOIN(CHAR(10),TRUE,IF(Aula=base_de_datos[Aula],IF("x"=base_de_datos[Miércoles],IF(base_de_datos[Hora inicio]&lt;=$B19,IF(base_de_datos[Hora fin]&gt;=$C19,base_de_datos[Materia]&amp;" "&amp;base_de_datos[[Número de grupo ]],""),""),""),""),"")</f>
        <v/>
      </c>
      <c r="I19" s="24" t="str" cm="1">
        <f t="array" ref="I19">_xlfn.TEXTJOIN(CHAR(10),TRUE,IF(Aula=base_de_datos[Aula],IF("x"=base_de_datos[Miércoles],IF(base_de_datos[Hora inicio]&lt;=$B19,IF(base_de_datos[Hora fin]&gt;=$C19,base_de_datos[No clase],""),""),""),""),"")</f>
        <v/>
      </c>
      <c r="J19" s="24" t="str" cm="1">
        <f t="array" ref="J19">_xlfn.TEXTJOIN(CHAR(10),TRUE,IF(Aula=base_de_datos[Aula],IF("x"=base_de_datos[Jueves],IF(base_de_datos[Hora inicio]&lt;=$B19,IF(base_de_datos[Hora fin]&gt;=$C19,base_de_datos[Materia]&amp;" "&amp;base_de_datos[[Número de grupo ]],""),""),""),""),"")</f>
        <v/>
      </c>
      <c r="K19" s="24" t="str" cm="1">
        <f t="array" ref="K19">_xlfn.TEXTJOIN(CHAR(10),TRUE,IF(Aula=base_de_datos[Aula],IF("x"=base_de_datos[Jueves],IF(base_de_datos[Hora inicio]&lt;=$B19,IF(base_de_datos[Hora fin]&gt;=$C19,base_de_datos[No clase],""),""),""),""),"")</f>
        <v/>
      </c>
      <c r="L19" s="24" t="str" cm="1">
        <f t="array" ref="L19">_xlfn.TEXTJOIN(CHAR(10),TRUE,IF(Aula=base_de_datos[Aula],IF("x"=base_de_datos[Viernes],IF(base_de_datos[Hora inicio]&lt;=$B19,IF(base_de_datos[Hora fin]&gt;=$C19,base_de_datos[Materia]&amp;" "&amp;base_de_datos[[Número de grupo ]],""),""),""),""),"")</f>
        <v>Tecnología del concreto 1</v>
      </c>
      <c r="M19" s="24" t="str" cm="1">
        <f t="array" ref="M19">_xlfn.TEXTJOIN(CHAR(10),TRUE,IF(Aula=base_de_datos[Aula],IF("x"=base_de_datos[Viernes],IF(base_de_datos[Hora inicio]&lt;=$B19,IF(base_de_datos[Hora fin]&gt;=$C19,base_de_datos[No clase],""),""),""),""),"")</f>
        <v>1742/43</v>
      </c>
      <c r="N19" s="24" t="str" cm="1">
        <f t="array" ref="N19">_xlfn.TEXTJOIN(CHAR(10),TRUE,IF(Aula=base_de_datos[Aula],IF("x"=base_de_datos[Sábado],IF(base_de_datos[Hora inicio]&lt;=$B19,IF(base_de_datos[Hora fin]&gt;=$C19,base_de_datos[Materia]&amp;" "&amp;base_de_datos[[Número de grupo ]],""),""),""),""),"")</f>
        <v/>
      </c>
      <c r="O19" s="24" t="str" cm="1">
        <f t="array" ref="O19">_xlfn.TEXTJOIN(CHAR(10),TRUE,IF(Aula=base_de_datos[Aula],IF("x"=base_de_datos[Sábado],IF(base_de_datos[Hora inicio]&lt;=$B19,IF(base_de_datos[Hora fin]&gt;=$C19,base_de_datos[No clase],""),""),""),""),"")</f>
        <v/>
      </c>
    </row>
    <row r="20" spans="2:24" ht="15">
      <c r="B20" s="70">
        <v>0.60416666666666696</v>
      </c>
      <c r="C20" s="70">
        <v>0.624999999999995</v>
      </c>
      <c r="D20" s="24" t="str" cm="1">
        <f t="array" ref="D20">_xlfn.TEXTJOIN(CHAR(10),TRUE,IF(Aula=base_de_datos[Aula],IF("x"=base_de_datos[Lunes],IF(base_de_datos[Hora inicio]&lt;=$B20,IF(base_de_datos[Hora fin]&gt;=$C20,base_de_datos[Materia]&amp;" "&amp;base_de_datos[[Número de grupo ]],""),""),""),""),"")</f>
        <v/>
      </c>
      <c r="E20" s="24" t="str" cm="1">
        <f t="array" ref="E20">_xlfn.TEXTJOIN(CHAR(10),TRUE,IF(Aula=base_de_datos[Aula],IF("x"=base_de_datos[Lunes],IF(base_de_datos[Hora inicio]&lt;=$B20,IF(base_de_datos[Hora fin]&gt;=$C20,base_de_datos[No clase],""),""),""),""),"")</f>
        <v/>
      </c>
      <c r="F20" s="24" t="str" cm="1">
        <f t="array" ref="F20">_xlfn.TEXTJOIN(CHAR(10),TRUE,IF(Aula=base_de_datos[Aula],IF("x"=base_de_datos[Martes],IF(base_de_datos[Hora inicio]&lt;=$B20,IF(base_de_datos[Hora fin]&gt;=$C20,base_de_datos[Materia]&amp;" "&amp;base_de_datos[[Número de grupo ]],""),""),""),""),"")</f>
        <v/>
      </c>
      <c r="G20" s="24" t="str" cm="1">
        <f t="array" ref="G20">_xlfn.TEXTJOIN(CHAR(10),TRUE,IF(Aula=base_de_datos[Aula],IF("x"=base_de_datos[Martes],IF(base_de_datos[Hora inicio]&lt;=$B20,IF(base_de_datos[Hora fin]&gt;=$C20,base_de_datos[No clase],""),""),""),""),"")</f>
        <v/>
      </c>
      <c r="H20" s="24" t="str" cm="1">
        <f t="array" ref="H20">_xlfn.TEXTJOIN(CHAR(10),TRUE,IF(Aula=base_de_datos[Aula],IF("x"=base_de_datos[Miércoles],IF(base_de_datos[Hora inicio]&lt;=$B20,IF(base_de_datos[Hora fin]&gt;=$C20,base_de_datos[Materia]&amp;" "&amp;base_de_datos[[Número de grupo ]],""),""),""),""),"")</f>
        <v/>
      </c>
      <c r="I20" s="24" t="str" cm="1">
        <f t="array" ref="I20">_xlfn.TEXTJOIN(CHAR(10),TRUE,IF(Aula=base_de_datos[Aula],IF("x"=base_de_datos[Miércoles],IF(base_de_datos[Hora inicio]&lt;=$B20,IF(base_de_datos[Hora fin]&gt;=$C20,base_de_datos[No clase],""),""),""),""),"")</f>
        <v/>
      </c>
      <c r="J20" s="24" t="str" cm="1">
        <f t="array" ref="J20">_xlfn.TEXTJOIN(CHAR(10),TRUE,IF(Aula=base_de_datos[Aula],IF("x"=base_de_datos[Jueves],IF(base_de_datos[Hora inicio]&lt;=$B20,IF(base_de_datos[Hora fin]&gt;=$C20,base_de_datos[Materia]&amp;" "&amp;base_de_datos[[Número de grupo ]],""),""),""),""),"")</f>
        <v/>
      </c>
      <c r="K20" s="24" t="str" cm="1">
        <f t="array" ref="K20">_xlfn.TEXTJOIN(CHAR(10),TRUE,IF(Aula=base_de_datos[Aula],IF("x"=base_de_datos[Jueves],IF(base_de_datos[Hora inicio]&lt;=$B20,IF(base_de_datos[Hora fin]&gt;=$C20,base_de_datos[No clase],""),""),""),""),"")</f>
        <v/>
      </c>
      <c r="L20" s="24" t="str" cm="1">
        <f t="array" ref="L20">_xlfn.TEXTJOIN(CHAR(10),TRUE,IF(Aula=base_de_datos[Aula],IF("x"=base_de_datos[Viernes],IF(base_de_datos[Hora inicio]&lt;=$B20,IF(base_de_datos[Hora fin]&gt;=$C20,base_de_datos[Materia]&amp;" "&amp;base_de_datos[[Número de grupo ]],""),""),""),""),"")</f>
        <v>Tecnología del concreto 1</v>
      </c>
      <c r="M20" s="24" t="str" cm="1">
        <f t="array" ref="M20">_xlfn.TEXTJOIN(CHAR(10),TRUE,IF(Aula=base_de_datos[Aula],IF("x"=base_de_datos[Viernes],IF(base_de_datos[Hora inicio]&lt;=$B20,IF(base_de_datos[Hora fin]&gt;=$C20,base_de_datos[No clase],""),""),""),""),"")</f>
        <v>1742/43</v>
      </c>
      <c r="N20" s="24" t="str" cm="1">
        <f t="array" ref="N20">_xlfn.TEXTJOIN(CHAR(10),TRUE,IF(Aula=base_de_datos[Aula],IF("x"=base_de_datos[Sábado],IF(base_de_datos[Hora inicio]&lt;=$B20,IF(base_de_datos[Hora fin]&gt;=$C20,base_de_datos[Materia]&amp;" "&amp;base_de_datos[[Número de grupo ]],""),""),""),""),"")</f>
        <v/>
      </c>
      <c r="O20" s="24" t="str" cm="1">
        <f t="array" ref="O20">_xlfn.TEXTJOIN(CHAR(10),TRUE,IF(Aula=base_de_datos[Aula],IF("x"=base_de_datos[Sábado],IF(base_de_datos[Hora inicio]&lt;=$B20,IF(base_de_datos[Hora fin]&gt;=$C20,base_de_datos[No clase],""),""),""),""),"")</f>
        <v/>
      </c>
    </row>
    <row r="21" spans="2:24" ht="15">
      <c r="B21" s="70">
        <v>0.625</v>
      </c>
      <c r="C21" s="70">
        <v>0.64583333333332804</v>
      </c>
      <c r="D21" s="25" t="str" cm="1">
        <f t="array" ref="D21">_xlfn.TEXTJOIN(CHAR(10),TRUE,IF(Aula=base_de_datos[Aula],IF("x"=base_de_datos[Lunes],IF(base_de_datos[Hora inicio]&lt;=$B21,IF(base_de_datos[Hora fin]&gt;=$C21,base_de_datos[Materia]&amp;" "&amp;base_de_datos[[Número de grupo ]],""),""),""),""),"")</f>
        <v/>
      </c>
      <c r="E21" s="25" t="str" cm="1">
        <f t="array" ref="E21">_xlfn.TEXTJOIN(CHAR(10),TRUE,IF(Aula=base_de_datos[Aula],IF("x"=base_de_datos[Lunes],IF(base_de_datos[Hora inicio]&lt;=$B21,IF(base_de_datos[Hora fin]&gt;=$C21,base_de_datos[No clase],""),""),""),""),"")</f>
        <v/>
      </c>
      <c r="F21" s="24" t="str" cm="1">
        <f t="array" ref="F21">_xlfn.TEXTJOIN(CHAR(10),TRUE,IF(Aula=base_de_datos[Aula],IF("x"=base_de_datos[Martes],IF(base_de_datos[Hora inicio]&lt;=$B21,IF(base_de_datos[Hora fin]&gt;=$C21,base_de_datos[Materia]&amp;" "&amp;base_de_datos[[Número de grupo ]],""),""),""),""),"")</f>
        <v>Mecánica de suelos 1</v>
      </c>
      <c r="G21" s="24" t="str" cm="1">
        <f t="array" ref="G21">_xlfn.TEXTJOIN(CHAR(10),TRUE,IF(Aula=base_de_datos[Aula],IF("x"=base_de_datos[Martes],IF(base_de_datos[Hora inicio]&lt;=$B21,IF(base_de_datos[Hora fin]&gt;=$C21,base_de_datos[No clase],""),""),""),""),"")</f>
        <v>1744</v>
      </c>
      <c r="H21" s="25" t="str" cm="1">
        <f t="array" ref="H21">_xlfn.TEXTJOIN(CHAR(10),TRUE,IF(Aula=base_de_datos[Aula],IF("x"=base_de_datos[Miércoles],IF(base_de_datos[Hora inicio]&lt;=$B21,IF(base_de_datos[Hora fin]&gt;=$C21,base_de_datos[Materia]&amp;" "&amp;base_de_datos[[Número de grupo ]],""),""),""),""),"")</f>
        <v/>
      </c>
      <c r="I21" s="25" t="str" cm="1">
        <f t="array" ref="I21">_xlfn.TEXTJOIN(CHAR(10),TRUE,IF(Aula=base_de_datos[Aula],IF("x"=base_de_datos[Miércoles],IF(base_de_datos[Hora inicio]&lt;=$B21,IF(base_de_datos[Hora fin]&gt;=$C21,base_de_datos[No clase],""),""),""),""),"")</f>
        <v/>
      </c>
      <c r="J21" s="24" t="str" cm="1">
        <f t="array" ref="J21">_xlfn.TEXTJOIN(CHAR(10),TRUE,IF(Aula=base_de_datos[Aula],IF("x"=base_de_datos[Jueves],IF(base_de_datos[Hora inicio]&lt;=$B21,IF(base_de_datos[Hora fin]&gt;=$C21,base_de_datos[Materia]&amp;" "&amp;base_de_datos[[Número de grupo ]],""),""),""),""),"")</f>
        <v/>
      </c>
      <c r="K21" s="24" t="str" cm="1">
        <f t="array" ref="K21">_xlfn.TEXTJOIN(CHAR(10),TRUE,IF(Aula=base_de_datos[Aula],IF("x"=base_de_datos[Jueves],IF(base_de_datos[Hora inicio]&lt;=$B21,IF(base_de_datos[Hora fin]&gt;=$C21,base_de_datos[No clase],""),""),""),""),"")</f>
        <v/>
      </c>
      <c r="L21" s="25" t="str" cm="1">
        <f t="array" ref="L21">_xlfn.TEXTJOIN(CHAR(10),TRUE,IF(Aula=base_de_datos[Aula],IF("x"=base_de_datos[Viernes],IF(base_de_datos[Hora inicio]&lt;=$B21,IF(base_de_datos[Hora fin]&gt;=$C21,base_de_datos[Materia]&amp;" "&amp;base_de_datos[[Número de grupo ]],""),""),""),""),"")</f>
        <v/>
      </c>
      <c r="M21" s="25" t="str" cm="1">
        <f t="array" ref="M21">_xlfn.TEXTJOIN(CHAR(10),TRUE,IF(Aula=base_de_datos[Aula],IF("x"=base_de_datos[Viernes],IF(base_de_datos[Hora inicio]&lt;=$B21,IF(base_de_datos[Hora fin]&gt;=$C21,base_de_datos[No clase],""),""),""),""),"")</f>
        <v/>
      </c>
      <c r="N21" s="24" t="str" cm="1">
        <f t="array" ref="N21">_xlfn.TEXTJOIN(CHAR(10),TRUE,IF(Aula=base_de_datos[Aula],IF("x"=base_de_datos[Sábado],IF(base_de_datos[Hora inicio]&lt;=$B21,IF(base_de_datos[Hora fin]&gt;=$C21,base_de_datos[Materia]&amp;" "&amp;base_de_datos[[Número de grupo ]],""),""),""),""),"")</f>
        <v/>
      </c>
      <c r="O21" s="24" t="str" cm="1">
        <f t="array" ref="O21">_xlfn.TEXTJOIN(CHAR(10),TRUE,IF(Aula=base_de_datos[Aula],IF("x"=base_de_datos[Sábado],IF(base_de_datos[Hora inicio]&lt;=$B21,IF(base_de_datos[Hora fin]&gt;=$C21,base_de_datos[No clase],""),""),""),""),"")</f>
        <v/>
      </c>
    </row>
    <row r="22" spans="2:24" ht="15">
      <c r="B22" s="70">
        <v>0.64583333333333304</v>
      </c>
      <c r="C22" s="70">
        <v>0.66666666666666097</v>
      </c>
      <c r="D22" s="25" t="str" cm="1">
        <f t="array" ref="D22">_xlfn.TEXTJOIN(CHAR(10),TRUE,IF(Aula=base_de_datos[Aula],IF("x"=base_de_datos[Lunes],IF(base_de_datos[Hora inicio]&lt;=$B22,IF(base_de_datos[Hora fin]&gt;=$C22,base_de_datos[Materia]&amp;" "&amp;base_de_datos[[Número de grupo ]],""),""),""),""),"")</f>
        <v/>
      </c>
      <c r="E22" s="25" t="str" cm="1">
        <f t="array" ref="E22">_xlfn.TEXTJOIN(CHAR(10),TRUE,IF(Aula=base_de_datos[Aula],IF("x"=base_de_datos[Lunes],IF(base_de_datos[Hora inicio]&lt;=$B22,IF(base_de_datos[Hora fin]&gt;=$C22,base_de_datos[No clase],""),""),""),""),"")</f>
        <v/>
      </c>
      <c r="F22" s="24" t="str" cm="1">
        <f t="array" ref="F22">_xlfn.TEXTJOIN(CHAR(10),TRUE,IF(Aula=base_de_datos[Aula],IF("x"=base_de_datos[Martes],IF(base_de_datos[Hora inicio]&lt;=$B22,IF(base_de_datos[Hora fin]&gt;=$C22,base_de_datos[Materia]&amp;" "&amp;base_de_datos[[Número de grupo ]],""),""),""),""),"")</f>
        <v>Mecánica de suelos 1</v>
      </c>
      <c r="G22" s="24" t="str" cm="1">
        <f t="array" ref="G22">_xlfn.TEXTJOIN(CHAR(10),TRUE,IF(Aula=base_de_datos[Aula],IF("x"=base_de_datos[Martes],IF(base_de_datos[Hora inicio]&lt;=$B22,IF(base_de_datos[Hora fin]&gt;=$C22,base_de_datos[No clase],""),""),""),""),"")</f>
        <v>1744</v>
      </c>
      <c r="H22" s="25" t="str" cm="1">
        <f t="array" ref="H22">_xlfn.TEXTJOIN(CHAR(10),TRUE,IF(Aula=base_de_datos[Aula],IF("x"=base_de_datos[Miércoles],IF(base_de_datos[Hora inicio]&lt;=$B22,IF(base_de_datos[Hora fin]&gt;=$C22,base_de_datos[Materia]&amp;" "&amp;base_de_datos[[Número de grupo ]],""),""),""),""),"")</f>
        <v/>
      </c>
      <c r="I22" s="25" t="str" cm="1">
        <f t="array" ref="I22">_xlfn.TEXTJOIN(CHAR(10),TRUE,IF(Aula=base_de_datos[Aula],IF("x"=base_de_datos[Miércoles],IF(base_de_datos[Hora inicio]&lt;=$B22,IF(base_de_datos[Hora fin]&gt;=$C22,base_de_datos[No clase],""),""),""),""),"")</f>
        <v/>
      </c>
      <c r="J22" s="24" t="str" cm="1">
        <f t="array" ref="J22">_xlfn.TEXTJOIN(CHAR(10),TRUE,IF(Aula=base_de_datos[Aula],IF("x"=base_de_datos[Jueves],IF(base_de_datos[Hora inicio]&lt;=$B22,IF(base_de_datos[Hora fin]&gt;=$C22,base_de_datos[Materia]&amp;" "&amp;base_de_datos[[Número de grupo ]],""),""),""),""),"")</f>
        <v/>
      </c>
      <c r="K22" s="24" t="str" cm="1">
        <f t="array" ref="K22">_xlfn.TEXTJOIN(CHAR(10),TRUE,IF(Aula=base_de_datos[Aula],IF("x"=base_de_datos[Jueves],IF(base_de_datos[Hora inicio]&lt;=$B22,IF(base_de_datos[Hora fin]&gt;=$C22,base_de_datos[No clase],""),""),""),""),"")</f>
        <v/>
      </c>
      <c r="L22" s="25" t="str" cm="1">
        <f t="array" ref="L22">_xlfn.TEXTJOIN(CHAR(10),TRUE,IF(Aula=base_de_datos[Aula],IF("x"=base_de_datos[Viernes],IF(base_de_datos[Hora inicio]&lt;=$B22,IF(base_de_datos[Hora fin]&gt;=$C22,base_de_datos[Materia]&amp;" "&amp;base_de_datos[[Número de grupo ]],""),""),""),""),"")</f>
        <v/>
      </c>
      <c r="M22" s="25" t="str" cm="1">
        <f t="array" ref="M22">_xlfn.TEXTJOIN(CHAR(10),TRUE,IF(Aula=base_de_datos[Aula],IF("x"=base_de_datos[Viernes],IF(base_de_datos[Hora inicio]&lt;=$B22,IF(base_de_datos[Hora fin]&gt;=$C22,base_de_datos[No clase],""),""),""),""),"")</f>
        <v/>
      </c>
      <c r="N22" s="24" t="str" cm="1">
        <f t="array" ref="N22">_xlfn.TEXTJOIN(CHAR(10),TRUE,IF(Aula=base_de_datos[Aula],IF("x"=base_de_datos[Sábado],IF(base_de_datos[Hora inicio]&lt;=$B22,IF(base_de_datos[Hora fin]&gt;=$C22,base_de_datos[Materia]&amp;" "&amp;base_de_datos[[Número de grupo ]],""),""),""),""),"")</f>
        <v/>
      </c>
      <c r="O22" s="24" t="str" cm="1">
        <f t="array" ref="O22">_xlfn.TEXTJOIN(CHAR(10),TRUE,IF(Aula=base_de_datos[Aula],IF("x"=base_de_datos[Sábado],IF(base_de_datos[Hora inicio]&lt;=$B22,IF(base_de_datos[Hora fin]&gt;=$C22,base_de_datos[No clase],""),""),""),""),"")</f>
        <v/>
      </c>
    </row>
    <row r="23" spans="2:24" ht="30">
      <c r="B23" s="70">
        <v>0.66666666666666696</v>
      </c>
      <c r="C23" s="70">
        <v>0.687499999999994</v>
      </c>
      <c r="D23" s="25" t="str" cm="1">
        <f t="array" ref="D23">_xlfn.TEXTJOIN(CHAR(10),TRUE,IF(Aula=base_de_datos[Aula],IF("x"=base_de_datos[Lunes],IF(base_de_datos[Hora inicio]&lt;=$B23,IF(base_de_datos[Hora fin]&gt;=$C23,base_de_datos[Materia]&amp;" "&amp;base_de_datos[[Número de grupo ]],""),""),""),""),"")</f>
        <v/>
      </c>
      <c r="E23" s="25" t="str" cm="1">
        <f t="array" ref="E23">_xlfn.TEXTJOIN(CHAR(10),TRUE,IF(Aula=base_de_datos[Aula],IF("x"=base_de_datos[Lunes],IF(base_de_datos[Hora inicio]&lt;=$B23,IF(base_de_datos[Hora fin]&gt;=$C23,base_de_datos[No clase],""),""),""),""),"")</f>
        <v/>
      </c>
      <c r="F23" s="24" t="str" cm="1">
        <f t="array" ref="F23">_xlfn.TEXTJOIN(CHAR(10),TRUE,IF(Aula=base_de_datos[Aula],IF("x"=base_de_datos[Martes],IF(base_de_datos[Hora inicio]&lt;=$B23,IF(base_de_datos[Hora fin]&gt;=$C23,base_de_datos[Materia]&amp;" "&amp;base_de_datos[[Número de grupo ]],""),""),""),""),"")</f>
        <v>Mecánica de suelos 1</v>
      </c>
      <c r="G23" s="24" t="str" cm="1">
        <f t="array" ref="G23">_xlfn.TEXTJOIN(CHAR(10),TRUE,IF(Aula=base_de_datos[Aula],IF("x"=base_de_datos[Martes],IF(base_de_datos[Hora inicio]&lt;=$B23,IF(base_de_datos[Hora fin]&gt;=$C23,base_de_datos[No clase],""),""),""),""),"")</f>
        <v>1744</v>
      </c>
      <c r="H23" s="25" t="str" cm="1">
        <f t="array" ref="H23">_xlfn.TEXTJOIN(CHAR(10),TRUE,IF(Aula=base_de_datos[Aula],IF("x"=base_de_datos[Miércoles],IF(base_de_datos[Hora inicio]&lt;=$B23,IF(base_de_datos[Hora fin]&gt;=$C23,base_de_datos[Materia]&amp;" "&amp;base_de_datos[[Número de grupo ]],""),""),""),""),"")</f>
        <v/>
      </c>
      <c r="I23" s="25" t="str" cm="1">
        <f t="array" ref="I23">_xlfn.TEXTJOIN(CHAR(10),TRUE,IF(Aula=base_de_datos[Aula],IF("x"=base_de_datos[Miércoles],IF(base_de_datos[Hora inicio]&lt;=$B23,IF(base_de_datos[Hora fin]&gt;=$C23,base_de_datos[No clase],""),""),""),""),"")</f>
        <v/>
      </c>
      <c r="J23" s="24" t="str" cm="1">
        <f t="array" ref="J23">_xlfn.TEXTJOIN(CHAR(10),TRUE,IF(Aula=base_de_datos[Aula],IF("x"=base_de_datos[Jueves],IF(base_de_datos[Hora inicio]&lt;=$B23,IF(base_de_datos[Hora fin]&gt;=$C23,base_de_datos[Materia]&amp;" "&amp;base_de_datos[[Número de grupo ]],""),""),""),""),"")</f>
        <v xml:space="preserve"> </v>
      </c>
      <c r="K23" s="24" t="str" cm="1">
        <f t="array" ref="K23">_xlfn.TEXTJOIN(CHAR(10),TRUE,IF(Aula=base_de_datos[Aula],IF("x"=base_de_datos[Jueves],IF(base_de_datos[Hora inicio]&lt;=$B23,IF(base_de_datos[Hora fin]&gt;=$C23,base_de_datos[No clase],""),""),""),""),"")</f>
        <v>Proyecto de Producción</v>
      </c>
      <c r="L23" s="24" t="str" cm="1">
        <f t="array" ref="L23">_xlfn.TEXTJOIN(CHAR(10),TRUE,IF(Aula=base_de_datos[Aula],IF("x"=base_de_datos[Viernes],IF(base_de_datos[Hora inicio]&lt;=$B23,IF(base_de_datos[Hora fin]&gt;=$C23,base_de_datos[Materia]&amp;" "&amp;base_de_datos[[Número de grupo ]],""),""),""),""),"")</f>
        <v>Mecánica de suelos 1</v>
      </c>
      <c r="M23" s="24" t="str" cm="1">
        <f t="array" ref="M23">_xlfn.TEXTJOIN(CHAR(10),TRUE,IF(Aula=base_de_datos[Aula],IF("x"=base_de_datos[Viernes],IF(base_de_datos[Hora inicio]&lt;=$B23,IF(base_de_datos[Hora fin]&gt;=$C23,base_de_datos[No clase],""),""),""),""),"")</f>
        <v>1744</v>
      </c>
      <c r="N23" s="24" t="str" cm="1">
        <f t="array" ref="N23">_xlfn.TEXTJOIN(CHAR(10),TRUE,IF(Aula=base_de_datos[Aula],IF("x"=base_de_datos[Sábado],IF(base_de_datos[Hora inicio]&lt;=$B23,IF(base_de_datos[Hora fin]&gt;=$C23,base_de_datos[Materia]&amp;" "&amp;base_de_datos[[Número de grupo ]],""),""),""),""),"")</f>
        <v/>
      </c>
      <c r="O23" s="24" t="str" cm="1">
        <f t="array" ref="O23">_xlfn.TEXTJOIN(CHAR(10),TRUE,IF(Aula=base_de_datos[Aula],IF("x"=base_de_datos[Sábado],IF(base_de_datos[Hora inicio]&lt;=$B23,IF(base_de_datos[Hora fin]&gt;=$C23,base_de_datos[No clase],""),""),""),""),"")</f>
        <v/>
      </c>
    </row>
    <row r="24" spans="2:24" ht="30">
      <c r="B24" s="70">
        <v>0.6875</v>
      </c>
      <c r="C24" s="70">
        <v>0.70833333333332704</v>
      </c>
      <c r="D24" s="25" t="str" cm="1">
        <f t="array" ref="D24">_xlfn.TEXTJOIN(CHAR(10),TRUE,IF(Aula=base_de_datos[Aula],IF("x"=base_de_datos[Lunes],IF(base_de_datos[Hora inicio]&lt;=$B24,IF(base_de_datos[Hora fin]&gt;=$C24,base_de_datos[Materia]&amp;" "&amp;base_de_datos[[Número de grupo ]],""),""),""),""),"")</f>
        <v/>
      </c>
      <c r="E24" s="25" t="str" cm="1">
        <f t="array" ref="E24">_xlfn.TEXTJOIN(CHAR(10),TRUE,IF(Aula=base_de_datos[Aula],IF("x"=base_de_datos[Lunes],IF(base_de_datos[Hora inicio]&lt;=$B24,IF(base_de_datos[Hora fin]&gt;=$C24,base_de_datos[No clase],""),""),""),""),"")</f>
        <v/>
      </c>
      <c r="F24" s="24" t="str" cm="1">
        <f t="array" ref="F24">_xlfn.TEXTJOIN(CHAR(10),TRUE,IF(Aula=base_de_datos[Aula],IF("x"=base_de_datos[Martes],IF(base_de_datos[Hora inicio]&lt;=$B24,IF(base_de_datos[Hora fin]&gt;=$C24,base_de_datos[Materia]&amp;" "&amp;base_de_datos[[Número de grupo ]],""),""),""),""),"")</f>
        <v>Mecánica de suelos 1</v>
      </c>
      <c r="G24" s="24" t="str" cm="1">
        <f t="array" ref="G24">_xlfn.TEXTJOIN(CHAR(10),TRUE,IF(Aula=base_de_datos[Aula],IF("x"=base_de_datos[Martes],IF(base_de_datos[Hora inicio]&lt;=$B24,IF(base_de_datos[Hora fin]&gt;=$C24,base_de_datos[No clase],""),""),""),""),"")</f>
        <v>1744</v>
      </c>
      <c r="H24" s="25" t="str" cm="1">
        <f t="array" ref="H24">_xlfn.TEXTJOIN(CHAR(10),TRUE,IF(Aula=base_de_datos[Aula],IF("x"=base_de_datos[Miércoles],IF(base_de_datos[Hora inicio]&lt;=$B24,IF(base_de_datos[Hora fin]&gt;=$C24,base_de_datos[Materia]&amp;" "&amp;base_de_datos[[Número de grupo ]],""),""),""),""),"")</f>
        <v/>
      </c>
      <c r="I24" s="25" t="str" cm="1">
        <f t="array" ref="I24">_xlfn.TEXTJOIN(CHAR(10),TRUE,IF(Aula=base_de_datos[Aula],IF("x"=base_de_datos[Miércoles],IF(base_de_datos[Hora inicio]&lt;=$B24,IF(base_de_datos[Hora fin]&gt;=$C24,base_de_datos[No clase],""),""),""),""),"")</f>
        <v/>
      </c>
      <c r="J24" s="24" t="str" cm="1">
        <f t="array" ref="J24">_xlfn.TEXTJOIN(CHAR(10),TRUE,IF(Aula=base_de_datos[Aula],IF("x"=base_de_datos[Jueves],IF(base_de_datos[Hora inicio]&lt;=$B24,IF(base_de_datos[Hora fin]&gt;=$C24,base_de_datos[Materia]&amp;" "&amp;base_de_datos[[Número de grupo ]],""),""),""),""),"")</f>
        <v xml:space="preserve"> </v>
      </c>
      <c r="K24" s="24" t="str" cm="1">
        <f t="array" ref="K24">_xlfn.TEXTJOIN(CHAR(10),TRUE,IF(Aula=base_de_datos[Aula],IF("x"=base_de_datos[Jueves],IF(base_de_datos[Hora inicio]&lt;=$B24,IF(base_de_datos[Hora fin]&gt;=$C24,base_de_datos[No clase],""),""),""),""),"")</f>
        <v>Proyecto de Producción</v>
      </c>
      <c r="L24" s="24" t="str" cm="1">
        <f t="array" ref="L24">_xlfn.TEXTJOIN(CHAR(10),TRUE,IF(Aula=base_de_datos[Aula],IF("x"=base_de_datos[Viernes],IF(base_de_datos[Hora inicio]&lt;=$B24,IF(base_de_datos[Hora fin]&gt;=$C24,base_de_datos[Materia]&amp;" "&amp;base_de_datos[[Número de grupo ]],""),""),""),""),"")</f>
        <v>Mecánica de suelos 1</v>
      </c>
      <c r="M24" s="24" t="str" cm="1">
        <f t="array" ref="M24">_xlfn.TEXTJOIN(CHAR(10),TRUE,IF(Aula=base_de_datos[Aula],IF("x"=base_de_datos[Viernes],IF(base_de_datos[Hora inicio]&lt;=$B24,IF(base_de_datos[Hora fin]&gt;=$C24,base_de_datos[No clase],""),""),""),""),"")</f>
        <v>1744</v>
      </c>
      <c r="N24" s="24" t="str" cm="1">
        <f t="array" ref="N24">_xlfn.TEXTJOIN(CHAR(10),TRUE,IF(Aula=base_de_datos[Aula],IF("x"=base_de_datos[Sábado],IF(base_de_datos[Hora inicio]&lt;=$B24,IF(base_de_datos[Hora fin]&gt;=$C24,base_de_datos[Materia]&amp;" "&amp;base_de_datos[[Número de grupo ]],""),""),""),""),"")</f>
        <v/>
      </c>
      <c r="O24" s="24" t="str" cm="1">
        <f t="array" ref="O24">_xlfn.TEXTJOIN(CHAR(10),TRUE,IF(Aula=base_de_datos[Aula],IF("x"=base_de_datos[Sábado],IF(base_de_datos[Hora inicio]&lt;=$B24,IF(base_de_datos[Hora fin]&gt;=$C24,base_de_datos[No clase],""),""),""),""),"")</f>
        <v/>
      </c>
    </row>
    <row r="25" spans="2:24" ht="45">
      <c r="B25" s="70">
        <v>0.70833333333333304</v>
      </c>
      <c r="C25" s="70">
        <v>0.72916666666665997</v>
      </c>
      <c r="D25" s="24" t="str" cm="1">
        <f t="array" ref="D25">_xlfn.TEXTJOIN(CHAR(10),TRUE,IF(Aula=base_de_datos[Aula],IF("x"=base_de_datos[Lunes],IF(base_de_datos[Hora inicio]&lt;=$B25,IF(base_de_datos[Hora fin]&gt;=$C25,base_de_datos[Materia]&amp;" "&amp;base_de_datos[[Número de grupo ]],""),""),""),""),"")</f>
        <v>Diseño de estructuras de acero I 1</v>
      </c>
      <c r="E25" s="24" t="str" cm="1">
        <f t="array" ref="E25">_xlfn.TEXTJOIN(CHAR(10),TRUE,IF(Aula=base_de_datos[Aula],IF("x"=base_de_datos[Lunes],IF(base_de_datos[Hora inicio]&lt;=$B25,IF(base_de_datos[Hora fin]&gt;=$C25,base_de_datos[No clase],""),""),""),""),"")</f>
        <v>1746/47</v>
      </c>
      <c r="F25" s="24" t="str" cm="1">
        <f t="array" ref="F25">_xlfn.TEXTJOIN(CHAR(10),TRUE,IF(Aula=base_de_datos[Aula],IF("x"=base_de_datos[Martes],IF(base_de_datos[Hora inicio]&lt;=$B25,IF(base_de_datos[Hora fin]&gt;=$C25,base_de_datos[Materia]&amp;" "&amp;base_de_datos[[Número de grupo ]],""),""),""),""),"")</f>
        <v>Diseño de estructuras de concreto I 1</v>
      </c>
      <c r="G25" s="24" t="str" cm="1">
        <f t="array" ref="G25">_xlfn.TEXTJOIN(CHAR(10),TRUE,IF(Aula=base_de_datos[Aula],IF("x"=base_de_datos[Martes],IF(base_de_datos[Hora inicio]&lt;=$B25,IF(base_de_datos[Hora fin]&gt;=$C25,base_de_datos[No clase],""),""),""),""),"")</f>
        <v>1750/1751</v>
      </c>
      <c r="H25" s="24" t="str" cm="1">
        <f t="array" ref="H25">_xlfn.TEXTJOIN(CHAR(10),TRUE,IF(Aula=base_de_datos[Aula],IF("x"=base_de_datos[Miércoles],IF(base_de_datos[Hora inicio]&lt;=$B25,IF(base_de_datos[Hora fin]&gt;=$C25,base_de_datos[Materia]&amp;" "&amp;base_de_datos[[Número de grupo ]],""),""),""),""),"")</f>
        <v>Diseño de estructuras de acero I 1</v>
      </c>
      <c r="I25" s="24" t="str" cm="1">
        <f t="array" ref="I25">_xlfn.TEXTJOIN(CHAR(10),TRUE,IF(Aula=base_de_datos[Aula],IF("x"=base_de_datos[Miércoles],IF(base_de_datos[Hora inicio]&lt;=$B25,IF(base_de_datos[Hora fin]&gt;=$C25,base_de_datos[No clase],""),""),""),""),"")</f>
        <v>1746/47</v>
      </c>
      <c r="J25" s="24" t="str" cm="1">
        <f t="array" ref="J25">_xlfn.TEXTJOIN(CHAR(10),TRUE,IF(Aula=base_de_datos[Aula],IF("x"=base_de_datos[Jueves],IF(base_de_datos[Hora inicio]&lt;=$B25,IF(base_de_datos[Hora fin]&gt;=$C25,base_de_datos[Materia]&amp;" "&amp;base_de_datos[[Número de grupo ]],""),""),""),""),"")</f>
        <v xml:space="preserve">Diseño de estructuras de concreto I 1
 </v>
      </c>
      <c r="K25" s="24" t="str" cm="1">
        <f t="array" ref="K25">_xlfn.TEXTJOIN(CHAR(10),TRUE,IF(Aula=base_de_datos[Aula],IF("x"=base_de_datos[Jueves],IF(base_de_datos[Hora inicio]&lt;=$B25,IF(base_de_datos[Hora fin]&gt;=$C25,base_de_datos[No clase],""),""),""),""),"")</f>
        <v>1750/1751
Proyecto de Producción</v>
      </c>
      <c r="L25" s="24" t="str" cm="1">
        <f t="array" ref="L25">_xlfn.TEXTJOIN(CHAR(10),TRUE,IF(Aula=base_de_datos[Aula],IF("x"=base_de_datos[Viernes],IF(base_de_datos[Hora inicio]&lt;=$B25,IF(base_de_datos[Hora fin]&gt;=$C25,base_de_datos[Materia]&amp;" "&amp;base_de_datos[[Número de grupo ]],""),""),""),""),"")</f>
        <v>Mecánica de suelos 1</v>
      </c>
      <c r="M25" s="24" t="str" cm="1">
        <f t="array" ref="M25">_xlfn.TEXTJOIN(CHAR(10),TRUE,IF(Aula=base_de_datos[Aula],IF("x"=base_de_datos[Viernes],IF(base_de_datos[Hora inicio]&lt;=$B25,IF(base_de_datos[Hora fin]&gt;=$C25,base_de_datos[No clase],""),""),""),""),"")</f>
        <v>1744</v>
      </c>
      <c r="N25" s="24" t="str" cm="1">
        <f t="array" ref="N25">_xlfn.TEXTJOIN(CHAR(10),TRUE,IF(Aula=base_de_datos[Aula],IF("x"=base_de_datos[Sábado],IF(base_de_datos[Hora inicio]&lt;=$B25,IF(base_de_datos[Hora fin]&gt;=$C25,base_de_datos[Materia]&amp;" "&amp;base_de_datos[[Número de grupo ]],""),""),""),""),"")</f>
        <v/>
      </c>
      <c r="O25" s="24" t="str" cm="1">
        <f t="array" ref="O25">_xlfn.TEXTJOIN(CHAR(10),TRUE,IF(Aula=base_de_datos[Aula],IF("x"=base_de_datos[Sábado],IF(base_de_datos[Hora inicio]&lt;=$B25,IF(base_de_datos[Hora fin]&gt;=$C25,base_de_datos[No clase],""),""),""),""),"")</f>
        <v/>
      </c>
    </row>
    <row r="26" spans="2:24" ht="45">
      <c r="B26" s="70">
        <v>0.72916666666666696</v>
      </c>
      <c r="C26" s="70">
        <v>0.74999999999999301</v>
      </c>
      <c r="D26" s="24" t="str" cm="1">
        <f t="array" ref="D26">_xlfn.TEXTJOIN(CHAR(10),TRUE,IF(Aula=base_de_datos[Aula],IF("x"=base_de_datos[Lunes],IF(base_de_datos[Hora inicio]&lt;=$B26,IF(base_de_datos[Hora fin]&gt;=$C26,base_de_datos[Materia]&amp;" "&amp;base_de_datos[[Número de grupo ]],""),""),""),""),"")</f>
        <v>Diseño de estructuras de acero I 1</v>
      </c>
      <c r="E26" s="24" t="str" cm="1">
        <f t="array" ref="E26">_xlfn.TEXTJOIN(CHAR(10),TRUE,IF(Aula=base_de_datos[Aula],IF("x"=base_de_datos[Lunes],IF(base_de_datos[Hora inicio]&lt;=$B26,IF(base_de_datos[Hora fin]&gt;=$C26,base_de_datos[No clase],""),""),""),""),"")</f>
        <v>1746/47</v>
      </c>
      <c r="F26" s="24" t="str" cm="1">
        <f t="array" ref="F26">_xlfn.TEXTJOIN(CHAR(10),TRUE,IF(Aula=base_de_datos[Aula],IF("x"=base_de_datos[Martes],IF(base_de_datos[Hora inicio]&lt;=$B26,IF(base_de_datos[Hora fin]&gt;=$C26,base_de_datos[Materia]&amp;" "&amp;base_de_datos[[Número de grupo ]],""),""),""),""),"")</f>
        <v>Diseño de estructuras de concreto I 1</v>
      </c>
      <c r="G26" s="24" t="str" cm="1">
        <f t="array" ref="G26">_xlfn.TEXTJOIN(CHAR(10),TRUE,IF(Aula=base_de_datos[Aula],IF("x"=base_de_datos[Martes],IF(base_de_datos[Hora inicio]&lt;=$B26,IF(base_de_datos[Hora fin]&gt;=$C26,base_de_datos[No clase],""),""),""),""),"")</f>
        <v>1750/1751</v>
      </c>
      <c r="H26" s="24" t="str" cm="1">
        <f t="array" ref="H26">_xlfn.TEXTJOIN(CHAR(10),TRUE,IF(Aula=base_de_datos[Aula],IF("x"=base_de_datos[Miércoles],IF(base_de_datos[Hora inicio]&lt;=$B26,IF(base_de_datos[Hora fin]&gt;=$C26,base_de_datos[Materia]&amp;" "&amp;base_de_datos[[Número de grupo ]],""),""),""),""),"")</f>
        <v>Diseño de estructuras de acero I 1</v>
      </c>
      <c r="I26" s="24" t="str" cm="1">
        <f t="array" ref="I26">_xlfn.TEXTJOIN(CHAR(10),TRUE,IF(Aula=base_de_datos[Aula],IF("x"=base_de_datos[Miércoles],IF(base_de_datos[Hora inicio]&lt;=$B26,IF(base_de_datos[Hora fin]&gt;=$C26,base_de_datos[No clase],""),""),""),""),"")</f>
        <v>1746/47</v>
      </c>
      <c r="J26" s="24" t="str" cm="1">
        <f t="array" ref="J26">_xlfn.TEXTJOIN(CHAR(10),TRUE,IF(Aula=base_de_datos[Aula],IF("x"=base_de_datos[Jueves],IF(base_de_datos[Hora inicio]&lt;=$B26,IF(base_de_datos[Hora fin]&gt;=$C26,base_de_datos[Materia]&amp;" "&amp;base_de_datos[[Número de grupo ]],""),""),""),""),"")</f>
        <v xml:space="preserve">Diseño de estructuras de concreto I 1
 </v>
      </c>
      <c r="K26" s="24" t="str" cm="1">
        <f t="array" ref="K26">_xlfn.TEXTJOIN(CHAR(10),TRUE,IF(Aula=base_de_datos[Aula],IF("x"=base_de_datos[Jueves],IF(base_de_datos[Hora inicio]&lt;=$B26,IF(base_de_datos[Hora fin]&gt;=$C26,base_de_datos[No clase],""),""),""),""),"")</f>
        <v>1750/1751
Proyecto de Producción</v>
      </c>
      <c r="L26" s="24" t="str" cm="1">
        <f t="array" ref="L26">_xlfn.TEXTJOIN(CHAR(10),TRUE,IF(Aula=base_de_datos[Aula],IF("x"=base_de_datos[Viernes],IF(base_de_datos[Hora inicio]&lt;=$B26,IF(base_de_datos[Hora fin]&gt;=$C26,base_de_datos[Materia]&amp;" "&amp;base_de_datos[[Número de grupo ]],""),""),""),""),"")</f>
        <v>Mecánica de suelos 1</v>
      </c>
      <c r="M26" s="24" t="str" cm="1">
        <f t="array" ref="M26">_xlfn.TEXTJOIN(CHAR(10),TRUE,IF(Aula=base_de_datos[Aula],IF("x"=base_de_datos[Viernes],IF(base_de_datos[Hora inicio]&lt;=$B26,IF(base_de_datos[Hora fin]&gt;=$C26,base_de_datos[No clase],""),""),""),""),"")</f>
        <v>1744</v>
      </c>
      <c r="N26" s="24" t="str" cm="1">
        <f t="array" ref="N26">_xlfn.TEXTJOIN(CHAR(10),TRUE,IF(Aula=base_de_datos[Aula],IF("x"=base_de_datos[Sábado],IF(base_de_datos[Hora inicio]&lt;=$B26,IF(base_de_datos[Hora fin]&gt;=$C26,base_de_datos[Materia]&amp;" "&amp;base_de_datos[[Número de grupo ]],""),""),""),""),"")</f>
        <v/>
      </c>
      <c r="O26" s="24" t="str" cm="1">
        <f t="array" ref="O26">_xlfn.TEXTJOIN(CHAR(10),TRUE,IF(Aula=base_de_datos[Aula],IF("x"=base_de_datos[Sábado],IF(base_de_datos[Hora inicio]&lt;=$B26,IF(base_de_datos[Hora fin]&gt;=$C26,base_de_datos[No clase],""),""),""),""),"")</f>
        <v/>
      </c>
    </row>
    <row r="27" spans="2:24" ht="45">
      <c r="B27" s="70">
        <v>0.75</v>
      </c>
      <c r="C27" s="70">
        <v>0.77083333333332604</v>
      </c>
      <c r="D27" s="24" t="str" cm="1">
        <f t="array" ref="D27">_xlfn.TEXTJOIN(CHAR(10),TRUE,IF(Aula=base_de_datos[Aula],IF("x"=base_de_datos[Lunes],IF(base_de_datos[Hora inicio]&lt;=$B27,IF(base_de_datos[Hora fin]&gt;=$C27,base_de_datos[Materia]&amp;" "&amp;base_de_datos[[Número de grupo ]],""),""),""),""),"")</f>
        <v>Diseño de estructuras de acero I 1</v>
      </c>
      <c r="E27" s="24" t="str" cm="1">
        <f t="array" ref="E27">_xlfn.TEXTJOIN(CHAR(10),TRUE,IF(Aula=base_de_datos[Aula],IF("x"=base_de_datos[Lunes],IF(base_de_datos[Hora inicio]&lt;=$B27,IF(base_de_datos[Hora fin]&gt;=$C27,base_de_datos[No clase],""),""),""),""),"")</f>
        <v>1746/47</v>
      </c>
      <c r="F27" s="24" t="str" cm="1">
        <f t="array" ref="F27">_xlfn.TEXTJOIN(CHAR(10),TRUE,IF(Aula=base_de_datos[Aula],IF("x"=base_de_datos[Martes],IF(base_de_datos[Hora inicio]&lt;=$B27,IF(base_de_datos[Hora fin]&gt;=$C27,base_de_datos[Materia]&amp;" "&amp;base_de_datos[[Número de grupo ]],""),""),""),""),"")</f>
        <v>Diseño de estructuras de concreto I 1</v>
      </c>
      <c r="G27" s="24" t="str" cm="1">
        <f t="array" ref="G27">_xlfn.TEXTJOIN(CHAR(10),TRUE,IF(Aula=base_de_datos[Aula],IF("x"=base_de_datos[Martes],IF(base_de_datos[Hora inicio]&lt;=$B27,IF(base_de_datos[Hora fin]&gt;=$C27,base_de_datos[No clase],""),""),""),""),"")</f>
        <v>1750/1751</v>
      </c>
      <c r="H27" s="24" t="str" cm="1">
        <f t="array" ref="H27">_xlfn.TEXTJOIN(CHAR(10),TRUE,IF(Aula=base_de_datos[Aula],IF("x"=base_de_datos[Miércoles],IF(base_de_datos[Hora inicio]&lt;=$B27,IF(base_de_datos[Hora fin]&gt;=$C27,base_de_datos[Materia]&amp;" "&amp;base_de_datos[[Número de grupo ]],""),""),""),""),"")</f>
        <v>Diseño de estructuras de acero I 1</v>
      </c>
      <c r="I27" s="24" t="str" cm="1">
        <f t="array" ref="I27">_xlfn.TEXTJOIN(CHAR(10),TRUE,IF(Aula=base_de_datos[Aula],IF("x"=base_de_datos[Miércoles],IF(base_de_datos[Hora inicio]&lt;=$B27,IF(base_de_datos[Hora fin]&gt;=$C27,base_de_datos[No clase],""),""),""),""),"")</f>
        <v>1746/47</v>
      </c>
      <c r="J27" s="24" t="str" cm="1">
        <f t="array" ref="J27">_xlfn.TEXTJOIN(CHAR(10),TRUE,IF(Aula=base_de_datos[Aula],IF("x"=base_de_datos[Jueves],IF(base_de_datos[Hora inicio]&lt;=$B27,IF(base_de_datos[Hora fin]&gt;=$C27,base_de_datos[Materia]&amp;" "&amp;base_de_datos[[Número de grupo ]],""),""),""),""),"")</f>
        <v xml:space="preserve">Diseño de estructuras de concreto I 1
 </v>
      </c>
      <c r="K27" s="24" t="str" cm="1">
        <f t="array" ref="K27">_xlfn.TEXTJOIN(CHAR(10),TRUE,IF(Aula=base_de_datos[Aula],IF("x"=base_de_datos[Jueves],IF(base_de_datos[Hora inicio]&lt;=$B27,IF(base_de_datos[Hora fin]&gt;=$C27,base_de_datos[No clase],""),""),""),""),"")</f>
        <v>1750/1751
Proyecto de Producción</v>
      </c>
      <c r="L27" s="24" t="str" cm="1">
        <f t="array" ref="L27">_xlfn.TEXTJOIN(CHAR(10),TRUE,IF(Aula=base_de_datos[Aula],IF("x"=base_de_datos[Viernes],IF(base_de_datos[Hora inicio]&lt;=$B27,IF(base_de_datos[Hora fin]&gt;=$C27,base_de_datos[Materia]&amp;" "&amp;base_de_datos[[Número de grupo ]],""),""),""),""),"")</f>
        <v/>
      </c>
      <c r="M27" s="24" t="str" cm="1">
        <f t="array" ref="M27">_xlfn.TEXTJOIN(CHAR(10),TRUE,IF(Aula=base_de_datos[Aula],IF("x"=base_de_datos[Viernes],IF(base_de_datos[Hora inicio]&lt;=$B27,IF(base_de_datos[Hora fin]&gt;=$C27,base_de_datos[No clase],""),""),""),""),"")</f>
        <v/>
      </c>
      <c r="N27" s="24" t="str" cm="1">
        <f t="array" ref="N27">_xlfn.TEXTJOIN(CHAR(10),TRUE,IF(Aula=base_de_datos[Aula],IF("x"=base_de_datos[Sábado],IF(base_de_datos[Hora inicio]&lt;=$B27,IF(base_de_datos[Hora fin]&gt;=$C27,base_de_datos[Materia]&amp;" "&amp;base_de_datos[[Número de grupo ]],""),""),""),""),"")</f>
        <v/>
      </c>
      <c r="O27" s="24" t="str" cm="1">
        <f t="array" ref="O27">_xlfn.TEXTJOIN(CHAR(10),TRUE,IF(Aula=base_de_datos[Aula],IF("x"=base_de_datos[Sábado],IF(base_de_datos[Hora inicio]&lt;=$B27,IF(base_de_datos[Hora fin]&gt;=$C27,base_de_datos[No clase],""),""),""),""),"")</f>
        <v/>
      </c>
    </row>
    <row r="28" spans="2:24" ht="45">
      <c r="B28" s="70">
        <v>0.77083333333333304</v>
      </c>
      <c r="C28" s="70">
        <v>0.79166666666665897</v>
      </c>
      <c r="D28" s="24" t="str" cm="1">
        <f t="array" ref="D28">_xlfn.TEXTJOIN(CHAR(10),TRUE,IF(Aula=base_de_datos[Aula],IF("x"=base_de_datos[Lunes],IF(base_de_datos[Hora inicio]&lt;=$B28,IF(base_de_datos[Hora fin]&gt;=$C28,base_de_datos[Materia]&amp;" "&amp;base_de_datos[[Número de grupo ]],""),""),""),""),"")</f>
        <v>Diseño de estructuras de acero I 1</v>
      </c>
      <c r="E28" s="24" t="str" cm="1">
        <f t="array" ref="E28">_xlfn.TEXTJOIN(CHAR(10),TRUE,IF(Aula=base_de_datos[Aula],IF("x"=base_de_datos[Lunes],IF(base_de_datos[Hora inicio]&lt;=$B28,IF(base_de_datos[Hora fin]&gt;=$C28,base_de_datos[No clase],""),""),""),""),"")</f>
        <v>1746/47</v>
      </c>
      <c r="F28" s="24" t="str" cm="1">
        <f t="array" ref="F28">_xlfn.TEXTJOIN(CHAR(10),TRUE,IF(Aula=base_de_datos[Aula],IF("x"=base_de_datos[Martes],IF(base_de_datos[Hora inicio]&lt;=$B28,IF(base_de_datos[Hora fin]&gt;=$C28,base_de_datos[Materia]&amp;" "&amp;base_de_datos[[Número de grupo ]],""),""),""),""),"")</f>
        <v>Diseño de estructuras de concreto I 1</v>
      </c>
      <c r="G28" s="24" t="str" cm="1">
        <f t="array" ref="G28">_xlfn.TEXTJOIN(CHAR(10),TRUE,IF(Aula=base_de_datos[Aula],IF("x"=base_de_datos[Martes],IF(base_de_datos[Hora inicio]&lt;=$B28,IF(base_de_datos[Hora fin]&gt;=$C28,base_de_datos[No clase],""),""),""),""),"")</f>
        <v>1750/1751</v>
      </c>
      <c r="H28" s="24" t="str" cm="1">
        <f t="array" ref="H28">_xlfn.TEXTJOIN(CHAR(10),TRUE,IF(Aula=base_de_datos[Aula],IF("x"=base_de_datos[Miércoles],IF(base_de_datos[Hora inicio]&lt;=$B28,IF(base_de_datos[Hora fin]&gt;=$C28,base_de_datos[Materia]&amp;" "&amp;base_de_datos[[Número de grupo ]],""),""),""),""),"")</f>
        <v>Diseño de estructuras de acero I 1</v>
      </c>
      <c r="I28" s="24" t="str" cm="1">
        <f t="array" ref="I28">_xlfn.TEXTJOIN(CHAR(10),TRUE,IF(Aula=base_de_datos[Aula],IF("x"=base_de_datos[Miércoles],IF(base_de_datos[Hora inicio]&lt;=$B28,IF(base_de_datos[Hora fin]&gt;=$C28,base_de_datos[No clase],""),""),""),""),"")</f>
        <v>1746/47</v>
      </c>
      <c r="J28" s="24" t="str" cm="1">
        <f t="array" ref="J28">_xlfn.TEXTJOIN(CHAR(10),TRUE,IF(Aula=base_de_datos[Aula],IF("x"=base_de_datos[Jueves],IF(base_de_datos[Hora inicio]&lt;=$B28,IF(base_de_datos[Hora fin]&gt;=$C28,base_de_datos[Materia]&amp;" "&amp;base_de_datos[[Número de grupo ]],""),""),""),""),"")</f>
        <v xml:space="preserve">Diseño de estructuras de concreto I 1
 </v>
      </c>
      <c r="K28" s="24" t="str" cm="1">
        <f t="array" ref="K28">_xlfn.TEXTJOIN(CHAR(10),TRUE,IF(Aula=base_de_datos[Aula],IF("x"=base_de_datos[Jueves],IF(base_de_datos[Hora inicio]&lt;=$B28,IF(base_de_datos[Hora fin]&gt;=$C28,base_de_datos[No clase],""),""),""),""),"")</f>
        <v>1750/1751
Proyecto de Producción</v>
      </c>
      <c r="L28" s="24" t="str" cm="1">
        <f t="array" ref="L28">_xlfn.TEXTJOIN(CHAR(10),TRUE,IF(Aula=base_de_datos[Aula],IF("x"=base_de_datos[Viernes],IF(base_de_datos[Hora inicio]&lt;=$B28,IF(base_de_datos[Hora fin]&gt;=$C28,base_de_datos[Materia]&amp;" "&amp;base_de_datos[[Número de grupo ]],""),""),""),""),"")</f>
        <v/>
      </c>
      <c r="M28" s="24" t="str" cm="1">
        <f t="array" ref="M28">_xlfn.TEXTJOIN(CHAR(10),TRUE,IF(Aula=base_de_datos[Aula],IF("x"=base_de_datos[Viernes],IF(base_de_datos[Hora inicio]&lt;=$B28,IF(base_de_datos[Hora fin]&gt;=$C28,base_de_datos[No clase],""),""),""),""),"")</f>
        <v/>
      </c>
      <c r="N28" s="24" t="str" cm="1">
        <f t="array" ref="N28">_xlfn.TEXTJOIN(CHAR(10),TRUE,IF(Aula=base_de_datos[Aula],IF("x"=base_de_datos[Sábado],IF(base_de_datos[Hora inicio]&lt;=$B28,IF(base_de_datos[Hora fin]&gt;=$C28,base_de_datos[Materia]&amp;" "&amp;base_de_datos[[Número de grupo ]],""),""),""),""),"")</f>
        <v/>
      </c>
      <c r="O28" s="24" t="str" cm="1">
        <f t="array" ref="O28">_xlfn.TEXTJOIN(CHAR(10),TRUE,IF(Aula=base_de_datos[Aula],IF("x"=base_de_datos[Sábado],IF(base_de_datos[Hora inicio]&lt;=$B28,IF(base_de_datos[Hora fin]&gt;=$C28,base_de_datos[No clase],""),""),""),""),"")</f>
        <v/>
      </c>
    </row>
    <row r="29" spans="2:24" ht="15">
      <c r="B29" s="70">
        <v>0.79166666666666696</v>
      </c>
      <c r="C29" s="70">
        <v>0.81249999999999201</v>
      </c>
      <c r="D29" s="24" t="str" cm="1">
        <f t="array" ref="D29">_xlfn.TEXTJOIN(CHAR(10),TRUE,IF(Aula=base_de_datos[Aula],IF("x"=base_de_datos[Lunes],IF(base_de_datos[Hora inicio]&lt;=$B29,IF(base_de_datos[Hora fin]&gt;=$C29,base_de_datos[Materia]&amp;" "&amp;base_de_datos[[Número de grupo ]],""),""),""),""),"")</f>
        <v>Aspectos legales de la construcción 1</v>
      </c>
      <c r="E29" s="24" t="str" cm="1">
        <f t="array" ref="E29">_xlfn.TEXTJOIN(CHAR(10),TRUE,IF(Aula=base_de_datos[Aula],IF("x"=base_de_datos[Lunes],IF(base_de_datos[Hora inicio]&lt;=$B29,IF(base_de_datos[Hora fin]&gt;=$C29,base_de_datos[No clase],""),""),""),""),"")</f>
        <v>6397</v>
      </c>
      <c r="F29" s="24" t="str" cm="1">
        <f t="array" ref="F29">_xlfn.TEXTJOIN(CHAR(10),TRUE,IF(Aula=base_de_datos[Aula],IF("x"=base_de_datos[Martes],IF(base_de_datos[Hora inicio]&lt;=$B29,IF(base_de_datos[Hora fin]&gt;=$C29,base_de_datos[Materia]&amp;" "&amp;base_de_datos[[Número de grupo ]],""),""),""),""),"")</f>
        <v/>
      </c>
      <c r="G29" s="24" t="str" cm="1">
        <f t="array" ref="G29">_xlfn.TEXTJOIN(CHAR(10),TRUE,IF(Aula=base_de_datos[Aula],IF("x"=base_de_datos[Martes],IF(base_de_datos[Hora inicio]&lt;=$B29,IF(base_de_datos[Hora fin]&gt;=$C29,base_de_datos[No clase],""),""),""),""),"")</f>
        <v/>
      </c>
      <c r="H29" s="24" t="str" cm="1">
        <f t="array" ref="H29">_xlfn.TEXTJOIN(CHAR(10),TRUE,IF(Aula=base_de_datos[Aula],IF("x"=base_de_datos[Miércoles],IF(base_de_datos[Hora inicio]&lt;=$B29,IF(base_de_datos[Hora fin]&gt;=$C29,base_de_datos[Materia]&amp;" "&amp;base_de_datos[[Número de grupo ]],""),""),""),""),"")</f>
        <v/>
      </c>
      <c r="I29" s="24" t="str" cm="1">
        <f t="array" ref="I29">_xlfn.TEXTJOIN(CHAR(10),TRUE,IF(Aula=base_de_datos[Aula],IF("x"=base_de_datos[Miércoles],IF(base_de_datos[Hora inicio]&lt;=$B29,IF(base_de_datos[Hora fin]&gt;=$C29,base_de_datos[No clase],""),""),""),""),"")</f>
        <v/>
      </c>
      <c r="J29" s="24" t="str" cm="1">
        <f t="array" ref="J29">_xlfn.TEXTJOIN(CHAR(10),TRUE,IF(Aula=base_de_datos[Aula],IF("x"=base_de_datos[Jueves],IF(base_de_datos[Hora inicio]&lt;=$B29,IF(base_de_datos[Hora fin]&gt;=$C29,base_de_datos[Materia]&amp;" "&amp;base_de_datos[[Número de grupo ]],""),""),""),""),"")</f>
        <v/>
      </c>
      <c r="K29" s="24" t="str" cm="1">
        <f t="array" ref="K29">_xlfn.TEXTJOIN(CHAR(10),TRUE,IF(Aula=base_de_datos[Aula],IF("x"=base_de_datos[Jueves],IF(base_de_datos[Hora inicio]&lt;=$B29,IF(base_de_datos[Hora fin]&gt;=$C29,base_de_datos[No clase],""),""),""),""),"")</f>
        <v/>
      </c>
      <c r="L29" s="24" t="str" cm="1">
        <f t="array" ref="L29">_xlfn.TEXTJOIN(CHAR(10),TRUE,IF(Aula=base_de_datos[Aula],IF("x"=base_de_datos[Viernes],IF(base_de_datos[Hora inicio]&lt;=$B29,IF(base_de_datos[Hora fin]&gt;=$C29,base_de_datos[Materia]&amp;" "&amp;base_de_datos[[Número de grupo ]],""),""),""),""),"")</f>
        <v/>
      </c>
      <c r="M29" s="24" t="str" cm="1">
        <f t="array" ref="M29">_xlfn.TEXTJOIN(CHAR(10),TRUE,IF(Aula=base_de_datos[Aula],IF("x"=base_de_datos[Viernes],IF(base_de_datos[Hora inicio]&lt;=$B29,IF(base_de_datos[Hora fin]&gt;=$C29,base_de_datos[No clase],""),""),""),""),"")</f>
        <v/>
      </c>
      <c r="N29" s="24" t="str" cm="1">
        <f t="array" ref="N29">_xlfn.TEXTJOIN(CHAR(10),TRUE,IF(Aula=base_de_datos[Aula],IF("x"=base_de_datos[Sábado],IF(base_de_datos[Hora inicio]&lt;=$B29,IF(base_de_datos[Hora fin]&gt;=$C29,base_de_datos[Materia]&amp;" "&amp;base_de_datos[[Número de grupo ]],""),""),""),""),"")</f>
        <v/>
      </c>
      <c r="O29" s="24" t="str" cm="1">
        <f t="array" ref="O29">_xlfn.TEXTJOIN(CHAR(10),TRUE,IF(Aula=base_de_datos[Aula],IF("x"=base_de_datos[Sábado],IF(base_de_datos[Hora inicio]&lt;=$B29,IF(base_de_datos[Hora fin]&gt;=$C29,base_de_datos[No clase],""),""),""),""),"")</f>
        <v/>
      </c>
    </row>
    <row r="30" spans="2:24" ht="15">
      <c r="B30" s="70">
        <v>0.8125</v>
      </c>
      <c r="C30" s="70">
        <v>0.83333333333332504</v>
      </c>
      <c r="D30" s="24" t="str" cm="1">
        <f t="array" ref="D30">_xlfn.TEXTJOIN(CHAR(10),TRUE,IF(Aula=base_de_datos[Aula],IF("x"=base_de_datos[Lunes],IF(base_de_datos[Hora inicio]&lt;=$B30,IF(base_de_datos[Hora fin]&gt;=$C30,base_de_datos[Materia]&amp;" "&amp;base_de_datos[[Número de grupo ]],""),""),""),""),"")</f>
        <v>Aspectos legales de la construcción 1</v>
      </c>
      <c r="E30" s="24" t="str" cm="1">
        <f t="array" ref="E30">_xlfn.TEXTJOIN(CHAR(10),TRUE,IF(Aula=base_de_datos[Aula],IF("x"=base_de_datos[Lunes],IF(base_de_datos[Hora inicio]&lt;=$B30,IF(base_de_datos[Hora fin]&gt;=$C30,base_de_datos[No clase],""),""),""),""),"")</f>
        <v>6397</v>
      </c>
      <c r="F30" s="24" t="str" cm="1">
        <f t="array" ref="F30">_xlfn.TEXTJOIN(CHAR(10),TRUE,IF(Aula=base_de_datos[Aula],IF("x"=base_de_datos[Martes],IF(base_de_datos[Hora inicio]&lt;=$B30,IF(base_de_datos[Hora fin]&gt;=$C30,base_de_datos[Materia]&amp;" "&amp;base_de_datos[[Número de grupo ]],""),""),""),""),"")</f>
        <v/>
      </c>
      <c r="G30" s="24" t="str" cm="1">
        <f t="array" ref="G30">_xlfn.TEXTJOIN(CHAR(10),TRUE,IF(Aula=base_de_datos[Aula],IF("x"=base_de_datos[Martes],IF(base_de_datos[Hora inicio]&lt;=$B30,IF(base_de_datos[Hora fin]&gt;=$C30,base_de_datos[No clase],""),""),""),""),"")</f>
        <v/>
      </c>
      <c r="H30" s="24" t="str" cm="1">
        <f t="array" ref="H30">_xlfn.TEXTJOIN(CHAR(10),TRUE,IF(Aula=base_de_datos[Aula],IF("x"=base_de_datos[Miércoles],IF(base_de_datos[Hora inicio]&lt;=$B30,IF(base_de_datos[Hora fin]&gt;=$C30,base_de_datos[Materia]&amp;" "&amp;base_de_datos[[Número de grupo ]],""),""),""),""),"")</f>
        <v/>
      </c>
      <c r="I30" s="24" t="str" cm="1">
        <f t="array" ref="I30">_xlfn.TEXTJOIN(CHAR(10),TRUE,IF(Aula=base_de_datos[Aula],IF("x"=base_de_datos[Miércoles],IF(base_de_datos[Hora inicio]&lt;=$B30,IF(base_de_datos[Hora fin]&gt;=$C30,base_de_datos[No clase],""),""),""),""),"")</f>
        <v/>
      </c>
      <c r="J30" s="24" t="str" cm="1">
        <f t="array" ref="J30">_xlfn.TEXTJOIN(CHAR(10),TRUE,IF(Aula=base_de_datos[Aula],IF("x"=base_de_datos[Jueves],IF(base_de_datos[Hora inicio]&lt;=$B30,IF(base_de_datos[Hora fin]&gt;=$C30,base_de_datos[Materia]&amp;" "&amp;base_de_datos[[Número de grupo ]],""),""),""),""),"")</f>
        <v/>
      </c>
      <c r="K30" s="24" t="str" cm="1">
        <f t="array" ref="K30">_xlfn.TEXTJOIN(CHAR(10),TRUE,IF(Aula=base_de_datos[Aula],IF("x"=base_de_datos[Jueves],IF(base_de_datos[Hora inicio]&lt;=$B30,IF(base_de_datos[Hora fin]&gt;=$C30,base_de_datos[No clase],""),""),""),""),"")</f>
        <v/>
      </c>
      <c r="L30" s="24" t="str" cm="1">
        <f t="array" ref="L30">_xlfn.TEXTJOIN(CHAR(10),TRUE,IF(Aula=base_de_datos[Aula],IF("x"=base_de_datos[Viernes],IF(base_de_datos[Hora inicio]&lt;=$B30,IF(base_de_datos[Hora fin]&gt;=$C30,base_de_datos[Materia]&amp;" "&amp;base_de_datos[[Número de grupo ]],""),""),""),""),"")</f>
        <v/>
      </c>
      <c r="M30" s="24" t="str" cm="1">
        <f t="array" ref="M30">_xlfn.TEXTJOIN(CHAR(10),TRUE,IF(Aula=base_de_datos[Aula],IF("x"=base_de_datos[Viernes],IF(base_de_datos[Hora inicio]&lt;=$B30,IF(base_de_datos[Hora fin]&gt;=$C30,base_de_datos[No clase],""),""),""),""),"")</f>
        <v/>
      </c>
      <c r="N30" s="24" t="str" cm="1">
        <f t="array" ref="N30">_xlfn.TEXTJOIN(CHAR(10),TRUE,IF(Aula=base_de_datos[Aula],IF("x"=base_de_datos[Sábado],IF(base_de_datos[Hora inicio]&lt;=$B30,IF(base_de_datos[Hora fin]&gt;=$C30,base_de_datos[Materia]&amp;" "&amp;base_de_datos[[Número de grupo ]],""),""),""),""),"")</f>
        <v/>
      </c>
      <c r="O30" s="24" t="str" cm="1">
        <f t="array" ref="O30">_xlfn.TEXTJOIN(CHAR(10),TRUE,IF(Aula=base_de_datos[Aula],IF("x"=base_de_datos[Sábado],IF(base_de_datos[Hora inicio]&lt;=$B30,IF(base_de_datos[Hora fin]&gt;=$C30,base_de_datos[No clase],""),""),""),""),"")</f>
        <v/>
      </c>
    </row>
    <row r="31" spans="2:24" ht="15">
      <c r="B31" s="70">
        <v>0.83333333333333304</v>
      </c>
      <c r="C31" s="70">
        <v>0.85416666666665797</v>
      </c>
      <c r="D31" s="24" t="str" cm="1">
        <f t="array" ref="D31">_xlfn.TEXTJOIN(CHAR(10),TRUE,IF(Aula=base_de_datos[Aula],IF("x"=base_de_datos[Lunes],IF(base_de_datos[Hora inicio]&lt;=$B31,IF(base_de_datos[Hora fin]&gt;=$C31,base_de_datos[Materia]&amp;" "&amp;base_de_datos[[Número de grupo ]],""),""),""),""),"")</f>
        <v>Aspectos legales de la construcción 1</v>
      </c>
      <c r="E31" s="24" t="str" cm="1">
        <f t="array" ref="E31">_xlfn.TEXTJOIN(CHAR(10),TRUE,IF(Aula=base_de_datos[Aula],IF("x"=base_de_datos[Lunes],IF(base_de_datos[Hora inicio]&lt;=$B31,IF(base_de_datos[Hora fin]&gt;=$C31,base_de_datos[No clase],""),""),""),""),"")</f>
        <v>6397</v>
      </c>
      <c r="F31" s="24" t="str" cm="1">
        <f t="array" ref="F31">_xlfn.TEXTJOIN(CHAR(10),TRUE,IF(Aula=base_de_datos[Aula],IF("x"=base_de_datos[Martes],IF(base_de_datos[Hora inicio]&lt;=$B31,IF(base_de_datos[Hora fin]&gt;=$C31,base_de_datos[Materia]&amp;" "&amp;base_de_datos[[Número de grupo ]],""),""),""),""),"")</f>
        <v/>
      </c>
      <c r="G31" s="24" t="str" cm="1">
        <f t="array" ref="G31">_xlfn.TEXTJOIN(CHAR(10),TRUE,IF(Aula=base_de_datos[Aula],IF("x"=base_de_datos[Martes],IF(base_de_datos[Hora inicio]&lt;=$B31,IF(base_de_datos[Hora fin]&gt;=$C31,base_de_datos[No clase],""),""),""),""),"")</f>
        <v/>
      </c>
      <c r="H31" s="24" t="str" cm="1">
        <f t="array" ref="H31">_xlfn.TEXTJOIN(CHAR(10),TRUE,IF(Aula=base_de_datos[Aula],IF("x"=base_de_datos[Miércoles],IF(base_de_datos[Hora inicio]&lt;=$B31,IF(base_de_datos[Hora fin]&gt;=$C31,base_de_datos[Materia]&amp;" "&amp;base_de_datos[[Número de grupo ]],""),""),""),""),"")</f>
        <v/>
      </c>
      <c r="I31" s="24" t="str" cm="1">
        <f t="array" ref="I31">_xlfn.TEXTJOIN(CHAR(10),TRUE,IF(Aula=base_de_datos[Aula],IF("x"=base_de_datos[Miércoles],IF(base_de_datos[Hora inicio]&lt;=$B31,IF(base_de_datos[Hora fin]&gt;=$C31,base_de_datos[No clase],""),""),""),""),"")</f>
        <v/>
      </c>
      <c r="J31" s="24" t="str" cm="1">
        <f t="array" ref="J31">_xlfn.TEXTJOIN(CHAR(10),TRUE,IF(Aula=base_de_datos[Aula],IF("x"=base_de_datos[Jueves],IF(base_de_datos[Hora inicio]&lt;=$B31,IF(base_de_datos[Hora fin]&gt;=$C31,base_de_datos[Materia]&amp;" "&amp;base_de_datos[[Número de grupo ]],""),""),""),""),"")</f>
        <v/>
      </c>
      <c r="K31" s="24" t="str" cm="1">
        <f t="array" ref="K31">_xlfn.TEXTJOIN(CHAR(10),TRUE,IF(Aula=base_de_datos[Aula],IF("x"=base_de_datos[Jueves],IF(base_de_datos[Hora inicio]&lt;=$B31,IF(base_de_datos[Hora fin]&gt;=$C31,base_de_datos[No clase],""),""),""),""),"")</f>
        <v/>
      </c>
      <c r="L31" s="24" t="str" cm="1">
        <f t="array" ref="L31">_xlfn.TEXTJOIN(CHAR(10),TRUE,IF(Aula=base_de_datos[Aula],IF("x"=base_de_datos[Viernes],IF(base_de_datos[Hora inicio]&lt;=$B31,IF(base_de_datos[Hora fin]&gt;=$C31,base_de_datos[Materia]&amp;" "&amp;base_de_datos[[Número de grupo ]],""),""),""),""),"")</f>
        <v/>
      </c>
      <c r="M31" s="24" t="str" cm="1">
        <f t="array" ref="M31">_xlfn.TEXTJOIN(CHAR(10),TRUE,IF(Aula=base_de_datos[Aula],IF("x"=base_de_datos[Viernes],IF(base_de_datos[Hora inicio]&lt;=$B31,IF(base_de_datos[Hora fin]&gt;=$C31,base_de_datos[No clase],""),""),""),""),"")</f>
        <v/>
      </c>
      <c r="N31" s="24" t="str" cm="1">
        <f t="array" ref="N31">_xlfn.TEXTJOIN(CHAR(10),TRUE,IF(Aula=base_de_datos[Aula],IF("x"=base_de_datos[Sábado],IF(base_de_datos[Hora inicio]&lt;=$B31,IF(base_de_datos[Hora fin]&gt;=$C31,base_de_datos[Materia]&amp;" "&amp;base_de_datos[[Número de grupo ]],""),""),""),""),"")</f>
        <v/>
      </c>
      <c r="O31" s="24" t="str" cm="1">
        <f t="array" ref="O31">_xlfn.TEXTJOIN(CHAR(10),TRUE,IF(Aula=base_de_datos[Aula],IF("x"=base_de_datos[Sábado],IF(base_de_datos[Hora inicio]&lt;=$B31,IF(base_de_datos[Hora fin]&gt;=$C31,base_de_datos[No clase],""),""),""),""),"")</f>
        <v/>
      </c>
    </row>
    <row r="32" spans="2:24" ht="15">
      <c r="B32" s="70">
        <v>0.85416666666666696</v>
      </c>
      <c r="C32" s="70">
        <v>0.87499999999999001</v>
      </c>
      <c r="D32" s="24" t="str" cm="1">
        <f t="array" ref="D32">_xlfn.TEXTJOIN(CHAR(10),TRUE,IF(Aula=base_de_datos[Aula],IF("x"=base_de_datos[Lunes],IF(base_de_datos[Hora inicio]&lt;=$B32,IF(base_de_datos[Hora fin]&gt;=$C32,base_de_datos[Materia]&amp;" "&amp;base_de_datos[[Número de grupo ]],""),""),""),""),"")</f>
        <v>Aspectos legales de la construcción 1</v>
      </c>
      <c r="E32" s="24" t="str" cm="1">
        <f t="array" ref="E32">_xlfn.TEXTJOIN(CHAR(10),TRUE,IF(Aula=base_de_datos[Aula],IF("x"=base_de_datos[Lunes],IF(base_de_datos[Hora inicio]&lt;=$B32,IF(base_de_datos[Hora fin]&gt;=$C32,base_de_datos[No clase],""),""),""),""),"")</f>
        <v>6397</v>
      </c>
      <c r="F32" s="24" t="str" cm="1">
        <f t="array" ref="F32">_xlfn.TEXTJOIN(CHAR(10),TRUE,IF(Aula=base_de_datos[Aula],IF("x"=base_de_datos[Martes],IF(base_de_datos[Hora inicio]&lt;=$B32,IF(base_de_datos[Hora fin]&gt;=$C32,base_de_datos[Materia]&amp;" "&amp;base_de_datos[[Número de grupo ]],""),""),""),""),"")</f>
        <v/>
      </c>
      <c r="G32" s="24" t="str" cm="1">
        <f t="array" ref="G32">_xlfn.TEXTJOIN(CHAR(10),TRUE,IF(Aula=base_de_datos[Aula],IF("x"=base_de_datos[Martes],IF(base_de_datos[Hora inicio]&lt;=$B32,IF(base_de_datos[Hora fin]&gt;=$C32,base_de_datos[No clase],""),""),""),""),"")</f>
        <v/>
      </c>
      <c r="H32" s="24" t="str" cm="1">
        <f t="array" ref="H32">_xlfn.TEXTJOIN(CHAR(10),TRUE,IF(Aula=base_de_datos[Aula],IF("x"=base_de_datos[Miércoles],IF(base_de_datos[Hora inicio]&lt;=$B32,IF(base_de_datos[Hora fin]&gt;=$C32,base_de_datos[Materia]&amp;" "&amp;base_de_datos[[Número de grupo ]],""),""),""),""),"")</f>
        <v/>
      </c>
      <c r="I32" s="24" t="str" cm="1">
        <f t="array" ref="I32">_xlfn.TEXTJOIN(CHAR(10),TRUE,IF(Aula=base_de_datos[Aula],IF("x"=base_de_datos[Miércoles],IF(base_de_datos[Hora inicio]&lt;=$B32,IF(base_de_datos[Hora fin]&gt;=$C32,base_de_datos[No clase],""),""),""),""),"")</f>
        <v/>
      </c>
      <c r="J32" s="24" t="str" cm="1">
        <f t="array" ref="J32">_xlfn.TEXTJOIN(CHAR(10),TRUE,IF(Aula=base_de_datos[Aula],IF("x"=base_de_datos[Jueves],IF(base_de_datos[Hora inicio]&lt;=$B32,IF(base_de_datos[Hora fin]&gt;=$C32,base_de_datos[Materia]&amp;" "&amp;base_de_datos[[Número de grupo ]],""),""),""),""),"")</f>
        <v/>
      </c>
      <c r="K32" s="24" t="str" cm="1">
        <f t="array" ref="K32">_xlfn.TEXTJOIN(CHAR(10),TRUE,IF(Aula=base_de_datos[Aula],IF("x"=base_de_datos[Jueves],IF(base_de_datos[Hora inicio]&lt;=$B32,IF(base_de_datos[Hora fin]&gt;=$C32,base_de_datos[No clase],""),""),""),""),"")</f>
        <v/>
      </c>
      <c r="L32" s="24" t="str" cm="1">
        <f t="array" ref="L32">_xlfn.TEXTJOIN(CHAR(10),TRUE,IF(Aula=base_de_datos[Aula],IF("x"=base_de_datos[Viernes],IF(base_de_datos[Hora inicio]&lt;=$B32,IF(base_de_datos[Hora fin]&gt;=$C32,base_de_datos[Materia]&amp;" "&amp;base_de_datos[[Número de grupo ]],""),""),""),""),"")</f>
        <v/>
      </c>
      <c r="M32" s="24" t="str" cm="1">
        <f t="array" ref="M32">_xlfn.TEXTJOIN(CHAR(10),TRUE,IF(Aula=base_de_datos[Aula],IF("x"=base_de_datos[Viernes],IF(base_de_datos[Hora inicio]&lt;=$B32,IF(base_de_datos[Hora fin]&gt;=$C32,base_de_datos[No clase],""),""),""),""),"")</f>
        <v/>
      </c>
      <c r="N32" s="24" t="str" cm="1">
        <f t="array" ref="N32">_xlfn.TEXTJOIN(CHAR(10),TRUE,IF(Aula=base_de_datos[Aula],IF("x"=base_de_datos[Sábado],IF(base_de_datos[Hora inicio]&lt;=$B32,IF(base_de_datos[Hora fin]&gt;=$C32,base_de_datos[Materia]&amp;" "&amp;base_de_datos[[Número de grupo ]],""),""),""),""),"")</f>
        <v/>
      </c>
      <c r="O32" s="24" t="str" cm="1">
        <f t="array" ref="O32">_xlfn.TEXTJOIN(CHAR(10),TRUE,IF(Aula=base_de_datos[Aula],IF("x"=base_de_datos[Sábado],IF(base_de_datos[Hora inicio]&lt;=$B32,IF(base_de_datos[Hora fin]&gt;=$C32,base_de_datos[No clase],""),""),""),""),"")</f>
        <v/>
      </c>
    </row>
    <row r="33" spans="2:24" ht="15">
      <c r="B33" s="70">
        <v>0.875</v>
      </c>
      <c r="C33" s="70">
        <v>0.89583333333332305</v>
      </c>
      <c r="D33" s="24" t="str" cm="1">
        <f t="array" ref="D33">_xlfn.TEXTJOIN(CHAR(10),TRUE,IF(Aula=base_de_datos[Aula],IF("x"=base_de_datos[Lunes],IF(base_de_datos[Hora inicio]&lt;=$B33,IF(base_de_datos[Hora fin]&gt;=$C33,base_de_datos[Materia]&amp;" "&amp;base_de_datos[[Número de grupo ]],""),""),""),""),"")</f>
        <v>Aspectos legales de la construcción 1</v>
      </c>
      <c r="E33" s="24" t="str" cm="1">
        <f t="array" ref="E33">_xlfn.TEXTJOIN(CHAR(10),TRUE,IF(Aula=base_de_datos[Aula],IF("x"=base_de_datos[Lunes],IF(base_de_datos[Hora inicio]&lt;=$B33,IF(base_de_datos[Hora fin]&gt;=$C33,base_de_datos[No clase],""),""),""),""),"")</f>
        <v>6397</v>
      </c>
      <c r="F33" s="24" t="str" cm="1">
        <f t="array" ref="F33">_xlfn.TEXTJOIN(CHAR(10),TRUE,IF(Aula=base_de_datos[Aula],IF("x"=base_de_datos[Martes],IF(base_de_datos[Hora inicio]&lt;=$B33,IF(base_de_datos[Hora fin]&gt;=$C33,base_de_datos[Materia]&amp;" "&amp;base_de_datos[[Número de grupo ]],""),""),""),""),"")</f>
        <v/>
      </c>
      <c r="G33" s="24" t="str" cm="1">
        <f t="array" ref="G33">_xlfn.TEXTJOIN(CHAR(10),TRUE,IF(Aula=base_de_datos[Aula],IF("x"=base_de_datos[Martes],IF(base_de_datos[Hora inicio]&lt;=$B33,IF(base_de_datos[Hora fin]&gt;=$C33,base_de_datos[No clase],""),""),""),""),"")</f>
        <v/>
      </c>
      <c r="H33" s="24" t="str" cm="1">
        <f t="array" ref="H33">_xlfn.TEXTJOIN(CHAR(10),TRUE,IF(Aula=base_de_datos[Aula],IF("x"=base_de_datos[Miércoles],IF(base_de_datos[Hora inicio]&lt;=$B33,IF(base_de_datos[Hora fin]&gt;=$C33,base_de_datos[Materia]&amp;" "&amp;base_de_datos[[Número de grupo ]],""),""),""),""),"")</f>
        <v/>
      </c>
      <c r="I33" s="24" t="str" cm="1">
        <f t="array" ref="I33">_xlfn.TEXTJOIN(CHAR(10),TRUE,IF(Aula=base_de_datos[Aula],IF("x"=base_de_datos[Miércoles],IF(base_de_datos[Hora inicio]&lt;=$B33,IF(base_de_datos[Hora fin]&gt;=$C33,base_de_datos[No clase],""),""),""),""),"")</f>
        <v/>
      </c>
      <c r="J33" s="24" t="str" cm="1">
        <f t="array" ref="J33">_xlfn.TEXTJOIN(CHAR(10),TRUE,IF(Aula=base_de_datos[Aula],IF("x"=base_de_datos[Jueves],IF(base_de_datos[Hora inicio]&lt;=$B33,IF(base_de_datos[Hora fin]&gt;=$C33,base_de_datos[Materia]&amp;" "&amp;base_de_datos[[Número de grupo ]],""),""),""),""),"")</f>
        <v/>
      </c>
      <c r="K33" s="24" t="str" cm="1">
        <f t="array" ref="K33">_xlfn.TEXTJOIN(CHAR(10),TRUE,IF(Aula=base_de_datos[Aula],IF("x"=base_de_datos[Jueves],IF(base_de_datos[Hora inicio]&lt;=$B33,IF(base_de_datos[Hora fin]&gt;=$C33,base_de_datos[No clase],""),""),""),""),"")</f>
        <v/>
      </c>
      <c r="L33" s="24" t="str" cm="1">
        <f t="array" ref="L33">_xlfn.TEXTJOIN(CHAR(10),TRUE,IF(Aula=base_de_datos[Aula],IF("x"=base_de_datos[Viernes],IF(base_de_datos[Hora inicio]&lt;=$B33,IF(base_de_datos[Hora fin]&gt;=$C33,base_de_datos[Materia]&amp;" "&amp;base_de_datos[[Número de grupo ]],""),""),""),""),"")</f>
        <v/>
      </c>
      <c r="M33" s="24" t="str" cm="1">
        <f t="array" ref="M33">_xlfn.TEXTJOIN(CHAR(10),TRUE,IF(Aula=base_de_datos[Aula],IF("x"=base_de_datos[Viernes],IF(base_de_datos[Hora inicio]&lt;=$B33,IF(base_de_datos[Hora fin]&gt;=$C33,base_de_datos[No clase],""),""),""),""),"")</f>
        <v/>
      </c>
      <c r="N33" s="24" t="str" cm="1">
        <f t="array" ref="N33">_xlfn.TEXTJOIN(CHAR(10),TRUE,IF(Aula=base_de_datos[Aula],IF("x"=base_de_datos[Sábado],IF(base_de_datos[Hora inicio]&lt;=$B33,IF(base_de_datos[Hora fin]&gt;=$C33,base_de_datos[Materia]&amp;" "&amp;base_de_datos[[Número de grupo ]],""),""),""),""),"")</f>
        <v/>
      </c>
      <c r="O33" s="24" t="str" cm="1">
        <f t="array" ref="O33">_xlfn.TEXTJOIN(CHAR(10),TRUE,IF(Aula=base_de_datos[Aula],IF("x"=base_de_datos[Sábado],IF(base_de_datos[Hora inicio]&lt;=$B33,IF(base_de_datos[Hora fin]&gt;=$C33,base_de_datos[No clase],""),""),""),""),"")</f>
        <v/>
      </c>
    </row>
    <row r="34" spans="2:24" ht="15">
      <c r="B34" s="70">
        <v>0.89583333333333304</v>
      </c>
      <c r="C34" s="70">
        <v>0.91666666666665697</v>
      </c>
      <c r="D34" s="24" t="str" cm="1">
        <f t="array" ref="D34">_xlfn.TEXTJOIN(CHAR(10),TRUE,IF(Aula=base_de_datos[Aula],IF("x"=base_de_datos[Lunes],IF(base_de_datos[Hora inicio]&lt;=$B34,IF(base_de_datos[Hora fin]&gt;=$C34,base_de_datos[Materia]&amp;" "&amp;base_de_datos[[Número de grupo ]],""),""),""),""),"")</f>
        <v>Aspectos legales de la construcción 1</v>
      </c>
      <c r="E34" s="24" t="str" cm="1">
        <f t="array" ref="E34">_xlfn.TEXTJOIN(CHAR(10),TRUE,IF(Aula=base_de_datos[Aula],IF("x"=base_de_datos[Lunes],IF(base_de_datos[Hora inicio]&lt;=$B34,IF(base_de_datos[Hora fin]&gt;=$C34,base_de_datos[No clase],""),""),""),""),"")</f>
        <v>6397</v>
      </c>
      <c r="F34" s="24" t="str" cm="1">
        <f t="array" ref="F34">_xlfn.TEXTJOIN(CHAR(10),TRUE,IF(Aula=base_de_datos[Aula],IF("x"=base_de_datos[Martes],IF(base_de_datos[Hora inicio]&lt;=$B34,IF(base_de_datos[Hora fin]&gt;=$C34,base_de_datos[Materia]&amp;" "&amp;base_de_datos[[Número de grupo ]],""),""),""),""),"")</f>
        <v/>
      </c>
      <c r="G34" s="24" t="str" cm="1">
        <f t="array" ref="G34">_xlfn.TEXTJOIN(CHAR(10),TRUE,IF(Aula=base_de_datos[Aula],IF("x"=base_de_datos[Martes],IF(base_de_datos[Hora inicio]&lt;=$B34,IF(base_de_datos[Hora fin]&gt;=$C34,base_de_datos[No clase],""),""),""),""),"")</f>
        <v/>
      </c>
      <c r="H34" s="24" t="str" cm="1">
        <f t="array" ref="H34">_xlfn.TEXTJOIN(CHAR(10),TRUE,IF(Aula=base_de_datos[Aula],IF("x"=base_de_datos[Miércoles],IF(base_de_datos[Hora inicio]&lt;=$B34,IF(base_de_datos[Hora fin]&gt;=$C34,base_de_datos[Materia]&amp;" "&amp;base_de_datos[[Número de grupo ]],""),""),""),""),"")</f>
        <v/>
      </c>
      <c r="I34" s="24" t="str" cm="1">
        <f t="array" ref="I34">_xlfn.TEXTJOIN(CHAR(10),TRUE,IF(Aula=base_de_datos[Aula],IF("x"=base_de_datos[Miércoles],IF(base_de_datos[Hora inicio]&lt;=$B34,IF(base_de_datos[Hora fin]&gt;=$C34,base_de_datos[No clase],""),""),""),""),"")</f>
        <v/>
      </c>
      <c r="J34" s="24" t="str" cm="1">
        <f t="array" ref="J34">_xlfn.TEXTJOIN(CHAR(10),TRUE,IF(Aula=base_de_datos[Aula],IF("x"=base_de_datos[Jueves],IF(base_de_datos[Hora inicio]&lt;=$B34,IF(base_de_datos[Hora fin]&gt;=$C34,base_de_datos[Materia]&amp;" "&amp;base_de_datos[[Número de grupo ]],""),""),""),""),"")</f>
        <v/>
      </c>
      <c r="K34" s="24" t="str" cm="1">
        <f t="array" ref="K34">_xlfn.TEXTJOIN(CHAR(10),TRUE,IF(Aula=base_de_datos[Aula],IF("x"=base_de_datos[Jueves],IF(base_de_datos[Hora inicio]&lt;=$B34,IF(base_de_datos[Hora fin]&gt;=$C34,base_de_datos[No clase],""),""),""),""),"")</f>
        <v/>
      </c>
      <c r="L34" s="24" t="str" cm="1">
        <f t="array" ref="L34">_xlfn.TEXTJOIN(CHAR(10),TRUE,IF(Aula=base_de_datos[Aula],IF("x"=base_de_datos[Viernes],IF(base_de_datos[Hora inicio]&lt;=$B34,IF(base_de_datos[Hora fin]&gt;=$C34,base_de_datos[Materia]&amp;" "&amp;base_de_datos[[Número de grupo ]],""),""),""),""),"")</f>
        <v/>
      </c>
      <c r="M34" s="24" t="str" cm="1">
        <f t="array" ref="M34">_xlfn.TEXTJOIN(CHAR(10),TRUE,IF(Aula=base_de_datos[Aula],IF("x"=base_de_datos[Viernes],IF(base_de_datos[Hora inicio]&lt;=$B34,IF(base_de_datos[Hora fin]&gt;=$C34,base_de_datos[No clase],""),""),""),""),"")</f>
        <v/>
      </c>
      <c r="N34" s="24" t="str" cm="1">
        <f t="array" ref="N34">_xlfn.TEXTJOIN(CHAR(10),TRUE,IF(Aula=base_de_datos[Aula],IF("x"=base_de_datos[Sábado],IF(base_de_datos[Hora inicio]&lt;=$B34,IF(base_de_datos[Hora fin]&gt;=$C34,base_de_datos[Materia]&amp;" "&amp;base_de_datos[[Número de grupo ]],""),""),""),""),"")</f>
        <v/>
      </c>
      <c r="O34" s="24" t="str" cm="1">
        <f t="array" ref="O34">_xlfn.TEXTJOIN(CHAR(10),TRUE,IF(Aula=base_de_datos[Aula],IF("x"=base_de_datos[Sábado],IF(base_de_datos[Hora inicio]&lt;=$B34,IF(base_de_datos[Hora fin]&gt;=$C34,base_de_datos[No clase],""),""),""),""),"")</f>
        <v/>
      </c>
      <c r="V34" s="23"/>
      <c r="W34" s="23"/>
      <c r="X34" s="23"/>
    </row>
    <row r="35" spans="2:24">
      <c r="C35" s="3"/>
      <c r="D35" s="23"/>
      <c r="E35" s="23"/>
      <c r="F35" s="23"/>
      <c r="G35" s="23"/>
      <c r="H35" s="26"/>
      <c r="I35" s="23"/>
      <c r="J35" s="23"/>
      <c r="K35" s="23"/>
      <c r="L35" s="23"/>
      <c r="M35" s="23"/>
      <c r="N35" s="23"/>
      <c r="O35" s="23"/>
      <c r="V35" s="23"/>
      <c r="W35" s="23"/>
      <c r="X35" s="23"/>
    </row>
    <row r="36" spans="2:24">
      <c r="C36" s="3"/>
      <c r="D36" s="23"/>
      <c r="E36" s="23"/>
      <c r="F36" s="23"/>
      <c r="G36" s="23"/>
      <c r="H36" s="26"/>
      <c r="I36" s="23"/>
      <c r="J36" s="23"/>
      <c r="K36" s="23"/>
      <c r="L36" s="23"/>
      <c r="M36" s="23"/>
      <c r="N36" s="23"/>
      <c r="O36" s="23"/>
      <c r="V36" s="23"/>
      <c r="W36" s="23"/>
      <c r="X36" s="23"/>
    </row>
    <row r="37" spans="2:24">
      <c r="C37" s="3"/>
      <c r="D37" s="23"/>
      <c r="E37" s="23"/>
      <c r="F37" s="23"/>
      <c r="G37" s="23"/>
      <c r="H37" s="26"/>
      <c r="I37" s="23"/>
      <c r="J37" s="23"/>
      <c r="K37" s="23"/>
      <c r="L37" s="23"/>
      <c r="M37" s="23"/>
      <c r="N37" s="23"/>
      <c r="O37" s="23"/>
      <c r="V37" s="23"/>
      <c r="W37" s="23"/>
      <c r="X37" s="23"/>
    </row>
    <row r="38" spans="2:24">
      <c r="C38" s="3"/>
      <c r="D38" s="23"/>
      <c r="E38" s="23"/>
      <c r="F38" s="23"/>
      <c r="G38" s="23"/>
      <c r="H38" s="26"/>
      <c r="I38" s="23"/>
      <c r="J38" s="23"/>
      <c r="K38" s="23"/>
      <c r="L38" s="23"/>
      <c r="M38" s="23"/>
      <c r="N38" s="23"/>
      <c r="O38" s="23"/>
      <c r="V38" s="23"/>
      <c r="W38" s="23"/>
      <c r="X38" s="23"/>
    </row>
    <row r="39" spans="2:24">
      <c r="C39" s="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V39" s="23"/>
      <c r="W39" s="23"/>
      <c r="X39" s="23"/>
    </row>
    <row r="40" spans="2:24">
      <c r="C40" s="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V40" s="23"/>
      <c r="W40" s="23"/>
      <c r="X40" s="23"/>
    </row>
    <row r="41" spans="2:24">
      <c r="C41" s="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V41" s="23"/>
      <c r="W41" s="23"/>
      <c r="X41" s="23"/>
    </row>
    <row r="42" spans="2:24">
      <c r="C42" s="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V42" s="23"/>
      <c r="W42" s="23"/>
      <c r="X42" s="23"/>
    </row>
    <row r="43" spans="2:24">
      <c r="C43" s="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V43" s="23"/>
      <c r="W43" s="23"/>
      <c r="X43" s="23"/>
    </row>
    <row r="44" spans="2:24">
      <c r="C44" s="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V44" s="23"/>
      <c r="W44" s="23"/>
      <c r="X44" s="23"/>
    </row>
    <row r="45" spans="2:24">
      <c r="C45" s="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V45" s="23"/>
      <c r="W45" s="23"/>
      <c r="X45" s="23"/>
    </row>
    <row r="46" spans="2:24">
      <c r="C46" s="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V46" s="23"/>
      <c r="W46" s="23"/>
      <c r="X46" s="23"/>
    </row>
    <row r="47" spans="2:24">
      <c r="C47" s="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V47" s="23"/>
      <c r="W47" s="23"/>
      <c r="X47" s="23"/>
    </row>
    <row r="48" spans="2:24">
      <c r="C48" s="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V48" s="23"/>
      <c r="W48" s="23"/>
      <c r="X48" s="23"/>
    </row>
    <row r="49" spans="3:24">
      <c r="C49" s="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V49" s="23"/>
      <c r="W49" s="23"/>
      <c r="X49" s="23"/>
    </row>
    <row r="50" spans="3:24">
      <c r="C50" s="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V50" s="23"/>
      <c r="W50" s="23"/>
      <c r="X50" s="23"/>
    </row>
    <row r="51" spans="3:24">
      <c r="C51" s="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V51" s="23"/>
      <c r="W51" s="23"/>
      <c r="X51" s="23"/>
    </row>
    <row r="52" spans="3:24">
      <c r="C52" s="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V52" s="23"/>
      <c r="W52" s="23"/>
      <c r="X52" s="23"/>
    </row>
    <row r="53" spans="3:24">
      <c r="C53" s="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V53" s="23"/>
      <c r="W53" s="23"/>
      <c r="X53" s="23"/>
    </row>
    <row r="54" spans="3:24">
      <c r="C54" s="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V54" s="23"/>
      <c r="W54" s="23"/>
      <c r="X54" s="23"/>
    </row>
    <row r="55" spans="3:24">
      <c r="C55" s="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V55" s="23"/>
      <c r="W55" s="23"/>
      <c r="X55" s="23"/>
    </row>
    <row r="56" spans="3:24">
      <c r="C56" s="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V56" s="23"/>
      <c r="W56" s="23"/>
      <c r="X56" s="23"/>
    </row>
    <row r="57" spans="3:24">
      <c r="C57" s="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V57" s="23"/>
      <c r="W57" s="23"/>
      <c r="X57" s="23"/>
    </row>
    <row r="58" spans="3:24">
      <c r="C58" s="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V58" s="23"/>
      <c r="W58" s="23"/>
      <c r="X58" s="23"/>
    </row>
    <row r="59" spans="3:24">
      <c r="C59" s="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V59" s="23"/>
      <c r="W59" s="23"/>
      <c r="X59" s="23"/>
    </row>
    <row r="60" spans="3:24">
      <c r="C60" s="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V60" s="23"/>
      <c r="W60" s="23"/>
      <c r="X60" s="23"/>
    </row>
    <row r="61" spans="3:24">
      <c r="C61" s="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V61" s="23"/>
      <c r="W61" s="23"/>
      <c r="X61" s="23"/>
    </row>
    <row r="62" spans="3:24">
      <c r="C62" s="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V62" s="23"/>
      <c r="W62" s="23"/>
      <c r="X62" s="23"/>
    </row>
    <row r="63" spans="3:24">
      <c r="C63" s="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V63" s="23"/>
      <c r="W63" s="23"/>
      <c r="X63" s="23"/>
    </row>
    <row r="64" spans="3:24">
      <c r="C64" s="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V64" s="23"/>
      <c r="W64" s="23"/>
      <c r="X64" s="23"/>
    </row>
    <row r="65" spans="3:24">
      <c r="C65" s="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V65" s="23"/>
      <c r="W65" s="23"/>
      <c r="X65" s="23"/>
    </row>
    <row r="66" spans="3:24">
      <c r="C66" s="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V66" s="23"/>
      <c r="W66" s="23"/>
      <c r="X66" s="23"/>
    </row>
    <row r="67" spans="3:24">
      <c r="C67" s="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V67" s="23"/>
      <c r="W67" s="23"/>
      <c r="X67" s="23"/>
    </row>
    <row r="68" spans="3:24">
      <c r="C68" s="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V68" s="23"/>
      <c r="W68" s="23"/>
      <c r="X68" s="23"/>
    </row>
    <row r="69" spans="3:24">
      <c r="C69" s="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V69" s="23"/>
      <c r="W69" s="23"/>
      <c r="X69" s="23"/>
    </row>
    <row r="70" spans="3:24">
      <c r="C70" s="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V70" s="23"/>
      <c r="W70" s="23"/>
      <c r="X70" s="23"/>
    </row>
    <row r="71" spans="3:24">
      <c r="C71" s="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V71" s="23"/>
      <c r="W71" s="23"/>
      <c r="X71" s="23"/>
    </row>
    <row r="72" spans="3:24">
      <c r="C72" s="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V72" s="23"/>
      <c r="W72" s="23"/>
      <c r="X72" s="23"/>
    </row>
    <row r="73" spans="3:24">
      <c r="C73" s="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V73" s="23"/>
      <c r="W73" s="23"/>
      <c r="X73" s="23"/>
    </row>
    <row r="74" spans="3:24">
      <c r="C74" s="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V74" s="23"/>
      <c r="W74" s="23"/>
      <c r="X74" s="23"/>
    </row>
    <row r="75" spans="3:24">
      <c r="C75" s="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V75" s="23"/>
      <c r="W75" s="23"/>
      <c r="X75" s="23"/>
    </row>
    <row r="76" spans="3:24">
      <c r="C76" s="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V76" s="23"/>
      <c r="W76" s="23"/>
      <c r="X76" s="23"/>
    </row>
    <row r="77" spans="3:24">
      <c r="C77" s="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V77" s="23"/>
      <c r="W77" s="23"/>
      <c r="X77" s="23"/>
    </row>
    <row r="78" spans="3:24">
      <c r="C78" s="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V78" s="23"/>
      <c r="W78" s="23"/>
      <c r="X78" s="23"/>
    </row>
    <row r="79" spans="3:24">
      <c r="C79" s="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V79" s="23"/>
      <c r="W79" s="23"/>
      <c r="X79" s="23"/>
    </row>
    <row r="80" spans="3:24">
      <c r="C80" s="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V80" s="23"/>
      <c r="W80" s="23"/>
      <c r="X80" s="23"/>
    </row>
    <row r="81" spans="3:24">
      <c r="C81" s="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V81" s="23"/>
      <c r="W81" s="23"/>
      <c r="X81" s="23"/>
    </row>
    <row r="82" spans="3:24">
      <c r="C82" s="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V82" s="23"/>
      <c r="W82" s="23"/>
      <c r="X82" s="23"/>
    </row>
    <row r="83" spans="3:24">
      <c r="C83" s="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V83" s="23"/>
      <c r="W83" s="23"/>
      <c r="X83" s="23"/>
    </row>
    <row r="84" spans="3:24">
      <c r="C84" s="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V84" s="23"/>
      <c r="W84" s="23"/>
      <c r="X84" s="23"/>
    </row>
    <row r="85" spans="3:24">
      <c r="C85" s="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V85" s="23"/>
      <c r="W85" s="23"/>
      <c r="X85" s="23"/>
    </row>
    <row r="86" spans="3:24">
      <c r="C86" s="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V86" s="23"/>
      <c r="W86" s="23"/>
      <c r="X86" s="23"/>
    </row>
    <row r="87" spans="3:24">
      <c r="C87" s="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V87" s="23"/>
      <c r="W87" s="23"/>
      <c r="X87" s="23"/>
    </row>
    <row r="88" spans="3:24">
      <c r="C88" s="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V88" s="23"/>
      <c r="W88" s="23"/>
      <c r="X88" s="23"/>
    </row>
    <row r="89" spans="3:24">
      <c r="C89" s="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V89" s="23"/>
      <c r="W89" s="23"/>
      <c r="X89" s="23"/>
    </row>
    <row r="90" spans="3:24">
      <c r="C90" s="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V90" s="23"/>
      <c r="W90" s="23"/>
      <c r="X90" s="23"/>
    </row>
    <row r="91" spans="3:24">
      <c r="C91" s="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V91" s="23"/>
      <c r="W91" s="23"/>
      <c r="X91" s="23"/>
    </row>
    <row r="92" spans="3:24">
      <c r="C92" s="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V92" s="23"/>
      <c r="W92" s="23"/>
      <c r="X92" s="23"/>
    </row>
    <row r="93" spans="3:24">
      <c r="C93" s="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V93" s="23"/>
      <c r="W93" s="23"/>
      <c r="X93" s="23"/>
    </row>
    <row r="94" spans="3:24">
      <c r="C94" s="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V94" s="23"/>
      <c r="W94" s="23"/>
      <c r="X94" s="23"/>
    </row>
    <row r="95" spans="3:24">
      <c r="C95" s="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V95" s="23"/>
      <c r="W95" s="23"/>
      <c r="X95" s="23"/>
    </row>
    <row r="96" spans="3:24">
      <c r="C96" s="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V96" s="23"/>
      <c r="W96" s="23"/>
      <c r="X96" s="23"/>
    </row>
    <row r="97" spans="3:24">
      <c r="C97" s="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V97" s="23"/>
      <c r="W97" s="23"/>
      <c r="X97" s="23"/>
    </row>
    <row r="98" spans="3:24">
      <c r="C98" s="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V98" s="23"/>
      <c r="W98" s="23"/>
      <c r="X98" s="23"/>
    </row>
    <row r="99" spans="3:24">
      <c r="C99" s="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V99" s="23"/>
      <c r="W99" s="23"/>
      <c r="X99" s="23"/>
    </row>
    <row r="100" spans="3:24">
      <c r="C100" s="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V100" s="23"/>
      <c r="W100" s="23"/>
      <c r="X100" s="23"/>
    </row>
    <row r="101" spans="3:24">
      <c r="C101" s="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V101" s="23"/>
      <c r="W101" s="23"/>
      <c r="X101" s="23"/>
    </row>
    <row r="102" spans="3:24">
      <c r="C102" s="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V102" s="23"/>
      <c r="W102" s="23"/>
      <c r="X102" s="23"/>
    </row>
    <row r="103" spans="3:24">
      <c r="C103" s="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V103" s="23"/>
      <c r="W103" s="23"/>
      <c r="X103" s="23"/>
    </row>
    <row r="104" spans="3:24">
      <c r="C104" s="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V104" s="23"/>
      <c r="W104" s="23"/>
      <c r="X104" s="23"/>
    </row>
    <row r="105" spans="3:24">
      <c r="C105" s="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V105" s="23"/>
      <c r="W105" s="23"/>
      <c r="X105" s="23"/>
    </row>
    <row r="106" spans="3:24">
      <c r="C106" s="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V106" s="23"/>
      <c r="W106" s="23"/>
      <c r="X106" s="23"/>
    </row>
    <row r="107" spans="3:24">
      <c r="C107" s="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V107" s="23"/>
      <c r="W107" s="23"/>
      <c r="X107" s="23"/>
    </row>
    <row r="108" spans="3:24">
      <c r="C108" s="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V108" s="23"/>
      <c r="W108" s="23"/>
      <c r="X108" s="23"/>
    </row>
    <row r="109" spans="3:24">
      <c r="C109" s="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V109" s="23"/>
      <c r="W109" s="23"/>
      <c r="X109" s="23"/>
    </row>
    <row r="110" spans="3:24">
      <c r="C110" s="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V110" s="23"/>
      <c r="W110" s="23"/>
      <c r="X110" s="23"/>
    </row>
    <row r="111" spans="3:24">
      <c r="C111" s="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V111" s="23"/>
      <c r="W111" s="23"/>
      <c r="X111" s="23"/>
    </row>
    <row r="112" spans="3:24">
      <c r="C112" s="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V112" s="23"/>
      <c r="W112" s="23"/>
      <c r="X112" s="23"/>
    </row>
    <row r="113" spans="3:24">
      <c r="C113" s="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V113" s="23"/>
      <c r="W113" s="23"/>
      <c r="X113" s="23"/>
    </row>
    <row r="114" spans="3:24">
      <c r="C114" s="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V114" s="23"/>
      <c r="W114" s="23"/>
      <c r="X114" s="23"/>
    </row>
    <row r="115" spans="3:24">
      <c r="C115" s="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V115" s="23"/>
      <c r="W115" s="23"/>
      <c r="X115" s="23"/>
    </row>
    <row r="116" spans="3:24">
      <c r="C116" s="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V116" s="23"/>
      <c r="W116" s="23"/>
      <c r="X116" s="23"/>
    </row>
    <row r="117" spans="3:24">
      <c r="C117" s="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V117" s="23"/>
      <c r="W117" s="23"/>
      <c r="X117" s="23"/>
    </row>
    <row r="118" spans="3:24">
      <c r="C118" s="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V118" s="23"/>
      <c r="W118" s="23"/>
      <c r="X118" s="23"/>
    </row>
    <row r="119" spans="3:24">
      <c r="C119" s="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V119" s="23"/>
      <c r="W119" s="23"/>
      <c r="X119" s="23"/>
    </row>
    <row r="120" spans="3:24">
      <c r="C120" s="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V120" s="23"/>
      <c r="W120" s="23"/>
      <c r="X120" s="23"/>
    </row>
    <row r="121" spans="3:24">
      <c r="C121" s="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V121" s="23"/>
      <c r="W121" s="23"/>
      <c r="X121" s="23"/>
    </row>
    <row r="122" spans="3:24">
      <c r="C122" s="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V122" s="23"/>
      <c r="W122" s="23"/>
      <c r="X122" s="23"/>
    </row>
    <row r="123" spans="3:24">
      <c r="C123" s="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V123" s="23"/>
      <c r="W123" s="23"/>
      <c r="X123" s="23"/>
    </row>
    <row r="124" spans="3:24">
      <c r="C124" s="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V124" s="23"/>
      <c r="W124" s="23"/>
      <c r="X124" s="23"/>
    </row>
    <row r="125" spans="3:24">
      <c r="C125" s="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V125" s="23"/>
      <c r="W125" s="23"/>
      <c r="X125" s="23"/>
    </row>
    <row r="126" spans="3:24">
      <c r="C126" s="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V126" s="23"/>
      <c r="W126" s="23"/>
      <c r="X126" s="23"/>
    </row>
    <row r="127" spans="3:24">
      <c r="C127" s="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V127" s="23"/>
      <c r="W127" s="23"/>
      <c r="X127" s="23"/>
    </row>
    <row r="128" spans="3:24">
      <c r="C128" s="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V128" s="23"/>
      <c r="W128" s="23"/>
      <c r="X128" s="23"/>
    </row>
    <row r="129" spans="3:24">
      <c r="C129" s="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V129" s="23"/>
      <c r="W129" s="23"/>
      <c r="X129" s="23"/>
    </row>
    <row r="130" spans="3:24">
      <c r="C130" s="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V130" s="23"/>
      <c r="W130" s="23"/>
      <c r="X130" s="23"/>
    </row>
    <row r="131" spans="3:24">
      <c r="C131" s="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V131" s="23"/>
      <c r="W131" s="23"/>
      <c r="X131" s="23"/>
    </row>
    <row r="132" spans="3:24">
      <c r="C132" s="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V132" s="23"/>
      <c r="W132" s="23"/>
      <c r="X132" s="23"/>
    </row>
    <row r="133" spans="3:24">
      <c r="C133" s="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V133" s="23"/>
      <c r="W133" s="23"/>
      <c r="X133" s="23"/>
    </row>
    <row r="134" spans="3:24">
      <c r="C134" s="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V134" s="23"/>
      <c r="W134" s="23"/>
      <c r="X134" s="23"/>
    </row>
    <row r="135" spans="3:24">
      <c r="C135" s="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V135" s="23"/>
      <c r="W135" s="23"/>
      <c r="X135" s="23"/>
    </row>
    <row r="136" spans="3:24">
      <c r="C136" s="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V136" s="23"/>
      <c r="W136" s="23"/>
      <c r="X136" s="23"/>
    </row>
    <row r="137" spans="3:24">
      <c r="C137" s="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V137" s="23"/>
      <c r="W137" s="23"/>
      <c r="X137" s="23"/>
    </row>
    <row r="138" spans="3:24">
      <c r="C138" s="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V138" s="23"/>
      <c r="W138" s="23"/>
      <c r="X138" s="23"/>
    </row>
    <row r="139" spans="3:24">
      <c r="C139" s="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V139" s="23"/>
      <c r="W139" s="23"/>
      <c r="X139" s="23"/>
    </row>
    <row r="140" spans="3:24">
      <c r="C140" s="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V140" s="23"/>
      <c r="W140" s="23"/>
      <c r="X140" s="23"/>
    </row>
    <row r="141" spans="3:24">
      <c r="C141" s="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V141" s="23"/>
      <c r="W141" s="23"/>
      <c r="X141" s="23"/>
    </row>
    <row r="142" spans="3:24">
      <c r="C142" s="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V142" s="23"/>
      <c r="W142" s="23"/>
      <c r="X142" s="23"/>
    </row>
    <row r="143" spans="3:24">
      <c r="C143" s="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V143" s="23"/>
      <c r="W143" s="23"/>
      <c r="X143" s="23"/>
    </row>
    <row r="144" spans="3:24">
      <c r="C144" s="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V144" s="23"/>
      <c r="W144" s="23"/>
      <c r="X144" s="23"/>
    </row>
    <row r="145" spans="3:24">
      <c r="C145" s="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V145" s="23"/>
      <c r="W145" s="23"/>
      <c r="X145" s="23"/>
    </row>
    <row r="146" spans="3:24">
      <c r="C146" s="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V146" s="23"/>
      <c r="W146" s="23"/>
      <c r="X146" s="23"/>
    </row>
    <row r="147" spans="3:24">
      <c r="C147" s="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V147" s="23"/>
      <c r="W147" s="23"/>
      <c r="X147" s="23"/>
    </row>
    <row r="148" spans="3:24">
      <c r="C148" s="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V148" s="23"/>
      <c r="W148" s="23"/>
      <c r="X148" s="23"/>
    </row>
    <row r="149" spans="3:24">
      <c r="C149" s="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V149" s="23"/>
      <c r="W149" s="23"/>
      <c r="X149" s="23"/>
    </row>
    <row r="150" spans="3:24">
      <c r="C150" s="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V150" s="23"/>
      <c r="W150" s="23"/>
      <c r="X150" s="23"/>
    </row>
    <row r="151" spans="3:24">
      <c r="C151" s="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V151" s="23"/>
      <c r="W151" s="23"/>
      <c r="X151" s="23"/>
    </row>
    <row r="152" spans="3:24">
      <c r="C152" s="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V152" s="23"/>
      <c r="W152" s="23"/>
      <c r="X152" s="23"/>
    </row>
    <row r="153" spans="3:24">
      <c r="C153" s="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V153" s="23"/>
      <c r="W153" s="23"/>
      <c r="X153" s="23"/>
    </row>
    <row r="154" spans="3:24">
      <c r="C154" s="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V154" s="23"/>
      <c r="W154" s="23"/>
      <c r="X154" s="23"/>
    </row>
    <row r="155" spans="3:24">
      <c r="C155" s="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V155" s="23"/>
      <c r="W155" s="23"/>
      <c r="X155" s="23"/>
    </row>
    <row r="156" spans="3:24">
      <c r="C156" s="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V156" s="23"/>
      <c r="W156" s="23"/>
      <c r="X156" s="23"/>
    </row>
    <row r="157" spans="3:24">
      <c r="C157" s="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V157" s="23"/>
      <c r="W157" s="23"/>
      <c r="X157" s="23"/>
    </row>
    <row r="158" spans="3:24">
      <c r="C158" s="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V158" s="23"/>
      <c r="W158" s="23"/>
      <c r="X158" s="23"/>
    </row>
    <row r="159" spans="3:24">
      <c r="C159" s="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V159" s="23"/>
      <c r="W159" s="23"/>
      <c r="X159" s="23"/>
    </row>
    <row r="160" spans="3:24">
      <c r="C160" s="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V160" s="23"/>
      <c r="W160" s="23"/>
      <c r="X160" s="23"/>
    </row>
    <row r="161" spans="3:24">
      <c r="C161" s="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V161" s="23"/>
      <c r="W161" s="23"/>
      <c r="X161" s="23"/>
    </row>
    <row r="162" spans="3:24">
      <c r="C162" s="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V162" s="23"/>
      <c r="W162" s="23"/>
      <c r="X162" s="23"/>
    </row>
    <row r="163" spans="3:24">
      <c r="C163" s="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V163" s="23"/>
      <c r="W163" s="23"/>
      <c r="X163" s="23"/>
    </row>
    <row r="164" spans="3:24">
      <c r="C164" s="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V164" s="23"/>
      <c r="W164" s="23"/>
      <c r="X164" s="23"/>
    </row>
    <row r="165" spans="3:24">
      <c r="C165" s="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V165" s="23"/>
      <c r="W165" s="23"/>
      <c r="X165" s="23"/>
    </row>
    <row r="166" spans="3:24">
      <c r="C166" s="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V166" s="23"/>
      <c r="W166" s="23"/>
      <c r="X166" s="23"/>
    </row>
    <row r="167" spans="3:24">
      <c r="C167" s="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V167" s="23"/>
      <c r="W167" s="23"/>
      <c r="X167" s="23"/>
    </row>
    <row r="168" spans="3:24">
      <c r="C168" s="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V168" s="23"/>
      <c r="W168" s="23"/>
      <c r="X168" s="23"/>
    </row>
    <row r="169" spans="3:24">
      <c r="C169" s="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V169" s="23"/>
      <c r="W169" s="23"/>
      <c r="X169" s="23"/>
    </row>
    <row r="170" spans="3:24">
      <c r="C170" s="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V170" s="23"/>
      <c r="W170" s="23"/>
      <c r="X170" s="23"/>
    </row>
    <row r="171" spans="3:24">
      <c r="C171" s="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V171" s="23"/>
      <c r="W171" s="23"/>
      <c r="X171" s="23"/>
    </row>
    <row r="172" spans="3:24">
      <c r="C172" s="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V172" s="23"/>
      <c r="W172" s="23"/>
      <c r="X172" s="23"/>
    </row>
    <row r="173" spans="3:24">
      <c r="C173" s="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V173" s="23"/>
      <c r="W173" s="23"/>
      <c r="X173" s="23"/>
    </row>
    <row r="174" spans="3:24">
      <c r="C174" s="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V174" s="23"/>
      <c r="W174" s="23"/>
      <c r="X174" s="23"/>
    </row>
    <row r="175" spans="3:24">
      <c r="C175" s="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V175" s="23"/>
      <c r="W175" s="23"/>
      <c r="X175" s="23"/>
    </row>
    <row r="176" spans="3:24">
      <c r="C176" s="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V176" s="23"/>
      <c r="W176" s="23"/>
      <c r="X176" s="23"/>
    </row>
    <row r="177" spans="3:24">
      <c r="C177" s="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V177" s="23"/>
      <c r="W177" s="23"/>
      <c r="X177" s="23"/>
    </row>
    <row r="178" spans="3:24">
      <c r="C178" s="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V178" s="23"/>
      <c r="W178" s="23"/>
      <c r="X178" s="23"/>
    </row>
    <row r="179" spans="3:24">
      <c r="C179" s="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V179" s="23"/>
      <c r="W179" s="23"/>
      <c r="X179" s="23"/>
    </row>
    <row r="180" spans="3:24">
      <c r="C180" s="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V180" s="23"/>
      <c r="W180" s="23"/>
      <c r="X180" s="23"/>
    </row>
    <row r="181" spans="3:24">
      <c r="C181" s="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V181" s="23"/>
      <c r="W181" s="23"/>
      <c r="X181" s="23"/>
    </row>
    <row r="182" spans="3:24">
      <c r="C182" s="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V182" s="23"/>
      <c r="W182" s="23"/>
      <c r="X182" s="23"/>
    </row>
    <row r="183" spans="3:24">
      <c r="C183" s="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V183" s="23"/>
      <c r="W183" s="23"/>
      <c r="X183" s="23"/>
    </row>
    <row r="184" spans="3:24">
      <c r="C184" s="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V184" s="23"/>
      <c r="W184" s="23"/>
      <c r="X184" s="23"/>
    </row>
    <row r="185" spans="3:24">
      <c r="C185" s="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V185" s="23"/>
      <c r="W185" s="23"/>
      <c r="X185" s="23"/>
    </row>
    <row r="186" spans="3:24">
      <c r="C186" s="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V186" s="23"/>
      <c r="W186" s="23"/>
      <c r="X186" s="23"/>
    </row>
    <row r="187" spans="3:24">
      <c r="C187" s="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V187" s="23"/>
      <c r="W187" s="23"/>
      <c r="X187" s="23"/>
    </row>
    <row r="188" spans="3:24">
      <c r="C188" s="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V188" s="23"/>
      <c r="W188" s="23"/>
      <c r="X188" s="23"/>
    </row>
    <row r="189" spans="3:24">
      <c r="C189" s="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V189" s="23"/>
      <c r="W189" s="23"/>
      <c r="X189" s="23"/>
    </row>
    <row r="190" spans="3:24">
      <c r="C190" s="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V190" s="23"/>
      <c r="W190" s="23"/>
      <c r="X190" s="23"/>
    </row>
    <row r="191" spans="3:24">
      <c r="C191" s="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V191" s="23"/>
      <c r="W191" s="23"/>
      <c r="X191" s="23"/>
    </row>
    <row r="192" spans="3:24">
      <c r="C192" s="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V192" s="23"/>
      <c r="W192" s="23"/>
      <c r="X192" s="23"/>
    </row>
    <row r="193" spans="3:24">
      <c r="C193" s="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V193" s="23"/>
      <c r="W193" s="23"/>
      <c r="X193" s="23"/>
    </row>
    <row r="194" spans="3:24">
      <c r="C194" s="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V194" s="23"/>
      <c r="W194" s="23"/>
      <c r="X194" s="23"/>
    </row>
    <row r="195" spans="3:24">
      <c r="C195" s="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V195" s="23"/>
      <c r="W195" s="23"/>
      <c r="X195" s="23"/>
    </row>
    <row r="196" spans="3:24">
      <c r="C196" s="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V196" s="23"/>
      <c r="W196" s="23"/>
      <c r="X196" s="23"/>
    </row>
    <row r="197" spans="3:24">
      <c r="C197" s="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V197" s="23"/>
      <c r="W197" s="23"/>
      <c r="X197" s="23"/>
    </row>
    <row r="198" spans="3:24">
      <c r="C198" s="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V198" s="23"/>
      <c r="W198" s="23"/>
      <c r="X198" s="23"/>
    </row>
    <row r="199" spans="3:24">
      <c r="C199" s="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V199" s="23"/>
      <c r="W199" s="23"/>
      <c r="X199" s="23"/>
    </row>
    <row r="200" spans="3:24">
      <c r="C200" s="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V200" s="23"/>
      <c r="W200" s="23"/>
      <c r="X200" s="23"/>
    </row>
    <row r="201" spans="3:24">
      <c r="C201" s="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V201" s="23"/>
      <c r="W201" s="23"/>
      <c r="X201" s="23"/>
    </row>
    <row r="202" spans="3:24">
      <c r="C202" s="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V202" s="23"/>
      <c r="W202" s="23"/>
      <c r="X202" s="23"/>
    </row>
    <row r="203" spans="3:24">
      <c r="C203" s="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V203" s="23"/>
      <c r="W203" s="23"/>
      <c r="X203" s="23"/>
    </row>
    <row r="204" spans="3:24">
      <c r="C204" s="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V204" s="23"/>
      <c r="W204" s="23"/>
      <c r="X204" s="23"/>
    </row>
    <row r="205" spans="3:24">
      <c r="C205" s="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V205" s="23"/>
      <c r="W205" s="23"/>
      <c r="X205" s="23"/>
    </row>
    <row r="206" spans="3:24">
      <c r="C206" s="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V206" s="23"/>
      <c r="W206" s="23"/>
      <c r="X206" s="23"/>
    </row>
    <row r="207" spans="3:24">
      <c r="C207" s="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V207" s="23"/>
      <c r="W207" s="23"/>
      <c r="X207" s="23"/>
    </row>
    <row r="208" spans="3:24">
      <c r="C208" s="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V208" s="23"/>
      <c r="W208" s="23"/>
      <c r="X208" s="23"/>
    </row>
    <row r="209" spans="3:24">
      <c r="C209" s="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V209" s="23"/>
      <c r="W209" s="23"/>
      <c r="X209" s="23"/>
    </row>
    <row r="210" spans="3:24">
      <c r="C210" s="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V210" s="23"/>
      <c r="W210" s="23"/>
      <c r="X210" s="23"/>
    </row>
    <row r="211" spans="3:24">
      <c r="C211" s="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V211" s="23"/>
      <c r="W211" s="23"/>
      <c r="X211" s="23"/>
    </row>
    <row r="212" spans="3:24">
      <c r="C212" s="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V212" s="23"/>
      <c r="W212" s="23"/>
      <c r="X212" s="23"/>
    </row>
    <row r="213" spans="3:24">
      <c r="C213" s="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V213" s="23"/>
      <c r="W213" s="23"/>
      <c r="X213" s="23"/>
    </row>
    <row r="214" spans="3:24">
      <c r="C214" s="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V214" s="23"/>
      <c r="W214" s="23"/>
      <c r="X214" s="23"/>
    </row>
    <row r="215" spans="3:24">
      <c r="C215" s="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V215" s="23"/>
      <c r="W215" s="23"/>
      <c r="X215" s="23"/>
    </row>
    <row r="216" spans="3:24">
      <c r="C216" s="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V216" s="23"/>
      <c r="W216" s="23"/>
      <c r="X216" s="23"/>
    </row>
    <row r="217" spans="3:24">
      <c r="C217" s="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V217" s="23"/>
      <c r="W217" s="23"/>
      <c r="X217" s="23"/>
    </row>
    <row r="218" spans="3:24">
      <c r="C218" s="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V218" s="23"/>
      <c r="W218" s="23"/>
      <c r="X218" s="23"/>
    </row>
    <row r="219" spans="3:24">
      <c r="C219" s="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V219" s="23"/>
      <c r="W219" s="23"/>
      <c r="X219" s="23"/>
    </row>
    <row r="220" spans="3:24">
      <c r="C220" s="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V220" s="23"/>
      <c r="W220" s="23"/>
      <c r="X220" s="23"/>
    </row>
    <row r="221" spans="3:24">
      <c r="C221" s="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V221" s="23"/>
      <c r="W221" s="23"/>
      <c r="X221" s="23"/>
    </row>
    <row r="222" spans="3:24">
      <c r="C222" s="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V222" s="23"/>
      <c r="W222" s="23"/>
      <c r="X222" s="23"/>
    </row>
    <row r="223" spans="3:24">
      <c r="C223" s="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V223" s="23"/>
      <c r="W223" s="23"/>
      <c r="X223" s="23"/>
    </row>
    <row r="224" spans="3:24">
      <c r="C224" s="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V224" s="23"/>
      <c r="W224" s="23"/>
      <c r="X224" s="23"/>
    </row>
    <row r="225" spans="3:24">
      <c r="C225" s="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V225" s="23"/>
      <c r="W225" s="23"/>
      <c r="X225" s="23"/>
    </row>
    <row r="226" spans="3:24">
      <c r="C226" s="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V226" s="23"/>
      <c r="W226" s="23"/>
      <c r="X226" s="23"/>
    </row>
    <row r="227" spans="3:24">
      <c r="C227" s="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V227" s="23"/>
      <c r="W227" s="23"/>
      <c r="X227" s="23"/>
    </row>
    <row r="228" spans="3:24">
      <c r="C228" s="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V228" s="23"/>
      <c r="W228" s="23"/>
      <c r="X228" s="23"/>
    </row>
    <row r="229" spans="3:24">
      <c r="C229" s="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V229" s="23"/>
      <c r="W229" s="23"/>
      <c r="X229" s="23"/>
    </row>
    <row r="230" spans="3:24">
      <c r="C230" s="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V230" s="23"/>
      <c r="W230" s="23"/>
      <c r="X230" s="23"/>
    </row>
    <row r="231" spans="3:24">
      <c r="C231" s="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V231" s="23"/>
      <c r="W231" s="23"/>
      <c r="X231" s="23"/>
    </row>
    <row r="232" spans="3:24">
      <c r="C232" s="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V232" s="23"/>
      <c r="W232" s="23"/>
      <c r="X232" s="23"/>
    </row>
    <row r="233" spans="3:24">
      <c r="C233" s="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V233" s="23"/>
      <c r="W233" s="23"/>
      <c r="X233" s="23"/>
    </row>
    <row r="234" spans="3:24">
      <c r="C234" s="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V234" s="23"/>
      <c r="W234" s="23"/>
      <c r="X234" s="23"/>
    </row>
    <row r="235" spans="3:24">
      <c r="C235" s="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V235" s="23"/>
      <c r="W235" s="23"/>
      <c r="X235" s="23"/>
    </row>
    <row r="236" spans="3:24">
      <c r="C236" s="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V236" s="23"/>
      <c r="W236" s="23"/>
      <c r="X236" s="23"/>
    </row>
    <row r="237" spans="3:24">
      <c r="C237" s="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V237" s="23"/>
      <c r="W237" s="23"/>
      <c r="X237" s="23"/>
    </row>
    <row r="238" spans="3:24">
      <c r="C238" s="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V238" s="23"/>
      <c r="W238" s="23"/>
      <c r="X238" s="23"/>
    </row>
    <row r="239" spans="3:24">
      <c r="C239" s="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V239" s="23"/>
      <c r="W239" s="23"/>
      <c r="X239" s="23"/>
    </row>
    <row r="240" spans="3:24">
      <c r="C240" s="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V240" s="23"/>
      <c r="W240" s="23"/>
      <c r="X240" s="23"/>
    </row>
    <row r="241" spans="3:24">
      <c r="C241" s="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V241" s="23"/>
      <c r="W241" s="23"/>
      <c r="X241" s="23"/>
    </row>
    <row r="242" spans="3:24">
      <c r="C242" s="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V242" s="23"/>
      <c r="W242" s="23"/>
      <c r="X242" s="23"/>
    </row>
    <row r="243" spans="3:24">
      <c r="C243" s="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V243" s="23"/>
      <c r="W243" s="23"/>
      <c r="X243" s="23"/>
    </row>
    <row r="244" spans="3:24">
      <c r="C244" s="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V244" s="23"/>
      <c r="W244" s="23"/>
      <c r="X244" s="23"/>
    </row>
    <row r="245" spans="3:24">
      <c r="C245" s="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V245" s="23"/>
      <c r="W245" s="23"/>
      <c r="X245" s="23"/>
    </row>
    <row r="246" spans="3:24">
      <c r="C246" s="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V246" s="23"/>
      <c r="W246" s="23"/>
      <c r="X246" s="23"/>
    </row>
    <row r="247" spans="3:24"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V247" s="23"/>
      <c r="W247" s="23"/>
      <c r="X247" s="23"/>
    </row>
    <row r="248" spans="3:24"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V248" s="23"/>
      <c r="W248" s="23"/>
      <c r="X248" s="23"/>
    </row>
    <row r="249" spans="3:24"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V249" s="23"/>
      <c r="W249" s="23"/>
      <c r="X249" s="23"/>
    </row>
    <row r="250" spans="3:24"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V250" s="23"/>
      <c r="W250" s="23"/>
      <c r="X250" s="23"/>
    </row>
    <row r="251" spans="3:24"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V251" s="23"/>
      <c r="W251" s="23"/>
      <c r="X251" s="23"/>
    </row>
    <row r="252" spans="3:24"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V252" s="23"/>
      <c r="W252" s="23"/>
      <c r="X252" s="23"/>
    </row>
    <row r="253" spans="3:24">
      <c r="C253" s="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V253" s="23"/>
      <c r="W253" s="23"/>
      <c r="X253" s="23"/>
    </row>
    <row r="254" spans="3:24">
      <c r="C254" s="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V254" s="23"/>
      <c r="W254" s="23"/>
      <c r="X254" s="23"/>
    </row>
    <row r="255" spans="3:24">
      <c r="C255" s="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V255" s="23"/>
      <c r="W255" s="23"/>
      <c r="X255" s="23"/>
    </row>
    <row r="256" spans="3:24">
      <c r="C256" s="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V256" s="23"/>
      <c r="W256" s="23"/>
      <c r="X256" s="23"/>
    </row>
    <row r="257" spans="3:24">
      <c r="C257" s="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V257" s="23"/>
      <c r="W257" s="23"/>
      <c r="X257" s="23"/>
    </row>
    <row r="258" spans="3:24">
      <c r="C258" s="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V258" s="23"/>
      <c r="W258" s="23"/>
      <c r="X258" s="23"/>
    </row>
    <row r="259" spans="3:24">
      <c r="C259" s="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V259" s="23"/>
      <c r="W259" s="23"/>
      <c r="X259" s="23"/>
    </row>
    <row r="260" spans="3:24">
      <c r="C260" s="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V260" s="23"/>
      <c r="W260" s="23"/>
      <c r="X260" s="23"/>
    </row>
    <row r="261" spans="3:24">
      <c r="C261" s="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V261" s="23"/>
      <c r="W261" s="23"/>
      <c r="X261" s="23"/>
    </row>
    <row r="262" spans="3:24">
      <c r="C262" s="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V262" s="23"/>
      <c r="W262" s="23"/>
      <c r="X262" s="23"/>
    </row>
    <row r="263" spans="3:24">
      <c r="C263" s="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V263" s="23"/>
      <c r="W263" s="23"/>
      <c r="X263" s="23"/>
    </row>
    <row r="264" spans="3:24">
      <c r="C264" s="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V264" s="23"/>
      <c r="W264" s="23"/>
      <c r="X264" s="23"/>
    </row>
    <row r="265" spans="3:24">
      <c r="C265" s="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V265" s="23"/>
      <c r="W265" s="23"/>
      <c r="X265" s="23"/>
    </row>
    <row r="266" spans="3:24">
      <c r="C266" s="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V266" s="23"/>
      <c r="W266" s="23"/>
      <c r="X266" s="23"/>
    </row>
    <row r="267" spans="3:24">
      <c r="C267" s="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V267" s="23"/>
      <c r="W267" s="23"/>
      <c r="X267" s="23"/>
    </row>
    <row r="268" spans="3:24">
      <c r="C268" s="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V268" s="23"/>
      <c r="W268" s="23"/>
      <c r="X268" s="23"/>
    </row>
    <row r="269" spans="3:24">
      <c r="C269" s="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V269" s="23"/>
      <c r="W269" s="23"/>
      <c r="X269" s="23"/>
    </row>
    <row r="270" spans="3:24">
      <c r="C270" s="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V270" s="23"/>
      <c r="W270" s="23"/>
      <c r="X270" s="23"/>
    </row>
    <row r="271" spans="3:24">
      <c r="C271" s="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V271" s="23"/>
      <c r="W271" s="23"/>
      <c r="X271" s="23"/>
    </row>
    <row r="272" spans="3:24">
      <c r="C272" s="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V272" s="23"/>
      <c r="W272" s="23"/>
      <c r="X272" s="23"/>
    </row>
    <row r="273" spans="3:24">
      <c r="C273" s="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V273" s="23"/>
      <c r="W273" s="23"/>
      <c r="X273" s="23"/>
    </row>
    <row r="274" spans="3:24">
      <c r="C274" s="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V274" s="23"/>
      <c r="W274" s="23"/>
      <c r="X274" s="23"/>
    </row>
    <row r="275" spans="3:24">
      <c r="C275" s="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V275" s="23"/>
      <c r="W275" s="23"/>
      <c r="X275" s="23"/>
    </row>
    <row r="276" spans="3:24">
      <c r="C276" s="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V276" s="23"/>
      <c r="W276" s="23"/>
      <c r="X276" s="23"/>
    </row>
    <row r="277" spans="3:24">
      <c r="C277" s="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V277" s="23"/>
      <c r="W277" s="23"/>
      <c r="X277" s="23"/>
    </row>
    <row r="278" spans="3:24">
      <c r="C278" s="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V278" s="23"/>
      <c r="W278" s="23"/>
      <c r="X278" s="23"/>
    </row>
    <row r="279" spans="3:24">
      <c r="C279" s="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V279" s="23"/>
      <c r="W279" s="23"/>
      <c r="X279" s="23"/>
    </row>
    <row r="280" spans="3:24">
      <c r="C280" s="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V280" s="23"/>
      <c r="W280" s="23"/>
      <c r="X280" s="23"/>
    </row>
    <row r="281" spans="3:24">
      <c r="C281" s="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V281" s="23"/>
      <c r="W281" s="23"/>
      <c r="X281" s="23"/>
    </row>
    <row r="282" spans="3:24">
      <c r="C282" s="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V282" s="23"/>
      <c r="W282" s="23"/>
      <c r="X282" s="23"/>
    </row>
    <row r="283" spans="3:24">
      <c r="C283" s="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V283" s="23"/>
      <c r="W283" s="23"/>
      <c r="X283" s="23"/>
    </row>
    <row r="284" spans="3:24">
      <c r="C284" s="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V284" s="23"/>
      <c r="W284" s="23"/>
      <c r="X284" s="23"/>
    </row>
    <row r="285" spans="3:24">
      <c r="C285" s="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V285" s="23"/>
      <c r="W285" s="23"/>
      <c r="X285" s="23"/>
    </row>
    <row r="286" spans="3:24">
      <c r="C286" s="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V286" s="23"/>
      <c r="W286" s="23"/>
      <c r="X286" s="23"/>
    </row>
    <row r="287" spans="3:24">
      <c r="C287" s="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V287" s="23"/>
      <c r="W287" s="23"/>
      <c r="X287" s="23"/>
    </row>
    <row r="288" spans="3:24">
      <c r="C288" s="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V288" s="23"/>
      <c r="W288" s="23"/>
      <c r="X288" s="23"/>
    </row>
    <row r="289" spans="3:24">
      <c r="C289" s="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V289" s="23"/>
      <c r="W289" s="23"/>
      <c r="X289" s="23"/>
    </row>
    <row r="290" spans="3:24">
      <c r="C290" s="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V290" s="23"/>
      <c r="W290" s="23"/>
      <c r="X290" s="23"/>
    </row>
    <row r="291" spans="3:24">
      <c r="C291" s="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V291" s="23"/>
      <c r="W291" s="23"/>
      <c r="X291" s="23"/>
    </row>
    <row r="292" spans="3:24">
      <c r="C292" s="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V292" s="23"/>
      <c r="W292" s="23"/>
      <c r="X292" s="23"/>
    </row>
    <row r="293" spans="3:24">
      <c r="C293" s="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V293" s="23"/>
      <c r="W293" s="23"/>
      <c r="X293" s="23"/>
    </row>
    <row r="294" spans="3:24">
      <c r="C294" s="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V294" s="23"/>
      <c r="W294" s="23"/>
      <c r="X294" s="23"/>
    </row>
    <row r="295" spans="3:24">
      <c r="C295" s="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V295" s="23"/>
      <c r="W295" s="23"/>
      <c r="X295" s="23"/>
    </row>
    <row r="296" spans="3:24">
      <c r="C296" s="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V296" s="23"/>
      <c r="W296" s="23"/>
      <c r="X296" s="23"/>
    </row>
    <row r="297" spans="3:24">
      <c r="C297" s="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V297" s="23"/>
      <c r="W297" s="23"/>
      <c r="X297" s="23"/>
    </row>
    <row r="298" spans="3:24">
      <c r="C298" s="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V298" s="23"/>
      <c r="W298" s="23"/>
      <c r="X298" s="23"/>
    </row>
    <row r="299" spans="3:24">
      <c r="C299" s="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V299" s="23"/>
      <c r="W299" s="23"/>
      <c r="X299" s="23"/>
    </row>
    <row r="300" spans="3:24">
      <c r="C300" s="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V300" s="23"/>
      <c r="W300" s="23"/>
      <c r="X300" s="23"/>
    </row>
    <row r="301" spans="3:24">
      <c r="C301" s="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V301" s="23"/>
      <c r="W301" s="23"/>
      <c r="X301" s="23"/>
    </row>
    <row r="302" spans="3:24">
      <c r="C302" s="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V302" s="23"/>
      <c r="W302" s="23"/>
      <c r="X302" s="23"/>
    </row>
    <row r="303" spans="3:24">
      <c r="C303" s="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V303" s="23"/>
      <c r="W303" s="23"/>
      <c r="X303" s="23"/>
    </row>
    <row r="304" spans="3:24">
      <c r="C304" s="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V304" s="23"/>
      <c r="W304" s="23"/>
      <c r="X304" s="23"/>
    </row>
    <row r="305" spans="3:24">
      <c r="C305" s="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V305" s="23"/>
      <c r="W305" s="23"/>
      <c r="X305" s="23"/>
    </row>
    <row r="306" spans="3:24">
      <c r="C306" s="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V306" s="23"/>
      <c r="W306" s="23"/>
      <c r="X306" s="23"/>
    </row>
    <row r="307" spans="3:24">
      <c r="C307" s="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V307" s="23"/>
      <c r="W307" s="23"/>
      <c r="X307" s="23"/>
    </row>
    <row r="308" spans="3:24">
      <c r="C308" s="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V308" s="23"/>
      <c r="W308" s="23"/>
      <c r="X308" s="23"/>
    </row>
    <row r="309" spans="3:24">
      <c r="C309" s="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V309" s="23"/>
      <c r="W309" s="23"/>
      <c r="X309" s="23"/>
    </row>
    <row r="310" spans="3:24">
      <c r="C310" s="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V310" s="23"/>
      <c r="W310" s="23"/>
      <c r="X310" s="23"/>
    </row>
    <row r="311" spans="3:24">
      <c r="C311" s="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V311" s="23"/>
      <c r="W311" s="23"/>
      <c r="X311" s="23"/>
    </row>
    <row r="312" spans="3:24">
      <c r="C312" s="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V312" s="23"/>
      <c r="W312" s="23"/>
      <c r="X312" s="23"/>
    </row>
    <row r="313" spans="3:24">
      <c r="C313" s="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V313" s="23"/>
      <c r="W313" s="23"/>
      <c r="X313" s="23"/>
    </row>
    <row r="314" spans="3:24">
      <c r="C314" s="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V314" s="23"/>
      <c r="W314" s="23"/>
      <c r="X314" s="23"/>
    </row>
    <row r="315" spans="3:24">
      <c r="C315" s="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V315" s="23"/>
      <c r="W315" s="23"/>
      <c r="X315" s="23"/>
    </row>
    <row r="316" spans="3:24">
      <c r="C316" s="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V316" s="23"/>
      <c r="W316" s="23"/>
      <c r="X316" s="23"/>
    </row>
    <row r="317" spans="3:24">
      <c r="C317" s="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V317" s="23"/>
      <c r="W317" s="23"/>
      <c r="X317" s="23"/>
    </row>
    <row r="318" spans="3:24">
      <c r="C318" s="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V318" s="23"/>
      <c r="W318" s="23"/>
      <c r="X318" s="23"/>
    </row>
    <row r="319" spans="3:24">
      <c r="C319" s="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V319" s="23"/>
      <c r="W319" s="23"/>
      <c r="X319" s="23"/>
    </row>
    <row r="320" spans="3:24">
      <c r="C320" s="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V320" s="23"/>
      <c r="W320" s="23"/>
      <c r="X320" s="23"/>
    </row>
    <row r="321" spans="3:24">
      <c r="C321" s="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V321" s="23"/>
      <c r="W321" s="23"/>
      <c r="X321" s="23"/>
    </row>
    <row r="322" spans="3:24">
      <c r="C322" s="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V322" s="23"/>
      <c r="W322" s="23"/>
      <c r="X322" s="23"/>
    </row>
    <row r="323" spans="3:24">
      <c r="C323" s="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V323" s="23"/>
      <c r="W323" s="23"/>
      <c r="X323" s="23"/>
    </row>
    <row r="324" spans="3:24">
      <c r="C324" s="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V324" s="23"/>
      <c r="W324" s="23"/>
      <c r="X324" s="23"/>
    </row>
    <row r="325" spans="3:24">
      <c r="C325" s="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V325" s="23"/>
      <c r="W325" s="23"/>
      <c r="X325" s="23"/>
    </row>
    <row r="326" spans="3:24">
      <c r="C326" s="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V326" s="23"/>
      <c r="W326" s="23"/>
      <c r="X326" s="23"/>
    </row>
    <row r="327" spans="3:24">
      <c r="C327" s="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V327" s="23"/>
      <c r="W327" s="23"/>
      <c r="X327" s="23"/>
    </row>
    <row r="328" spans="3:24">
      <c r="C328" s="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V328" s="23"/>
      <c r="W328" s="23"/>
      <c r="X328" s="23"/>
    </row>
    <row r="329" spans="3:24">
      <c r="C329" s="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V329" s="23"/>
      <c r="W329" s="23"/>
      <c r="X329" s="23"/>
    </row>
    <row r="330" spans="3:24">
      <c r="C330" s="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V330" s="23"/>
      <c r="W330" s="23"/>
      <c r="X330" s="23"/>
    </row>
    <row r="331" spans="3:24">
      <c r="C331" s="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V331" s="23"/>
      <c r="W331" s="23"/>
      <c r="X331" s="23"/>
    </row>
    <row r="332" spans="3:24">
      <c r="C332" s="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V332" s="23"/>
      <c r="W332" s="23"/>
      <c r="X332" s="23"/>
    </row>
    <row r="333" spans="3:24">
      <c r="C333" s="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V333" s="23"/>
      <c r="W333" s="23"/>
      <c r="X333" s="23"/>
    </row>
    <row r="334" spans="3:24">
      <c r="C334" s="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V334" s="23"/>
      <c r="W334" s="23"/>
      <c r="X334" s="23"/>
    </row>
    <row r="335" spans="3:24">
      <c r="C335" s="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V335" s="23"/>
      <c r="W335" s="23"/>
      <c r="X335" s="23"/>
    </row>
    <row r="336" spans="3:24">
      <c r="C336" s="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V336" s="23"/>
      <c r="W336" s="23"/>
      <c r="X336" s="23"/>
    </row>
    <row r="337" spans="3:24">
      <c r="C337" s="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V337" s="23"/>
      <c r="W337" s="23"/>
      <c r="X337" s="23"/>
    </row>
    <row r="338" spans="3:24">
      <c r="C338" s="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V338" s="23"/>
      <c r="W338" s="23"/>
      <c r="X338" s="23"/>
    </row>
    <row r="339" spans="3:24">
      <c r="C339" s="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V339" s="23"/>
      <c r="W339" s="23"/>
      <c r="X339" s="23"/>
    </row>
    <row r="340" spans="3:24">
      <c r="C340" s="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V340" s="23"/>
      <c r="W340" s="23"/>
      <c r="X340" s="23"/>
    </row>
    <row r="341" spans="3:24">
      <c r="C341" s="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V341" s="23"/>
      <c r="W341" s="23"/>
      <c r="X341" s="23"/>
    </row>
    <row r="342" spans="3:24">
      <c r="C342" s="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V342" s="23"/>
      <c r="W342" s="23"/>
      <c r="X342" s="23"/>
    </row>
    <row r="343" spans="3:24">
      <c r="C343" s="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V343" s="23"/>
      <c r="W343" s="23"/>
      <c r="X343" s="23"/>
    </row>
    <row r="344" spans="3:24">
      <c r="C344" s="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V344" s="23"/>
      <c r="W344" s="23"/>
      <c r="X344" s="23"/>
    </row>
    <row r="345" spans="3:24">
      <c r="C345" s="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V345" s="23"/>
      <c r="W345" s="23"/>
      <c r="X345" s="23"/>
    </row>
    <row r="346" spans="3:24">
      <c r="C346" s="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V346" s="23"/>
      <c r="W346" s="23"/>
      <c r="X346" s="23"/>
    </row>
    <row r="347" spans="3:24">
      <c r="C347" s="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V347" s="23"/>
      <c r="W347" s="23"/>
      <c r="X347" s="23"/>
    </row>
    <row r="348" spans="3:24">
      <c r="C348" s="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V348" s="23"/>
      <c r="W348" s="23"/>
      <c r="X348" s="23"/>
    </row>
    <row r="349" spans="3:24">
      <c r="C349" s="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V349" s="23"/>
      <c r="W349" s="23"/>
      <c r="X349" s="23"/>
    </row>
    <row r="350" spans="3:24">
      <c r="C350" s="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V350" s="23"/>
      <c r="W350" s="23"/>
      <c r="X350" s="23"/>
    </row>
    <row r="351" spans="3:24">
      <c r="C351" s="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V351" s="23"/>
      <c r="W351" s="23"/>
      <c r="X351" s="23"/>
    </row>
    <row r="352" spans="3:24">
      <c r="C352" s="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V352" s="23"/>
      <c r="W352" s="23"/>
      <c r="X352" s="23"/>
    </row>
    <row r="353" spans="3:24">
      <c r="C353" s="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V353" s="23"/>
      <c r="W353" s="23"/>
      <c r="X353" s="23"/>
    </row>
    <row r="354" spans="3:24">
      <c r="C354" s="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V354" s="23"/>
      <c r="W354" s="23"/>
      <c r="X354" s="23"/>
    </row>
    <row r="355" spans="3:24">
      <c r="C355" s="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V355" s="23"/>
      <c r="W355" s="23"/>
      <c r="X355" s="23"/>
    </row>
    <row r="356" spans="3:24">
      <c r="C356" s="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V356" s="23"/>
      <c r="W356" s="23"/>
      <c r="X356" s="23"/>
    </row>
    <row r="357" spans="3:24">
      <c r="C357" s="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V357" s="23"/>
      <c r="W357" s="23"/>
      <c r="X357" s="23"/>
    </row>
    <row r="358" spans="3:24">
      <c r="C358" s="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V358" s="23"/>
      <c r="W358" s="23"/>
      <c r="X358" s="23"/>
    </row>
    <row r="359" spans="3:24">
      <c r="C359" s="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V359" s="23"/>
      <c r="W359" s="23"/>
      <c r="X359" s="23"/>
    </row>
    <row r="360" spans="3:24">
      <c r="C360" s="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V360" s="23"/>
      <c r="W360" s="23"/>
      <c r="X360" s="23"/>
    </row>
    <row r="361" spans="3:24">
      <c r="C361" s="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V361" s="23"/>
      <c r="W361" s="23"/>
      <c r="X361" s="23"/>
    </row>
    <row r="362" spans="3:24">
      <c r="C362" s="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V362" s="23"/>
      <c r="W362" s="23"/>
      <c r="X362" s="23"/>
    </row>
    <row r="363" spans="3:24">
      <c r="C363" s="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V363" s="23"/>
      <c r="W363" s="23"/>
      <c r="X363" s="23"/>
    </row>
    <row r="364" spans="3:24">
      <c r="C364" s="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V364" s="23"/>
      <c r="W364" s="23"/>
      <c r="X364" s="23"/>
    </row>
    <row r="365" spans="3:24">
      <c r="C365" s="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V365" s="23"/>
      <c r="W365" s="23"/>
      <c r="X365" s="23"/>
    </row>
    <row r="366" spans="3:24">
      <c r="C366" s="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V366" s="23"/>
      <c r="W366" s="23"/>
      <c r="X366" s="23"/>
    </row>
    <row r="367" spans="3:24">
      <c r="C367" s="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V367" s="23"/>
      <c r="W367" s="23"/>
      <c r="X367" s="23"/>
    </row>
    <row r="368" spans="3:24">
      <c r="C368" s="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V368" s="23"/>
      <c r="W368" s="23"/>
      <c r="X368" s="23"/>
    </row>
    <row r="369" spans="3:24">
      <c r="C369" s="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V369" s="23"/>
      <c r="W369" s="23"/>
      <c r="X369" s="23"/>
    </row>
    <row r="370" spans="3:24">
      <c r="C370" s="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V370" s="23"/>
      <c r="W370" s="23"/>
      <c r="X370" s="23"/>
    </row>
    <row r="371" spans="3:24">
      <c r="C371" s="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V371" s="23"/>
      <c r="W371" s="23"/>
      <c r="X371" s="23"/>
    </row>
    <row r="372" spans="3:24">
      <c r="C372" s="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V372" s="23"/>
      <c r="W372" s="23"/>
      <c r="X372" s="23"/>
    </row>
    <row r="373" spans="3:24">
      <c r="C373" s="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V373" s="23"/>
      <c r="W373" s="23"/>
      <c r="X373" s="23"/>
    </row>
    <row r="374" spans="3:24">
      <c r="C374" s="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V374" s="23"/>
      <c r="W374" s="23"/>
      <c r="X374" s="23"/>
    </row>
    <row r="375" spans="3:24">
      <c r="C375" s="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V375" s="23"/>
      <c r="W375" s="23"/>
      <c r="X375" s="23"/>
    </row>
    <row r="376" spans="3:24">
      <c r="C376" s="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V376" s="23"/>
      <c r="W376" s="23"/>
      <c r="X376" s="23"/>
    </row>
    <row r="377" spans="3:24">
      <c r="C377" s="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V377" s="23"/>
      <c r="W377" s="23"/>
      <c r="X377" s="23"/>
    </row>
    <row r="378" spans="3:24">
      <c r="C378" s="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V378" s="23"/>
      <c r="W378" s="23"/>
      <c r="X378" s="23"/>
    </row>
    <row r="379" spans="3:24">
      <c r="C379" s="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V379" s="23"/>
      <c r="W379" s="23"/>
      <c r="X379" s="23"/>
    </row>
    <row r="380" spans="3:24">
      <c r="C380" s="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V380" s="23"/>
      <c r="W380" s="23"/>
      <c r="X380" s="23"/>
    </row>
    <row r="381" spans="3:24">
      <c r="C381" s="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V381" s="23"/>
      <c r="W381" s="23"/>
      <c r="X381" s="23"/>
    </row>
    <row r="382" spans="3:24">
      <c r="C382" s="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V382" s="23"/>
      <c r="W382" s="23"/>
      <c r="X382" s="23"/>
    </row>
    <row r="383" spans="3:24">
      <c r="C383" s="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V383" s="23"/>
      <c r="W383" s="23"/>
      <c r="X383" s="23"/>
    </row>
    <row r="384" spans="3:24">
      <c r="C384" s="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V384" s="23"/>
      <c r="W384" s="23"/>
      <c r="X384" s="23"/>
    </row>
    <row r="385" spans="3:24">
      <c r="C385" s="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V385" s="23"/>
      <c r="W385" s="23"/>
      <c r="X385" s="23"/>
    </row>
    <row r="386" spans="3:24">
      <c r="C386" s="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V386" s="23"/>
      <c r="W386" s="23"/>
      <c r="X386" s="23"/>
    </row>
    <row r="387" spans="3:24">
      <c r="C387" s="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V387" s="23"/>
      <c r="W387" s="23"/>
      <c r="X387" s="23"/>
    </row>
    <row r="388" spans="3:24">
      <c r="C388" s="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V388" s="23"/>
      <c r="W388" s="23"/>
      <c r="X388" s="23"/>
    </row>
    <row r="389" spans="3:24">
      <c r="C389" s="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V389" s="23"/>
      <c r="W389" s="23"/>
      <c r="X389" s="23"/>
    </row>
    <row r="390" spans="3:24">
      <c r="C390" s="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V390" s="23"/>
      <c r="W390" s="23"/>
      <c r="X390" s="23"/>
    </row>
    <row r="391" spans="3:24">
      <c r="C391" s="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V391" s="23"/>
      <c r="W391" s="23"/>
      <c r="X391" s="23"/>
    </row>
    <row r="392" spans="3:24">
      <c r="C392" s="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V392" s="23"/>
      <c r="W392" s="23"/>
      <c r="X392" s="23"/>
    </row>
    <row r="393" spans="3:24">
      <c r="C393" s="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V393" s="23"/>
      <c r="W393" s="23"/>
      <c r="X393" s="23"/>
    </row>
    <row r="394" spans="3:24">
      <c r="C394" s="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V394" s="23"/>
      <c r="W394" s="23"/>
      <c r="X394" s="23"/>
    </row>
    <row r="395" spans="3:24">
      <c r="C395" s="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V395" s="23"/>
      <c r="W395" s="23"/>
      <c r="X395" s="23"/>
    </row>
    <row r="396" spans="3:24">
      <c r="C396" s="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V396" s="23"/>
      <c r="W396" s="23"/>
      <c r="X396" s="23"/>
    </row>
    <row r="397" spans="3:24">
      <c r="C397" s="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V397" s="23"/>
      <c r="W397" s="23"/>
      <c r="X397" s="23"/>
    </row>
    <row r="398" spans="3:24">
      <c r="C398" s="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V398" s="23"/>
      <c r="W398" s="23"/>
      <c r="X398" s="23"/>
    </row>
    <row r="399" spans="3:24">
      <c r="C399" s="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V399" s="23"/>
      <c r="W399" s="23"/>
      <c r="X399" s="23"/>
    </row>
    <row r="400" spans="3:24">
      <c r="C400" s="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V400" s="23"/>
      <c r="W400" s="23"/>
      <c r="X400" s="23"/>
    </row>
    <row r="401" spans="3:24">
      <c r="C401" s="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V401" s="23"/>
      <c r="W401" s="23"/>
      <c r="X401" s="23"/>
    </row>
    <row r="402" spans="3:24">
      <c r="C402" s="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V402" s="23"/>
      <c r="W402" s="23"/>
      <c r="X402" s="23"/>
    </row>
    <row r="403" spans="3:24">
      <c r="C403" s="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V403" s="23"/>
      <c r="W403" s="23"/>
      <c r="X403" s="23"/>
    </row>
    <row r="404" spans="3:24">
      <c r="C404" s="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V404" s="23"/>
      <c r="W404" s="23"/>
      <c r="X404" s="23"/>
    </row>
    <row r="405" spans="3:24">
      <c r="C405" s="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V405" s="23"/>
      <c r="W405" s="23"/>
      <c r="X405" s="23"/>
    </row>
    <row r="406" spans="3:24">
      <c r="C406" s="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V406" s="23"/>
      <c r="W406" s="23"/>
      <c r="X406" s="23"/>
    </row>
    <row r="407" spans="3:24">
      <c r="C407" s="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V407" s="23"/>
      <c r="W407" s="23"/>
      <c r="X407" s="23"/>
    </row>
    <row r="408" spans="3:24">
      <c r="C408" s="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V408" s="23"/>
      <c r="W408" s="23"/>
      <c r="X408" s="23"/>
    </row>
    <row r="409" spans="3:24">
      <c r="C409" s="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V409" s="23"/>
      <c r="W409" s="23"/>
      <c r="X409" s="23"/>
    </row>
    <row r="410" spans="3:24">
      <c r="C410" s="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V410" s="23"/>
      <c r="W410" s="23"/>
      <c r="X410" s="23"/>
    </row>
    <row r="411" spans="3:24">
      <c r="C411" s="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V411" s="23"/>
      <c r="W411" s="23"/>
      <c r="X411" s="23"/>
    </row>
    <row r="412" spans="3:24">
      <c r="C412" s="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V412" s="23"/>
      <c r="W412" s="23"/>
      <c r="X412" s="23"/>
    </row>
    <row r="413" spans="3:24">
      <c r="C413" s="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V413" s="23"/>
      <c r="W413" s="23"/>
      <c r="X413" s="23"/>
    </row>
    <row r="414" spans="3:24">
      <c r="C414" s="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V414" s="23"/>
      <c r="W414" s="23"/>
      <c r="X414" s="23"/>
    </row>
    <row r="415" spans="3:24">
      <c r="C415" s="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V415" s="23"/>
      <c r="W415" s="23"/>
      <c r="X415" s="23"/>
    </row>
    <row r="416" spans="3:24">
      <c r="C416" s="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V416" s="23"/>
      <c r="W416" s="23"/>
      <c r="X416" s="23"/>
    </row>
    <row r="417" spans="3:24">
      <c r="C417" s="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V417" s="23"/>
      <c r="W417" s="23"/>
      <c r="X417" s="23"/>
    </row>
    <row r="418" spans="3:24">
      <c r="C418" s="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V418" s="23"/>
      <c r="W418" s="23"/>
      <c r="X418" s="23"/>
    </row>
    <row r="419" spans="3:24">
      <c r="C419" s="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V419" s="23"/>
      <c r="W419" s="23"/>
      <c r="X419" s="23"/>
    </row>
    <row r="420" spans="3:24">
      <c r="C420" s="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V420" s="23"/>
      <c r="W420" s="23"/>
      <c r="X420" s="23"/>
    </row>
    <row r="421" spans="3:24">
      <c r="C421" s="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V421" s="23"/>
      <c r="W421" s="23"/>
      <c r="X421" s="23"/>
    </row>
    <row r="422" spans="3:24">
      <c r="C422" s="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V422" s="23"/>
      <c r="W422" s="23"/>
      <c r="X422" s="23"/>
    </row>
    <row r="423" spans="3:24">
      <c r="C423" s="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V423" s="23"/>
      <c r="W423" s="23"/>
      <c r="X423" s="23"/>
    </row>
    <row r="424" spans="3:24">
      <c r="C424" s="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V424" s="23"/>
      <c r="W424" s="23"/>
      <c r="X424" s="23"/>
    </row>
    <row r="425" spans="3:24">
      <c r="C425" s="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V425" s="23"/>
      <c r="W425" s="23"/>
      <c r="X425" s="23"/>
    </row>
    <row r="426" spans="3:24">
      <c r="C426" s="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V426" s="23"/>
      <c r="W426" s="23"/>
      <c r="X426" s="23"/>
    </row>
    <row r="427" spans="3:24">
      <c r="C427" s="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V427" s="23"/>
      <c r="W427" s="23"/>
      <c r="X427" s="23"/>
    </row>
    <row r="428" spans="3:24">
      <c r="C428" s="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V428" s="23"/>
      <c r="W428" s="23"/>
      <c r="X428" s="23"/>
    </row>
    <row r="429" spans="3:24">
      <c r="C429" s="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V429" s="23"/>
      <c r="W429" s="23"/>
      <c r="X429" s="23"/>
    </row>
    <row r="430" spans="3:24">
      <c r="C430" s="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V430" s="23"/>
      <c r="W430" s="23"/>
      <c r="X430" s="23"/>
    </row>
    <row r="431" spans="3:24">
      <c r="C431" s="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V431" s="23"/>
      <c r="W431" s="23"/>
      <c r="X431" s="23"/>
    </row>
    <row r="432" spans="3:24">
      <c r="C432" s="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V432" s="23"/>
      <c r="W432" s="23"/>
      <c r="X432" s="23"/>
    </row>
    <row r="433" spans="3:24">
      <c r="C433" s="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V433" s="23"/>
      <c r="W433" s="23"/>
      <c r="X433" s="23"/>
    </row>
    <row r="434" spans="3:24">
      <c r="C434" s="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V434" s="23"/>
      <c r="W434" s="23"/>
      <c r="X434" s="23"/>
    </row>
    <row r="435" spans="3:24">
      <c r="C435" s="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V435" s="23"/>
      <c r="W435" s="23"/>
      <c r="X435" s="23"/>
    </row>
    <row r="436" spans="3:24">
      <c r="C436" s="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V436" s="23"/>
      <c r="W436" s="23"/>
      <c r="X436" s="23"/>
    </row>
    <row r="437" spans="3:24">
      <c r="C437" s="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V437" s="23"/>
      <c r="W437" s="23"/>
      <c r="X437" s="23"/>
    </row>
    <row r="438" spans="3:24">
      <c r="C438" s="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V438" s="23"/>
      <c r="W438" s="23"/>
      <c r="X438" s="23"/>
    </row>
    <row r="439" spans="3:24">
      <c r="C439" s="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V439" s="23"/>
      <c r="W439" s="23"/>
      <c r="X439" s="23"/>
    </row>
    <row r="440" spans="3:24">
      <c r="C440" s="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V440" s="23"/>
      <c r="W440" s="23"/>
      <c r="X440" s="23"/>
    </row>
    <row r="441" spans="3:24">
      <c r="C441" s="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V441" s="23"/>
      <c r="W441" s="23"/>
      <c r="X441" s="23"/>
    </row>
    <row r="442" spans="3:24">
      <c r="C442" s="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V442" s="23"/>
      <c r="W442" s="23"/>
      <c r="X442" s="23"/>
    </row>
    <row r="443" spans="3:24">
      <c r="C443" s="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V443" s="23"/>
      <c r="W443" s="23"/>
      <c r="X443" s="23"/>
    </row>
    <row r="444" spans="3:24">
      <c r="C444" s="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V444" s="23"/>
      <c r="W444" s="23"/>
      <c r="X444" s="23"/>
    </row>
    <row r="445" spans="3:24">
      <c r="C445" s="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V445" s="23"/>
      <c r="W445" s="23"/>
      <c r="X445" s="23"/>
    </row>
    <row r="446" spans="3:24">
      <c r="C446" s="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V446" s="23"/>
      <c r="W446" s="23"/>
      <c r="X446" s="23"/>
    </row>
    <row r="447" spans="3:24">
      <c r="C447" s="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V447" s="23"/>
      <c r="W447" s="23"/>
      <c r="X447" s="23"/>
    </row>
    <row r="448" spans="3:24">
      <c r="C448" s="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V448" s="23"/>
      <c r="W448" s="23"/>
      <c r="X448" s="23"/>
    </row>
    <row r="449" spans="3:24">
      <c r="C449" s="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V449" s="23"/>
      <c r="W449" s="23"/>
      <c r="X449" s="23"/>
    </row>
    <row r="450" spans="3:24">
      <c r="C450" s="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V450" s="23"/>
      <c r="W450" s="23"/>
      <c r="X450" s="23"/>
    </row>
    <row r="451" spans="3:24">
      <c r="C451" s="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V451" s="23"/>
      <c r="W451" s="23"/>
      <c r="X451" s="23"/>
    </row>
    <row r="452" spans="3:24">
      <c r="C452" s="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V452" s="23"/>
      <c r="W452" s="23"/>
      <c r="X452" s="23"/>
    </row>
    <row r="453" spans="3:24">
      <c r="C453" s="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V453" s="23"/>
      <c r="W453" s="23"/>
      <c r="X453" s="23"/>
    </row>
    <row r="454" spans="3:24">
      <c r="C454" s="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V454" s="23"/>
      <c r="W454" s="23"/>
      <c r="X454" s="23"/>
    </row>
    <row r="455" spans="3:24">
      <c r="C455" s="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V455" s="23"/>
      <c r="W455" s="23"/>
      <c r="X455" s="23"/>
    </row>
    <row r="456" spans="3:24">
      <c r="C456" s="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V456" s="23"/>
      <c r="W456" s="23"/>
      <c r="X456" s="23"/>
    </row>
    <row r="457" spans="3:24">
      <c r="C457" s="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V457" s="23"/>
      <c r="W457" s="23"/>
      <c r="X457" s="23"/>
    </row>
    <row r="458" spans="3:24">
      <c r="C458" s="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V458" s="23"/>
      <c r="W458" s="23"/>
      <c r="X458" s="23"/>
    </row>
    <row r="459" spans="3:24">
      <c r="C459" s="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V459" s="23"/>
      <c r="W459" s="23"/>
      <c r="X459" s="23"/>
    </row>
    <row r="460" spans="3:24">
      <c r="C460" s="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V460" s="23"/>
      <c r="W460" s="23"/>
      <c r="X460" s="23"/>
    </row>
    <row r="461" spans="3:24">
      <c r="C461" s="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V461" s="23"/>
      <c r="W461" s="23"/>
      <c r="X461" s="23"/>
    </row>
    <row r="462" spans="3:24">
      <c r="C462" s="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V462" s="23"/>
      <c r="W462" s="23"/>
      <c r="X462" s="23"/>
    </row>
    <row r="463" spans="3:24">
      <c r="C463" s="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V463" s="23"/>
      <c r="W463" s="23"/>
      <c r="X463" s="23"/>
    </row>
    <row r="464" spans="3:24">
      <c r="C464" s="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V464" s="23"/>
      <c r="W464" s="23"/>
      <c r="X464" s="23"/>
    </row>
    <row r="465" spans="3:24">
      <c r="C465" s="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V465" s="23"/>
      <c r="W465" s="23"/>
      <c r="X465" s="23"/>
    </row>
    <row r="466" spans="3:24">
      <c r="C466" s="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V466" s="23"/>
      <c r="W466" s="23"/>
      <c r="X466" s="23"/>
    </row>
    <row r="467" spans="3:24">
      <c r="C467" s="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V467" s="23"/>
      <c r="W467" s="23"/>
      <c r="X467" s="23"/>
    </row>
    <row r="468" spans="3:24">
      <c r="C468" s="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V468" s="23"/>
      <c r="W468" s="23"/>
      <c r="X468" s="23"/>
    </row>
    <row r="469" spans="3:24">
      <c r="C469" s="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V469" s="23"/>
      <c r="W469" s="23"/>
      <c r="X469" s="23"/>
    </row>
    <row r="470" spans="3:24">
      <c r="C470" s="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V470" s="23"/>
      <c r="W470" s="23"/>
      <c r="X470" s="23"/>
    </row>
    <row r="471" spans="3:24">
      <c r="C471" s="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V471" s="23"/>
      <c r="W471" s="23"/>
      <c r="X471" s="23"/>
    </row>
    <row r="472" spans="3:24">
      <c r="C472" s="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V472" s="23"/>
      <c r="W472" s="23"/>
      <c r="X472" s="23"/>
    </row>
    <row r="473" spans="3:24">
      <c r="C473" s="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V473" s="23"/>
      <c r="W473" s="23"/>
      <c r="X473" s="23"/>
    </row>
    <row r="474" spans="3:24">
      <c r="C474" s="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V474" s="23"/>
      <c r="W474" s="23"/>
      <c r="X474" s="23"/>
    </row>
    <row r="475" spans="3:24">
      <c r="C475" s="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V475" s="23"/>
      <c r="W475" s="23"/>
      <c r="X475" s="23"/>
    </row>
    <row r="476" spans="3:24">
      <c r="C476" s="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V476" s="23"/>
      <c r="W476" s="23"/>
      <c r="X476" s="23"/>
    </row>
    <row r="477" spans="3:24">
      <c r="C477" s="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V477" s="23"/>
      <c r="W477" s="23"/>
      <c r="X477" s="23"/>
    </row>
    <row r="478" spans="3:24">
      <c r="C478" s="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V478" s="23"/>
      <c r="W478" s="23"/>
      <c r="X478" s="23"/>
    </row>
    <row r="479" spans="3:24">
      <c r="C479" s="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V479" s="23"/>
      <c r="W479" s="23"/>
      <c r="X479" s="23"/>
    </row>
    <row r="480" spans="3:24">
      <c r="C480" s="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V480" s="23"/>
      <c r="W480" s="23"/>
      <c r="X480" s="23"/>
    </row>
    <row r="481" spans="3:24">
      <c r="C481" s="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V481" s="23"/>
      <c r="W481" s="23"/>
      <c r="X481" s="23"/>
    </row>
    <row r="482" spans="3:24">
      <c r="C482" s="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V482" s="23"/>
      <c r="W482" s="23"/>
      <c r="X482" s="23"/>
    </row>
    <row r="483" spans="3:24">
      <c r="C483" s="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V483" s="23"/>
      <c r="W483" s="23"/>
      <c r="X483" s="23"/>
    </row>
    <row r="484" spans="3:24">
      <c r="C484" s="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V484" s="23"/>
      <c r="W484" s="23"/>
      <c r="X484" s="23"/>
    </row>
    <row r="485" spans="3:24">
      <c r="C485" s="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V485" s="23"/>
      <c r="W485" s="23"/>
      <c r="X485" s="23"/>
    </row>
    <row r="486" spans="3:24">
      <c r="C486" s="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V486" s="23"/>
      <c r="W486" s="23"/>
      <c r="X486" s="23"/>
    </row>
    <row r="487" spans="3:24">
      <c r="C487" s="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V487" s="23"/>
      <c r="W487" s="23"/>
      <c r="X487" s="23"/>
    </row>
    <row r="488" spans="3:24">
      <c r="C488" s="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V488" s="23"/>
      <c r="W488" s="23"/>
      <c r="X488" s="23"/>
    </row>
    <row r="489" spans="3:24">
      <c r="C489" s="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V489" s="23"/>
      <c r="W489" s="23"/>
      <c r="X489" s="23"/>
    </row>
    <row r="490" spans="3:24">
      <c r="C490" s="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V490" s="23"/>
      <c r="W490" s="23"/>
      <c r="X490" s="23"/>
    </row>
    <row r="491" spans="3:24">
      <c r="C491" s="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V491" s="23"/>
      <c r="W491" s="23"/>
      <c r="X491" s="23"/>
    </row>
    <row r="492" spans="3:24">
      <c r="C492" s="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V492" s="23"/>
      <c r="W492" s="23"/>
      <c r="X492" s="23"/>
    </row>
    <row r="493" spans="3:24">
      <c r="C493" s="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V493" s="23"/>
      <c r="W493" s="23"/>
      <c r="X493" s="23"/>
    </row>
    <row r="494" spans="3:24">
      <c r="C494" s="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V494" s="23"/>
      <c r="W494" s="23"/>
      <c r="X494" s="23"/>
    </row>
    <row r="495" spans="3:24">
      <c r="C495" s="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V495" s="23"/>
      <c r="W495" s="23"/>
      <c r="X495" s="23"/>
    </row>
    <row r="496" spans="3:24">
      <c r="C496" s="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V496" s="23"/>
      <c r="W496" s="23"/>
      <c r="X496" s="23"/>
    </row>
    <row r="497" spans="3:24">
      <c r="C497" s="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V497" s="23"/>
      <c r="W497" s="23"/>
      <c r="X497" s="23"/>
    </row>
    <row r="498" spans="3:24">
      <c r="C498" s="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V498" s="23"/>
      <c r="W498" s="23"/>
      <c r="X498" s="23"/>
    </row>
    <row r="499" spans="3:24">
      <c r="C499" s="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V499" s="23"/>
      <c r="W499" s="23"/>
      <c r="X499" s="23"/>
    </row>
    <row r="500" spans="3:24">
      <c r="C500" s="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V500" s="23"/>
      <c r="W500" s="23"/>
      <c r="X500" s="23"/>
    </row>
    <row r="501" spans="3:24">
      <c r="C501" s="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V501" s="23"/>
      <c r="W501" s="23"/>
      <c r="X501" s="23"/>
    </row>
    <row r="502" spans="3:24">
      <c r="C502" s="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V502" s="23"/>
      <c r="W502" s="23"/>
      <c r="X502" s="23"/>
    </row>
    <row r="503" spans="3:24">
      <c r="C503" s="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V503" s="23"/>
      <c r="W503" s="23"/>
      <c r="X503" s="23"/>
    </row>
    <row r="504" spans="3:24">
      <c r="C504" s="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V504" s="23"/>
      <c r="W504" s="23"/>
      <c r="X504" s="23"/>
    </row>
    <row r="505" spans="3:24">
      <c r="C505" s="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V505" s="23"/>
      <c r="W505" s="23"/>
      <c r="X505" s="23"/>
    </row>
    <row r="506" spans="3:24">
      <c r="C506" s="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V506" s="23"/>
      <c r="W506" s="23"/>
      <c r="X506" s="23"/>
    </row>
    <row r="507" spans="3:24">
      <c r="C507" s="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V507" s="23"/>
      <c r="W507" s="23"/>
      <c r="X507" s="23"/>
    </row>
    <row r="508" spans="3:24">
      <c r="C508" s="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V508" s="23"/>
      <c r="W508" s="23"/>
      <c r="X508" s="23"/>
    </row>
    <row r="509" spans="3:24">
      <c r="C509" s="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V509" s="23"/>
      <c r="W509" s="23"/>
      <c r="X509" s="23"/>
    </row>
    <row r="510" spans="3:24">
      <c r="C510" s="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V510" s="23"/>
      <c r="W510" s="23"/>
      <c r="X510" s="23"/>
    </row>
    <row r="511" spans="3:24">
      <c r="C511" s="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V511" s="23"/>
      <c r="W511" s="23"/>
      <c r="X511" s="23"/>
    </row>
    <row r="512" spans="3:24">
      <c r="C512" s="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V512" s="23"/>
      <c r="W512" s="23"/>
      <c r="X512" s="23"/>
    </row>
    <row r="513" spans="3:24">
      <c r="C513" s="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V513" s="23"/>
      <c r="W513" s="23"/>
      <c r="X513" s="23"/>
    </row>
    <row r="514" spans="3:24">
      <c r="C514" s="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V514" s="23"/>
      <c r="W514" s="23"/>
      <c r="X514" s="23"/>
    </row>
    <row r="515" spans="3:24">
      <c r="C515" s="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V515" s="23"/>
      <c r="W515" s="23"/>
      <c r="X515" s="23"/>
    </row>
    <row r="516" spans="3:24">
      <c r="C516" s="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V516" s="23"/>
      <c r="W516" s="23"/>
      <c r="X516" s="23"/>
    </row>
    <row r="517" spans="3:24">
      <c r="C517" s="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V517" s="23"/>
      <c r="W517" s="23"/>
      <c r="X517" s="23"/>
    </row>
    <row r="518" spans="3:24">
      <c r="C518" s="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V518" s="23"/>
      <c r="W518" s="23"/>
      <c r="X518" s="23"/>
    </row>
    <row r="519" spans="3:24">
      <c r="C519" s="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V519" s="23"/>
      <c r="W519" s="23"/>
      <c r="X519" s="23"/>
    </row>
    <row r="520" spans="3:24">
      <c r="C520" s="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V520" s="23"/>
      <c r="W520" s="23"/>
      <c r="X520" s="23"/>
    </row>
    <row r="521" spans="3:24">
      <c r="C521" s="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V521" s="23"/>
      <c r="W521" s="23"/>
      <c r="X521" s="23"/>
    </row>
    <row r="522" spans="3:24">
      <c r="C522" s="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V522" s="23"/>
      <c r="W522" s="23"/>
      <c r="X522" s="23"/>
    </row>
    <row r="523" spans="3:24">
      <c r="C523" s="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V523" s="23"/>
      <c r="W523" s="23"/>
      <c r="X523" s="23"/>
    </row>
    <row r="524" spans="3:24">
      <c r="C524" s="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V524" s="23"/>
      <c r="W524" s="23"/>
      <c r="X524" s="23"/>
    </row>
    <row r="525" spans="3:24">
      <c r="C525" s="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V525" s="23"/>
      <c r="W525" s="23"/>
      <c r="X525" s="23"/>
    </row>
    <row r="526" spans="3:24">
      <c r="C526" s="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V526" s="23"/>
      <c r="W526" s="23"/>
      <c r="X526" s="23"/>
    </row>
    <row r="527" spans="3:24">
      <c r="C527" s="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V527" s="23"/>
      <c r="W527" s="23"/>
      <c r="X527" s="23"/>
    </row>
    <row r="528" spans="3:24">
      <c r="C528" s="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V528" s="23"/>
      <c r="W528" s="23"/>
      <c r="X528" s="23"/>
    </row>
    <row r="529" spans="3:24">
      <c r="C529" s="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V529" s="23"/>
      <c r="W529" s="23"/>
      <c r="X529" s="23"/>
    </row>
    <row r="530" spans="3:24">
      <c r="C530" s="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V530" s="23"/>
      <c r="W530" s="23"/>
      <c r="X530" s="23"/>
    </row>
    <row r="531" spans="3:24">
      <c r="C531" s="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V531" s="23"/>
      <c r="W531" s="23"/>
      <c r="X531" s="23"/>
    </row>
    <row r="532" spans="3:24">
      <c r="C532" s="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V532" s="23"/>
      <c r="W532" s="23"/>
      <c r="X532" s="23"/>
    </row>
    <row r="533" spans="3:24">
      <c r="C533" s="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V533" s="23"/>
      <c r="W533" s="23"/>
      <c r="X533" s="23"/>
    </row>
    <row r="534" spans="3:24">
      <c r="C534" s="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V534" s="23"/>
      <c r="W534" s="23"/>
      <c r="X534" s="23"/>
    </row>
    <row r="535" spans="3:24">
      <c r="C535" s="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V535" s="23"/>
      <c r="W535" s="23"/>
      <c r="X535" s="23"/>
    </row>
    <row r="536" spans="3:24">
      <c r="C536" s="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V536" s="23"/>
      <c r="W536" s="23"/>
      <c r="X536" s="23"/>
    </row>
    <row r="537" spans="3:24">
      <c r="C537" s="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V537" s="23"/>
      <c r="W537" s="23"/>
      <c r="X537" s="23"/>
    </row>
    <row r="538" spans="3:24">
      <c r="C538" s="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V538" s="23"/>
      <c r="W538" s="23"/>
      <c r="X538" s="23"/>
    </row>
    <row r="539" spans="3:24">
      <c r="C539" s="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V539" s="23"/>
      <c r="W539" s="23"/>
      <c r="X539" s="23"/>
    </row>
    <row r="540" spans="3:24">
      <c r="C540" s="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V540" s="23"/>
      <c r="W540" s="23"/>
      <c r="X540" s="23"/>
    </row>
    <row r="541" spans="3:24">
      <c r="C541" s="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V541" s="23"/>
      <c r="W541" s="23"/>
      <c r="X541" s="23"/>
    </row>
    <row r="542" spans="3:24">
      <c r="C542" s="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V542" s="23"/>
      <c r="W542" s="23"/>
      <c r="X542" s="23"/>
    </row>
    <row r="543" spans="3:24">
      <c r="C543" s="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V543" s="23"/>
      <c r="W543" s="23"/>
      <c r="X543" s="23"/>
    </row>
    <row r="544" spans="3:24">
      <c r="C544" s="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V544" s="23"/>
      <c r="W544" s="23"/>
      <c r="X544" s="23"/>
    </row>
    <row r="545" spans="3:24">
      <c r="C545" s="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V545" s="23"/>
      <c r="W545" s="23"/>
      <c r="X545" s="23"/>
    </row>
    <row r="546" spans="3:24">
      <c r="C546" s="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V546" s="23"/>
      <c r="W546" s="23"/>
      <c r="X546" s="23"/>
    </row>
    <row r="547" spans="3:24">
      <c r="C547" s="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V547" s="23"/>
      <c r="W547" s="23"/>
      <c r="X547" s="23"/>
    </row>
    <row r="548" spans="3:24">
      <c r="C548" s="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V548" s="23"/>
      <c r="W548" s="23"/>
      <c r="X548" s="23"/>
    </row>
    <row r="549" spans="3:24">
      <c r="C549" s="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V549" s="23"/>
      <c r="W549" s="23"/>
      <c r="X549" s="23"/>
    </row>
    <row r="550" spans="3:24">
      <c r="C550" s="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V550" s="23"/>
      <c r="W550" s="23"/>
      <c r="X550" s="23"/>
    </row>
    <row r="551" spans="3:24">
      <c r="C551" s="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V551" s="23"/>
      <c r="W551" s="23"/>
      <c r="X551" s="23"/>
    </row>
    <row r="552" spans="3:24">
      <c r="C552" s="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V552" s="23"/>
      <c r="W552" s="23"/>
      <c r="X552" s="23"/>
    </row>
    <row r="553" spans="3:24">
      <c r="C553" s="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V553" s="23"/>
      <c r="W553" s="23"/>
      <c r="X553" s="23"/>
    </row>
    <row r="554" spans="3:24">
      <c r="C554" s="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V554" s="23"/>
      <c r="W554" s="23"/>
      <c r="X554" s="23"/>
    </row>
    <row r="555" spans="3:24">
      <c r="C555" s="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V555" s="23"/>
      <c r="W555" s="23"/>
      <c r="X555" s="23"/>
    </row>
    <row r="556" spans="3:24">
      <c r="C556" s="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V556" s="23"/>
      <c r="W556" s="23"/>
      <c r="X556" s="23"/>
    </row>
    <row r="557" spans="3:24">
      <c r="C557" s="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V557" s="23"/>
      <c r="W557" s="23"/>
      <c r="X557" s="23"/>
    </row>
    <row r="558" spans="3:24">
      <c r="C558" s="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V558" s="23"/>
      <c r="W558" s="23"/>
      <c r="X558" s="23"/>
    </row>
    <row r="559" spans="3:24">
      <c r="C559" s="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V559" s="23"/>
      <c r="W559" s="23"/>
      <c r="X559" s="23"/>
    </row>
    <row r="560" spans="3:24">
      <c r="C560" s="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V560" s="23"/>
      <c r="W560" s="23"/>
      <c r="X560" s="23"/>
    </row>
    <row r="561" spans="3:24">
      <c r="C561" s="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V561" s="23"/>
      <c r="W561" s="23"/>
      <c r="X561" s="23"/>
    </row>
    <row r="562" spans="3:24">
      <c r="C562" s="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V562" s="23"/>
      <c r="W562" s="23"/>
      <c r="X562" s="23"/>
    </row>
    <row r="563" spans="3:24">
      <c r="C563" s="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V563" s="23"/>
      <c r="W563" s="23"/>
      <c r="X563" s="23"/>
    </row>
    <row r="564" spans="3:24">
      <c r="C564" s="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V564" s="23"/>
      <c r="W564" s="23"/>
      <c r="X564" s="23"/>
    </row>
    <row r="565" spans="3:24">
      <c r="C565" s="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V565" s="23"/>
      <c r="W565" s="23"/>
      <c r="X565" s="23"/>
    </row>
    <row r="566" spans="3:24">
      <c r="C566" s="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V566" s="23"/>
      <c r="W566" s="23"/>
      <c r="X566" s="23"/>
    </row>
    <row r="567" spans="3:24">
      <c r="C567" s="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V567" s="23"/>
      <c r="W567" s="23"/>
      <c r="X567" s="23"/>
    </row>
    <row r="568" spans="3:24">
      <c r="C568" s="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V568" s="23"/>
      <c r="W568" s="23"/>
      <c r="X568" s="23"/>
    </row>
    <row r="569" spans="3:24">
      <c r="C569" s="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V569" s="23"/>
      <c r="W569" s="23"/>
      <c r="X569" s="23"/>
    </row>
    <row r="570" spans="3:24">
      <c r="C570" s="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V570" s="23"/>
      <c r="W570" s="23"/>
      <c r="X570" s="23"/>
    </row>
    <row r="571" spans="3:24">
      <c r="C571" s="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V571" s="23"/>
      <c r="W571" s="23"/>
      <c r="X571" s="23"/>
    </row>
    <row r="572" spans="3:24">
      <c r="C572" s="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V572" s="23"/>
      <c r="W572" s="23"/>
      <c r="X572" s="23"/>
    </row>
    <row r="573" spans="3:24">
      <c r="C573" s="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V573" s="23"/>
      <c r="W573" s="23"/>
      <c r="X573" s="23"/>
    </row>
    <row r="574" spans="3:24">
      <c r="C574" s="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V574" s="23"/>
      <c r="W574" s="23"/>
      <c r="X574" s="23"/>
    </row>
    <row r="575" spans="3:24">
      <c r="C575" s="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V575" s="23"/>
      <c r="W575" s="23"/>
      <c r="X575" s="23"/>
    </row>
    <row r="576" spans="3:24">
      <c r="C576" s="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V576" s="23"/>
      <c r="W576" s="23"/>
      <c r="X576" s="23"/>
    </row>
    <row r="577" spans="3:24">
      <c r="C577" s="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V577" s="23"/>
      <c r="W577" s="23"/>
      <c r="X577" s="23"/>
    </row>
    <row r="578" spans="3:24">
      <c r="C578" s="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V578" s="23"/>
      <c r="W578" s="23"/>
      <c r="X578" s="23"/>
    </row>
    <row r="579" spans="3:24">
      <c r="C579" s="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V579" s="23"/>
      <c r="W579" s="23"/>
      <c r="X579" s="23"/>
    </row>
    <row r="580" spans="3:24">
      <c r="C580" s="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V580" s="23"/>
      <c r="W580" s="23"/>
      <c r="X580" s="23"/>
    </row>
    <row r="581" spans="3:24">
      <c r="C581" s="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V581" s="23"/>
      <c r="W581" s="23"/>
      <c r="X581" s="23"/>
    </row>
    <row r="582" spans="3:24">
      <c r="C582" s="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V582" s="23"/>
      <c r="W582" s="23"/>
      <c r="X582" s="23"/>
    </row>
    <row r="583" spans="3:24">
      <c r="C583" s="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V583" s="23"/>
      <c r="W583" s="23"/>
      <c r="X583" s="23"/>
    </row>
    <row r="584" spans="3:24">
      <c r="C584" s="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V584" s="23"/>
      <c r="W584" s="23"/>
      <c r="X584" s="23"/>
    </row>
    <row r="585" spans="3:24">
      <c r="C585" s="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V585" s="23"/>
      <c r="W585" s="23"/>
      <c r="X585" s="23"/>
    </row>
    <row r="586" spans="3:24">
      <c r="C586" s="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V586" s="23"/>
      <c r="W586" s="23"/>
      <c r="X586" s="23"/>
    </row>
    <row r="587" spans="3:24">
      <c r="C587" s="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V587" s="23"/>
      <c r="W587" s="23"/>
      <c r="X587" s="23"/>
    </row>
    <row r="588" spans="3:24">
      <c r="C588" s="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V588" s="23"/>
      <c r="W588" s="23"/>
      <c r="X588" s="23"/>
    </row>
    <row r="589" spans="3:24">
      <c r="C589" s="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V589" s="23"/>
      <c r="W589" s="23"/>
      <c r="X589" s="23"/>
    </row>
    <row r="590" spans="3:24">
      <c r="C590" s="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V590" s="23"/>
      <c r="W590" s="23"/>
      <c r="X590" s="23"/>
    </row>
    <row r="591" spans="3:24">
      <c r="C591" s="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V591" s="23"/>
      <c r="W591" s="23"/>
      <c r="X591" s="23"/>
    </row>
    <row r="592" spans="3:24">
      <c r="C592" s="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V592" s="23"/>
      <c r="W592" s="23"/>
      <c r="X592" s="23"/>
    </row>
    <row r="593" spans="3:24">
      <c r="C593" s="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V593" s="23"/>
      <c r="W593" s="23"/>
      <c r="X593" s="23"/>
    </row>
    <row r="594" spans="3:24">
      <c r="C594" s="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V594" s="23"/>
      <c r="W594" s="23"/>
      <c r="X594" s="23"/>
    </row>
    <row r="595" spans="3:24">
      <c r="C595" s="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V595" s="23"/>
      <c r="W595" s="23"/>
      <c r="X595" s="23"/>
    </row>
    <row r="596" spans="3:24">
      <c r="C596" s="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V596" s="23"/>
      <c r="W596" s="23"/>
      <c r="X596" s="23"/>
    </row>
    <row r="597" spans="3:24">
      <c r="C597" s="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V597" s="23"/>
      <c r="W597" s="23"/>
      <c r="X597" s="23"/>
    </row>
    <row r="598" spans="3:24">
      <c r="C598" s="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V598" s="23"/>
      <c r="W598" s="23"/>
      <c r="X598" s="23"/>
    </row>
    <row r="599" spans="3:24">
      <c r="C599" s="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V599" s="23"/>
      <c r="W599" s="23"/>
      <c r="X599" s="23"/>
    </row>
    <row r="600" spans="3:24">
      <c r="C600" s="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V600" s="23"/>
      <c r="W600" s="23"/>
      <c r="X600" s="23"/>
    </row>
    <row r="601" spans="3:24">
      <c r="C601" s="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V601" s="23"/>
      <c r="W601" s="23"/>
      <c r="X601" s="23"/>
    </row>
    <row r="602" spans="3:24">
      <c r="C602" s="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V602" s="23"/>
      <c r="W602" s="23"/>
      <c r="X602" s="23"/>
    </row>
    <row r="603" spans="3:24">
      <c r="C603" s="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V603" s="23"/>
      <c r="W603" s="23"/>
      <c r="X603" s="23"/>
    </row>
    <row r="604" spans="3:24">
      <c r="C604" s="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V604" s="23"/>
      <c r="W604" s="23"/>
      <c r="X604" s="23"/>
    </row>
    <row r="605" spans="3:24">
      <c r="C605" s="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V605" s="23"/>
      <c r="W605" s="23"/>
      <c r="X605" s="23"/>
    </row>
    <row r="606" spans="3:24">
      <c r="C606" s="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V606" s="23"/>
      <c r="W606" s="23"/>
      <c r="X606" s="23"/>
    </row>
    <row r="607" spans="3:24">
      <c r="C607" s="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V607" s="23"/>
      <c r="W607" s="23"/>
      <c r="X607" s="23"/>
    </row>
    <row r="608" spans="3:24">
      <c r="C608" s="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V608" s="23"/>
      <c r="W608" s="23"/>
      <c r="X608" s="23"/>
    </row>
    <row r="609" spans="3:24">
      <c r="C609" s="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V609" s="23"/>
      <c r="W609" s="23"/>
      <c r="X609" s="23"/>
    </row>
    <row r="610" spans="3:24">
      <c r="C610" s="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V610" s="23"/>
      <c r="W610" s="23"/>
      <c r="X610" s="23"/>
    </row>
    <row r="611" spans="3:24">
      <c r="C611" s="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V611" s="23"/>
      <c r="W611" s="23"/>
      <c r="X611" s="23"/>
    </row>
    <row r="612" spans="3:24">
      <c r="C612" s="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V612" s="23"/>
      <c r="W612" s="23"/>
      <c r="X612" s="23"/>
    </row>
    <row r="613" spans="3:24">
      <c r="C613" s="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V613" s="23"/>
      <c r="W613" s="23"/>
      <c r="X613" s="23"/>
    </row>
    <row r="614" spans="3:24">
      <c r="C614" s="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V614" s="23"/>
      <c r="W614" s="23"/>
      <c r="X614" s="23"/>
    </row>
    <row r="615" spans="3:24">
      <c r="C615" s="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V615" s="23"/>
      <c r="W615" s="23"/>
      <c r="X615" s="23"/>
    </row>
    <row r="616" spans="3:24">
      <c r="C616" s="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V616" s="23"/>
      <c r="W616" s="23"/>
      <c r="X616" s="23"/>
    </row>
    <row r="617" spans="3:24">
      <c r="C617" s="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V617" s="23"/>
      <c r="W617" s="23"/>
      <c r="X617" s="23"/>
    </row>
    <row r="618" spans="3:24">
      <c r="C618" s="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V618" s="23"/>
      <c r="W618" s="23"/>
      <c r="X618" s="23"/>
    </row>
    <row r="619" spans="3:24">
      <c r="C619" s="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V619" s="23"/>
      <c r="W619" s="23"/>
      <c r="X619" s="23"/>
    </row>
    <row r="620" spans="3:24">
      <c r="C620" s="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V620" s="23"/>
      <c r="W620" s="23"/>
      <c r="X620" s="23"/>
    </row>
    <row r="621" spans="3:24">
      <c r="C621" s="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V621" s="23"/>
      <c r="W621" s="23"/>
      <c r="X621" s="23"/>
    </row>
    <row r="622" spans="3:24">
      <c r="C622" s="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V622" s="23"/>
      <c r="W622" s="23"/>
      <c r="X622" s="23"/>
    </row>
    <row r="623" spans="3:24">
      <c r="C623" s="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V623" s="23"/>
      <c r="W623" s="23"/>
      <c r="X623" s="23"/>
    </row>
    <row r="624" spans="3:24">
      <c r="C624" s="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V624" s="23"/>
      <c r="W624" s="23"/>
      <c r="X624" s="23"/>
    </row>
    <row r="625" spans="3:24">
      <c r="C625" s="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V625" s="23"/>
      <c r="W625" s="23"/>
      <c r="X625" s="23"/>
    </row>
    <row r="626" spans="3:24">
      <c r="C626" s="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V626" s="23"/>
      <c r="W626" s="23"/>
      <c r="X626" s="23"/>
    </row>
    <row r="627" spans="3:24">
      <c r="C627" s="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V627" s="23"/>
      <c r="W627" s="23"/>
      <c r="X627" s="23"/>
    </row>
    <row r="628" spans="3:24">
      <c r="C628" s="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V628" s="23"/>
      <c r="W628" s="23"/>
      <c r="X628" s="23"/>
    </row>
    <row r="629" spans="3:24">
      <c r="C629" s="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V629" s="23"/>
      <c r="W629" s="23"/>
      <c r="X629" s="23"/>
    </row>
    <row r="630" spans="3:24">
      <c r="C630" s="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V630" s="23"/>
      <c r="W630" s="23"/>
      <c r="X630" s="23"/>
    </row>
    <row r="631" spans="3:24">
      <c r="C631" s="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V631" s="23"/>
      <c r="W631" s="23"/>
      <c r="X631" s="23"/>
    </row>
    <row r="632" spans="3:24">
      <c r="C632" s="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V632" s="23"/>
      <c r="W632" s="23"/>
      <c r="X632" s="23"/>
    </row>
    <row r="633" spans="3:24">
      <c r="C633" s="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V633" s="23"/>
      <c r="W633" s="23"/>
      <c r="X633" s="23"/>
    </row>
    <row r="634" spans="3:24">
      <c r="C634" s="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V634" s="23"/>
      <c r="W634" s="23"/>
      <c r="X634" s="23"/>
    </row>
    <row r="635" spans="3:24">
      <c r="C635" s="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V635" s="23"/>
      <c r="W635" s="23"/>
      <c r="X635" s="23"/>
    </row>
    <row r="636" spans="3:24">
      <c r="C636" s="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V636" s="23"/>
      <c r="W636" s="23"/>
      <c r="X636" s="23"/>
    </row>
    <row r="637" spans="3:24">
      <c r="C637" s="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V637" s="23"/>
      <c r="W637" s="23"/>
      <c r="X637" s="23"/>
    </row>
    <row r="638" spans="3:24">
      <c r="C638" s="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V638" s="23"/>
      <c r="W638" s="23"/>
      <c r="X638" s="23"/>
    </row>
    <row r="639" spans="3:24">
      <c r="C639" s="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V639" s="23"/>
      <c r="W639" s="23"/>
      <c r="X639" s="23"/>
    </row>
    <row r="640" spans="3:24">
      <c r="C640" s="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V640" s="23"/>
      <c r="W640" s="23"/>
      <c r="X640" s="23"/>
    </row>
    <row r="641" spans="3:24">
      <c r="C641" s="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V641" s="23"/>
      <c r="W641" s="23"/>
      <c r="X641" s="23"/>
    </row>
    <row r="642" spans="3:24">
      <c r="C642" s="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V642" s="23"/>
      <c r="W642" s="23"/>
      <c r="X642" s="23"/>
    </row>
    <row r="643" spans="3:24">
      <c r="C643" s="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V643" s="23"/>
      <c r="W643" s="23"/>
      <c r="X643" s="23"/>
    </row>
    <row r="644" spans="3:24">
      <c r="C644" s="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V644" s="23"/>
      <c r="W644" s="23"/>
      <c r="X644" s="23"/>
    </row>
    <row r="645" spans="3:24">
      <c r="C645" s="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V645" s="23"/>
      <c r="W645" s="23"/>
      <c r="X645" s="23"/>
    </row>
    <row r="646" spans="3:24">
      <c r="C646" s="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V646" s="23"/>
      <c r="W646" s="23"/>
      <c r="X646" s="23"/>
    </row>
    <row r="647" spans="3:24">
      <c r="C647" s="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V647" s="23"/>
      <c r="W647" s="23"/>
      <c r="X647" s="23"/>
    </row>
    <row r="648" spans="3:24">
      <c r="C648" s="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V648" s="23"/>
      <c r="W648" s="23"/>
      <c r="X648" s="23"/>
    </row>
    <row r="649" spans="3:24">
      <c r="C649" s="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V649" s="23"/>
      <c r="W649" s="23"/>
      <c r="X649" s="23"/>
    </row>
    <row r="650" spans="3:24">
      <c r="C650" s="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V650" s="23"/>
      <c r="W650" s="23"/>
      <c r="X650" s="23"/>
    </row>
    <row r="651" spans="3:24">
      <c r="C651" s="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V651" s="23"/>
      <c r="W651" s="23"/>
      <c r="X651" s="23"/>
    </row>
    <row r="652" spans="3:24">
      <c r="C652" s="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V652" s="23"/>
      <c r="W652" s="23"/>
      <c r="X652" s="23"/>
    </row>
    <row r="653" spans="3:24">
      <c r="C653" s="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V653" s="23"/>
      <c r="W653" s="23"/>
      <c r="X653" s="23"/>
    </row>
    <row r="654" spans="3:24">
      <c r="C654" s="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V654" s="23"/>
      <c r="W654" s="23"/>
      <c r="X654" s="23"/>
    </row>
    <row r="655" spans="3:24">
      <c r="C655" s="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V655" s="23"/>
      <c r="W655" s="23"/>
      <c r="X655" s="23"/>
    </row>
    <row r="656" spans="3:24">
      <c r="C656" s="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V656" s="23"/>
      <c r="W656" s="23"/>
      <c r="X656" s="23"/>
    </row>
    <row r="657" spans="3:24">
      <c r="C657" s="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V657" s="23"/>
      <c r="W657" s="23"/>
      <c r="X657" s="23"/>
    </row>
    <row r="658" spans="3:24">
      <c r="C658" s="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V658" s="23"/>
      <c r="W658" s="23"/>
      <c r="X658" s="23"/>
    </row>
    <row r="659" spans="3:24">
      <c r="C659" s="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V659" s="23"/>
      <c r="W659" s="23"/>
      <c r="X659" s="23"/>
    </row>
    <row r="660" spans="3:24">
      <c r="C660" s="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V660" s="23"/>
      <c r="W660" s="23"/>
      <c r="X660" s="23"/>
    </row>
    <row r="661" spans="3:24">
      <c r="C661" s="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V661" s="23"/>
      <c r="W661" s="23"/>
      <c r="X661" s="23"/>
    </row>
    <row r="662" spans="3:24">
      <c r="C662" s="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V662" s="23"/>
      <c r="W662" s="23"/>
      <c r="X662" s="23"/>
    </row>
    <row r="663" spans="3:24">
      <c r="C663" s="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V663" s="23"/>
      <c r="W663" s="23"/>
      <c r="X663" s="23"/>
    </row>
    <row r="664" spans="3:24">
      <c r="C664" s="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V664" s="23"/>
      <c r="W664" s="23"/>
      <c r="X664" s="23"/>
    </row>
    <row r="665" spans="3:24">
      <c r="C665" s="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V665" s="23"/>
      <c r="W665" s="23"/>
      <c r="X665" s="23"/>
    </row>
    <row r="666" spans="3:24">
      <c r="C666" s="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V666" s="23"/>
      <c r="W666" s="23"/>
      <c r="X666" s="23"/>
    </row>
    <row r="667" spans="3:24">
      <c r="C667" s="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V667" s="23"/>
      <c r="W667" s="23"/>
      <c r="X667" s="23"/>
    </row>
    <row r="668" spans="3:24">
      <c r="C668" s="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V668" s="23"/>
      <c r="W668" s="23"/>
      <c r="X668" s="23"/>
    </row>
    <row r="669" spans="3:24">
      <c r="C669" s="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V669" s="23"/>
      <c r="W669" s="23"/>
      <c r="X669" s="23"/>
    </row>
    <row r="670" spans="3:24">
      <c r="C670" s="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V670" s="23"/>
      <c r="W670" s="23"/>
      <c r="X670" s="23"/>
    </row>
    <row r="671" spans="3:24">
      <c r="C671" s="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V671" s="23"/>
      <c r="W671" s="23"/>
      <c r="X671" s="23"/>
    </row>
    <row r="672" spans="3:24">
      <c r="C672" s="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V672" s="23"/>
      <c r="W672" s="23"/>
      <c r="X672" s="23"/>
    </row>
    <row r="673" spans="3:24">
      <c r="C673" s="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V673" s="23"/>
      <c r="W673" s="23"/>
      <c r="X673" s="23"/>
    </row>
    <row r="674" spans="3:24">
      <c r="C674" s="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V674" s="23"/>
      <c r="W674" s="23"/>
      <c r="X674" s="23"/>
    </row>
    <row r="675" spans="3:24">
      <c r="C675" s="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V675" s="23"/>
      <c r="W675" s="23"/>
      <c r="X675" s="23"/>
    </row>
    <row r="676" spans="3:24">
      <c r="C676" s="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V676" s="23"/>
      <c r="W676" s="23"/>
      <c r="X676" s="23"/>
    </row>
    <row r="677" spans="3:24">
      <c r="C677" s="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V677" s="23"/>
      <c r="W677" s="23"/>
      <c r="X677" s="23"/>
    </row>
    <row r="678" spans="3:24">
      <c r="C678" s="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V678" s="23"/>
      <c r="W678" s="23"/>
      <c r="X678" s="23"/>
    </row>
    <row r="679" spans="3:24">
      <c r="C679" s="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V679" s="23"/>
      <c r="W679" s="23"/>
      <c r="X679" s="23"/>
    </row>
    <row r="680" spans="3:24">
      <c r="C680" s="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V680" s="23"/>
      <c r="W680" s="23"/>
      <c r="X680" s="23"/>
    </row>
    <row r="681" spans="3:24">
      <c r="C681" s="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V681" s="23"/>
      <c r="W681" s="23"/>
      <c r="X681" s="23"/>
    </row>
    <row r="682" spans="3:24">
      <c r="C682" s="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V682" s="23"/>
      <c r="W682" s="23"/>
      <c r="X682" s="23"/>
    </row>
    <row r="683" spans="3:24">
      <c r="C683" s="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V683" s="23"/>
      <c r="W683" s="23"/>
      <c r="X683" s="23"/>
    </row>
    <row r="684" spans="3:24">
      <c r="C684" s="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V684" s="23"/>
      <c r="W684" s="23"/>
      <c r="X684" s="23"/>
    </row>
    <row r="685" spans="3:24">
      <c r="C685" s="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V685" s="23"/>
      <c r="W685" s="23"/>
      <c r="X685" s="23"/>
    </row>
    <row r="686" spans="3:24">
      <c r="C686" s="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V686" s="23"/>
      <c r="W686" s="23"/>
      <c r="X686" s="23"/>
    </row>
    <row r="687" spans="3:24">
      <c r="C687" s="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V687" s="23"/>
      <c r="W687" s="23"/>
      <c r="X687" s="23"/>
    </row>
    <row r="688" spans="3:24">
      <c r="C688" s="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V688" s="23"/>
      <c r="W688" s="23"/>
      <c r="X688" s="23"/>
    </row>
    <row r="689" spans="3:24">
      <c r="C689" s="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V689" s="23"/>
      <c r="W689" s="23"/>
      <c r="X689" s="23"/>
    </row>
    <row r="690" spans="3:24">
      <c r="C690" s="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V690" s="23"/>
      <c r="W690" s="23"/>
      <c r="X690" s="23"/>
    </row>
    <row r="691" spans="3:24">
      <c r="C691" s="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V691" s="23"/>
      <c r="W691" s="23"/>
      <c r="X691" s="23"/>
    </row>
    <row r="692" spans="3:24">
      <c r="C692" s="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V692" s="23"/>
      <c r="W692" s="23"/>
      <c r="X692" s="23"/>
    </row>
    <row r="693" spans="3:24">
      <c r="C693" s="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V693" s="23"/>
      <c r="W693" s="23"/>
      <c r="X693" s="23"/>
    </row>
    <row r="694" spans="3:24">
      <c r="C694" s="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V694" s="23"/>
      <c r="W694" s="23"/>
      <c r="X694" s="23"/>
    </row>
    <row r="695" spans="3:24">
      <c r="C695" s="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V695" s="23"/>
      <c r="W695" s="23"/>
      <c r="X695" s="23"/>
    </row>
    <row r="696" spans="3:24">
      <c r="C696" s="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V696" s="23"/>
      <c r="W696" s="23"/>
      <c r="X696" s="23"/>
    </row>
    <row r="697" spans="3:24">
      <c r="C697" s="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V697" s="23"/>
      <c r="W697" s="23"/>
      <c r="X697" s="23"/>
    </row>
    <row r="698" spans="3:24">
      <c r="C698" s="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V698" s="23"/>
      <c r="W698" s="23"/>
      <c r="X698" s="23"/>
    </row>
    <row r="699" spans="3:24">
      <c r="C699" s="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V699" s="23"/>
      <c r="W699" s="23"/>
      <c r="X699" s="23"/>
    </row>
    <row r="700" spans="3:24">
      <c r="C700" s="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V700" s="23"/>
      <c r="W700" s="23"/>
      <c r="X700" s="23"/>
    </row>
    <row r="701" spans="3:24">
      <c r="C701" s="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V701" s="23"/>
      <c r="W701" s="23"/>
      <c r="X701" s="23"/>
    </row>
    <row r="702" spans="3:24">
      <c r="C702" s="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V702" s="23"/>
      <c r="W702" s="23"/>
      <c r="X702" s="23"/>
    </row>
    <row r="703" spans="3:24">
      <c r="C703" s="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V703" s="23"/>
      <c r="W703" s="23"/>
      <c r="X703" s="23"/>
    </row>
    <row r="704" spans="3:24">
      <c r="C704" s="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V704" s="23"/>
      <c r="W704" s="23"/>
      <c r="X704" s="23"/>
    </row>
    <row r="705" spans="3:24">
      <c r="C705" s="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V705" s="23"/>
      <c r="W705" s="23"/>
      <c r="X705" s="23"/>
    </row>
    <row r="706" spans="3:24">
      <c r="C706" s="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V706" s="23"/>
      <c r="W706" s="23"/>
      <c r="X706" s="23"/>
    </row>
    <row r="707" spans="3:24">
      <c r="C707" s="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V707" s="23"/>
      <c r="W707" s="23"/>
      <c r="X707" s="23"/>
    </row>
    <row r="708" spans="3:24">
      <c r="C708" s="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V708" s="23"/>
      <c r="W708" s="23"/>
      <c r="X708" s="23"/>
    </row>
    <row r="709" spans="3:24">
      <c r="C709" s="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V709" s="23"/>
      <c r="W709" s="23"/>
      <c r="X709" s="23"/>
    </row>
    <row r="710" spans="3:24">
      <c r="C710" s="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V710" s="23"/>
      <c r="W710" s="23"/>
      <c r="X710" s="23"/>
    </row>
    <row r="711" spans="3:24">
      <c r="C711" s="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V711" s="23"/>
      <c r="W711" s="23"/>
      <c r="X711" s="23"/>
    </row>
    <row r="712" spans="3:24">
      <c r="C712" s="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V712" s="23"/>
      <c r="W712" s="23"/>
      <c r="X712" s="23"/>
    </row>
    <row r="713" spans="3:24">
      <c r="C713" s="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V713" s="23"/>
      <c r="W713" s="23"/>
      <c r="X713" s="23"/>
    </row>
    <row r="714" spans="3:24">
      <c r="C714" s="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V714" s="23"/>
      <c r="W714" s="23"/>
      <c r="X714" s="23"/>
    </row>
    <row r="715" spans="3:24">
      <c r="C715" s="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V715" s="23"/>
      <c r="W715" s="23"/>
      <c r="X715" s="23"/>
    </row>
    <row r="716" spans="3:24">
      <c r="C716" s="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V716" s="23"/>
      <c r="W716" s="23"/>
      <c r="X716" s="23"/>
    </row>
    <row r="717" spans="3:24">
      <c r="C717" s="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V717" s="23"/>
      <c r="W717" s="23"/>
      <c r="X717" s="23"/>
    </row>
    <row r="718" spans="3:24">
      <c r="C718" s="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V718" s="23"/>
      <c r="W718" s="23"/>
      <c r="X718" s="23"/>
    </row>
    <row r="719" spans="3:24">
      <c r="C719" s="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V719" s="23"/>
      <c r="W719" s="23"/>
      <c r="X719" s="23"/>
    </row>
    <row r="720" spans="3:24">
      <c r="C720" s="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V720" s="23"/>
      <c r="W720" s="23"/>
      <c r="X720" s="23"/>
    </row>
    <row r="721" spans="3:24">
      <c r="C721" s="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V721" s="23"/>
      <c r="W721" s="23"/>
      <c r="X721" s="23"/>
    </row>
    <row r="722" spans="3:24">
      <c r="C722" s="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V722" s="23"/>
      <c r="W722" s="23"/>
      <c r="X722" s="23"/>
    </row>
    <row r="723" spans="3:24">
      <c r="C723" s="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V723" s="23"/>
      <c r="W723" s="23"/>
      <c r="X723" s="23"/>
    </row>
    <row r="724" spans="3:24">
      <c r="C724" s="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V724" s="23"/>
      <c r="W724" s="23"/>
      <c r="X724" s="23"/>
    </row>
    <row r="725" spans="3:24">
      <c r="C725" s="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V725" s="23"/>
      <c r="W725" s="23"/>
      <c r="X725" s="23"/>
    </row>
    <row r="726" spans="3:24">
      <c r="C726" s="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V726" s="23"/>
      <c r="W726" s="23"/>
      <c r="X726" s="23"/>
    </row>
    <row r="727" spans="3:24">
      <c r="C727" s="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V727" s="23"/>
      <c r="W727" s="23"/>
      <c r="X727" s="23"/>
    </row>
    <row r="728" spans="3:24">
      <c r="C728" s="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V728" s="23"/>
      <c r="W728" s="23"/>
      <c r="X728" s="23"/>
    </row>
    <row r="729" spans="3:24">
      <c r="C729" s="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V729" s="23"/>
      <c r="W729" s="23"/>
      <c r="X729" s="23"/>
    </row>
    <row r="730" spans="3:24">
      <c r="C730" s="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V730" s="23"/>
      <c r="W730" s="23"/>
      <c r="X730" s="23"/>
    </row>
    <row r="731" spans="3:24">
      <c r="C731" s="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V731" s="23"/>
      <c r="W731" s="23"/>
      <c r="X731" s="23"/>
    </row>
    <row r="732" spans="3:24">
      <c r="C732" s="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V732" s="23"/>
      <c r="W732" s="23"/>
      <c r="X732" s="23"/>
    </row>
    <row r="733" spans="3:24">
      <c r="C733" s="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V733" s="23"/>
      <c r="W733" s="23"/>
      <c r="X733" s="23"/>
    </row>
    <row r="734" spans="3:24">
      <c r="C734" s="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V734" s="23"/>
      <c r="W734" s="23"/>
      <c r="X734" s="23"/>
    </row>
    <row r="735" spans="3:24">
      <c r="C735" s="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V735" s="23"/>
      <c r="W735" s="23"/>
      <c r="X735" s="23"/>
    </row>
    <row r="736" spans="3:24">
      <c r="C736" s="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V736" s="23"/>
      <c r="W736" s="23"/>
      <c r="X736" s="23"/>
    </row>
    <row r="737" spans="3:24">
      <c r="C737" s="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V737" s="23"/>
      <c r="W737" s="23"/>
      <c r="X737" s="23"/>
    </row>
    <row r="738" spans="3:24">
      <c r="C738" s="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V738" s="23"/>
      <c r="W738" s="23"/>
      <c r="X738" s="23"/>
    </row>
    <row r="739" spans="3:24">
      <c r="C739" s="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V739" s="23"/>
      <c r="W739" s="23"/>
      <c r="X739" s="23"/>
    </row>
    <row r="740" spans="3:24">
      <c r="C740" s="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V740" s="23"/>
      <c r="W740" s="23"/>
      <c r="X740" s="23"/>
    </row>
    <row r="741" spans="3:24">
      <c r="C741" s="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V741" s="23"/>
      <c r="W741" s="23"/>
      <c r="X741" s="23"/>
    </row>
    <row r="742" spans="3:24">
      <c r="C742" s="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V742" s="23"/>
      <c r="W742" s="23"/>
      <c r="X742" s="23"/>
    </row>
    <row r="743" spans="3:24">
      <c r="C743" s="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V743" s="23"/>
      <c r="W743" s="23"/>
      <c r="X743" s="23"/>
    </row>
    <row r="744" spans="3:24">
      <c r="C744" s="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V744" s="23"/>
      <c r="W744" s="23"/>
      <c r="X744" s="23"/>
    </row>
    <row r="745" spans="3:24">
      <c r="C745" s="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V745" s="23"/>
      <c r="W745" s="23"/>
      <c r="X745" s="23"/>
    </row>
    <row r="746" spans="3:24">
      <c r="C746" s="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V746" s="23"/>
      <c r="W746" s="23"/>
      <c r="X746" s="23"/>
    </row>
    <row r="747" spans="3:24">
      <c r="C747" s="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V747" s="23"/>
      <c r="W747" s="23"/>
      <c r="X747" s="23"/>
    </row>
    <row r="748" spans="3:24">
      <c r="C748" s="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V748" s="23"/>
      <c r="W748" s="23"/>
      <c r="X748" s="23"/>
    </row>
    <row r="749" spans="3:24">
      <c r="C749" s="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V749" s="23"/>
      <c r="W749" s="23"/>
      <c r="X749" s="23"/>
    </row>
    <row r="750" spans="3:24">
      <c r="C750" s="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V750" s="23"/>
      <c r="W750" s="23"/>
      <c r="X750" s="23"/>
    </row>
    <row r="751" spans="3:24">
      <c r="C751" s="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V751" s="23"/>
      <c r="W751" s="23"/>
      <c r="X751" s="23"/>
    </row>
    <row r="752" spans="3:24">
      <c r="C752" s="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V752" s="23"/>
      <c r="W752" s="23"/>
      <c r="X752" s="23"/>
    </row>
    <row r="753" spans="3:24">
      <c r="C753" s="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V753" s="23"/>
      <c r="W753" s="23"/>
      <c r="X753" s="23"/>
    </row>
    <row r="754" spans="3:24">
      <c r="C754" s="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V754" s="23"/>
      <c r="W754" s="23"/>
      <c r="X754" s="23"/>
    </row>
    <row r="755" spans="3:24">
      <c r="C755" s="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V755" s="23"/>
      <c r="W755" s="23"/>
      <c r="X755" s="23"/>
    </row>
    <row r="756" spans="3:24">
      <c r="C756" s="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V756" s="23"/>
      <c r="W756" s="23"/>
      <c r="X756" s="23"/>
    </row>
    <row r="757" spans="3:24">
      <c r="C757" s="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V757" s="23"/>
      <c r="W757" s="23"/>
      <c r="X757" s="23"/>
    </row>
    <row r="758" spans="3:24">
      <c r="C758" s="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V758" s="23"/>
      <c r="W758" s="23"/>
      <c r="X758" s="23"/>
    </row>
    <row r="759" spans="3:24">
      <c r="C759" s="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V759" s="23"/>
      <c r="W759" s="23"/>
      <c r="X759" s="23"/>
    </row>
    <row r="760" spans="3:24">
      <c r="C760" s="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V760" s="23"/>
      <c r="W760" s="23"/>
      <c r="X760" s="23"/>
    </row>
    <row r="761" spans="3:24">
      <c r="C761" s="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V761" s="23"/>
      <c r="W761" s="23"/>
      <c r="X761" s="23"/>
    </row>
    <row r="762" spans="3:24">
      <c r="C762" s="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V762" s="23"/>
      <c r="W762" s="23"/>
      <c r="X762" s="23"/>
    </row>
    <row r="763" spans="3:24">
      <c r="C763" s="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V763" s="23"/>
      <c r="W763" s="23"/>
      <c r="X763" s="23"/>
    </row>
    <row r="764" spans="3:24">
      <c r="C764" s="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V764" s="23"/>
      <c r="W764" s="23"/>
      <c r="X764" s="23"/>
    </row>
    <row r="765" spans="3:24">
      <c r="C765" s="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V765" s="23"/>
      <c r="W765" s="23"/>
      <c r="X765" s="23"/>
    </row>
    <row r="766" spans="3:24">
      <c r="C766" s="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V766" s="23"/>
      <c r="W766" s="23"/>
      <c r="X766" s="23"/>
    </row>
    <row r="767" spans="3:24">
      <c r="C767" s="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V767" s="23"/>
      <c r="W767" s="23"/>
      <c r="X767" s="23"/>
    </row>
    <row r="768" spans="3:24">
      <c r="C768" s="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V768" s="23"/>
      <c r="W768" s="23"/>
      <c r="X768" s="23"/>
    </row>
    <row r="769" spans="3:24">
      <c r="C769" s="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V769" s="23"/>
      <c r="W769" s="23"/>
      <c r="X769" s="23"/>
    </row>
    <row r="770" spans="3:24">
      <c r="C770" s="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V770" s="23"/>
      <c r="W770" s="23"/>
      <c r="X770" s="23"/>
    </row>
    <row r="771" spans="3:24">
      <c r="C771" s="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V771" s="23"/>
      <c r="W771" s="23"/>
      <c r="X771" s="23"/>
    </row>
    <row r="772" spans="3:24">
      <c r="C772" s="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V772" s="23"/>
      <c r="W772" s="23"/>
      <c r="X772" s="23"/>
    </row>
    <row r="773" spans="3:24">
      <c r="C773" s="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V773" s="23"/>
      <c r="W773" s="23"/>
      <c r="X773" s="23"/>
    </row>
    <row r="774" spans="3:24">
      <c r="C774" s="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V774" s="23"/>
      <c r="W774" s="23"/>
      <c r="X774" s="23"/>
    </row>
    <row r="775" spans="3:24">
      <c r="C775" s="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V775" s="23"/>
      <c r="W775" s="23"/>
      <c r="X775" s="23"/>
    </row>
    <row r="776" spans="3:24">
      <c r="C776" s="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V776" s="23"/>
      <c r="W776" s="23"/>
      <c r="X776" s="23"/>
    </row>
    <row r="777" spans="3:24">
      <c r="C777" s="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V777" s="23"/>
      <c r="W777" s="23"/>
      <c r="X777" s="23"/>
    </row>
    <row r="778" spans="3:24">
      <c r="C778" s="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V778" s="23"/>
      <c r="W778" s="23"/>
      <c r="X778" s="23"/>
    </row>
    <row r="779" spans="3:24">
      <c r="C779" s="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V779" s="23"/>
      <c r="W779" s="23"/>
      <c r="X779" s="23"/>
    </row>
    <row r="780" spans="3:24">
      <c r="C780" s="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V780" s="23"/>
      <c r="W780" s="23"/>
      <c r="X780" s="23"/>
    </row>
    <row r="781" spans="3:24">
      <c r="C781" s="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V781" s="23"/>
      <c r="W781" s="23"/>
      <c r="X781" s="23"/>
    </row>
    <row r="782" spans="3:24">
      <c r="C782" s="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V782" s="23"/>
      <c r="W782" s="23"/>
      <c r="X782" s="23"/>
    </row>
    <row r="783" spans="3:24">
      <c r="C783" s="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V783" s="23"/>
      <c r="W783" s="23"/>
      <c r="X783" s="23"/>
    </row>
    <row r="784" spans="3:24">
      <c r="C784" s="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V784" s="23"/>
      <c r="W784" s="23"/>
      <c r="X784" s="23"/>
    </row>
    <row r="785" spans="3:24">
      <c r="C785" s="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V785" s="23"/>
      <c r="W785" s="23"/>
      <c r="X785" s="23"/>
    </row>
    <row r="786" spans="3:24">
      <c r="C786" s="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V786" s="23"/>
      <c r="W786" s="23"/>
      <c r="X786" s="23"/>
    </row>
    <row r="787" spans="3:24">
      <c r="C787" s="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V787" s="23"/>
      <c r="W787" s="23"/>
      <c r="X787" s="23"/>
    </row>
    <row r="788" spans="3:24">
      <c r="C788" s="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V788" s="23"/>
      <c r="W788" s="23"/>
      <c r="X788" s="23"/>
    </row>
    <row r="789" spans="3:24">
      <c r="C789" s="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V789" s="23"/>
      <c r="W789" s="23"/>
      <c r="X789" s="23"/>
    </row>
    <row r="790" spans="3:24">
      <c r="C790" s="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V790" s="23"/>
      <c r="W790" s="23"/>
      <c r="X790" s="23"/>
    </row>
    <row r="791" spans="3:24">
      <c r="C791" s="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V791" s="23"/>
      <c r="W791" s="23"/>
      <c r="X791" s="23"/>
    </row>
    <row r="792" spans="3:24">
      <c r="C792" s="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V792" s="23"/>
      <c r="W792" s="23"/>
      <c r="X792" s="23"/>
    </row>
    <row r="793" spans="3:24">
      <c r="C793" s="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V793" s="23"/>
      <c r="W793" s="23"/>
      <c r="X793" s="23"/>
    </row>
    <row r="794" spans="3:24">
      <c r="C794" s="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V794" s="23"/>
      <c r="W794" s="23"/>
      <c r="X794" s="23"/>
    </row>
    <row r="795" spans="3:24">
      <c r="C795" s="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V795" s="23"/>
      <c r="W795" s="23"/>
      <c r="X795" s="23"/>
    </row>
    <row r="796" spans="3:24">
      <c r="C796" s="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V796" s="23"/>
      <c r="W796" s="23"/>
      <c r="X796" s="23"/>
    </row>
    <row r="797" spans="3:24">
      <c r="C797" s="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V797" s="23"/>
      <c r="W797" s="23"/>
      <c r="X797" s="23"/>
    </row>
    <row r="798" spans="3:24">
      <c r="C798" s="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V798" s="23"/>
      <c r="W798" s="23"/>
      <c r="X798" s="23"/>
    </row>
    <row r="799" spans="3:24">
      <c r="C799" s="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V799" s="23"/>
      <c r="W799" s="23"/>
      <c r="X799" s="23"/>
    </row>
    <row r="800" spans="3:24">
      <c r="C800" s="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V800" s="23"/>
      <c r="W800" s="23"/>
      <c r="X800" s="23"/>
    </row>
    <row r="801" spans="3:24">
      <c r="C801" s="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V801" s="23"/>
      <c r="W801" s="23"/>
      <c r="X801" s="23"/>
    </row>
    <row r="802" spans="3:24">
      <c r="C802" s="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V802" s="23"/>
      <c r="W802" s="23"/>
      <c r="X802" s="23"/>
    </row>
    <row r="803" spans="3:24">
      <c r="C803" s="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V803" s="23"/>
      <c r="W803" s="23"/>
      <c r="X803" s="23"/>
    </row>
    <row r="804" spans="3:24">
      <c r="C804" s="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V804" s="23"/>
      <c r="W804" s="23"/>
      <c r="X804" s="23"/>
    </row>
    <row r="805" spans="3:24">
      <c r="C805" s="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V805" s="23"/>
      <c r="W805" s="23"/>
      <c r="X805" s="23"/>
    </row>
    <row r="806" spans="3:24">
      <c r="C806" s="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V806" s="23"/>
      <c r="W806" s="23"/>
      <c r="X806" s="23"/>
    </row>
    <row r="807" spans="3:24">
      <c r="C807" s="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V807" s="23"/>
      <c r="W807" s="23"/>
      <c r="X807" s="23"/>
    </row>
    <row r="808" spans="3:24">
      <c r="C808" s="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V808" s="23"/>
      <c r="W808" s="23"/>
      <c r="X808" s="23"/>
    </row>
    <row r="809" spans="3:24">
      <c r="C809" s="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V809" s="23"/>
      <c r="W809" s="23"/>
      <c r="X809" s="23"/>
    </row>
    <row r="810" spans="3:24">
      <c r="C810" s="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V810" s="23"/>
      <c r="W810" s="23"/>
      <c r="X810" s="23"/>
    </row>
    <row r="811" spans="3:24">
      <c r="C811" s="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V811" s="23"/>
      <c r="W811" s="23"/>
      <c r="X811" s="23"/>
    </row>
    <row r="812" spans="3:24">
      <c r="C812" s="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V812" s="23"/>
      <c r="W812" s="23"/>
      <c r="X812" s="23"/>
    </row>
    <row r="813" spans="3:24">
      <c r="C813" s="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V813" s="23"/>
      <c r="W813" s="23"/>
      <c r="X813" s="23"/>
    </row>
    <row r="814" spans="3:24">
      <c r="C814" s="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V814" s="23"/>
      <c r="W814" s="23"/>
      <c r="X814" s="23"/>
    </row>
    <row r="815" spans="3:24">
      <c r="C815" s="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V815" s="23"/>
      <c r="W815" s="23"/>
      <c r="X815" s="23"/>
    </row>
    <row r="816" spans="3:24">
      <c r="C816" s="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V816" s="23"/>
      <c r="W816" s="23"/>
      <c r="X816" s="23"/>
    </row>
    <row r="817" spans="3:24">
      <c r="C817" s="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V817" s="23"/>
      <c r="W817" s="23"/>
      <c r="X817" s="23"/>
    </row>
    <row r="818" spans="3:24">
      <c r="C818" s="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V818" s="23"/>
      <c r="W818" s="23"/>
      <c r="X818" s="23"/>
    </row>
    <row r="819" spans="3:24">
      <c r="C819" s="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V819" s="23"/>
      <c r="W819" s="23"/>
      <c r="X819" s="23"/>
    </row>
    <row r="820" spans="3:24">
      <c r="C820" s="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V820" s="23"/>
      <c r="W820" s="23"/>
      <c r="X820" s="23"/>
    </row>
    <row r="821" spans="3:24">
      <c r="C821" s="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V821" s="23"/>
      <c r="W821" s="23"/>
      <c r="X821" s="23"/>
    </row>
    <row r="822" spans="3:24">
      <c r="C822" s="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V822" s="23"/>
      <c r="W822" s="23"/>
      <c r="X822" s="23"/>
    </row>
    <row r="823" spans="3:24">
      <c r="C823" s="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V823" s="23"/>
      <c r="W823" s="23"/>
      <c r="X823" s="23"/>
    </row>
    <row r="824" spans="3:24">
      <c r="C824" s="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V824" s="23"/>
      <c r="W824" s="23"/>
      <c r="X824" s="23"/>
    </row>
    <row r="825" spans="3:24">
      <c r="C825" s="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V825" s="23"/>
      <c r="W825" s="23"/>
      <c r="X825" s="23"/>
    </row>
    <row r="826" spans="3:24">
      <c r="C826" s="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V826" s="23"/>
      <c r="W826" s="23"/>
      <c r="X826" s="23"/>
    </row>
    <row r="827" spans="3:24">
      <c r="C827" s="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V827" s="23"/>
      <c r="W827" s="23"/>
      <c r="X827" s="23"/>
    </row>
    <row r="828" spans="3:24">
      <c r="C828" s="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V828" s="23"/>
      <c r="W828" s="23"/>
      <c r="X828" s="23"/>
    </row>
    <row r="829" spans="3:24">
      <c r="C829" s="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V829" s="23"/>
      <c r="W829" s="23"/>
      <c r="X829" s="23"/>
    </row>
    <row r="830" spans="3:24">
      <c r="C830" s="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V830" s="23"/>
      <c r="W830" s="23"/>
      <c r="X830" s="23"/>
    </row>
    <row r="831" spans="3:24">
      <c r="C831" s="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V831" s="23"/>
      <c r="W831" s="23"/>
      <c r="X831" s="23"/>
    </row>
    <row r="832" spans="3:24">
      <c r="C832" s="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V832" s="23"/>
      <c r="W832" s="23"/>
      <c r="X832" s="23"/>
    </row>
    <row r="833" spans="3:24">
      <c r="C833" s="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V833" s="23"/>
      <c r="W833" s="23"/>
      <c r="X833" s="23"/>
    </row>
    <row r="834" spans="3:24">
      <c r="C834" s="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V834" s="23"/>
      <c r="W834" s="23"/>
      <c r="X834" s="23"/>
    </row>
    <row r="835" spans="3:24">
      <c r="C835" s="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V835" s="23"/>
      <c r="W835" s="23"/>
      <c r="X835" s="23"/>
    </row>
    <row r="836" spans="3:24">
      <c r="C836" s="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V836" s="23"/>
      <c r="W836" s="23"/>
      <c r="X836" s="23"/>
    </row>
    <row r="837" spans="3:24">
      <c r="C837" s="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V837" s="23"/>
      <c r="W837" s="23"/>
      <c r="X837" s="23"/>
    </row>
    <row r="838" spans="3:24">
      <c r="C838" s="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V838" s="23"/>
      <c r="W838" s="23"/>
      <c r="X838" s="23"/>
    </row>
    <row r="839" spans="3:24">
      <c r="C839" s="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V839" s="23"/>
      <c r="W839" s="23"/>
      <c r="X839" s="23"/>
    </row>
    <row r="840" spans="3:24">
      <c r="C840" s="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V840" s="23"/>
      <c r="W840" s="23"/>
      <c r="X840" s="23"/>
    </row>
    <row r="841" spans="3:24">
      <c r="C841" s="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V841" s="23"/>
      <c r="W841" s="23"/>
      <c r="X841" s="23"/>
    </row>
    <row r="842" spans="3:24">
      <c r="C842" s="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V842" s="23"/>
      <c r="W842" s="23"/>
      <c r="X842" s="23"/>
    </row>
    <row r="843" spans="3:24">
      <c r="C843" s="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V843" s="23"/>
      <c r="W843" s="23"/>
      <c r="X843" s="23"/>
    </row>
    <row r="844" spans="3:24">
      <c r="C844" s="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V844" s="23"/>
      <c r="W844" s="23"/>
      <c r="X844" s="23"/>
    </row>
    <row r="845" spans="3:24">
      <c r="C845" s="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V845" s="23"/>
      <c r="W845" s="23"/>
      <c r="X845" s="23"/>
    </row>
    <row r="846" spans="3:24">
      <c r="C846" s="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V846" s="23"/>
      <c r="W846" s="23"/>
      <c r="X846" s="23"/>
    </row>
    <row r="847" spans="3:24">
      <c r="C847" s="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V847" s="23"/>
      <c r="W847" s="23"/>
      <c r="X847" s="23"/>
    </row>
    <row r="848" spans="3:24">
      <c r="C848" s="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V848" s="23"/>
      <c r="W848" s="23"/>
      <c r="X848" s="23"/>
    </row>
    <row r="849" spans="3:24">
      <c r="C849" s="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V849" s="23"/>
      <c r="W849" s="23"/>
      <c r="X849" s="23"/>
    </row>
    <row r="850" spans="3:24">
      <c r="C850" s="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V850" s="23"/>
      <c r="W850" s="23"/>
      <c r="X850" s="23"/>
    </row>
    <row r="851" spans="3:24">
      <c r="C851" s="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V851" s="23"/>
      <c r="W851" s="23"/>
      <c r="X851" s="23"/>
    </row>
    <row r="852" spans="3:24">
      <c r="C852" s="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V852" s="23"/>
      <c r="W852" s="23"/>
      <c r="X852" s="23"/>
    </row>
    <row r="853" spans="3:24">
      <c r="C853" s="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V853" s="23"/>
      <c r="W853" s="23"/>
      <c r="X853" s="23"/>
    </row>
    <row r="854" spans="3:24">
      <c r="C854" s="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V854" s="23"/>
      <c r="W854" s="23"/>
      <c r="X854" s="23"/>
    </row>
    <row r="855" spans="3:24">
      <c r="C855" s="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V855" s="23"/>
      <c r="W855" s="23"/>
      <c r="X855" s="23"/>
    </row>
    <row r="856" spans="3:24">
      <c r="C856" s="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V856" s="23"/>
      <c r="W856" s="23"/>
      <c r="X856" s="23"/>
    </row>
    <row r="857" spans="3:24">
      <c r="C857" s="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V857" s="23"/>
      <c r="W857" s="23"/>
      <c r="X857" s="23"/>
    </row>
    <row r="858" spans="3:24">
      <c r="C858" s="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V858" s="23"/>
      <c r="W858" s="23"/>
      <c r="X858" s="23"/>
    </row>
    <row r="859" spans="3:24">
      <c r="C859" s="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V859" s="23"/>
      <c r="W859" s="23"/>
      <c r="X859" s="23"/>
    </row>
    <row r="860" spans="3:24">
      <c r="C860" s="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V860" s="23"/>
      <c r="W860" s="23"/>
      <c r="X860" s="23"/>
    </row>
    <row r="861" spans="3:24">
      <c r="C861" s="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V861" s="23"/>
      <c r="W861" s="23"/>
      <c r="X861" s="23"/>
    </row>
    <row r="862" spans="3:24">
      <c r="C862" s="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V862" s="23"/>
      <c r="W862" s="23"/>
      <c r="X862" s="23"/>
    </row>
    <row r="863" spans="3:24">
      <c r="C863" s="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V863" s="23"/>
      <c r="W863" s="23"/>
      <c r="X863" s="23"/>
    </row>
    <row r="864" spans="3:24">
      <c r="C864" s="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V864" s="23"/>
      <c r="W864" s="23"/>
      <c r="X864" s="23"/>
    </row>
    <row r="865" spans="3:24">
      <c r="C865" s="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V865" s="23"/>
      <c r="W865" s="23"/>
      <c r="X865" s="23"/>
    </row>
    <row r="866" spans="3:24">
      <c r="C866" s="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V866" s="23"/>
      <c r="W866" s="23"/>
      <c r="X866" s="23"/>
    </row>
    <row r="867" spans="3:24">
      <c r="C867" s="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V867" s="23"/>
      <c r="W867" s="23"/>
      <c r="X867" s="23"/>
    </row>
    <row r="868" spans="3:24">
      <c r="C868" s="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V868" s="23"/>
      <c r="W868" s="23"/>
      <c r="X868" s="23"/>
    </row>
    <row r="869" spans="3:24">
      <c r="C869" s="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V869" s="23"/>
      <c r="W869" s="23"/>
      <c r="X869" s="23"/>
    </row>
    <row r="870" spans="3:24">
      <c r="C870" s="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V870" s="23"/>
      <c r="W870" s="23"/>
      <c r="X870" s="23"/>
    </row>
    <row r="871" spans="3:24">
      <c r="C871" s="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V871" s="23"/>
      <c r="W871" s="23"/>
      <c r="X871" s="23"/>
    </row>
    <row r="872" spans="3:24">
      <c r="C872" s="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V872" s="23"/>
      <c r="W872" s="23"/>
      <c r="X872" s="23"/>
    </row>
    <row r="873" spans="3:24">
      <c r="C873" s="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V873" s="23"/>
      <c r="W873" s="23"/>
      <c r="X873" s="23"/>
    </row>
    <row r="874" spans="3:24">
      <c r="C874" s="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V874" s="23"/>
      <c r="W874" s="23"/>
      <c r="X874" s="23"/>
    </row>
    <row r="875" spans="3:24">
      <c r="C875" s="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V875" s="23"/>
      <c r="W875" s="23"/>
      <c r="X875" s="23"/>
    </row>
    <row r="876" spans="3:24">
      <c r="C876" s="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V876" s="23"/>
      <c r="W876" s="23"/>
      <c r="X876" s="23"/>
    </row>
    <row r="877" spans="3:24">
      <c r="C877" s="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V877" s="23"/>
      <c r="W877" s="23"/>
      <c r="X877" s="23"/>
    </row>
    <row r="878" spans="3:24">
      <c r="C878" s="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V878" s="23"/>
      <c r="W878" s="23"/>
      <c r="X878" s="23"/>
    </row>
    <row r="879" spans="3:24">
      <c r="C879" s="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V879" s="23"/>
      <c r="W879" s="23"/>
      <c r="X879" s="23"/>
    </row>
    <row r="880" spans="3:24">
      <c r="C880" s="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V880" s="23"/>
      <c r="W880" s="23"/>
      <c r="X880" s="23"/>
    </row>
    <row r="881" spans="3:24">
      <c r="C881" s="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V881" s="23"/>
      <c r="W881" s="23"/>
      <c r="X881" s="23"/>
    </row>
    <row r="882" spans="3:24">
      <c r="C882" s="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V882" s="23"/>
      <c r="W882" s="23"/>
      <c r="X882" s="23"/>
    </row>
    <row r="883" spans="3:24">
      <c r="C883" s="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V883" s="23"/>
      <c r="W883" s="23"/>
      <c r="X883" s="23"/>
    </row>
    <row r="884" spans="3:24">
      <c r="C884" s="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V884" s="23"/>
      <c r="W884" s="23"/>
      <c r="X884" s="23"/>
    </row>
    <row r="885" spans="3:24">
      <c r="C885" s="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V885" s="23"/>
      <c r="W885" s="23"/>
      <c r="X885" s="23"/>
    </row>
    <row r="886" spans="3:24">
      <c r="C886" s="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V886" s="23"/>
      <c r="W886" s="23"/>
      <c r="X886" s="23"/>
    </row>
    <row r="887" spans="3:24">
      <c r="C887" s="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V887" s="23"/>
      <c r="W887" s="23"/>
      <c r="X887" s="23"/>
    </row>
    <row r="888" spans="3:24">
      <c r="C888" s="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V888" s="23"/>
      <c r="W888" s="23"/>
      <c r="X888" s="23"/>
    </row>
    <row r="889" spans="3:24">
      <c r="C889" s="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V889" s="23"/>
      <c r="W889" s="23"/>
      <c r="X889" s="23"/>
    </row>
    <row r="890" spans="3:24">
      <c r="C890" s="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V890" s="23"/>
      <c r="W890" s="23"/>
      <c r="X890" s="23"/>
    </row>
    <row r="891" spans="3:24">
      <c r="C891" s="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V891" s="23"/>
      <c r="W891" s="23"/>
      <c r="X891" s="23"/>
    </row>
    <row r="892" spans="3:24">
      <c r="C892" s="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V892" s="23"/>
      <c r="W892" s="23"/>
      <c r="X892" s="23"/>
    </row>
    <row r="893" spans="3:24">
      <c r="C893" s="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V893" s="23"/>
      <c r="W893" s="23"/>
      <c r="X893" s="23"/>
    </row>
    <row r="894" spans="3:24">
      <c r="C894" s="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V894" s="23"/>
      <c r="W894" s="23"/>
      <c r="X894" s="23"/>
    </row>
    <row r="895" spans="3:24">
      <c r="C895" s="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V895" s="23"/>
      <c r="W895" s="23"/>
      <c r="X895" s="23"/>
    </row>
    <row r="896" spans="3:24">
      <c r="C896" s="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V896" s="23"/>
      <c r="W896" s="23"/>
      <c r="X896" s="23"/>
    </row>
    <row r="897" spans="3:24">
      <c r="C897" s="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V897" s="23"/>
      <c r="W897" s="23"/>
      <c r="X897" s="23"/>
    </row>
    <row r="898" spans="3:24">
      <c r="C898" s="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V898" s="23"/>
      <c r="W898" s="23"/>
      <c r="X898" s="23"/>
    </row>
    <row r="899" spans="3:24">
      <c r="C899" s="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V899" s="23"/>
      <c r="W899" s="23"/>
      <c r="X899" s="23"/>
    </row>
    <row r="900" spans="3:24">
      <c r="C900" s="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V900" s="23"/>
      <c r="W900" s="23"/>
      <c r="X900" s="23"/>
    </row>
    <row r="901" spans="3:24">
      <c r="C901" s="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V901" s="23"/>
      <c r="W901" s="23"/>
      <c r="X901" s="23"/>
    </row>
    <row r="902" spans="3:24">
      <c r="C902" s="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V902" s="23"/>
      <c r="W902" s="23"/>
      <c r="X902" s="23"/>
    </row>
    <row r="903" spans="3:24">
      <c r="C903" s="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V903" s="23"/>
      <c r="W903" s="23"/>
      <c r="X903" s="23"/>
    </row>
    <row r="904" spans="3:24">
      <c r="C904" s="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V904" s="23"/>
      <c r="W904" s="23"/>
      <c r="X904" s="23"/>
    </row>
    <row r="905" spans="3:24">
      <c r="C905" s="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V905" s="23"/>
      <c r="W905" s="23"/>
      <c r="X905" s="23"/>
    </row>
    <row r="906" spans="3:24">
      <c r="C906" s="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V906" s="23"/>
      <c r="W906" s="23"/>
      <c r="X906" s="23"/>
    </row>
    <row r="907" spans="3:24">
      <c r="C907" s="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V907" s="23"/>
      <c r="W907" s="23"/>
      <c r="X907" s="23"/>
    </row>
    <row r="908" spans="3:24">
      <c r="C908" s="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V908" s="23"/>
      <c r="W908" s="23"/>
      <c r="X908" s="23"/>
    </row>
    <row r="909" spans="3:24">
      <c r="C909" s="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V909" s="23"/>
      <c r="W909" s="23"/>
      <c r="X909" s="23"/>
    </row>
    <row r="910" spans="3:24">
      <c r="C910" s="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V910" s="23"/>
      <c r="W910" s="23"/>
      <c r="X910" s="23"/>
    </row>
    <row r="911" spans="3:24">
      <c r="C911" s="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V911" s="23"/>
      <c r="W911" s="23"/>
      <c r="X911" s="23"/>
    </row>
    <row r="912" spans="3:24">
      <c r="C912" s="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V912" s="23"/>
      <c r="W912" s="23"/>
      <c r="X912" s="23"/>
    </row>
    <row r="913" spans="3:24">
      <c r="C913" s="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V913" s="23"/>
      <c r="W913" s="23"/>
      <c r="X913" s="23"/>
    </row>
    <row r="914" spans="3:24">
      <c r="C914" s="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V914" s="23"/>
      <c r="W914" s="23"/>
      <c r="X914" s="23"/>
    </row>
    <row r="915" spans="3:24">
      <c r="C915" s="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V915" s="23"/>
      <c r="W915" s="23"/>
      <c r="X915" s="23"/>
    </row>
    <row r="916" spans="3:24"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V916" s="23"/>
      <c r="W916" s="23"/>
      <c r="X916" s="23"/>
    </row>
    <row r="917" spans="3:24"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V917" s="23"/>
      <c r="W917" s="23"/>
      <c r="X917" s="23"/>
    </row>
    <row r="918" spans="3:24"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V918" s="23"/>
      <c r="W918" s="23"/>
      <c r="X918" s="23"/>
    </row>
    <row r="919" spans="3:24"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V919" s="23"/>
      <c r="W919" s="23"/>
      <c r="X919" s="23"/>
    </row>
    <row r="920" spans="3:24"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V920" s="23"/>
      <c r="W920" s="23"/>
      <c r="X920" s="23"/>
    </row>
    <row r="921" spans="3:24"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V921" s="23"/>
      <c r="W921" s="23"/>
      <c r="X921" s="23"/>
    </row>
    <row r="922" spans="3:24"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V922" s="23"/>
      <c r="W922" s="23"/>
      <c r="X922" s="23"/>
    </row>
    <row r="923" spans="3:24"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V923" s="23"/>
      <c r="W923" s="23"/>
      <c r="X923" s="23"/>
    </row>
    <row r="924" spans="3:24"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V924" s="23"/>
      <c r="W924" s="23"/>
      <c r="X924" s="23"/>
    </row>
    <row r="925" spans="3:24"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V925" s="23"/>
      <c r="W925" s="23"/>
      <c r="X925" s="23"/>
    </row>
    <row r="926" spans="3:24"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V926" s="23"/>
      <c r="W926" s="23"/>
      <c r="X926" s="23"/>
    </row>
    <row r="927" spans="3:24"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V927" s="23"/>
      <c r="W927" s="23"/>
      <c r="X927" s="23"/>
    </row>
    <row r="928" spans="3:24"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V928" s="23"/>
      <c r="W928" s="23"/>
      <c r="X928" s="23"/>
    </row>
    <row r="929" spans="4:24"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V929" s="23"/>
      <c r="W929" s="23"/>
      <c r="X929" s="23"/>
    </row>
    <row r="930" spans="4:24"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V930" s="23"/>
      <c r="W930" s="23"/>
      <c r="X930" s="23"/>
    </row>
    <row r="931" spans="4:24"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V931" s="23"/>
      <c r="W931" s="23"/>
      <c r="X931" s="23"/>
    </row>
    <row r="932" spans="4:24"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V932" s="23"/>
      <c r="W932" s="23"/>
      <c r="X932" s="23"/>
    </row>
    <row r="933" spans="4:24"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V933" s="23"/>
      <c r="W933" s="23"/>
      <c r="X933" s="23"/>
    </row>
    <row r="934" spans="4:24"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V934" s="23"/>
      <c r="W934" s="23"/>
      <c r="X934" s="23"/>
    </row>
    <row r="935" spans="4:24"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V935" s="23"/>
      <c r="W935" s="23"/>
      <c r="X935" s="23"/>
    </row>
    <row r="936" spans="4:24"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V936" s="23"/>
      <c r="W936" s="23"/>
      <c r="X936" s="23"/>
    </row>
    <row r="937" spans="4:24"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V937" s="23"/>
      <c r="W937" s="23"/>
      <c r="X937" s="23"/>
    </row>
    <row r="938" spans="4:24"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V938" s="23"/>
      <c r="W938" s="23"/>
      <c r="X938" s="23"/>
    </row>
    <row r="939" spans="4:24"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V939" s="23"/>
      <c r="W939" s="23"/>
      <c r="X939" s="23"/>
    </row>
    <row r="940" spans="4:24"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V940" s="23"/>
      <c r="W940" s="23"/>
      <c r="X940" s="23"/>
    </row>
    <row r="941" spans="4:24"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V941" s="23"/>
      <c r="W941" s="23"/>
      <c r="X941" s="23"/>
    </row>
  </sheetData>
  <mergeCells count="3">
    <mergeCell ref="B2:C2"/>
    <mergeCell ref="D2:F2"/>
    <mergeCell ref="B4:C4"/>
  </mergeCells>
  <dataValidations count="1">
    <dataValidation type="list" allowBlank="1" showInputMessage="1" showErrorMessage="1" sqref="D2:F2" xr:uid="{DF8DF846-9821-4BAE-8840-C25336754AE0}">
      <formula1>Aulas</formula1>
    </dataValidation>
  </dataValidations>
  <pageMargins left="0.70866141732283472" right="0.70866141732283472" top="0.74803149606299213" bottom="0.74803149606299213" header="0" footer="0"/>
  <pageSetup scale="3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Filas_profesor">
                <anchor moveWithCells="1" sizeWithCells="1">
                  <from>
                    <xdr:col>6</xdr:col>
                    <xdr:colOff>0</xdr:colOff>
                    <xdr:row>0</xdr:row>
                    <xdr:rowOff>152400</xdr:rowOff>
                  </from>
                  <to>
                    <xdr:col>7</xdr:col>
                    <xdr:colOff>1828800</xdr:colOff>
                    <xdr:row>1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1:AY435"/>
  <sheetViews>
    <sheetView tabSelected="1" topLeftCell="R1" zoomScale="85" zoomScaleNormal="85" workbookViewId="0">
      <selection activeCell="AT6" sqref="AT6"/>
    </sheetView>
  </sheetViews>
  <sheetFormatPr baseColWidth="10" defaultColWidth="10.6640625" defaultRowHeight="13"/>
  <cols>
    <col min="1" max="1" width="3.5" style="66" customWidth="1"/>
    <col min="2" max="2" width="46.33203125" style="66" customWidth="1"/>
    <col min="3" max="3" width="43.83203125" customWidth="1"/>
    <col min="4" max="4" width="6.1640625" style="66" customWidth="1"/>
    <col min="5" max="5" width="14.33203125" style="66" customWidth="1"/>
    <col min="6" max="6" width="15.33203125" style="66" customWidth="1"/>
    <col min="7" max="7" width="7.83203125" style="66" hidden="1" customWidth="1"/>
    <col min="8" max="8" width="19.5" style="66" customWidth="1"/>
    <col min="9" max="9" width="15.83203125" style="66" hidden="1" customWidth="1"/>
    <col min="10" max="10" width="12.1640625" style="66" hidden="1" customWidth="1"/>
    <col min="11" max="11" width="15.6640625" style="66" hidden="1" customWidth="1"/>
    <col min="12" max="12" width="10.6640625" style="66" hidden="1" customWidth="1"/>
    <col min="13" max="13" width="14.83203125" style="66" hidden="1" customWidth="1"/>
    <col min="14" max="14" width="16.5" style="66" hidden="1" customWidth="1"/>
    <col min="15" max="15" width="23.1640625" style="66" customWidth="1"/>
    <col min="16" max="16" width="10.6640625" style="66" customWidth="1"/>
    <col min="17" max="17" width="9.1640625" style="66" customWidth="1"/>
    <col min="18" max="18" width="8.1640625" style="66" customWidth="1"/>
    <col min="19" max="20" width="10.6640625" style="66" customWidth="1"/>
    <col min="21" max="21" width="10" style="66" customWidth="1"/>
    <col min="22" max="22" width="4.1640625" style="66" customWidth="1"/>
    <col min="23" max="23" width="6.1640625" style="66" customWidth="1"/>
    <col min="24" max="24" width="6.6640625" style="66" customWidth="1"/>
    <col min="25" max="35" width="4.1640625" style="66" customWidth="1"/>
    <col min="36" max="36" width="3" style="66" customWidth="1"/>
    <col min="37" max="37" width="2.6640625" style="66" customWidth="1"/>
    <col min="38" max="38" width="3.6640625" style="66" customWidth="1"/>
    <col min="39" max="39" width="4.1640625" style="66" customWidth="1"/>
    <col min="40" max="40" width="5.5" style="66" customWidth="1"/>
    <col min="41" max="41" width="8.33203125" style="66" customWidth="1"/>
    <col min="42" max="48" width="6" style="66" customWidth="1"/>
    <col min="49" max="49" width="83.83203125" style="66" customWidth="1"/>
    <col min="50" max="50" width="25.1640625" style="66" customWidth="1"/>
    <col min="51" max="52" width="10.6640625" style="66" customWidth="1"/>
    <col min="53" max="16384" width="10.6640625" style="66"/>
  </cols>
  <sheetData>
    <row r="1" spans="1:50" s="5" customFormat="1" ht="14">
      <c r="C1" s="1"/>
    </row>
    <row r="2" spans="1:50" s="5" customFormat="1" ht="104">
      <c r="B2" s="53" t="s">
        <v>19</v>
      </c>
      <c r="C2" s="76" t="s">
        <v>20</v>
      </c>
      <c r="D2" s="54" t="s">
        <v>21</v>
      </c>
      <c r="E2" s="55" t="s">
        <v>22</v>
      </c>
      <c r="F2" s="56" t="s">
        <v>23</v>
      </c>
      <c r="G2" s="53" t="s">
        <v>24</v>
      </c>
      <c r="H2" s="53" t="s">
        <v>4</v>
      </c>
      <c r="I2" s="57" t="s">
        <v>25</v>
      </c>
      <c r="J2" s="57" t="s">
        <v>26</v>
      </c>
      <c r="K2" s="75" t="s">
        <v>27</v>
      </c>
      <c r="L2" s="75" t="s">
        <v>28</v>
      </c>
      <c r="M2" s="75" t="s">
        <v>29</v>
      </c>
      <c r="N2" s="75" t="s">
        <v>30</v>
      </c>
      <c r="O2" s="53" t="s">
        <v>5</v>
      </c>
      <c r="P2" s="57" t="s">
        <v>31</v>
      </c>
      <c r="Q2" s="58" t="s">
        <v>32</v>
      </c>
      <c r="R2" s="57" t="s">
        <v>33</v>
      </c>
      <c r="S2" s="58" t="s">
        <v>34</v>
      </c>
      <c r="T2" s="57" t="s">
        <v>35</v>
      </c>
      <c r="U2" s="57" t="s">
        <v>10</v>
      </c>
      <c r="V2" s="57" t="s">
        <v>36</v>
      </c>
      <c r="W2" s="57" t="s">
        <v>37</v>
      </c>
      <c r="X2" s="57" t="s">
        <v>38</v>
      </c>
      <c r="Y2" s="57" t="s">
        <v>39</v>
      </c>
      <c r="Z2" s="54" t="s">
        <v>40</v>
      </c>
      <c r="AA2" s="57" t="s">
        <v>41</v>
      </c>
      <c r="AB2" s="54" t="s">
        <v>42</v>
      </c>
      <c r="AC2" s="54" t="s">
        <v>43</v>
      </c>
      <c r="AD2" s="54" t="s">
        <v>44</v>
      </c>
      <c r="AE2" s="59" t="s">
        <v>45</v>
      </c>
      <c r="AF2" s="60" t="s">
        <v>46</v>
      </c>
      <c r="AG2" s="59" t="s">
        <v>47</v>
      </c>
      <c r="AH2" s="60" t="s">
        <v>48</v>
      </c>
      <c r="AI2" s="59" t="s">
        <v>49</v>
      </c>
      <c r="AJ2" s="60" t="s">
        <v>50</v>
      </c>
      <c r="AK2" s="59" t="s">
        <v>12</v>
      </c>
      <c r="AL2" s="54" t="s">
        <v>51</v>
      </c>
      <c r="AM2" s="61" t="s">
        <v>52</v>
      </c>
      <c r="AN2" s="61" t="s">
        <v>53</v>
      </c>
      <c r="AO2" s="54" t="s">
        <v>16</v>
      </c>
      <c r="AP2" s="62" t="s">
        <v>54</v>
      </c>
      <c r="AQ2" s="62" t="s">
        <v>55</v>
      </c>
      <c r="AR2" s="62" t="s">
        <v>56</v>
      </c>
      <c r="AS2" s="62" t="s">
        <v>57</v>
      </c>
      <c r="AT2" s="62" t="s">
        <v>58</v>
      </c>
      <c r="AU2" s="62" t="s">
        <v>59</v>
      </c>
      <c r="AV2" s="62" t="s">
        <v>60</v>
      </c>
      <c r="AW2" s="63" t="s">
        <v>61</v>
      </c>
      <c r="AX2" s="63" t="s">
        <v>62</v>
      </c>
    </row>
    <row r="3" spans="1:50" s="5" customFormat="1" ht="16">
      <c r="A3" s="5" t="s">
        <v>63</v>
      </c>
      <c r="B3" s="95" t="s">
        <v>64</v>
      </c>
      <c r="C3" s="96" t="s">
        <v>65</v>
      </c>
      <c r="D3" s="92">
        <v>1</v>
      </c>
      <c r="E3" s="97">
        <v>0.70833333333333304</v>
      </c>
      <c r="F3" s="97">
        <v>0.83333333333332504</v>
      </c>
      <c r="G3" s="92" t="s">
        <v>66</v>
      </c>
      <c r="H3" s="92" t="s">
        <v>67</v>
      </c>
      <c r="I3" s="92" t="e">
        <f>INDEX(Aulas_capacidad,MATCH(base_de_datos[[#This Row],[Aula]],Aulas,0),2)</f>
        <v>#REF!</v>
      </c>
      <c r="J3" s="90">
        <v>30</v>
      </c>
      <c r="K3" s="92" t="e">
        <f>INDEX(Aulas_capacidad,MATCH(base_de_datos[[#This Row],[Aula]],Aulas,0),4)</f>
        <v>#REF!</v>
      </c>
      <c r="L3" s="98" t="e">
        <f>base_de_datos[[#This Row],[Cap 1.5]]-base_de_datos[[#This Row],[Inscritos]]</f>
        <v>#REF!</v>
      </c>
      <c r="M3" s="98" t="e">
        <f>INDEX(Aulas_capacidad,MATCH(base_de_datos[[#This Row],[Aula]],Aulas,0),5)</f>
        <v>#REF!</v>
      </c>
      <c r="N3" s="98" t="e">
        <f>base_de_datos[[#This Row],[Cap .90]]-base_de_datos[[#This Row],[Inscritos]]</f>
        <v>#REF!</v>
      </c>
      <c r="O3" s="92">
        <v>1513</v>
      </c>
      <c r="P3" s="99"/>
      <c r="Q3" s="100" t="s">
        <v>68</v>
      </c>
      <c r="R3" s="99"/>
      <c r="S3" s="100"/>
      <c r="T3" s="100"/>
      <c r="U3" s="99"/>
      <c r="V3" s="99"/>
      <c r="W3" s="99" t="s">
        <v>69</v>
      </c>
      <c r="X3" s="93">
        <f>_xlfn.XLOOKUP(base_de_datos[[#This Row],[Materia]],Materias,Horas)/16</f>
        <v>3</v>
      </c>
      <c r="Y3" s="93">
        <f>ROUND(((base_de_datos[[#This Row],[Hora fin]]-base_de_datos[[#This Row],[Hora inicio]])*24)*(COUNTA(base_de_datos[[#This Row],[Lunes]:[Sábado]])),1)</f>
        <v>3</v>
      </c>
      <c r="Z3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" s="93">
        <f ca="1">IF(base_de_datos[[#This Row],[No clase]]=OFFSET(base_de_datos[[#This Row],[No clase]],-1,0),0,1)</f>
        <v>1</v>
      </c>
      <c r="AB3" s="93">
        <f ca="1">IF(NOT(OR(base_de_datos[[#This Row],[Horas totales]]=base_de_datos[[#This Row],[HT Plan]],base_de_datos[[#This Row],[Horas totales]]="N/A")),1,0)</f>
        <v>0</v>
      </c>
      <c r="AC3" s="93" t="e">
        <f>_xlfn.XLOOKUP(base_de_datos[[#This Row],[Profesor]],Nombre,Grado)</f>
        <v>#REF!</v>
      </c>
      <c r="AD3" s="94" t="e">
        <f>_xlfn.XLOOKUP(base_de_datos[[#This Row],[Profesor]],Nombre,Tipo)</f>
        <v>#REF!</v>
      </c>
      <c r="AE3" s="93">
        <f>IF(IFERROR(VLOOKUP($C3,Planes_de_estudio[],MATCH($AE$2,Carreras,0)+2,0),"")&gt;0,IFERROR(VLOOKUP($C3,Planes_de_estudio[],MATCH($AE$2,Carreras,0)+2,0),""),"")</f>
        <v>5</v>
      </c>
      <c r="AF3" s="93" t="str">
        <f>IF(IFERROR(VLOOKUP($C3,Planes_de_estudio[],MATCH($AF$2,Carreras,0)+2,0),"")&gt;0,IFERROR(VLOOKUP($C3,Planes_de_estudio[],MATCH($AF$2,Carreras,0)+2,0),""),"")</f>
        <v/>
      </c>
      <c r="AG3" s="93" t="str">
        <f>IF(IFERROR(VLOOKUP($C3,Planes_de_estudio[],MATCH($AG$2,Carreras,0)+2,0),"")&gt;0,IFERROR(VLOOKUP($C3,Planes_de_estudio[],MATCH($AG$2,Carreras,0)+2,0),""),"")</f>
        <v/>
      </c>
      <c r="AH3" s="93" t="str">
        <f>IF(IFERROR(VLOOKUP($C3,Planes_de_estudio[],MATCH($AH$2,Carreras,0)+2,0),"")&gt;0,IFERROR(VLOOKUP($C3,Planes_de_estudio[],MATCH($AH$2,Carreras,0)+2,0),""),"")</f>
        <v/>
      </c>
      <c r="AI3" s="93" t="str">
        <f>IF(IFERROR(VLOOKUP($C3,Planes_de_estudio[],MATCH($AI$2,Carreras,0)+2,0),"")&gt;0,IFERROR(VLOOKUP($C3,Planes_de_estudio[],MATCH($AI$2,Carreras,0)+2,0),""),"")</f>
        <v/>
      </c>
      <c r="AJ3" s="93" t="str">
        <f>IF(IFERROR(VLOOKUP($C3,Planes_de_estudio[],MATCH($AJ$2,Carreras,0)+2,0),"")&gt;0,IFERROR(VLOOKUP($C3,Planes_de_estudio[],MATCH($AJ$2,Carreras,0)+2,0),""),"")</f>
        <v/>
      </c>
      <c r="AK3" s="93" t="str">
        <f>IF(IFERROR(VLOOKUP($C3,Planes_de_estudio[],MATCH($AK$2,Carreras,0)+2,0),"")&gt;0,IFERROR(VLOOKUP($C3,Planes_de_estudio[],MATCH($AK$2,Carreras,0)+2,0),""),"")</f>
        <v/>
      </c>
      <c r="AL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23</v>
      </c>
      <c r="AN3" s="93">
        <f>base_de_datos[[#This Row],[Pronóstico]]/25</f>
        <v>0.92</v>
      </c>
      <c r="AO3" s="93" t="str">
        <f>VLOOKUP($C3,Planes_de_estudio[],2)</f>
        <v>DOP</v>
      </c>
      <c r="AP3" s="195">
        <v>6</v>
      </c>
      <c r="AQ3" s="196"/>
      <c r="AR3" s="196"/>
      <c r="AS3" s="196"/>
      <c r="AT3" s="196"/>
      <c r="AU3" s="196"/>
      <c r="AV3" s="196"/>
      <c r="AW3" s="91"/>
      <c r="AX3" s="73"/>
    </row>
    <row r="4" spans="1:50" s="5" customFormat="1" ht="16">
      <c r="B4" s="95" t="s">
        <v>70</v>
      </c>
      <c r="C4" s="96" t="s">
        <v>71</v>
      </c>
      <c r="D4" s="92">
        <v>1</v>
      </c>
      <c r="E4" s="97">
        <v>0.70833333333333304</v>
      </c>
      <c r="F4" s="97">
        <v>0.83333333333332504</v>
      </c>
      <c r="G4" s="92" t="s">
        <v>72</v>
      </c>
      <c r="H4" s="92" t="s">
        <v>73</v>
      </c>
      <c r="I4" s="92" t="e">
        <f>INDEX(Aulas_capacidad,MATCH(base_de_datos[[#This Row],[Aula]],Aulas,0),2)</f>
        <v>#REF!</v>
      </c>
      <c r="J4" s="90">
        <v>28</v>
      </c>
      <c r="K4" s="92" t="e">
        <f>INDEX(Aulas_capacidad,MATCH(base_de_datos[[#This Row],[Aula]],Aulas,0),4)</f>
        <v>#REF!</v>
      </c>
      <c r="L4" s="98" t="e">
        <f>base_de_datos[[#This Row],[Cap 1.5]]-base_de_datos[[#This Row],[Inscritos]]</f>
        <v>#REF!</v>
      </c>
      <c r="M4" s="98" t="e">
        <f>INDEX(Aulas_capacidad,MATCH(base_de_datos[[#This Row],[Aula]],Aulas,0),5)</f>
        <v>#REF!</v>
      </c>
      <c r="N4" s="98" t="e">
        <f>base_de_datos[[#This Row],[Cap .90]]-base_de_datos[[#This Row],[Inscritos]]</f>
        <v>#REF!</v>
      </c>
      <c r="O4" s="92">
        <v>1466</v>
      </c>
      <c r="P4" s="99" t="s">
        <v>68</v>
      </c>
      <c r="Q4" s="100"/>
      <c r="R4" s="99"/>
      <c r="S4" s="100"/>
      <c r="T4" s="100"/>
      <c r="U4" s="99"/>
      <c r="V4" s="99"/>
      <c r="W4" s="99" t="s">
        <v>74</v>
      </c>
      <c r="X4" s="93">
        <f>_xlfn.XLOOKUP(base_de_datos[[#This Row],[Materia]],Materias,Horas)/16</f>
        <v>3</v>
      </c>
      <c r="Y4" s="93">
        <f>ROUND(((base_de_datos[[#This Row],[Hora fin]]-base_de_datos[[#This Row],[Hora inicio]])*24)*(COUNTA(base_de_datos[[#This Row],[Lunes]:[Sábado]])),1)</f>
        <v>3</v>
      </c>
      <c r="Z4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" s="93">
        <f ca="1">IF(base_de_datos[[#This Row],[No clase]]=OFFSET(base_de_datos[[#This Row],[No clase]],-1,0),0,1)</f>
        <v>1</v>
      </c>
      <c r="AB4" s="93">
        <f ca="1">IF(NOT(OR(base_de_datos[[#This Row],[Horas totales]]=base_de_datos[[#This Row],[HT Plan]],base_de_datos[[#This Row],[Horas totales]]="N/A")),1,0)</f>
        <v>0</v>
      </c>
      <c r="AC4" s="93" t="e">
        <f>_xlfn.XLOOKUP(base_de_datos[[#This Row],[Profesor]],Nombre,Grado)</f>
        <v>#REF!</v>
      </c>
      <c r="AD4" s="94" t="e">
        <f>_xlfn.XLOOKUP(base_de_datos[[#This Row],[Profesor]],Nombre,Tipo)</f>
        <v>#REF!</v>
      </c>
      <c r="AE4" s="93" t="str">
        <f>IF(IFERROR(VLOOKUP($C4,Planes_de_estudio[],MATCH($AE$2,Carreras,0)+2,0),"")&gt;0,IFERROR(VLOOKUP($C4,Planes_de_estudio[],MATCH($AE$2,Carreras,0)+2,0),""),"")</f>
        <v/>
      </c>
      <c r="AF4" s="93" t="str">
        <f>IF(IFERROR(VLOOKUP($C4,Planes_de_estudio[],MATCH($AF$2,Carreras,0)+2,0),"")&gt;0,IFERROR(VLOOKUP($C4,Planes_de_estudio[],MATCH($AF$2,Carreras,0)+2,0),""),"")</f>
        <v/>
      </c>
      <c r="AG4" s="93" t="str">
        <f>IF(IFERROR(VLOOKUP($C4,Planes_de_estudio[],MATCH($AG$2,Carreras,0)+2,0),"")&gt;0,IFERROR(VLOOKUP($C4,Planes_de_estudio[],MATCH($AG$2,Carreras,0)+2,0),""),"")</f>
        <v/>
      </c>
      <c r="AH4" s="93">
        <f>IF(IFERROR(VLOOKUP($C4,Planes_de_estudio[],MATCH($AH$2,Carreras,0)+2,0),"")&gt;0,IFERROR(VLOOKUP($C4,Planes_de_estudio[],MATCH($AH$2,Carreras,0)+2,0),""),"")</f>
        <v>7</v>
      </c>
      <c r="AI4" s="93" t="str">
        <f>IF(IFERROR(VLOOKUP($C4,Planes_de_estudio[],MATCH($AI$2,Carreras,0)+2,0),"")&gt;0,IFERROR(VLOOKUP($C4,Planes_de_estudio[],MATCH($AI$2,Carreras,0)+2,0),""),"")</f>
        <v/>
      </c>
      <c r="AJ4" s="93" t="str">
        <f>IF(IFERROR(VLOOKUP($C4,Planes_de_estudio[],MATCH($AJ$2,Carreras,0)+2,0),"")&gt;0,IFERROR(VLOOKUP($C4,Planes_de_estudio[],MATCH($AJ$2,Carreras,0)+2,0),""),"")</f>
        <v/>
      </c>
      <c r="AK4" s="93" t="str">
        <f>IF(IFERROR(VLOOKUP($C4,Planes_de_estudio[],MATCH($AK$2,Carreras,0)+2,0),"")&gt;0,IFERROR(VLOOKUP($C4,Planes_de_estudio[],MATCH($AK$2,Carreras,0)+2,0),""),"")</f>
        <v/>
      </c>
      <c r="AL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4" s="93">
        <f>base_de_datos[[#This Row],[Pronóstico]]/25</f>
        <v>0.96</v>
      </c>
      <c r="AO4" s="93" t="str">
        <f>VLOOKUP($C4,Planes_de_estudio[],2)</f>
        <v>COM</v>
      </c>
      <c r="AP4" s="196"/>
      <c r="AQ4" s="196"/>
      <c r="AR4" s="196"/>
      <c r="AS4" s="195">
        <v>6</v>
      </c>
      <c r="AT4" s="196"/>
      <c r="AU4" s="196"/>
      <c r="AV4" s="196"/>
      <c r="AW4" s="91"/>
      <c r="AX4" s="73"/>
    </row>
    <row r="5" spans="1:50" s="5" customFormat="1" ht="16">
      <c r="B5" s="95" t="s">
        <v>75</v>
      </c>
      <c r="C5" s="96" t="s">
        <v>76</v>
      </c>
      <c r="D5" s="92">
        <v>1</v>
      </c>
      <c r="E5" s="97">
        <v>0.83333333333333304</v>
      </c>
      <c r="F5" s="97">
        <v>0.87499999999999001</v>
      </c>
      <c r="G5" s="92" t="s">
        <v>72</v>
      </c>
      <c r="H5" s="92" t="s">
        <v>67</v>
      </c>
      <c r="I5" s="92" t="e">
        <f>INDEX(Aulas_capacidad,MATCH(base_de_datos[[#This Row],[Aula]],Aulas,0),2)</f>
        <v>#REF!</v>
      </c>
      <c r="J5" s="90">
        <v>26</v>
      </c>
      <c r="K5" s="92" t="e">
        <f>INDEX(Aulas_capacidad,MATCH(base_de_datos[[#This Row],[Aula]],Aulas,0),4)</f>
        <v>#REF!</v>
      </c>
      <c r="L5" s="98" t="e">
        <f>base_de_datos[[#This Row],[Cap 1.5]]-base_de_datos[[#This Row],[Inscritos]]</f>
        <v>#REF!</v>
      </c>
      <c r="M5" s="98" t="e">
        <f>INDEX(Aulas_capacidad,MATCH(base_de_datos[[#This Row],[Aula]],Aulas,0),5)</f>
        <v>#REF!</v>
      </c>
      <c r="N5" s="98" t="e">
        <f>base_de_datos[[#This Row],[Cap .90]]-base_de_datos[[#This Row],[Inscritos]]</f>
        <v>#REF!</v>
      </c>
      <c r="O5" s="92">
        <v>1514</v>
      </c>
      <c r="P5" s="99"/>
      <c r="Q5" s="100" t="s">
        <v>68</v>
      </c>
      <c r="R5" s="99"/>
      <c r="S5" s="100"/>
      <c r="T5" s="100"/>
      <c r="U5" s="99"/>
      <c r="V5" s="99"/>
      <c r="W5" s="99" t="s">
        <v>77</v>
      </c>
      <c r="X5" s="93">
        <f>_xlfn.XLOOKUP(base_de_datos[[#This Row],[Materia]],Materias,Horas)/16</f>
        <v>3</v>
      </c>
      <c r="Y5" s="93">
        <f>ROUND(((base_de_datos[[#This Row],[Hora fin]]-base_de_datos[[#This Row],[Hora inicio]])*24)*(COUNTA(base_de_datos[[#This Row],[Lunes]:[Sábado]])),1)</f>
        <v>1</v>
      </c>
      <c r="Z5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" s="93">
        <f ca="1">IF(base_de_datos[[#This Row],[No clase]]=OFFSET(base_de_datos[[#This Row],[No clase]],-1,0),0,1)</f>
        <v>1</v>
      </c>
      <c r="AB5" s="93">
        <f ca="1">IF(NOT(OR(base_de_datos[[#This Row],[Horas totales]]=base_de_datos[[#This Row],[HT Plan]],base_de_datos[[#This Row],[Horas totales]]="N/A")),1,0)</f>
        <v>0</v>
      </c>
      <c r="AC5" s="93" t="e">
        <f>_xlfn.XLOOKUP(base_de_datos[[#This Row],[Profesor]],Nombre,Grado)</f>
        <v>#REF!</v>
      </c>
      <c r="AD5" s="94" t="e">
        <f>_xlfn.XLOOKUP(base_de_datos[[#This Row],[Profesor]],Nombre,Tipo)</f>
        <v>#REF!</v>
      </c>
      <c r="AE5" s="93">
        <f>IF(IFERROR(VLOOKUP($C5,Planes_de_estudio[],MATCH($AE$2,Carreras,0)+2,0),"")&gt;0,IFERROR(VLOOKUP($C5,Planes_de_estudio[],MATCH($AE$2,Carreras,0)+2,0),""),"")</f>
        <v>5</v>
      </c>
      <c r="AF5" s="93" t="str">
        <f>IF(IFERROR(VLOOKUP($C5,Planes_de_estudio[],MATCH($AF$2,Carreras,0)+2,0),"")&gt;0,IFERROR(VLOOKUP($C5,Planes_de_estudio[],MATCH($AF$2,Carreras,0)+2,0),""),"")</f>
        <v/>
      </c>
      <c r="AG5" s="93" t="str">
        <f>IF(IFERROR(VLOOKUP($C5,Planes_de_estudio[],MATCH($AG$2,Carreras,0)+2,0),"")&gt;0,IFERROR(VLOOKUP($C5,Planes_de_estudio[],MATCH($AG$2,Carreras,0)+2,0),""),"")</f>
        <v/>
      </c>
      <c r="AH5" s="93" t="str">
        <f>IF(IFERROR(VLOOKUP($C5,Planes_de_estudio[],MATCH($AH$2,Carreras,0)+2,0),"")&gt;0,IFERROR(VLOOKUP($C5,Planes_de_estudio[],MATCH($AH$2,Carreras,0)+2,0),""),"")</f>
        <v/>
      </c>
      <c r="AI5" s="93" t="str">
        <f>IF(IFERROR(VLOOKUP($C5,Planes_de_estudio[],MATCH($AI$2,Carreras,0)+2,0),"")&gt;0,IFERROR(VLOOKUP($C5,Planes_de_estudio[],MATCH($AI$2,Carreras,0)+2,0),""),"")</f>
        <v/>
      </c>
      <c r="AJ5" s="93" t="str">
        <f>IF(IFERROR(VLOOKUP($C5,Planes_de_estudio[],MATCH($AJ$2,Carreras,0)+2,0),"")&gt;0,IFERROR(VLOOKUP($C5,Planes_de_estudio[],MATCH($AJ$2,Carreras,0)+2,0),""),"")</f>
        <v/>
      </c>
      <c r="AK5" s="93" t="str">
        <f>IF(IFERROR(VLOOKUP($C5,Planes_de_estudio[],MATCH($AK$2,Carreras,0)+2,0),"")&gt;0,IFERROR(VLOOKUP($C5,Planes_de_estudio[],MATCH($AK$2,Carreras,0)+2,0),""),"")</f>
        <v/>
      </c>
      <c r="AL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23</v>
      </c>
      <c r="AN5" s="93">
        <f>base_de_datos[[#This Row],[Pronóstico]]/25</f>
        <v>0.92</v>
      </c>
      <c r="AO5" s="93" t="str">
        <f>VLOOKUP($C5,Planes_de_estudio[],2)</f>
        <v>DOP</v>
      </c>
      <c r="AP5" s="195">
        <v>6</v>
      </c>
      <c r="AQ5" s="196"/>
      <c r="AR5" s="196"/>
      <c r="AS5" s="196"/>
      <c r="AT5" s="196"/>
      <c r="AU5" s="196"/>
      <c r="AV5" s="196"/>
      <c r="AW5" s="91"/>
      <c r="AX5" s="73"/>
    </row>
    <row r="6" spans="1:50" s="5" customFormat="1" ht="16">
      <c r="B6" s="95" t="s">
        <v>75</v>
      </c>
      <c r="C6" s="96" t="s">
        <v>76</v>
      </c>
      <c r="D6" s="92">
        <v>1</v>
      </c>
      <c r="E6" s="97">
        <v>0.70833333333333304</v>
      </c>
      <c r="F6" s="97">
        <v>0.79166666666665897</v>
      </c>
      <c r="G6" s="92" t="s">
        <v>72</v>
      </c>
      <c r="H6" s="92" t="s">
        <v>67</v>
      </c>
      <c r="I6" s="92" t="e">
        <f>INDEX(Aulas_capacidad,MATCH(base_de_datos[[#This Row],[Aula]],Aulas,0),2)</f>
        <v>#REF!</v>
      </c>
      <c r="J6" s="90">
        <v>26</v>
      </c>
      <c r="K6" s="92" t="e">
        <f>INDEX(Aulas_capacidad,MATCH(base_de_datos[[#This Row],[Aula]],Aulas,0),4)</f>
        <v>#REF!</v>
      </c>
      <c r="L6" s="98" t="e">
        <f>base_de_datos[[#This Row],[Cap 1.5]]-base_de_datos[[#This Row],[Inscritos]]</f>
        <v>#REF!</v>
      </c>
      <c r="M6" s="98" t="e">
        <f>INDEX(Aulas_capacidad,MATCH(base_de_datos[[#This Row],[Aula]],Aulas,0),5)</f>
        <v>#REF!</v>
      </c>
      <c r="N6" s="98" t="e">
        <f>base_de_datos[[#This Row],[Cap .90]]-base_de_datos[[#This Row],[Inscritos]]</f>
        <v>#REF!</v>
      </c>
      <c r="O6" s="92">
        <v>1514</v>
      </c>
      <c r="P6" s="99"/>
      <c r="Q6" s="100"/>
      <c r="R6" s="99" t="s">
        <v>68</v>
      </c>
      <c r="S6" s="100"/>
      <c r="T6" s="100"/>
      <c r="U6" s="99"/>
      <c r="V6" s="99"/>
      <c r="W6" s="99" t="s">
        <v>77</v>
      </c>
      <c r="X6" s="93">
        <f>_xlfn.XLOOKUP(base_de_datos[[#This Row],[Materia]],Materias,Horas)/16</f>
        <v>3</v>
      </c>
      <c r="Y6" s="93">
        <f>ROUND(((base_de_datos[[#This Row],[Hora fin]]-base_de_datos[[#This Row],[Hora inicio]])*24)*(COUNTA(base_de_datos[[#This Row],[Lunes]:[Sábado]])),1)</f>
        <v>2</v>
      </c>
      <c r="Z6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" s="93">
        <f ca="1">IF(base_de_datos[[#This Row],[No clase]]=OFFSET(base_de_datos[[#This Row],[No clase]],-1,0),0,1)</f>
        <v>0</v>
      </c>
      <c r="AB6" s="93">
        <f ca="1">IF(NOT(OR(base_de_datos[[#This Row],[Horas totales]]=base_de_datos[[#This Row],[HT Plan]],base_de_datos[[#This Row],[Horas totales]]="N/A")),1,0)</f>
        <v>0</v>
      </c>
      <c r="AC6" s="93" t="e">
        <f>_xlfn.XLOOKUP(base_de_datos[[#This Row],[Profesor]],Nombre,Grado)</f>
        <v>#REF!</v>
      </c>
      <c r="AD6" s="94" t="e">
        <f>_xlfn.XLOOKUP(base_de_datos[[#This Row],[Profesor]],Nombre,Tipo)</f>
        <v>#REF!</v>
      </c>
      <c r="AE6" s="93">
        <f>IF(IFERROR(VLOOKUP($C6,Planes_de_estudio[],MATCH($AE$2,Carreras,0)+2,0),"")&gt;0,IFERROR(VLOOKUP($C6,Planes_de_estudio[],MATCH($AE$2,Carreras,0)+2,0),""),"")</f>
        <v>5</v>
      </c>
      <c r="AF6" s="93" t="str">
        <f>IF(IFERROR(VLOOKUP($C6,Planes_de_estudio[],MATCH($AF$2,Carreras,0)+2,0),"")&gt;0,IFERROR(VLOOKUP($C6,Planes_de_estudio[],MATCH($AF$2,Carreras,0)+2,0),""),"")</f>
        <v/>
      </c>
      <c r="AG6" s="93" t="str">
        <f>IF(IFERROR(VLOOKUP($C6,Planes_de_estudio[],MATCH($AG$2,Carreras,0)+2,0),"")&gt;0,IFERROR(VLOOKUP($C6,Planes_de_estudio[],MATCH($AG$2,Carreras,0)+2,0),""),"")</f>
        <v/>
      </c>
      <c r="AH6" s="93" t="str">
        <f>IF(IFERROR(VLOOKUP($C6,Planes_de_estudio[],MATCH($AH$2,Carreras,0)+2,0),"")&gt;0,IFERROR(VLOOKUP($C6,Planes_de_estudio[],MATCH($AH$2,Carreras,0)+2,0),""),"")</f>
        <v/>
      </c>
      <c r="AI6" s="93" t="str">
        <f>IF(IFERROR(VLOOKUP($C6,Planes_de_estudio[],MATCH($AI$2,Carreras,0)+2,0),"")&gt;0,IFERROR(VLOOKUP($C6,Planes_de_estudio[],MATCH($AI$2,Carreras,0)+2,0),""),"")</f>
        <v/>
      </c>
      <c r="AJ6" s="93" t="str">
        <f>IF(IFERROR(VLOOKUP($C6,Planes_de_estudio[],MATCH($AJ$2,Carreras,0)+2,0),"")&gt;0,IFERROR(VLOOKUP($C6,Planes_de_estudio[],MATCH($AJ$2,Carreras,0)+2,0),""),"")</f>
        <v/>
      </c>
      <c r="AK6" s="93" t="str">
        <f>IF(IFERROR(VLOOKUP($C6,Planes_de_estudio[],MATCH($AK$2,Carreras,0)+2,0),"")&gt;0,IFERROR(VLOOKUP($C6,Planes_de_estudio[],MATCH($AK$2,Carreras,0)+2,0),""),"")</f>
        <v/>
      </c>
      <c r="AL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23</v>
      </c>
      <c r="AN6" s="93">
        <f>base_de_datos[[#This Row],[Pronóstico]]/25</f>
        <v>0.92</v>
      </c>
      <c r="AO6" s="93" t="str">
        <f>VLOOKUP($C6,Planes_de_estudio[],2)</f>
        <v>DOP</v>
      </c>
      <c r="AP6" s="196"/>
      <c r="AQ6" s="196"/>
      <c r="AR6" s="196"/>
      <c r="AS6" s="196"/>
      <c r="AT6" s="196"/>
      <c r="AU6" s="196"/>
      <c r="AV6" s="196"/>
      <c r="AW6" s="91"/>
      <c r="AX6" s="73"/>
    </row>
    <row r="7" spans="1:50" s="5" customFormat="1" ht="16">
      <c r="A7" s="5" t="s">
        <v>63</v>
      </c>
      <c r="B7" s="95" t="s">
        <v>1</v>
      </c>
      <c r="C7" s="96" t="s">
        <v>78</v>
      </c>
      <c r="D7" s="92">
        <v>1</v>
      </c>
      <c r="E7" s="97">
        <v>0.66666666666666696</v>
      </c>
      <c r="F7" s="97">
        <v>0.70833333333332704</v>
      </c>
      <c r="G7" s="92" t="s">
        <v>66</v>
      </c>
      <c r="H7" s="92" t="s">
        <v>67</v>
      </c>
      <c r="I7" s="92" t="e">
        <f>INDEX(Aulas_capacidad,MATCH(base_de_datos[[#This Row],[Aula]],Aulas,0),2)</f>
        <v>#REF!</v>
      </c>
      <c r="J7" s="90">
        <v>15</v>
      </c>
      <c r="K7" s="92" t="e">
        <f>INDEX(Aulas_capacidad,MATCH(base_de_datos[[#This Row],[Aula]],Aulas,0),4)</f>
        <v>#REF!</v>
      </c>
      <c r="L7" s="98" t="e">
        <f>base_de_datos[[#This Row],[Cap 1.5]]-base_de_datos[[#This Row],[Inscritos]]</f>
        <v>#REF!</v>
      </c>
      <c r="M7" s="98" t="e">
        <f>INDEX(Aulas_capacidad,MATCH(base_de_datos[[#This Row],[Aula]],Aulas,0),5)</f>
        <v>#REF!</v>
      </c>
      <c r="N7" s="98" t="e">
        <f>base_de_datos[[#This Row],[Cap .90]]-base_de_datos[[#This Row],[Inscritos]]</f>
        <v>#REF!</v>
      </c>
      <c r="O7" s="92">
        <v>1644</v>
      </c>
      <c r="P7" s="99"/>
      <c r="Q7" s="100"/>
      <c r="R7" s="99"/>
      <c r="S7" s="100"/>
      <c r="T7" s="100" t="s">
        <v>68</v>
      </c>
      <c r="U7" s="99"/>
      <c r="V7" s="99"/>
      <c r="W7" s="99" t="s">
        <v>79</v>
      </c>
      <c r="X7" s="101">
        <f>_xlfn.XLOOKUP(base_de_datos[[#This Row],[Materia]],Materias,Horas)/16</f>
        <v>3</v>
      </c>
      <c r="Y7" s="101">
        <f>ROUND(((base_de_datos[[#This Row],[Hora fin]]-base_de_datos[[#This Row],[Hora inicio]])*24)*(COUNTA(base_de_datos[[#This Row],[Lunes]:[Sábado]])),1)</f>
        <v>1</v>
      </c>
      <c r="Z7" s="101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" s="93">
        <f ca="1">IF(base_de_datos[[#This Row],[No clase]]=OFFSET(base_de_datos[[#This Row],[No clase]],-1,0),0,1)</f>
        <v>1</v>
      </c>
      <c r="AB7" s="93">
        <f ca="1">IF(NOT(OR(base_de_datos[[#This Row],[Horas totales]]=base_de_datos[[#This Row],[HT Plan]],base_de_datos[[#This Row],[Horas totales]]="N/A")),1,0)</f>
        <v>0</v>
      </c>
      <c r="AC7" s="93" t="e">
        <f>_xlfn.XLOOKUP(base_de_datos[[#This Row],[Profesor]],Nombre,Grado)</f>
        <v>#REF!</v>
      </c>
      <c r="AD7" s="94" t="e">
        <f>_xlfn.XLOOKUP(base_de_datos[[#This Row],[Profesor]],Nombre,Tipo)</f>
        <v>#REF!</v>
      </c>
      <c r="AE7" s="93" t="str">
        <f>IF(IFERROR(VLOOKUP($C7,Planes_de_estudio[],MATCH($AE$2,Carreras,0)+2,0),"")&gt;0,IFERROR(VLOOKUP($C7,Planes_de_estudio[],MATCH($AE$2,Carreras,0)+2,0),""),"")</f>
        <v/>
      </c>
      <c r="AF7" s="93">
        <f>IF(IFERROR(VLOOKUP($C7,Planes_de_estudio[],MATCH($AF$2,Carreras,0)+2,0),"")&gt;0,IFERROR(VLOOKUP($C7,Planes_de_estudio[],MATCH($AF$2,Carreras,0)+2,0),""),"")</f>
        <v>7</v>
      </c>
      <c r="AG7" s="93" t="str">
        <f>IF(IFERROR(VLOOKUP($C7,Planes_de_estudio[],MATCH($AG$2,Carreras,0)+2,0),"")&gt;0,IFERROR(VLOOKUP($C7,Planes_de_estudio[],MATCH($AG$2,Carreras,0)+2,0),""),"")</f>
        <v/>
      </c>
      <c r="AH7" s="93" t="str">
        <f>IF(IFERROR(VLOOKUP($C7,Planes_de_estudio[],MATCH($AH$2,Carreras,0)+2,0),"")&gt;0,IFERROR(VLOOKUP($C7,Planes_de_estudio[],MATCH($AH$2,Carreras,0)+2,0),""),"")</f>
        <v/>
      </c>
      <c r="AI7" s="93" t="str">
        <f>IF(IFERROR(VLOOKUP($C7,Planes_de_estudio[],MATCH($AI$2,Carreras,0)+2,0),"")&gt;0,IFERROR(VLOOKUP($C7,Planes_de_estudio[],MATCH($AI$2,Carreras,0)+2,0),""),"")</f>
        <v/>
      </c>
      <c r="AJ7" s="93" t="str">
        <f>IF(IFERROR(VLOOKUP($C7,Planes_de_estudio[],MATCH($AJ$2,Carreras,0)+2,0),"")&gt;0,IFERROR(VLOOKUP($C7,Planes_de_estudio[],MATCH($AJ$2,Carreras,0)+2,0),""),"")</f>
        <v/>
      </c>
      <c r="AK7" s="93" t="str">
        <f>IF(IFERROR(VLOOKUP($C7,Planes_de_estudio[],MATCH($AK$2,Carreras,0)+2,0),"")&gt;0,IFERROR(VLOOKUP($C7,Planes_de_estudio[],MATCH($AK$2,Carreras,0)+2,0),""),"")</f>
        <v/>
      </c>
      <c r="AL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7" s="93">
        <f>base_de_datos[[#This Row],[Pronóstico]]/25</f>
        <v>0.72</v>
      </c>
      <c r="AO7" s="93" t="str">
        <f>VLOOKUP($C7,Planes_de_estudio[],2)</f>
        <v>MEC</v>
      </c>
      <c r="AP7" s="196"/>
      <c r="AQ7" s="195">
        <v>6</v>
      </c>
      <c r="AR7" s="196"/>
      <c r="AS7" s="196"/>
      <c r="AT7" s="196"/>
      <c r="AU7" s="196"/>
      <c r="AV7" s="196"/>
      <c r="AW7" s="91"/>
      <c r="AX7" s="73"/>
    </row>
    <row r="8" spans="1:50" s="5" customFormat="1" ht="16">
      <c r="A8" s="5" t="s">
        <v>63</v>
      </c>
      <c r="B8" s="95" t="s">
        <v>1</v>
      </c>
      <c r="C8" s="96" t="s">
        <v>78</v>
      </c>
      <c r="D8" s="92">
        <v>1</v>
      </c>
      <c r="E8" s="97">
        <v>0.79166666666666696</v>
      </c>
      <c r="F8" s="97">
        <v>0.87499999999999001</v>
      </c>
      <c r="G8" s="92" t="s">
        <v>66</v>
      </c>
      <c r="H8" s="92" t="s">
        <v>80</v>
      </c>
      <c r="I8" s="92" t="e">
        <f>INDEX(Aulas_capacidad,MATCH(base_de_datos[[#This Row],[Aula]],Aulas,0),2)</f>
        <v>#REF!</v>
      </c>
      <c r="J8" s="90">
        <v>15</v>
      </c>
      <c r="K8" s="92" t="e">
        <f>INDEX(Aulas_capacidad,MATCH(base_de_datos[[#This Row],[Aula]],Aulas,0),4)</f>
        <v>#REF!</v>
      </c>
      <c r="L8" s="98" t="e">
        <f>base_de_datos[[#This Row],[Cap 1.5]]-base_de_datos[[#This Row],[Inscritos]]</f>
        <v>#REF!</v>
      </c>
      <c r="M8" s="98" t="e">
        <f>INDEX(Aulas_capacidad,MATCH(base_de_datos[[#This Row],[Aula]],Aulas,0),5)</f>
        <v>#REF!</v>
      </c>
      <c r="N8" s="98" t="e">
        <f>base_de_datos[[#This Row],[Cap .90]]-base_de_datos[[#This Row],[Inscritos]]</f>
        <v>#REF!</v>
      </c>
      <c r="O8" s="92">
        <v>1644</v>
      </c>
      <c r="P8" s="99"/>
      <c r="Q8" s="100"/>
      <c r="R8" s="99"/>
      <c r="S8" s="100" t="s">
        <v>68</v>
      </c>
      <c r="T8" s="100"/>
      <c r="U8" s="99"/>
      <c r="V8" s="99"/>
      <c r="W8" s="99" t="s">
        <v>79</v>
      </c>
      <c r="X8" s="93">
        <f>_xlfn.XLOOKUP(base_de_datos[[#This Row],[Materia]],Materias,Horas)/16</f>
        <v>3</v>
      </c>
      <c r="Y8" s="93">
        <f>ROUND(((base_de_datos[[#This Row],[Hora fin]]-base_de_datos[[#This Row],[Hora inicio]])*24)*(COUNTA(base_de_datos[[#This Row],[Lunes]:[Sábado]])),1)</f>
        <v>2</v>
      </c>
      <c r="Z8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" s="93">
        <f ca="1">IF(base_de_datos[[#This Row],[No clase]]=OFFSET(base_de_datos[[#This Row],[No clase]],-1,0),0,1)</f>
        <v>0</v>
      </c>
      <c r="AB8" s="93">
        <f ca="1">IF(NOT(OR(base_de_datos[[#This Row],[Horas totales]]=base_de_datos[[#This Row],[HT Plan]],base_de_datos[[#This Row],[Horas totales]]="N/A")),1,0)</f>
        <v>0</v>
      </c>
      <c r="AC8" s="93" t="e">
        <f>_xlfn.XLOOKUP(base_de_datos[[#This Row],[Profesor]],Nombre,Grado)</f>
        <v>#REF!</v>
      </c>
      <c r="AD8" s="94" t="e">
        <f>_xlfn.XLOOKUP(base_de_datos[[#This Row],[Profesor]],Nombre,Tipo)</f>
        <v>#REF!</v>
      </c>
      <c r="AE8" s="93" t="str">
        <f>IF(IFERROR(VLOOKUP($C8,Planes_de_estudio[],MATCH($AE$2,Carreras,0)+2,0),"")&gt;0,IFERROR(VLOOKUP($C8,Planes_de_estudio[],MATCH($AE$2,Carreras,0)+2,0),""),"")</f>
        <v/>
      </c>
      <c r="AF8" s="93">
        <f>IF(IFERROR(VLOOKUP($C8,Planes_de_estudio[],MATCH($AF$2,Carreras,0)+2,0),"")&gt;0,IFERROR(VLOOKUP($C8,Planes_de_estudio[],MATCH($AF$2,Carreras,0)+2,0),""),"")</f>
        <v>7</v>
      </c>
      <c r="AG8" s="93" t="str">
        <f>IF(IFERROR(VLOOKUP($C8,Planes_de_estudio[],MATCH($AG$2,Carreras,0)+2,0),"")&gt;0,IFERROR(VLOOKUP($C8,Planes_de_estudio[],MATCH($AG$2,Carreras,0)+2,0),""),"")</f>
        <v/>
      </c>
      <c r="AH8" s="93" t="str">
        <f>IF(IFERROR(VLOOKUP($C8,Planes_de_estudio[],MATCH($AH$2,Carreras,0)+2,0),"")&gt;0,IFERROR(VLOOKUP($C8,Planes_de_estudio[],MATCH($AH$2,Carreras,0)+2,0),""),"")</f>
        <v/>
      </c>
      <c r="AI8" s="93" t="str">
        <f>IF(IFERROR(VLOOKUP($C8,Planes_de_estudio[],MATCH($AI$2,Carreras,0)+2,0),"")&gt;0,IFERROR(VLOOKUP($C8,Planes_de_estudio[],MATCH($AI$2,Carreras,0)+2,0),""),"")</f>
        <v/>
      </c>
      <c r="AJ8" s="93" t="str">
        <f>IF(IFERROR(VLOOKUP($C8,Planes_de_estudio[],MATCH($AJ$2,Carreras,0)+2,0),"")&gt;0,IFERROR(VLOOKUP($C8,Planes_de_estudio[],MATCH($AJ$2,Carreras,0)+2,0),""),"")</f>
        <v/>
      </c>
      <c r="AK8" s="93" t="str">
        <f>IF(IFERROR(VLOOKUP($C8,Planes_de_estudio[],MATCH($AK$2,Carreras,0)+2,0),"")&gt;0,IFERROR(VLOOKUP($C8,Planes_de_estudio[],MATCH($AK$2,Carreras,0)+2,0),""),"")</f>
        <v/>
      </c>
      <c r="AL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8" s="93">
        <f>base_de_datos[[#This Row],[Pronóstico]]/25</f>
        <v>0.72</v>
      </c>
      <c r="AO8" s="93" t="str">
        <f>VLOOKUP($C8,Planes_de_estudio[],2)</f>
        <v>MEC</v>
      </c>
      <c r="AP8" s="196"/>
      <c r="AQ8" s="196"/>
      <c r="AR8" s="196"/>
      <c r="AS8" s="196"/>
      <c r="AT8" s="196"/>
      <c r="AU8" s="196"/>
      <c r="AV8" s="196"/>
      <c r="AW8" s="91"/>
      <c r="AX8" s="73"/>
    </row>
    <row r="9" spans="1:50" s="5" customFormat="1" ht="16">
      <c r="A9" s="5" t="s">
        <v>63</v>
      </c>
      <c r="B9" s="95" t="s">
        <v>1</v>
      </c>
      <c r="C9" s="96" t="s">
        <v>81</v>
      </c>
      <c r="D9" s="92">
        <v>1</v>
      </c>
      <c r="E9" s="97">
        <v>0.375</v>
      </c>
      <c r="F9" s="97">
        <v>0.45833333333333098</v>
      </c>
      <c r="G9" s="92" t="s">
        <v>72</v>
      </c>
      <c r="H9" s="92" t="s">
        <v>73</v>
      </c>
      <c r="I9" s="92" t="e">
        <f>INDEX(Aulas_capacidad,MATCH(base_de_datos[[#This Row],[Aula]],Aulas,0),2)</f>
        <v>#REF!</v>
      </c>
      <c r="J9" s="90">
        <v>5</v>
      </c>
      <c r="K9" s="92" t="e">
        <f>INDEX(Aulas_capacidad,MATCH(base_de_datos[[#This Row],[Aula]],Aulas,0),4)</f>
        <v>#REF!</v>
      </c>
      <c r="L9" s="98" t="e">
        <f>base_de_datos[[#This Row],[Cap 1.5]]-base_de_datos[[#This Row],[Inscritos]]</f>
        <v>#REF!</v>
      </c>
      <c r="M9" s="98" t="e">
        <f>INDEX(Aulas_capacidad,MATCH(base_de_datos[[#This Row],[Aula]],Aulas,0),5)</f>
        <v>#REF!</v>
      </c>
      <c r="N9" s="98" t="e">
        <f>base_de_datos[[#This Row],[Cap .90]]-base_de_datos[[#This Row],[Inscritos]]</f>
        <v>#REF!</v>
      </c>
      <c r="O9" s="92">
        <v>1627</v>
      </c>
      <c r="P9" s="99" t="s">
        <v>68</v>
      </c>
      <c r="Q9" s="100"/>
      <c r="R9" s="99"/>
      <c r="S9" s="100"/>
      <c r="T9" s="100"/>
      <c r="U9" s="99"/>
      <c r="V9" s="99"/>
      <c r="W9" s="99" t="s">
        <v>74</v>
      </c>
      <c r="X9" s="93">
        <f>_xlfn.XLOOKUP(base_de_datos[[#This Row],[Materia]],Materias,Horas)/16</f>
        <v>2</v>
      </c>
      <c r="Y9" s="93">
        <f>ROUND(((base_de_datos[[#This Row],[Hora fin]]-base_de_datos[[#This Row],[Hora inicio]])*24)*(COUNTA(base_de_datos[[#This Row],[Lunes]:[Sábado]])),1)</f>
        <v>2</v>
      </c>
      <c r="Z9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9" s="93">
        <f ca="1">IF(base_de_datos[[#This Row],[No clase]]=OFFSET(base_de_datos[[#This Row],[No clase]],-1,0),0,1)</f>
        <v>1</v>
      </c>
      <c r="AB9" s="93">
        <f ca="1">IF(NOT(OR(base_de_datos[[#This Row],[Horas totales]]=base_de_datos[[#This Row],[HT Plan]],base_de_datos[[#This Row],[Horas totales]]="N/A")),1,0)</f>
        <v>0</v>
      </c>
      <c r="AC9" s="93" t="e">
        <f>_xlfn.XLOOKUP(base_de_datos[[#This Row],[Profesor]],Nombre,Grado)</f>
        <v>#REF!</v>
      </c>
      <c r="AD9" s="94" t="e">
        <f>_xlfn.XLOOKUP(base_de_datos[[#This Row],[Profesor]],Nombre,Tipo)</f>
        <v>#REF!</v>
      </c>
      <c r="AE9" s="93" t="str">
        <f>IF(IFERROR(VLOOKUP($C9,Planes_de_estudio[],MATCH($AE$2,Carreras,0)+2,0),"")&gt;0,IFERROR(VLOOKUP($C9,Planes_de_estudio[],MATCH($AE$2,Carreras,0)+2,0),""),"")</f>
        <v/>
      </c>
      <c r="AF9" s="93" t="str">
        <f>IF(IFERROR(VLOOKUP($C9,Planes_de_estudio[],MATCH($AF$2,Carreras,0)+2,0),"")&gt;0,IFERROR(VLOOKUP($C9,Planes_de_estudio[],MATCH($AF$2,Carreras,0)+2,0),""),"")</f>
        <v/>
      </c>
      <c r="AG9" s="93" t="str">
        <f>IF(IFERROR(VLOOKUP($C9,Planes_de_estudio[],MATCH($AG$2,Carreras,0)+2,0),"")&gt;0,IFERROR(VLOOKUP($C9,Planes_de_estudio[],MATCH($AG$2,Carreras,0)+2,0),""),"")</f>
        <v/>
      </c>
      <c r="AH9" s="93" t="str">
        <f>IF(IFERROR(VLOOKUP($C9,Planes_de_estudio[],MATCH($AH$2,Carreras,0)+2,0),"")&gt;0,IFERROR(VLOOKUP($C9,Planes_de_estudio[],MATCH($AH$2,Carreras,0)+2,0),""),"")</f>
        <v/>
      </c>
      <c r="AI9" s="93">
        <f>IF(IFERROR(VLOOKUP($C9,Planes_de_estudio[],MATCH($AI$2,Carreras,0)+2,0),"")&gt;0,IFERROR(VLOOKUP($C9,Planes_de_estudio[],MATCH($AI$2,Carreras,0)+2,0),""),"")</f>
        <v>1</v>
      </c>
      <c r="AJ9" s="93" t="str">
        <f>IF(IFERROR(VLOOKUP($C9,Planes_de_estudio[],MATCH($AJ$2,Carreras,0)+2,0),"")&gt;0,IFERROR(VLOOKUP($C9,Planes_de_estudio[],MATCH($AJ$2,Carreras,0)+2,0),""),"")</f>
        <v/>
      </c>
      <c r="AK9" s="93" t="str">
        <f>IF(IFERROR(VLOOKUP($C9,Planes_de_estudio[],MATCH($AK$2,Carreras,0)+2,0),"")&gt;0,IFERROR(VLOOKUP($C9,Planes_de_estudio[],MATCH($AK$2,Carreras,0)+2,0),""),"")</f>
        <v/>
      </c>
      <c r="AL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11.000000000000002</v>
      </c>
      <c r="AN9" s="93">
        <f>base_de_datos[[#This Row],[Pronóstico]]/25</f>
        <v>0.44000000000000006</v>
      </c>
      <c r="AO9" s="93" t="str">
        <f>VLOOKUP($C9,Planes_de_estudio[],2)</f>
        <v>IID</v>
      </c>
      <c r="AP9" s="196"/>
      <c r="AQ9" s="196"/>
      <c r="AR9" s="196"/>
      <c r="AS9" s="196"/>
      <c r="AT9" s="195">
        <v>6</v>
      </c>
      <c r="AU9" s="196"/>
      <c r="AV9" s="196"/>
      <c r="AW9" s="91"/>
      <c r="AX9" s="73"/>
    </row>
    <row r="10" spans="1:50" s="5" customFormat="1" ht="16">
      <c r="A10" s="5" t="s">
        <v>63</v>
      </c>
      <c r="B10" s="95" t="s">
        <v>82</v>
      </c>
      <c r="C10" s="96" t="s">
        <v>83</v>
      </c>
      <c r="D10" s="92">
        <v>1</v>
      </c>
      <c r="E10" s="97">
        <v>0.375</v>
      </c>
      <c r="F10" s="97">
        <v>0.45833333333333098</v>
      </c>
      <c r="G10" s="92" t="s">
        <v>72</v>
      </c>
      <c r="H10" s="92" t="s">
        <v>84</v>
      </c>
      <c r="I10" s="92" t="e">
        <f>INDEX(Aulas_capacidad,MATCH(base_de_datos[[#This Row],[Aula]],Aulas,0),2)</f>
        <v>#REF!</v>
      </c>
      <c r="J10" s="90">
        <v>17</v>
      </c>
      <c r="K10" s="92" t="e">
        <f>INDEX(Aulas_capacidad,MATCH(base_de_datos[[#This Row],[Aula]],Aulas,0),4)</f>
        <v>#REF!</v>
      </c>
      <c r="L10" s="98" t="e">
        <f>base_de_datos[[#This Row],[Cap 1.5]]-base_de_datos[[#This Row],[Inscritos]]</f>
        <v>#REF!</v>
      </c>
      <c r="M10" s="98" t="e">
        <f>INDEX(Aulas_capacidad,MATCH(base_de_datos[[#This Row],[Aula]],Aulas,0),5)</f>
        <v>#REF!</v>
      </c>
      <c r="N10" s="98" t="e">
        <f>base_de_datos[[#This Row],[Cap .90]]-base_de_datos[[#This Row],[Inscritos]]</f>
        <v>#REF!</v>
      </c>
      <c r="O10" s="92" t="s">
        <v>85</v>
      </c>
      <c r="P10" s="99"/>
      <c r="Q10" s="100" t="s">
        <v>68</v>
      </c>
      <c r="R10" s="99"/>
      <c r="S10" s="100" t="s">
        <v>68</v>
      </c>
      <c r="T10" s="100"/>
      <c r="U10" s="99"/>
      <c r="V10" s="99"/>
      <c r="W10" s="99" t="s">
        <v>79</v>
      </c>
      <c r="X10" s="93">
        <f>_xlfn.XLOOKUP(base_de_datos[[#This Row],[Materia]],Materias,Horas)/16</f>
        <v>4</v>
      </c>
      <c r="Y10" s="93">
        <f>ROUND(((base_de_datos[[#This Row],[Hora fin]]-base_de_datos[[#This Row],[Hora inicio]])*24)*(COUNTA(base_de_datos[[#This Row],[Lunes]:[Sábado]])),1)</f>
        <v>4</v>
      </c>
      <c r="Z10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" s="93">
        <f ca="1">IF(base_de_datos[[#This Row],[No clase]]=OFFSET(base_de_datos[[#This Row],[No clase]],-1,0),0,1)</f>
        <v>1</v>
      </c>
      <c r="AB10" s="93">
        <f ca="1">IF(NOT(OR(base_de_datos[[#This Row],[Horas totales]]=base_de_datos[[#This Row],[HT Plan]],base_de_datos[[#This Row],[Horas totales]]="N/A")),1,0)</f>
        <v>0</v>
      </c>
      <c r="AC10" s="93" t="e">
        <f>_xlfn.XLOOKUP(base_de_datos[[#This Row],[Profesor]],Nombre,Grado)</f>
        <v>#REF!</v>
      </c>
      <c r="AD10" s="94" t="e">
        <f>_xlfn.XLOOKUP(base_de_datos[[#This Row],[Profesor]],Nombre,Tipo)</f>
        <v>#REF!</v>
      </c>
      <c r="AE10" s="93">
        <f>IF(IFERROR(VLOOKUP($C10,Planes_de_estudio[],MATCH($AE$2,Carreras,0)+2,0),"")&gt;0,IFERROR(VLOOKUP($C10,Planes_de_estudio[],MATCH($AE$2,Carreras,0)+2,0),""),"")</f>
        <v>5</v>
      </c>
      <c r="AF10" s="93">
        <f>IF(IFERROR(VLOOKUP($C10,Planes_de_estudio[],MATCH($AF$2,Carreras,0)+2,0),"")&gt;0,IFERROR(VLOOKUP($C10,Planes_de_estudio[],MATCH($AF$2,Carreras,0)+2,0),""),"")</f>
        <v>3</v>
      </c>
      <c r="AG10" s="93" t="str">
        <f>IF(IFERROR(VLOOKUP($C10,Planes_de_estudio[],MATCH($AG$2,Carreras,0)+2,0),"")&gt;0,IFERROR(VLOOKUP($C10,Planes_de_estudio[],MATCH($AG$2,Carreras,0)+2,0),""),"")</f>
        <v/>
      </c>
      <c r="AH10" s="93" t="str">
        <f>IF(IFERROR(VLOOKUP($C10,Planes_de_estudio[],MATCH($AH$2,Carreras,0)+2,0),"")&gt;0,IFERROR(VLOOKUP($C10,Planes_de_estudio[],MATCH($AH$2,Carreras,0)+2,0),""),"")</f>
        <v/>
      </c>
      <c r="AI10" s="93">
        <f>IF(IFERROR(VLOOKUP($C10,Planes_de_estudio[],MATCH($AI$2,Carreras,0)+2,0),"")&gt;0,IFERROR(VLOOKUP($C10,Planes_de_estudio[],MATCH($AI$2,Carreras,0)+2,0),""),"")</f>
        <v>3</v>
      </c>
      <c r="AJ10" s="93" t="str">
        <f>IF(IFERROR(VLOOKUP($C10,Planes_de_estudio[],MATCH($AJ$2,Carreras,0)+2,0),"")&gt;0,IFERROR(VLOOKUP($C10,Planes_de_estudio[],MATCH($AJ$2,Carreras,0)+2,0),""),"")</f>
        <v/>
      </c>
      <c r="AK10" s="93">
        <f>IF(IFERROR(VLOOKUP($C10,Planes_de_estudio[],MATCH($AK$2,Carreras,0)+2,0),"")&gt;0,IFERROR(VLOOKUP($C10,Planes_de_estudio[],MATCH($AK$2,Carreras,0)+2,0),""),"")</f>
        <v>3</v>
      </c>
      <c r="AL1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54</v>
      </c>
      <c r="AN10" s="93">
        <f>base_de_datos[[#This Row],[Pronóstico]]/25</f>
        <v>2.16</v>
      </c>
      <c r="AO10" s="93" t="str">
        <f>VLOOKUP($C10,Planes_de_estudio[],2)</f>
        <v>EEC</v>
      </c>
      <c r="AP10" s="195">
        <v>6</v>
      </c>
      <c r="AQ10" s="195">
        <v>6</v>
      </c>
      <c r="AR10" s="196"/>
      <c r="AS10" s="196"/>
      <c r="AT10" s="195">
        <v>6</v>
      </c>
      <c r="AU10" s="196"/>
      <c r="AV10" s="195">
        <v>6</v>
      </c>
      <c r="AW10" s="91"/>
      <c r="AX10" s="73"/>
    </row>
    <row r="11" spans="1:50" s="5" customFormat="1" ht="16">
      <c r="A11" s="5" t="s">
        <v>63</v>
      </c>
      <c r="B11" s="95" t="s">
        <v>82</v>
      </c>
      <c r="C11" s="96" t="s">
        <v>84</v>
      </c>
      <c r="D11" s="92">
        <v>1</v>
      </c>
      <c r="E11" s="97">
        <v>0.70833333333333304</v>
      </c>
      <c r="F11" s="97">
        <v>0.79166666666665897</v>
      </c>
      <c r="G11" s="92" t="s">
        <v>72</v>
      </c>
      <c r="H11" s="175" t="s">
        <v>84</v>
      </c>
      <c r="I11" s="92" t="e">
        <f>INDEX(Aulas_capacidad,MATCH(base_de_datos[[#This Row],[Aula]],Aulas,0),2)</f>
        <v>#REF!</v>
      </c>
      <c r="J11" s="90">
        <v>7</v>
      </c>
      <c r="K11" s="92" t="e">
        <f>INDEX(Aulas_capacidad,MATCH(base_de_datos[[#This Row],[Aula]],Aulas,0),4)</f>
        <v>#REF!</v>
      </c>
      <c r="L11" s="98" t="e">
        <f>base_de_datos[[#This Row],[Cap 1.5]]-base_de_datos[[#This Row],[Inscritos]]</f>
        <v>#REF!</v>
      </c>
      <c r="M11" s="98" t="e">
        <f>INDEX(Aulas_capacidad,MATCH(base_de_datos[[#This Row],[Aula]],Aulas,0),5)</f>
        <v>#REF!</v>
      </c>
      <c r="N11" s="98" t="e">
        <f>base_de_datos[[#This Row],[Cap .90]]-base_de_datos[[#This Row],[Inscritos]]</f>
        <v>#REF!</v>
      </c>
      <c r="O11" s="92" t="s">
        <v>86</v>
      </c>
      <c r="P11" s="99" t="s">
        <v>68</v>
      </c>
      <c r="Q11" s="100"/>
      <c r="R11" s="99"/>
      <c r="S11" s="100"/>
      <c r="T11" s="100"/>
      <c r="U11" s="99"/>
      <c r="V11" s="99"/>
      <c r="W11" s="99" t="s">
        <v>79</v>
      </c>
      <c r="X11" s="93">
        <f>_xlfn.XLOOKUP(base_de_datos[[#This Row],[Materia]],Materias,Horas)/16</f>
        <v>4</v>
      </c>
      <c r="Y11" s="93">
        <f>ROUND(((base_de_datos[[#This Row],[Hora fin]]-base_de_datos[[#This Row],[Hora inicio]])*24)*(COUNTA(base_de_datos[[#This Row],[Lunes]:[Sábado]])),1)</f>
        <v>2</v>
      </c>
      <c r="Z11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" s="93">
        <f ca="1">IF(base_de_datos[[#This Row],[No clase]]=OFFSET(base_de_datos[[#This Row],[No clase]],-1,0),0,1)</f>
        <v>1</v>
      </c>
      <c r="AB11" s="93">
        <f ca="1">IF(NOT(OR(base_de_datos[[#This Row],[Horas totales]]=base_de_datos[[#This Row],[HT Plan]],base_de_datos[[#This Row],[Horas totales]]="N/A")),1,0)</f>
        <v>0</v>
      </c>
      <c r="AC11" s="93" t="e">
        <f>_xlfn.XLOOKUP(base_de_datos[[#This Row],[Profesor]],Nombre,Grado)</f>
        <v>#REF!</v>
      </c>
      <c r="AD11" s="94" t="e">
        <f>_xlfn.XLOOKUP(base_de_datos[[#This Row],[Profesor]],Nombre,Tipo)</f>
        <v>#REF!</v>
      </c>
      <c r="AE11" s="93" t="str">
        <f>IF(IFERROR(VLOOKUP($C11,Planes_de_estudio[],MATCH($AE$2,Carreras,0)+2,0),"")&gt;0,IFERROR(VLOOKUP($C11,Planes_de_estudio[],MATCH($AE$2,Carreras,0)+2,0),""),"")</f>
        <v/>
      </c>
      <c r="AF11" s="93">
        <f>IF(IFERROR(VLOOKUP($C11,Planes_de_estudio[],MATCH($AF$2,Carreras,0)+2,0),"")&gt;0,IFERROR(VLOOKUP($C11,Planes_de_estudio[],MATCH($AF$2,Carreras,0)+2,0),""),"")</f>
        <v>6</v>
      </c>
      <c r="AG11" s="93" t="str">
        <f>IF(IFERROR(VLOOKUP($C11,Planes_de_estudio[],MATCH($AG$2,Carreras,0)+2,0),"")&gt;0,IFERROR(VLOOKUP($C11,Planes_de_estudio[],MATCH($AG$2,Carreras,0)+2,0),""),"")</f>
        <v/>
      </c>
      <c r="AH11" s="93" t="str">
        <f>IF(IFERROR(VLOOKUP($C11,Planes_de_estudio[],MATCH($AH$2,Carreras,0)+2,0),"")&gt;0,IFERROR(VLOOKUP($C11,Planes_de_estudio[],MATCH($AH$2,Carreras,0)+2,0),""),"")</f>
        <v/>
      </c>
      <c r="AI11" s="93">
        <f>IF(IFERROR(VLOOKUP($C11,Planes_de_estudio[],MATCH($AI$2,Carreras,0)+2,0),"")&gt;0,IFERROR(VLOOKUP($C11,Planes_de_estudio[],MATCH($AI$2,Carreras,0)+2,0),""),"")</f>
        <v>5</v>
      </c>
      <c r="AJ11" s="93" t="str">
        <f>IF(IFERROR(VLOOKUP($C11,Planes_de_estudio[],MATCH($AJ$2,Carreras,0)+2,0),"")&gt;0,IFERROR(VLOOKUP($C11,Planes_de_estudio[],MATCH($AJ$2,Carreras,0)+2,0),""),"")</f>
        <v/>
      </c>
      <c r="AK11" s="93">
        <f>IF(IFERROR(VLOOKUP($C11,Planes_de_estudio[],MATCH($AK$2,Carreras,0)+2,0),"")&gt;0,IFERROR(VLOOKUP($C11,Planes_de_estudio[],MATCH($AK$2,Carreras,0)+2,0),""),"")</f>
        <v>6</v>
      </c>
      <c r="AL1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6</v>
      </c>
      <c r="AN11" s="93">
        <f>base_de_datos[[#This Row],[Pronóstico]]/25</f>
        <v>0.24</v>
      </c>
      <c r="AO11" s="93" t="str">
        <f>VLOOKUP($C11,Planes_de_estudio[],2)</f>
        <v>EEC</v>
      </c>
      <c r="AP11" s="196"/>
      <c r="AQ11" s="195">
        <v>6</v>
      </c>
      <c r="AR11" s="196"/>
      <c r="AS11" s="196"/>
      <c r="AT11" s="195">
        <v>6</v>
      </c>
      <c r="AU11" s="196"/>
      <c r="AV11" s="195">
        <v>6</v>
      </c>
      <c r="AW11" s="91"/>
      <c r="AX11" s="73"/>
    </row>
    <row r="12" spans="1:50" s="5" customFormat="1" ht="16">
      <c r="B12" s="95" t="s">
        <v>82</v>
      </c>
      <c r="C12" s="96" t="s">
        <v>84</v>
      </c>
      <c r="D12" s="92">
        <v>1</v>
      </c>
      <c r="E12" s="97">
        <v>0.70833333333333304</v>
      </c>
      <c r="F12" s="97">
        <v>0.79166666666665897</v>
      </c>
      <c r="G12" s="92" t="s">
        <v>72</v>
      </c>
      <c r="H12" s="92" t="s">
        <v>87</v>
      </c>
      <c r="I12" s="92" t="e">
        <f>INDEX(Aulas_capacidad,MATCH(base_de_datos[[#This Row],[Aula]],Aulas,0),2)</f>
        <v>#REF!</v>
      </c>
      <c r="J12" s="90">
        <v>7</v>
      </c>
      <c r="K12" s="92" t="e">
        <f>INDEX(Aulas_capacidad,MATCH(base_de_datos[[#This Row],[Aula]],Aulas,0),4)</f>
        <v>#REF!</v>
      </c>
      <c r="L12" s="98" t="e">
        <f>base_de_datos[[#This Row],[Cap 1.5]]-base_de_datos[[#This Row],[Inscritos]]</f>
        <v>#REF!</v>
      </c>
      <c r="M12" s="98" t="e">
        <f>INDEX(Aulas_capacidad,MATCH(base_de_datos[[#This Row],[Aula]],Aulas,0),5)</f>
        <v>#REF!</v>
      </c>
      <c r="N12" s="98" t="e">
        <f>base_de_datos[[#This Row],[Cap .90]]-base_de_datos[[#This Row],[Inscritos]]</f>
        <v>#REF!</v>
      </c>
      <c r="O12" s="92" t="s">
        <v>86</v>
      </c>
      <c r="P12" s="99"/>
      <c r="Q12" s="100"/>
      <c r="R12" s="99"/>
      <c r="S12" s="100" t="s">
        <v>68</v>
      </c>
      <c r="T12" s="100"/>
      <c r="U12" s="99"/>
      <c r="V12" s="99"/>
      <c r="W12" s="99" t="s">
        <v>79</v>
      </c>
      <c r="X12" s="93">
        <f>_xlfn.XLOOKUP(base_de_datos[[#This Row],[Materia]],Materias,Horas)/16</f>
        <v>4</v>
      </c>
      <c r="Y12" s="93">
        <f>ROUND(((base_de_datos[[#This Row],[Hora fin]]-base_de_datos[[#This Row],[Hora inicio]])*24)*(COUNTA(base_de_datos[[#This Row],[Lunes]:[Sábado]])),1)</f>
        <v>2</v>
      </c>
      <c r="Z12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2" s="93">
        <f ca="1">IF(base_de_datos[[#This Row],[No clase]]=OFFSET(base_de_datos[[#This Row],[No clase]],-1,0),0,1)</f>
        <v>0</v>
      </c>
      <c r="AB12" s="93">
        <f ca="1">IF(NOT(OR(base_de_datos[[#This Row],[Horas totales]]=base_de_datos[[#This Row],[HT Plan]],base_de_datos[[#This Row],[Horas totales]]="N/A")),1,0)</f>
        <v>0</v>
      </c>
      <c r="AC12" s="93" t="e">
        <f>_xlfn.XLOOKUP(base_de_datos[[#This Row],[Profesor]],Nombre,Grado)</f>
        <v>#REF!</v>
      </c>
      <c r="AD12" s="94" t="e">
        <f>_xlfn.XLOOKUP(base_de_datos[[#This Row],[Profesor]],Nombre,Tipo)</f>
        <v>#REF!</v>
      </c>
      <c r="AE12" s="93" t="str">
        <f>IF(IFERROR(VLOOKUP($C12,Planes_de_estudio[],MATCH($AE$2,Carreras,0)+2,0),"")&gt;0,IFERROR(VLOOKUP($C12,Planes_de_estudio[],MATCH($AE$2,Carreras,0)+2,0),""),"")</f>
        <v/>
      </c>
      <c r="AF12" s="93">
        <f>IF(IFERROR(VLOOKUP($C12,Planes_de_estudio[],MATCH($AF$2,Carreras,0)+2,0),"")&gt;0,IFERROR(VLOOKUP($C12,Planes_de_estudio[],MATCH($AF$2,Carreras,0)+2,0),""),"")</f>
        <v>6</v>
      </c>
      <c r="AG12" s="93" t="str">
        <f>IF(IFERROR(VLOOKUP($C12,Planes_de_estudio[],MATCH($AG$2,Carreras,0)+2,0),"")&gt;0,IFERROR(VLOOKUP($C12,Planes_de_estudio[],MATCH($AG$2,Carreras,0)+2,0),""),"")</f>
        <v/>
      </c>
      <c r="AH12" s="93" t="str">
        <f>IF(IFERROR(VLOOKUP($C12,Planes_de_estudio[],MATCH($AH$2,Carreras,0)+2,0),"")&gt;0,IFERROR(VLOOKUP($C12,Planes_de_estudio[],MATCH($AH$2,Carreras,0)+2,0),""),"")</f>
        <v/>
      </c>
      <c r="AI12" s="93">
        <f>IF(IFERROR(VLOOKUP($C12,Planes_de_estudio[],MATCH($AI$2,Carreras,0)+2,0),"")&gt;0,IFERROR(VLOOKUP($C12,Planes_de_estudio[],MATCH($AI$2,Carreras,0)+2,0),""),"")</f>
        <v>5</v>
      </c>
      <c r="AJ12" s="93" t="str">
        <f>IF(IFERROR(VLOOKUP($C12,Planes_de_estudio[],MATCH($AJ$2,Carreras,0)+2,0),"")&gt;0,IFERROR(VLOOKUP($C12,Planes_de_estudio[],MATCH($AJ$2,Carreras,0)+2,0),""),"")</f>
        <v/>
      </c>
      <c r="AK12" s="93">
        <f>IF(IFERROR(VLOOKUP($C12,Planes_de_estudio[],MATCH($AK$2,Carreras,0)+2,0),"")&gt;0,IFERROR(VLOOKUP($C12,Planes_de_estudio[],MATCH($AK$2,Carreras,0)+2,0),""),"")</f>
        <v>6</v>
      </c>
      <c r="AL1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6</v>
      </c>
      <c r="AN12" s="93">
        <f>base_de_datos[[#This Row],[Pronóstico]]/25</f>
        <v>0.24</v>
      </c>
      <c r="AO12" s="93" t="str">
        <f>VLOOKUP($C12,Planes_de_estudio[],2)</f>
        <v>EEC</v>
      </c>
      <c r="AP12" s="196"/>
      <c r="AQ12" s="196"/>
      <c r="AR12" s="196"/>
      <c r="AS12" s="196"/>
      <c r="AT12" s="196"/>
      <c r="AU12" s="196"/>
      <c r="AV12" s="196"/>
      <c r="AW12" s="91"/>
      <c r="AX12" s="73"/>
    </row>
    <row r="13" spans="1:50" s="5" customFormat="1" ht="15">
      <c r="B13" s="95" t="s">
        <v>88</v>
      </c>
      <c r="C13" s="96" t="s">
        <v>89</v>
      </c>
      <c r="D13" s="92">
        <v>1</v>
      </c>
      <c r="E13" s="97">
        <v>0.375</v>
      </c>
      <c r="F13" s="97">
        <v>0.45833333333333098</v>
      </c>
      <c r="G13" s="92" t="s">
        <v>72</v>
      </c>
      <c r="H13" s="92" t="s">
        <v>90</v>
      </c>
      <c r="I13" s="92" t="e">
        <f>INDEX(Aulas_capacidad,MATCH(base_de_datos[[#This Row],[Aula]],Aulas,0),2)</f>
        <v>#REF!</v>
      </c>
      <c r="J13" s="90">
        <v>26</v>
      </c>
      <c r="K13" s="92" t="e">
        <f>INDEX(Aulas_capacidad,MATCH(base_de_datos[[#This Row],[Aula]],Aulas,0),4)</f>
        <v>#REF!</v>
      </c>
      <c r="L13" s="98" t="e">
        <f>base_de_datos[[#This Row],[Cap 1.5]]-base_de_datos[[#This Row],[Inscritos]]</f>
        <v>#REF!</v>
      </c>
      <c r="M13" s="98" t="e">
        <f>INDEX(Aulas_capacidad,MATCH(base_de_datos[[#This Row],[Aula]],Aulas,0),5)</f>
        <v>#REF!</v>
      </c>
      <c r="N13" s="98" t="e">
        <f>base_de_datos[[#This Row],[Cap .90]]-base_de_datos[[#This Row],[Inscritos]]</f>
        <v>#REF!</v>
      </c>
      <c r="O13" s="92" t="s">
        <v>91</v>
      </c>
      <c r="P13" s="99"/>
      <c r="Q13" s="100" t="s">
        <v>68</v>
      </c>
      <c r="R13" s="99"/>
      <c r="S13" s="100" t="s">
        <v>68</v>
      </c>
      <c r="T13" s="100"/>
      <c r="U13" s="99"/>
      <c r="V13" s="99"/>
      <c r="W13" s="99" t="s">
        <v>92</v>
      </c>
      <c r="X13" s="93">
        <f>_xlfn.XLOOKUP(base_de_datos[[#This Row],[Materia]],Materias,Horas)/16</f>
        <v>4</v>
      </c>
      <c r="Y13" s="93">
        <f>ROUND(((base_de_datos[[#This Row],[Hora fin]]-base_de_datos[[#This Row],[Hora inicio]])*24)*(COUNTA(base_de_datos[[#This Row],[Lunes]:[Sábado]])),1)</f>
        <v>4</v>
      </c>
      <c r="Z13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3" s="93">
        <f ca="1">IF(base_de_datos[[#This Row],[No clase]]=OFFSET(base_de_datos[[#This Row],[No clase]],-1,0),0,1)</f>
        <v>1</v>
      </c>
      <c r="AB13" s="93">
        <f ca="1">IF(NOT(OR(base_de_datos[[#This Row],[Horas totales]]=base_de_datos[[#This Row],[HT Plan]],base_de_datos[[#This Row],[Horas totales]]="N/A")),1,0)</f>
        <v>0</v>
      </c>
      <c r="AC13" s="93" t="e">
        <f>_xlfn.XLOOKUP(base_de_datos[[#This Row],[Profesor]],Nombre,Grado)</f>
        <v>#REF!</v>
      </c>
      <c r="AD13" s="94" t="e">
        <f>_xlfn.XLOOKUP(base_de_datos[[#This Row],[Profesor]],Nombre,Tipo)</f>
        <v>#REF!</v>
      </c>
      <c r="AE13" s="93">
        <f>IF(IFERROR(VLOOKUP($C13,Planes_de_estudio[],MATCH($AE$2,Carreras,0)+2,0),"")&gt;0,IFERROR(VLOOKUP($C13,Planes_de_estudio[],MATCH($AE$2,Carreras,0)+2,0),""),"")</f>
        <v>1</v>
      </c>
      <c r="AF13" s="93">
        <f>IF(IFERROR(VLOOKUP($C13,Planes_de_estudio[],MATCH($AF$2,Carreras,0)+2,0),"")&gt;0,IFERROR(VLOOKUP($C13,Planes_de_estudio[],MATCH($AF$2,Carreras,0)+2,0),""),"")</f>
        <v>1</v>
      </c>
      <c r="AG13" s="93">
        <f>IF(IFERROR(VLOOKUP($C13,Planes_de_estudio[],MATCH($AG$2,Carreras,0)+2,0),"")&gt;0,IFERROR(VLOOKUP($C13,Planes_de_estudio[],MATCH($AG$2,Carreras,0)+2,0),""),"")</f>
        <v>3</v>
      </c>
      <c r="AH13" s="93">
        <f>IF(IFERROR(VLOOKUP($C13,Planes_de_estudio[],MATCH($AH$2,Carreras,0)+2,0),"")&gt;0,IFERROR(VLOOKUP($C13,Planes_de_estudio[],MATCH($AH$2,Carreras,0)+2,0),""),"")</f>
        <v>1</v>
      </c>
      <c r="AI13" s="93">
        <f>IF(IFERROR(VLOOKUP($C13,Planes_de_estudio[],MATCH($AI$2,Carreras,0)+2,0),"")&gt;0,IFERROR(VLOOKUP($C13,Planes_de_estudio[],MATCH($AI$2,Carreras,0)+2,0),""),"")</f>
        <v>1</v>
      </c>
      <c r="AJ13" s="93">
        <f>IF(IFERROR(VLOOKUP($C13,Planes_de_estudio[],MATCH($AJ$2,Carreras,0)+2,0),"")&gt;0,IFERROR(VLOOKUP($C13,Planes_de_estudio[],MATCH($AJ$2,Carreras,0)+2,0),""),"")</f>
        <v>1</v>
      </c>
      <c r="AK13" s="93">
        <f>IF(IFERROR(VLOOKUP($C13,Planes_de_estudio[],MATCH($AK$2,Carreras,0)+2,0),"")&gt;0,IFERROR(VLOOKUP($C13,Planes_de_estudio[],MATCH($AK$2,Carreras,0)+2,0),""),"")</f>
        <v>1</v>
      </c>
      <c r="AL1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121</v>
      </c>
      <c r="AN13" s="93">
        <f>base_de_datos[[#This Row],[Pronóstico]]/25</f>
        <v>4.84</v>
      </c>
      <c r="AO13" s="93" t="str">
        <f>VLOOKUP($C13,Planes_de_estudio[],2)</f>
        <v>MAT</v>
      </c>
      <c r="AP13" s="195">
        <v>6</v>
      </c>
      <c r="AQ13" s="195">
        <v>6</v>
      </c>
      <c r="AR13" s="195">
        <v>6</v>
      </c>
      <c r="AS13" s="195">
        <v>6</v>
      </c>
      <c r="AT13" s="195">
        <v>6</v>
      </c>
      <c r="AU13" s="195">
        <v>6</v>
      </c>
      <c r="AV13" s="195">
        <v>6</v>
      </c>
      <c r="AW13" s="91"/>
      <c r="AX13" s="73"/>
    </row>
    <row r="14" spans="1:50" s="5" customFormat="1" ht="15">
      <c r="A14" s="5" t="s">
        <v>63</v>
      </c>
      <c r="B14" s="95" t="s">
        <v>93</v>
      </c>
      <c r="C14" s="96" t="s">
        <v>94</v>
      </c>
      <c r="D14" s="92">
        <v>3</v>
      </c>
      <c r="E14" s="97">
        <v>0.29166666666666669</v>
      </c>
      <c r="F14" s="97">
        <v>0.374999999999999</v>
      </c>
      <c r="G14" s="92" t="s">
        <v>72</v>
      </c>
      <c r="H14" s="92" t="s">
        <v>95</v>
      </c>
      <c r="I14" s="92" t="e">
        <f>INDEX(Aulas_capacidad,MATCH(base_de_datos[[#This Row],[Aula]],Aulas,0),2)</f>
        <v>#REF!</v>
      </c>
      <c r="J14" s="90">
        <v>26</v>
      </c>
      <c r="K14" s="92" t="e">
        <f>INDEX(Aulas_capacidad,MATCH(base_de_datos[[#This Row],[Aula]],Aulas,0),4)</f>
        <v>#REF!</v>
      </c>
      <c r="L14" s="98" t="e">
        <f>base_de_datos[[#This Row],[Cap 1.5]]-base_de_datos[[#This Row],[Inscritos]]</f>
        <v>#REF!</v>
      </c>
      <c r="M14" s="98" t="e">
        <f>INDEX(Aulas_capacidad,MATCH(base_de_datos[[#This Row],[Aula]],Aulas,0),5)</f>
        <v>#REF!</v>
      </c>
      <c r="N14" s="98" t="e">
        <f>base_de_datos[[#This Row],[Cap .90]]-base_de_datos[[#This Row],[Inscritos]]</f>
        <v>#REF!</v>
      </c>
      <c r="O14" s="92" t="s">
        <v>96</v>
      </c>
      <c r="P14" s="99"/>
      <c r="Q14" s="100" t="s">
        <v>68</v>
      </c>
      <c r="R14" s="99"/>
      <c r="S14" s="100" t="s">
        <v>68</v>
      </c>
      <c r="T14" s="100"/>
      <c r="U14" s="99"/>
      <c r="V14" s="99"/>
      <c r="W14" s="99" t="s">
        <v>79</v>
      </c>
      <c r="X14" s="93">
        <f>_xlfn.XLOOKUP(base_de_datos[[#This Row],[Materia]],Materias,Horas)/16</f>
        <v>4</v>
      </c>
      <c r="Y14" s="93">
        <f>ROUND(((base_de_datos[[#This Row],[Hora fin]]-base_de_datos[[#This Row],[Hora inicio]])*24)*(COUNTA(base_de_datos[[#This Row],[Lunes]:[Sábado]])),1)</f>
        <v>4</v>
      </c>
      <c r="Z14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" s="93">
        <f ca="1">IF(base_de_datos[[#This Row],[No clase]]=OFFSET(base_de_datos[[#This Row],[No clase]],-1,0),0,1)</f>
        <v>1</v>
      </c>
      <c r="AB14" s="93">
        <f ca="1">IF(NOT(OR(base_de_datos[[#This Row],[Horas totales]]=base_de_datos[[#This Row],[HT Plan]],base_de_datos[[#This Row],[Horas totales]]="N/A")),1,0)</f>
        <v>0</v>
      </c>
      <c r="AC14" s="93" t="e">
        <f>_xlfn.XLOOKUP(base_de_datos[[#This Row],[Profesor]],Nombre,Grado)</f>
        <v>#REF!</v>
      </c>
      <c r="AD14" s="94" t="e">
        <f>_xlfn.XLOOKUP(base_de_datos[[#This Row],[Profesor]],Nombre,Tipo)</f>
        <v>#REF!</v>
      </c>
      <c r="AE14" s="93">
        <f>IF(IFERROR(VLOOKUP($C14,Planes_de_estudio[],MATCH($AE$2,Carreras,0)+2,0),"")&gt;0,IFERROR(VLOOKUP($C14,Planes_de_estudio[],MATCH($AE$2,Carreras,0)+2,0),""),"")</f>
        <v>1</v>
      </c>
      <c r="AF14" s="93">
        <f>IF(IFERROR(VLOOKUP($C14,Planes_de_estudio[],MATCH($AF$2,Carreras,0)+2,0),"")&gt;0,IFERROR(VLOOKUP($C14,Planes_de_estudio[],MATCH($AF$2,Carreras,0)+2,0),""),"")</f>
        <v>1</v>
      </c>
      <c r="AG14" s="93">
        <f>IF(IFERROR(VLOOKUP($C14,Planes_de_estudio[],MATCH($AG$2,Carreras,0)+2,0),"")&gt;0,IFERROR(VLOOKUP($C14,Planes_de_estudio[],MATCH($AG$2,Carreras,0)+2,0),""),"")</f>
        <v>1</v>
      </c>
      <c r="AH14" s="93">
        <f>IF(IFERROR(VLOOKUP($C14,Planes_de_estudio[],MATCH($AH$2,Carreras,0)+2,0),"")&gt;0,IFERROR(VLOOKUP($C14,Planes_de_estudio[],MATCH($AH$2,Carreras,0)+2,0),""),"")</f>
        <v>1</v>
      </c>
      <c r="AI14" s="93">
        <f>IF(IFERROR(VLOOKUP($C14,Planes_de_estudio[],MATCH($AI$2,Carreras,0)+2,0),"")&gt;0,IFERROR(VLOOKUP($C14,Planes_de_estudio[],MATCH($AI$2,Carreras,0)+2,0),""),"")</f>
        <v>1</v>
      </c>
      <c r="AJ14" s="93">
        <f>IF(IFERROR(VLOOKUP($C14,Planes_de_estudio[],MATCH($AJ$2,Carreras,0)+2,0),"")&gt;0,IFERROR(VLOOKUP($C14,Planes_de_estudio[],MATCH($AJ$2,Carreras,0)+2,0),""),"")</f>
        <v>1</v>
      </c>
      <c r="AK14" s="93">
        <f>IF(IFERROR(VLOOKUP($C14,Planes_de_estudio[],MATCH($AK$2,Carreras,0)+2,0),"")&gt;0,IFERROR(VLOOKUP($C14,Planes_de_estudio[],MATCH($AK$2,Carreras,0)+2,0),""),"")</f>
        <v>1</v>
      </c>
      <c r="AL1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14" s="93">
        <f>base_de_datos[[#This Row],[Pronóstico]]/25</f>
        <v>5.2</v>
      </c>
      <c r="AO14" s="93" t="str">
        <f>VLOOKUP($C14,Planes_de_estudio[],2)</f>
        <v>MAT</v>
      </c>
      <c r="AP14" s="195">
        <v>6</v>
      </c>
      <c r="AQ14" s="195">
        <v>6</v>
      </c>
      <c r="AR14" s="195">
        <v>6</v>
      </c>
      <c r="AS14" s="195">
        <v>6</v>
      </c>
      <c r="AT14" s="195">
        <v>6</v>
      </c>
      <c r="AU14" s="195">
        <v>6</v>
      </c>
      <c r="AV14" s="195">
        <v>6</v>
      </c>
      <c r="AW14" s="91"/>
      <c r="AX14" s="73"/>
    </row>
    <row r="15" spans="1:50" s="5" customFormat="1" ht="30">
      <c r="B15" s="95" t="s">
        <v>97</v>
      </c>
      <c r="C15" s="96" t="s">
        <v>98</v>
      </c>
      <c r="D15" s="92">
        <v>2</v>
      </c>
      <c r="E15" s="97">
        <v>0.29166666666666669</v>
      </c>
      <c r="F15" s="97">
        <v>0.374999999999999</v>
      </c>
      <c r="G15" s="92"/>
      <c r="H15" s="92" t="s">
        <v>99</v>
      </c>
      <c r="I15" s="92" t="e">
        <f>INDEX(Aulas_capacidad,MATCH(base_de_datos[[#This Row],[Aula]],Aulas,0),2)</f>
        <v>#REF!</v>
      </c>
      <c r="J15" s="90">
        <v>25</v>
      </c>
      <c r="K15" s="92" t="e">
        <f>INDEX(Aulas_capacidad,MATCH(base_de_datos[[#This Row],[Aula]],Aulas,0),4)</f>
        <v>#REF!</v>
      </c>
      <c r="L15" s="98" t="e">
        <f>base_de_datos[[#This Row],[Cap 1.5]]-base_de_datos[[#This Row],[Inscritos]]</f>
        <v>#REF!</v>
      </c>
      <c r="M15" s="98" t="e">
        <f>INDEX(Aulas_capacidad,MATCH(base_de_datos[[#This Row],[Aula]],Aulas,0),5)</f>
        <v>#REF!</v>
      </c>
      <c r="N15" s="98" t="e">
        <f>base_de_datos[[#This Row],[Cap .90]]-base_de_datos[[#This Row],[Inscritos]]</f>
        <v>#REF!</v>
      </c>
      <c r="O15" s="92" t="s">
        <v>100</v>
      </c>
      <c r="P15" s="99" t="s">
        <v>68</v>
      </c>
      <c r="Q15" s="100"/>
      <c r="R15" s="99" t="s">
        <v>68</v>
      </c>
      <c r="S15" s="100"/>
      <c r="T15" s="100"/>
      <c r="U15" s="99"/>
      <c r="V15" s="99"/>
      <c r="W15" s="99" t="s">
        <v>101</v>
      </c>
      <c r="X15" s="93">
        <f>_xlfn.XLOOKUP(base_de_datos[[#This Row],[Materia]],Materias,Horas)/16</f>
        <v>4</v>
      </c>
      <c r="Y15" s="93">
        <f>ROUND(((base_de_datos[[#This Row],[Hora fin]]-base_de_datos[[#This Row],[Hora inicio]])*24)*(COUNTA(base_de_datos[[#This Row],[Lunes]:[Sábado]])),1)</f>
        <v>4</v>
      </c>
      <c r="Z15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5" s="93">
        <f ca="1">IF(base_de_datos[[#This Row],[No clase]]=OFFSET(base_de_datos[[#This Row],[No clase]],-1,0),0,1)</f>
        <v>1</v>
      </c>
      <c r="AB15" s="93">
        <f ca="1">IF(NOT(OR(base_de_datos[[#This Row],[Horas totales]]=base_de_datos[[#This Row],[HT Plan]],base_de_datos[[#This Row],[Horas totales]]="N/A")),1,0)</f>
        <v>0</v>
      </c>
      <c r="AC15" s="93" t="e">
        <f>_xlfn.XLOOKUP(base_de_datos[[#This Row],[Profesor]],Nombre,Grado)</f>
        <v>#REF!</v>
      </c>
      <c r="AD15" s="94" t="e">
        <f>_xlfn.XLOOKUP(base_de_datos[[#This Row],[Profesor]],Nombre,Tipo)</f>
        <v>#REF!</v>
      </c>
      <c r="AE15" s="93">
        <f>IF(IFERROR(VLOOKUP($C15,Planes_de_estudio[],MATCH($AE$2,Carreras,0)+2,0),"")&gt;0,IFERROR(VLOOKUP($C15,Planes_de_estudio[],MATCH($AE$2,Carreras,0)+2,0),""),"")</f>
        <v>1</v>
      </c>
      <c r="AF15" s="93">
        <f>IF(IFERROR(VLOOKUP($C15,Planes_de_estudio[],MATCH($AF$2,Carreras,0)+2,0),"")&gt;0,IFERROR(VLOOKUP($C15,Planes_de_estudio[],MATCH($AF$2,Carreras,0)+2,0),""),"")</f>
        <v>1</v>
      </c>
      <c r="AG15" s="93">
        <f>IF(IFERROR(VLOOKUP($C15,Planes_de_estudio[],MATCH($AG$2,Carreras,0)+2,0),"")&gt;0,IFERROR(VLOOKUP($C15,Planes_de_estudio[],MATCH($AG$2,Carreras,0)+2,0),""),"")</f>
        <v>3</v>
      </c>
      <c r="AH15" s="93">
        <f>IF(IFERROR(VLOOKUP($C15,Planes_de_estudio[],MATCH($AH$2,Carreras,0)+2,0),"")&gt;0,IFERROR(VLOOKUP($C15,Planes_de_estudio[],MATCH($AH$2,Carreras,0)+2,0),""),"")</f>
        <v>1</v>
      </c>
      <c r="AI15" s="93">
        <f>IF(IFERROR(VLOOKUP($C15,Planes_de_estudio[],MATCH($AI$2,Carreras,0)+2,0),"")&gt;0,IFERROR(VLOOKUP($C15,Planes_de_estudio[],MATCH($AI$2,Carreras,0)+2,0),""),"")</f>
        <v>1</v>
      </c>
      <c r="AJ15" s="93">
        <f>IF(IFERROR(VLOOKUP($C15,Planes_de_estudio[],MATCH($AJ$2,Carreras,0)+2,0),"")&gt;0,IFERROR(VLOOKUP($C15,Planes_de_estudio[],MATCH($AJ$2,Carreras,0)+2,0),""),"")</f>
        <v>1</v>
      </c>
      <c r="AK15" s="93">
        <f>IF(IFERROR(VLOOKUP($C15,Planes_de_estudio[],MATCH($AK$2,Carreras,0)+2,0),"")&gt;0,IFERROR(VLOOKUP($C15,Planes_de_estudio[],MATCH($AK$2,Carreras,0)+2,0),""),"")</f>
        <v>1</v>
      </c>
      <c r="AL1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121</v>
      </c>
      <c r="AN15" s="93">
        <f>base_de_datos[[#This Row],[Pronóstico]]/25</f>
        <v>4.84</v>
      </c>
      <c r="AO15" s="93" t="str">
        <f>VLOOKUP($C15,Planes_de_estudio[],2)</f>
        <v>COM</v>
      </c>
      <c r="AP15" s="195">
        <v>6</v>
      </c>
      <c r="AQ15" s="195">
        <v>6</v>
      </c>
      <c r="AR15" s="195">
        <v>6</v>
      </c>
      <c r="AS15" s="195">
        <v>6</v>
      </c>
      <c r="AT15" s="195">
        <v>6</v>
      </c>
      <c r="AU15" s="195">
        <v>6</v>
      </c>
      <c r="AV15" s="195">
        <v>6</v>
      </c>
      <c r="AW15" s="91"/>
      <c r="AX15" s="73"/>
    </row>
    <row r="16" spans="1:50" s="5" customFormat="1" ht="30">
      <c r="A16" s="5" t="s">
        <v>63</v>
      </c>
      <c r="B16" s="95" t="s">
        <v>102</v>
      </c>
      <c r="C16" s="96" t="s">
        <v>98</v>
      </c>
      <c r="D16" s="92">
        <v>5</v>
      </c>
      <c r="E16" s="97">
        <v>0.29166666666666669</v>
      </c>
      <c r="F16" s="97">
        <v>0.374999999999999</v>
      </c>
      <c r="G16" s="92"/>
      <c r="H16" s="92" t="s">
        <v>103</v>
      </c>
      <c r="I16" s="92" t="e">
        <f>INDEX(Aulas_capacidad,MATCH(base_de_datos[[#This Row],[Aula]],Aulas,0),2)</f>
        <v>#REF!</v>
      </c>
      <c r="J16" s="90">
        <v>25</v>
      </c>
      <c r="K16" s="92" t="e">
        <f>INDEX(Aulas_capacidad,MATCH(base_de_datos[[#This Row],[Aula]],Aulas,0),4)</f>
        <v>#REF!</v>
      </c>
      <c r="L16" s="98" t="e">
        <f>base_de_datos[[#This Row],[Cap 1.5]]-base_de_datos[[#This Row],[Inscritos]]</f>
        <v>#REF!</v>
      </c>
      <c r="M16" s="98" t="e">
        <f>INDEX(Aulas_capacidad,MATCH(base_de_datos[[#This Row],[Aula]],Aulas,0),5)</f>
        <v>#REF!</v>
      </c>
      <c r="N16" s="98" t="e">
        <f>base_de_datos[[#This Row],[Cap .90]]-base_de_datos[[#This Row],[Inscritos]]</f>
        <v>#REF!</v>
      </c>
      <c r="O16" s="92" t="s">
        <v>104</v>
      </c>
      <c r="P16" s="99" t="s">
        <v>68</v>
      </c>
      <c r="Q16" s="100"/>
      <c r="R16" s="99" t="s">
        <v>68</v>
      </c>
      <c r="S16" s="100"/>
      <c r="T16" s="100"/>
      <c r="U16" s="99"/>
      <c r="V16" s="99"/>
      <c r="W16" s="99" t="s">
        <v>101</v>
      </c>
      <c r="X16" s="93">
        <f>_xlfn.XLOOKUP(base_de_datos[[#This Row],[Materia]],Materias,Horas)/16</f>
        <v>4</v>
      </c>
      <c r="Y16" s="93">
        <f>ROUND(((base_de_datos[[#This Row],[Hora fin]]-base_de_datos[[#This Row],[Hora inicio]])*24)*(COUNTA(base_de_datos[[#This Row],[Lunes]:[Sábado]])),1)</f>
        <v>4</v>
      </c>
      <c r="Z16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" s="93">
        <f ca="1">IF(base_de_datos[[#This Row],[No clase]]=OFFSET(base_de_datos[[#This Row],[No clase]],-1,0),0,1)</f>
        <v>1</v>
      </c>
      <c r="AB16" s="93">
        <f ca="1">IF(NOT(OR(base_de_datos[[#This Row],[Horas totales]]=base_de_datos[[#This Row],[HT Plan]],base_de_datos[[#This Row],[Horas totales]]="N/A")),1,0)</f>
        <v>0</v>
      </c>
      <c r="AC16" s="93" t="e">
        <f>_xlfn.XLOOKUP(base_de_datos[[#This Row],[Profesor]],Nombre,Grado)</f>
        <v>#REF!</v>
      </c>
      <c r="AD16" s="94" t="e">
        <f>_xlfn.XLOOKUP(base_de_datos[[#This Row],[Profesor]],Nombre,Tipo)</f>
        <v>#REF!</v>
      </c>
      <c r="AE16" s="93">
        <f>IF(IFERROR(VLOOKUP($C16,Planes_de_estudio[],MATCH($AE$2,Carreras,0)+2,0),"")&gt;0,IFERROR(VLOOKUP($C16,Planes_de_estudio[],MATCH($AE$2,Carreras,0)+2,0),""),"")</f>
        <v>1</v>
      </c>
      <c r="AF16" s="93">
        <f>IF(IFERROR(VLOOKUP($C16,Planes_de_estudio[],MATCH($AF$2,Carreras,0)+2,0),"")&gt;0,IFERROR(VLOOKUP($C16,Planes_de_estudio[],MATCH($AF$2,Carreras,0)+2,0),""),"")</f>
        <v>1</v>
      </c>
      <c r="AG16" s="93">
        <f>IF(IFERROR(VLOOKUP($C16,Planes_de_estudio[],MATCH($AG$2,Carreras,0)+2,0),"")&gt;0,IFERROR(VLOOKUP($C16,Planes_de_estudio[],MATCH($AG$2,Carreras,0)+2,0),""),"")</f>
        <v>3</v>
      </c>
      <c r="AH16" s="93">
        <f>IF(IFERROR(VLOOKUP($C16,Planes_de_estudio[],MATCH($AH$2,Carreras,0)+2,0),"")&gt;0,IFERROR(VLOOKUP($C16,Planes_de_estudio[],MATCH($AH$2,Carreras,0)+2,0),""),"")</f>
        <v>1</v>
      </c>
      <c r="AI16" s="93">
        <f>IF(IFERROR(VLOOKUP($C16,Planes_de_estudio[],MATCH($AI$2,Carreras,0)+2,0),"")&gt;0,IFERROR(VLOOKUP($C16,Planes_de_estudio[],MATCH($AI$2,Carreras,0)+2,0),""),"")</f>
        <v>1</v>
      </c>
      <c r="AJ16" s="93">
        <f>IF(IFERROR(VLOOKUP($C16,Planes_de_estudio[],MATCH($AJ$2,Carreras,0)+2,0),"")&gt;0,IFERROR(VLOOKUP($C16,Planes_de_estudio[],MATCH($AJ$2,Carreras,0)+2,0),""),"")</f>
        <v>1</v>
      </c>
      <c r="AK16" s="93">
        <f>IF(IFERROR(VLOOKUP($C16,Planes_de_estudio[],MATCH($AK$2,Carreras,0)+2,0),"")&gt;0,IFERROR(VLOOKUP($C16,Planes_de_estudio[],MATCH($AK$2,Carreras,0)+2,0),""),"")</f>
        <v>1</v>
      </c>
      <c r="AL1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121</v>
      </c>
      <c r="AN16" s="93">
        <f>base_de_datos[[#This Row],[Pronóstico]]/25</f>
        <v>4.84</v>
      </c>
      <c r="AO16" s="93" t="str">
        <f>VLOOKUP($C16,Planes_de_estudio[],2)</f>
        <v>COM</v>
      </c>
      <c r="AP16" s="195">
        <v>6</v>
      </c>
      <c r="AQ16" s="195">
        <v>6</v>
      </c>
      <c r="AR16" s="195">
        <v>6</v>
      </c>
      <c r="AS16" s="195">
        <v>6</v>
      </c>
      <c r="AT16" s="195">
        <v>6</v>
      </c>
      <c r="AU16" s="195">
        <v>6</v>
      </c>
      <c r="AV16" s="195">
        <v>6</v>
      </c>
      <c r="AW16" s="91"/>
      <c r="AX16" s="73"/>
    </row>
    <row r="17" spans="1:50" s="5" customFormat="1" ht="30">
      <c r="B17" s="95" t="s">
        <v>105</v>
      </c>
      <c r="C17" s="96" t="s">
        <v>98</v>
      </c>
      <c r="D17" s="92">
        <v>1</v>
      </c>
      <c r="E17" s="97">
        <v>0.375</v>
      </c>
      <c r="F17" s="97">
        <v>0.45833333333333098</v>
      </c>
      <c r="G17" s="92" t="s">
        <v>72</v>
      </c>
      <c r="H17" s="92" t="s">
        <v>106</v>
      </c>
      <c r="I17" s="92" t="e">
        <f>INDEX(Aulas_capacidad,MATCH(base_de_datos[[#This Row],[Aula]],Aulas,0),2)</f>
        <v>#REF!</v>
      </c>
      <c r="J17" s="90">
        <v>26</v>
      </c>
      <c r="K17" s="92" t="e">
        <f>INDEX(Aulas_capacidad,MATCH(base_de_datos[[#This Row],[Aula]],Aulas,0),4)</f>
        <v>#REF!</v>
      </c>
      <c r="L17" s="98" t="e">
        <f>base_de_datos[[#This Row],[Cap 1.5]]-base_de_datos[[#This Row],[Inscritos]]</f>
        <v>#REF!</v>
      </c>
      <c r="M17" s="98" t="e">
        <f>INDEX(Aulas_capacidad,MATCH(base_de_datos[[#This Row],[Aula]],Aulas,0),5)</f>
        <v>#REF!</v>
      </c>
      <c r="N17" s="98" t="e">
        <f>base_de_datos[[#This Row],[Cap .90]]-base_de_datos[[#This Row],[Inscritos]]</f>
        <v>#REF!</v>
      </c>
      <c r="O17" s="92" t="s">
        <v>107</v>
      </c>
      <c r="P17" s="99" t="s">
        <v>68</v>
      </c>
      <c r="Q17" s="100"/>
      <c r="R17" s="99"/>
      <c r="S17" s="100"/>
      <c r="T17" s="100"/>
      <c r="U17" s="99"/>
      <c r="V17" s="99"/>
      <c r="W17" s="99" t="s">
        <v>101</v>
      </c>
      <c r="X17" s="101">
        <f>_xlfn.XLOOKUP(base_de_datos[[#This Row],[Materia]],Materias,Horas)/16</f>
        <v>4</v>
      </c>
      <c r="Y17" s="101">
        <f>ROUND(((base_de_datos[[#This Row],[Hora fin]]-base_de_datos[[#This Row],[Hora inicio]])*24)*(COUNTA(base_de_datos[[#This Row],[Lunes]:[Sábado]])),1)</f>
        <v>2</v>
      </c>
      <c r="Z17" s="101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7" s="93">
        <f ca="1">IF(base_de_datos[[#This Row],[No clase]]=OFFSET(base_de_datos[[#This Row],[No clase]],-1,0),0,1)</f>
        <v>1</v>
      </c>
      <c r="AB17" s="93">
        <f ca="1">IF(NOT(OR(base_de_datos[[#This Row],[Horas totales]]=base_de_datos[[#This Row],[HT Plan]],base_de_datos[[#This Row],[Horas totales]]="N/A")),1,0)</f>
        <v>1</v>
      </c>
      <c r="AC17" s="93" t="e">
        <f>_xlfn.XLOOKUP(base_de_datos[[#This Row],[Profesor]],Nombre,Grado)</f>
        <v>#REF!</v>
      </c>
      <c r="AD17" s="94" t="e">
        <f>_xlfn.XLOOKUP(base_de_datos[[#This Row],[Profesor]],Nombre,Tipo)</f>
        <v>#REF!</v>
      </c>
      <c r="AE17" s="93">
        <f>IF(IFERROR(VLOOKUP($C17,Planes_de_estudio[],MATCH($AE$2,Carreras,0)+2,0),"")&gt;0,IFERROR(VLOOKUP($C17,Planes_de_estudio[],MATCH($AE$2,Carreras,0)+2,0),""),"")</f>
        <v>1</v>
      </c>
      <c r="AF17" s="93">
        <f>IF(IFERROR(VLOOKUP($C17,Planes_de_estudio[],MATCH($AF$2,Carreras,0)+2,0),"")&gt;0,IFERROR(VLOOKUP($C17,Planes_de_estudio[],MATCH($AF$2,Carreras,0)+2,0),""),"")</f>
        <v>1</v>
      </c>
      <c r="AG17" s="93">
        <f>IF(IFERROR(VLOOKUP($C17,Planes_de_estudio[],MATCH($AG$2,Carreras,0)+2,0),"")&gt;0,IFERROR(VLOOKUP($C17,Planes_de_estudio[],MATCH($AG$2,Carreras,0)+2,0),""),"")</f>
        <v>3</v>
      </c>
      <c r="AH17" s="93">
        <f>IF(IFERROR(VLOOKUP($C17,Planes_de_estudio[],MATCH($AH$2,Carreras,0)+2,0),"")&gt;0,IFERROR(VLOOKUP($C17,Planes_de_estudio[],MATCH($AH$2,Carreras,0)+2,0),""),"")</f>
        <v>1</v>
      </c>
      <c r="AI17" s="93">
        <f>IF(IFERROR(VLOOKUP($C17,Planes_de_estudio[],MATCH($AI$2,Carreras,0)+2,0),"")&gt;0,IFERROR(VLOOKUP($C17,Planes_de_estudio[],MATCH($AI$2,Carreras,0)+2,0),""),"")</f>
        <v>1</v>
      </c>
      <c r="AJ17" s="93">
        <f>IF(IFERROR(VLOOKUP($C17,Planes_de_estudio[],MATCH($AJ$2,Carreras,0)+2,0),"")&gt;0,IFERROR(VLOOKUP($C17,Planes_de_estudio[],MATCH($AJ$2,Carreras,0)+2,0),""),"")</f>
        <v>1</v>
      </c>
      <c r="AK17" s="93">
        <f>IF(IFERROR(VLOOKUP($C17,Planes_de_estudio[],MATCH($AK$2,Carreras,0)+2,0),"")&gt;0,IFERROR(VLOOKUP($C17,Planes_de_estudio[],MATCH($AK$2,Carreras,0)+2,0),""),"")</f>
        <v>1</v>
      </c>
      <c r="AL1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121</v>
      </c>
      <c r="AN17" s="93">
        <f>base_de_datos[[#This Row],[Pronóstico]]/25</f>
        <v>4.84</v>
      </c>
      <c r="AO17" s="93" t="str">
        <f>VLOOKUP($C17,Planes_de_estudio[],2)</f>
        <v>COM</v>
      </c>
      <c r="AP17" s="195">
        <v>6</v>
      </c>
      <c r="AQ17" s="195">
        <v>6</v>
      </c>
      <c r="AR17" s="195">
        <v>6</v>
      </c>
      <c r="AS17" s="195">
        <v>6</v>
      </c>
      <c r="AT17" s="195">
        <v>6</v>
      </c>
      <c r="AU17" s="195">
        <v>6</v>
      </c>
      <c r="AV17" s="195">
        <v>6</v>
      </c>
      <c r="AW17" s="91"/>
      <c r="AX17" s="73"/>
    </row>
    <row r="18" spans="1:50" s="5" customFormat="1" ht="16">
      <c r="A18" s="5" t="s">
        <v>63</v>
      </c>
      <c r="B18" s="95" t="s">
        <v>108</v>
      </c>
      <c r="C18" s="96" t="s">
        <v>109</v>
      </c>
      <c r="D18" s="92">
        <v>1</v>
      </c>
      <c r="E18" s="97">
        <v>0.33333333333333298</v>
      </c>
      <c r="F18" s="97">
        <v>0.39583333333333198</v>
      </c>
      <c r="G18" s="92" t="s">
        <v>72</v>
      </c>
      <c r="H18" s="92" t="s">
        <v>110</v>
      </c>
      <c r="I18" s="92" t="e">
        <f>INDEX(Aulas_capacidad,MATCH(base_de_datos[[#This Row],[Aula]],Aulas,0),2)</f>
        <v>#REF!</v>
      </c>
      <c r="J18" s="90">
        <v>21</v>
      </c>
      <c r="K18" s="92" t="e">
        <f>INDEX(Aulas_capacidad,MATCH(base_de_datos[[#This Row],[Aula]],Aulas,0),4)</f>
        <v>#REF!</v>
      </c>
      <c r="L18" s="98" t="e">
        <f>base_de_datos[[#This Row],[Cap 1.5]]-base_de_datos[[#This Row],[Inscritos]]</f>
        <v>#REF!</v>
      </c>
      <c r="M18" s="98" t="e">
        <f>INDEX(Aulas_capacidad,MATCH(base_de_datos[[#This Row],[Aula]],Aulas,0),5)</f>
        <v>#REF!</v>
      </c>
      <c r="N18" s="98" t="e">
        <f>base_de_datos[[#This Row],[Cap .90]]-base_de_datos[[#This Row],[Inscritos]]</f>
        <v>#REF!</v>
      </c>
      <c r="O18" s="92">
        <v>1628</v>
      </c>
      <c r="P18" s="99"/>
      <c r="Q18" s="100"/>
      <c r="R18" s="99" t="s">
        <v>68</v>
      </c>
      <c r="S18" s="100"/>
      <c r="T18" s="100"/>
      <c r="U18" s="99"/>
      <c r="V18" s="99"/>
      <c r="W18" s="99" t="s">
        <v>77</v>
      </c>
      <c r="X18" s="93">
        <f>_xlfn.XLOOKUP(base_de_datos[[#This Row],[Materia]],Materias,Horas)/16</f>
        <v>3</v>
      </c>
      <c r="Y18" s="93">
        <f>ROUND(((base_de_datos[[#This Row],[Hora fin]]-base_de_datos[[#This Row],[Hora inicio]])*24)*(COUNTA(base_de_datos[[#This Row],[Lunes]:[Sábado]])),1)</f>
        <v>1.5</v>
      </c>
      <c r="Z18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" s="93">
        <f ca="1">IF(base_de_datos[[#This Row],[No clase]]=OFFSET(base_de_datos[[#This Row],[No clase]],-1,0),0,1)</f>
        <v>1</v>
      </c>
      <c r="AB18" s="93">
        <f ca="1">IF(NOT(OR(base_de_datos[[#This Row],[Horas totales]]=base_de_datos[[#This Row],[HT Plan]],base_de_datos[[#This Row],[Horas totales]]="N/A")),1,0)</f>
        <v>0</v>
      </c>
      <c r="AC18" s="93" t="e">
        <f>_xlfn.XLOOKUP(base_de_datos[[#This Row],[Profesor]],Nombre,Grado)</f>
        <v>#REF!</v>
      </c>
      <c r="AD18" s="94" t="e">
        <f>_xlfn.XLOOKUP(base_de_datos[[#This Row],[Profesor]],Nombre,Tipo)</f>
        <v>#REF!</v>
      </c>
      <c r="AE18" s="93" t="str">
        <f>IF(IFERROR(VLOOKUP($C18,Planes_de_estudio[],MATCH($AE$2,Carreras,0)+2,0),"")&gt;0,IFERROR(VLOOKUP($C18,Planes_de_estudio[],MATCH($AE$2,Carreras,0)+2,0),""),"")</f>
        <v/>
      </c>
      <c r="AF18" s="93" t="str">
        <f>IF(IFERROR(VLOOKUP($C18,Planes_de_estudio[],MATCH($AF$2,Carreras,0)+2,0),"")&gt;0,IFERROR(VLOOKUP($C18,Planes_de_estudio[],MATCH($AF$2,Carreras,0)+2,0),""),"")</f>
        <v/>
      </c>
      <c r="AG18" s="93">
        <f>IF(IFERROR(VLOOKUP($C18,Planes_de_estudio[],MATCH($AG$2,Carreras,0)+2,0),"")&gt;0,IFERROR(VLOOKUP($C18,Planes_de_estudio[],MATCH($AG$2,Carreras,0)+2,0),""),"")</f>
        <v>1</v>
      </c>
      <c r="AH18" s="93" t="str">
        <f>IF(IFERROR(VLOOKUP($C18,Planes_de_estudio[],MATCH($AH$2,Carreras,0)+2,0),"")&gt;0,IFERROR(VLOOKUP($C18,Planes_de_estudio[],MATCH($AH$2,Carreras,0)+2,0),""),"")</f>
        <v/>
      </c>
      <c r="AI18" s="93" t="str">
        <f>IF(IFERROR(VLOOKUP($C18,Planes_de_estudio[],MATCH($AI$2,Carreras,0)+2,0),"")&gt;0,IFERROR(VLOOKUP($C18,Planes_de_estudio[],MATCH($AI$2,Carreras,0)+2,0),""),"")</f>
        <v/>
      </c>
      <c r="AJ18" s="93" t="str">
        <f>IF(IFERROR(VLOOKUP($C18,Planes_de_estudio[],MATCH($AJ$2,Carreras,0)+2,0),"")&gt;0,IFERROR(VLOOKUP($C18,Planes_de_estudio[],MATCH($AJ$2,Carreras,0)+2,0),""),"")</f>
        <v/>
      </c>
      <c r="AK18" s="93" t="str">
        <f>IF(IFERROR(VLOOKUP($C18,Planes_de_estudio[],MATCH($AK$2,Carreras,0)+2,0),"")&gt;0,IFERROR(VLOOKUP($C18,Planes_de_estudio[],MATCH($AK$2,Carreras,0)+2,0),""),"")</f>
        <v/>
      </c>
      <c r="AL1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23.000000000000004</v>
      </c>
      <c r="AN18" s="93">
        <f>base_de_datos[[#This Row],[Pronóstico]]/25</f>
        <v>0.92000000000000015</v>
      </c>
      <c r="AO18" s="93" t="str">
        <f>VLOOKUP($C18,Planes_de_estudio[],2)</f>
        <v>IID</v>
      </c>
      <c r="AP18" s="196"/>
      <c r="AQ18" s="196"/>
      <c r="AR18" s="195">
        <v>6</v>
      </c>
      <c r="AS18" s="196"/>
      <c r="AT18" s="196"/>
      <c r="AU18" s="196"/>
      <c r="AV18" s="196"/>
      <c r="AW18" s="91"/>
      <c r="AX18" s="73"/>
    </row>
    <row r="19" spans="1:50" s="5" customFormat="1" ht="16">
      <c r="A19" s="5" t="s">
        <v>63</v>
      </c>
      <c r="B19" s="95" t="s">
        <v>108</v>
      </c>
      <c r="C19" s="96" t="s">
        <v>109</v>
      </c>
      <c r="D19" s="92">
        <v>1</v>
      </c>
      <c r="E19" s="97">
        <v>0.39583333333333398</v>
      </c>
      <c r="F19" s="97">
        <v>0.45833333333333098</v>
      </c>
      <c r="G19" s="92" t="s">
        <v>72</v>
      </c>
      <c r="H19" s="92" t="s">
        <v>110</v>
      </c>
      <c r="I19" s="92" t="e">
        <f>INDEX(Aulas_capacidad,MATCH(base_de_datos[[#This Row],[Aula]],Aulas,0),2)</f>
        <v>#REF!</v>
      </c>
      <c r="J19" s="90">
        <v>21</v>
      </c>
      <c r="K19" s="92" t="e">
        <f>INDEX(Aulas_capacidad,MATCH(base_de_datos[[#This Row],[Aula]],Aulas,0),4)</f>
        <v>#REF!</v>
      </c>
      <c r="L19" s="98" t="e">
        <f>base_de_datos[[#This Row],[Cap 1.5]]-base_de_datos[[#This Row],[Inscritos]]</f>
        <v>#REF!</v>
      </c>
      <c r="M19" s="98" t="e">
        <f>INDEX(Aulas_capacidad,MATCH(base_de_datos[[#This Row],[Aula]],Aulas,0),5)</f>
        <v>#REF!</v>
      </c>
      <c r="N19" s="98" t="e">
        <f>base_de_datos[[#This Row],[Cap .90]]-base_de_datos[[#This Row],[Inscritos]]</f>
        <v>#REF!</v>
      </c>
      <c r="O19" s="92">
        <v>1628</v>
      </c>
      <c r="P19" s="99" t="s">
        <v>68</v>
      </c>
      <c r="Q19" s="100"/>
      <c r="R19" s="99"/>
      <c r="S19" s="100"/>
      <c r="T19" s="100"/>
      <c r="U19" s="99"/>
      <c r="V19" s="99"/>
      <c r="W19" s="99" t="s">
        <v>77</v>
      </c>
      <c r="X19" s="93">
        <f>_xlfn.XLOOKUP(base_de_datos[[#This Row],[Materia]],Materias,Horas)/16</f>
        <v>3</v>
      </c>
      <c r="Y19" s="93">
        <f>ROUND(((base_de_datos[[#This Row],[Hora fin]]-base_de_datos[[#This Row],[Hora inicio]])*24)*(COUNTA(base_de_datos[[#This Row],[Lunes]:[Sábado]])),1)</f>
        <v>1.5</v>
      </c>
      <c r="Z19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9" s="93">
        <f ca="1">IF(base_de_datos[[#This Row],[No clase]]=OFFSET(base_de_datos[[#This Row],[No clase]],-1,0),0,1)</f>
        <v>0</v>
      </c>
      <c r="AB19" s="93">
        <f ca="1">IF(NOT(OR(base_de_datos[[#This Row],[Horas totales]]=base_de_datos[[#This Row],[HT Plan]],base_de_datos[[#This Row],[Horas totales]]="N/A")),1,0)</f>
        <v>0</v>
      </c>
      <c r="AC19" s="93" t="e">
        <f>_xlfn.XLOOKUP(base_de_datos[[#This Row],[Profesor]],Nombre,Grado)</f>
        <v>#REF!</v>
      </c>
      <c r="AD19" s="94" t="e">
        <f>_xlfn.XLOOKUP(base_de_datos[[#This Row],[Profesor]],Nombre,Tipo)</f>
        <v>#REF!</v>
      </c>
      <c r="AE19" s="93" t="str">
        <f>IF(IFERROR(VLOOKUP($C19,Planes_de_estudio[],MATCH($AE$2,Carreras,0)+2,0),"")&gt;0,IFERROR(VLOOKUP($C19,Planes_de_estudio[],MATCH($AE$2,Carreras,0)+2,0),""),"")</f>
        <v/>
      </c>
      <c r="AF19" s="93" t="str">
        <f>IF(IFERROR(VLOOKUP($C19,Planes_de_estudio[],MATCH($AF$2,Carreras,0)+2,0),"")&gt;0,IFERROR(VLOOKUP($C19,Planes_de_estudio[],MATCH($AF$2,Carreras,0)+2,0),""),"")</f>
        <v/>
      </c>
      <c r="AG19" s="93">
        <f>IF(IFERROR(VLOOKUP($C19,Planes_de_estudio[],MATCH($AG$2,Carreras,0)+2,0),"")&gt;0,IFERROR(VLOOKUP($C19,Planes_de_estudio[],MATCH($AG$2,Carreras,0)+2,0),""),"")</f>
        <v>1</v>
      </c>
      <c r="AH19" s="93" t="str">
        <f>IF(IFERROR(VLOOKUP($C19,Planes_de_estudio[],MATCH($AH$2,Carreras,0)+2,0),"")&gt;0,IFERROR(VLOOKUP($C19,Planes_de_estudio[],MATCH($AH$2,Carreras,0)+2,0),""),"")</f>
        <v/>
      </c>
      <c r="AI19" s="93" t="str">
        <f>IF(IFERROR(VLOOKUP($C19,Planes_de_estudio[],MATCH($AI$2,Carreras,0)+2,0),"")&gt;0,IFERROR(VLOOKUP($C19,Planes_de_estudio[],MATCH($AI$2,Carreras,0)+2,0),""),"")</f>
        <v/>
      </c>
      <c r="AJ19" s="93" t="str">
        <f>IF(IFERROR(VLOOKUP($C19,Planes_de_estudio[],MATCH($AJ$2,Carreras,0)+2,0),"")&gt;0,IFERROR(VLOOKUP($C19,Planes_de_estudio[],MATCH($AJ$2,Carreras,0)+2,0),""),"")</f>
        <v/>
      </c>
      <c r="AK19" s="93" t="str">
        <f>IF(IFERROR(VLOOKUP($C19,Planes_de_estudio[],MATCH($AK$2,Carreras,0)+2,0),"")&gt;0,IFERROR(VLOOKUP($C19,Planes_de_estudio[],MATCH($AK$2,Carreras,0)+2,0),""),"")</f>
        <v/>
      </c>
      <c r="AL1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23.000000000000004</v>
      </c>
      <c r="AN19" s="93">
        <f>base_de_datos[[#This Row],[Pronóstico]]/25</f>
        <v>0.92000000000000015</v>
      </c>
      <c r="AO19" s="93" t="str">
        <f>VLOOKUP($C19,Planes_de_estudio[],2)</f>
        <v>IID</v>
      </c>
      <c r="AP19" s="196"/>
      <c r="AQ19" s="196"/>
      <c r="AR19" s="196"/>
      <c r="AS19" s="196"/>
      <c r="AT19" s="196"/>
      <c r="AU19" s="196"/>
      <c r="AV19" s="196"/>
      <c r="AW19" s="91"/>
      <c r="AX19" s="73"/>
    </row>
    <row r="20" spans="1:50" s="5" customFormat="1" ht="30">
      <c r="A20" s="5" t="s">
        <v>63</v>
      </c>
      <c r="B20" s="95" t="s">
        <v>111</v>
      </c>
      <c r="C20" s="96" t="s">
        <v>112</v>
      </c>
      <c r="D20" s="92">
        <v>1</v>
      </c>
      <c r="E20" s="97">
        <v>0.70833333333333304</v>
      </c>
      <c r="F20" s="97">
        <v>0.83333333333332504</v>
      </c>
      <c r="G20" s="92" t="s">
        <v>72</v>
      </c>
      <c r="H20" s="92" t="s">
        <v>95</v>
      </c>
      <c r="I20" s="92" t="e">
        <f>INDEX(Aulas_capacidad,MATCH(base_de_datos[[#This Row],[Aula]],Aulas,0),2)</f>
        <v>#REF!</v>
      </c>
      <c r="J20" s="176">
        <v>32</v>
      </c>
      <c r="K20" s="92" t="e">
        <f>INDEX(Aulas_capacidad,MATCH(base_de_datos[[#This Row],[Aula]],Aulas,0),4)</f>
        <v>#REF!</v>
      </c>
      <c r="L20" s="98" t="e">
        <f>base_de_datos[[#This Row],[Cap 1.5]]-base_de_datos[[#This Row],[Inscritos]]</f>
        <v>#REF!</v>
      </c>
      <c r="M20" s="98" t="e">
        <f>INDEX(Aulas_capacidad,MATCH(base_de_datos[[#This Row],[Aula]],Aulas,0),5)</f>
        <v>#REF!</v>
      </c>
      <c r="N20" s="98" t="e">
        <f>base_de_datos[[#This Row],[Cap .90]]-base_de_datos[[#This Row],[Inscritos]]</f>
        <v>#REF!</v>
      </c>
      <c r="O20" s="92" t="s">
        <v>113</v>
      </c>
      <c r="P20" s="99"/>
      <c r="Q20" s="100"/>
      <c r="R20" s="99" t="s">
        <v>68</v>
      </c>
      <c r="S20" s="100"/>
      <c r="T20" s="100"/>
      <c r="U20" s="99"/>
      <c r="V20" s="99"/>
      <c r="W20" s="99" t="s">
        <v>77</v>
      </c>
      <c r="X20" s="93">
        <f>_xlfn.XLOOKUP(base_de_datos[[#This Row],[Materia]],Materias,Horas)/16</f>
        <v>3</v>
      </c>
      <c r="Y20" s="93">
        <f>ROUND(((base_de_datos[[#This Row],[Hora fin]]-base_de_datos[[#This Row],[Hora inicio]])*24)*(COUNTA(base_de_datos[[#This Row],[Lunes]:[Sábado]])),1)</f>
        <v>3</v>
      </c>
      <c r="Z20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0" s="93">
        <f ca="1">IF(base_de_datos[[#This Row],[No clase]]=OFFSET(base_de_datos[[#This Row],[No clase]],-1,0),0,1)</f>
        <v>1</v>
      </c>
      <c r="AB20" s="93">
        <f ca="1">IF(NOT(OR(base_de_datos[[#This Row],[Horas totales]]=base_de_datos[[#This Row],[HT Plan]],base_de_datos[[#This Row],[Horas totales]]="N/A")),1,0)</f>
        <v>0</v>
      </c>
      <c r="AC20" s="93" t="e">
        <f>_xlfn.XLOOKUP(base_de_datos[[#This Row],[Profesor]],Nombre,Grado)</f>
        <v>#REF!</v>
      </c>
      <c r="AD20" s="94" t="e">
        <f>_xlfn.XLOOKUP(base_de_datos[[#This Row],[Profesor]],Nombre,Tipo)</f>
        <v>#REF!</v>
      </c>
      <c r="AE20" s="93">
        <f>IF(IFERROR(VLOOKUP($C20,Planes_de_estudio[],MATCH($AE$2,Carreras,0)+2,0),"")&gt;0,IFERROR(VLOOKUP($C20,Planes_de_estudio[],MATCH($AE$2,Carreras,0)+2,0),""),"")</f>
        <v>6</v>
      </c>
      <c r="AF20" s="93">
        <f>IF(IFERROR(VLOOKUP($C20,Planes_de_estudio[],MATCH($AF$2,Carreras,0)+2,0),"")&gt;0,IFERROR(VLOOKUP($C20,Planes_de_estudio[],MATCH($AF$2,Carreras,0)+2,0),""),"")</f>
        <v>7</v>
      </c>
      <c r="AG20" s="93">
        <f>IF(IFERROR(VLOOKUP($C20,Planes_de_estudio[],MATCH($AG$2,Carreras,0)+2,0),"")&gt;0,IFERROR(VLOOKUP($C20,Planes_de_estudio[],MATCH($AG$2,Carreras,0)+2,0),""),"")</f>
        <v>7</v>
      </c>
      <c r="AH20" s="93">
        <f>IF(IFERROR(VLOOKUP($C20,Planes_de_estudio[],MATCH($AH$2,Carreras,0)+2,0),"")&gt;0,IFERROR(VLOOKUP($C20,Planes_de_estudio[],MATCH($AH$2,Carreras,0)+2,0),""),"")</f>
        <v>7</v>
      </c>
      <c r="AI20" s="93" t="str">
        <f>IF(IFERROR(VLOOKUP($C20,Planes_de_estudio[],MATCH($AI$2,Carreras,0)+2,0),"")&gt;0,IFERROR(VLOOKUP($C20,Planes_de_estudio[],MATCH($AI$2,Carreras,0)+2,0),""),"")</f>
        <v/>
      </c>
      <c r="AJ20" s="93">
        <f>IF(IFERROR(VLOOKUP($C20,Planes_de_estudio[],MATCH($AJ$2,Carreras,0)+2,0),"")&gt;0,IFERROR(VLOOKUP($C20,Planes_de_estudio[],MATCH($AJ$2,Carreras,0)+2,0),""),"")</f>
        <v>9</v>
      </c>
      <c r="AK20" s="93">
        <f>IF(IFERROR(VLOOKUP($C20,Planes_de_estudio[],MATCH($AK$2,Carreras,0)+2,0),"")&gt;0,IFERROR(VLOOKUP($C20,Planes_de_estudio[],MATCH($AK$2,Carreras,0)+2,0),""),"")</f>
        <v>5</v>
      </c>
      <c r="AL2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86</v>
      </c>
      <c r="AN20" s="93">
        <f>base_de_datos[[#This Row],[Pronóstico]]/25</f>
        <v>3.44</v>
      </c>
      <c r="AO20" s="93" t="str">
        <f>VLOOKUP($C20,Planes_de_estudio[],2)</f>
        <v>EMP</v>
      </c>
      <c r="AP20" s="195">
        <v>6</v>
      </c>
      <c r="AQ20" s="195">
        <v>6</v>
      </c>
      <c r="AR20" s="195">
        <v>6</v>
      </c>
      <c r="AS20" s="195">
        <v>6</v>
      </c>
      <c r="AT20" s="196"/>
      <c r="AU20" s="195">
        <v>6</v>
      </c>
      <c r="AV20" s="195">
        <v>6</v>
      </c>
      <c r="AW20" s="91"/>
      <c r="AX20" s="73"/>
    </row>
    <row r="21" spans="1:50" s="5" customFormat="1" ht="30">
      <c r="A21" s="5" t="s">
        <v>63</v>
      </c>
      <c r="B21" s="95" t="s">
        <v>114</v>
      </c>
      <c r="C21" s="96" t="s">
        <v>112</v>
      </c>
      <c r="D21" s="92">
        <v>2</v>
      </c>
      <c r="E21" s="97">
        <v>0.70833333333333304</v>
      </c>
      <c r="F21" s="97">
        <v>0.83333333333332504</v>
      </c>
      <c r="G21" s="92" t="s">
        <v>66</v>
      </c>
      <c r="H21" s="92" t="s">
        <v>115</v>
      </c>
      <c r="I21" s="92" t="e">
        <f>INDEX(Aulas_capacidad,MATCH(base_de_datos[[#This Row],[Aula]],Aulas,0),2)</f>
        <v>#REF!</v>
      </c>
      <c r="J21" s="90">
        <v>21</v>
      </c>
      <c r="K21" s="92" t="e">
        <f>INDEX(Aulas_capacidad,MATCH(base_de_datos[[#This Row],[Aula]],Aulas,0),4)</f>
        <v>#REF!</v>
      </c>
      <c r="L21" s="98" t="e">
        <f>base_de_datos[[#This Row],[Cap 1.5]]-base_de_datos[[#This Row],[Inscritos]]</f>
        <v>#REF!</v>
      </c>
      <c r="M21" s="98" t="e">
        <f>INDEX(Aulas_capacidad,MATCH(base_de_datos[[#This Row],[Aula]],Aulas,0),5)</f>
        <v>#REF!</v>
      </c>
      <c r="N21" s="98" t="e">
        <f>base_de_datos[[#This Row],[Cap .90]]-base_de_datos[[#This Row],[Inscritos]]</f>
        <v>#REF!</v>
      </c>
      <c r="O21" s="92" t="s">
        <v>116</v>
      </c>
      <c r="P21" s="99"/>
      <c r="Q21" s="100"/>
      <c r="R21" s="99" t="s">
        <v>68</v>
      </c>
      <c r="S21" s="100"/>
      <c r="T21" s="100"/>
      <c r="U21" s="99"/>
      <c r="V21" s="99"/>
      <c r="W21" s="99" t="s">
        <v>77</v>
      </c>
      <c r="X21" s="93">
        <f>_xlfn.XLOOKUP(base_de_datos[[#This Row],[Materia]],Materias,Horas)/16</f>
        <v>3</v>
      </c>
      <c r="Y21" s="93">
        <f>ROUND(((base_de_datos[[#This Row],[Hora fin]]-base_de_datos[[#This Row],[Hora inicio]])*24)*(COUNTA(base_de_datos[[#This Row],[Lunes]:[Sábado]])),1)</f>
        <v>3</v>
      </c>
      <c r="Z21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1" s="93">
        <f ca="1">IF(base_de_datos[[#This Row],[No clase]]=OFFSET(base_de_datos[[#This Row],[No clase]],-1,0),0,1)</f>
        <v>1</v>
      </c>
      <c r="AB21" s="93">
        <f ca="1">IF(NOT(OR(base_de_datos[[#This Row],[Horas totales]]=base_de_datos[[#This Row],[HT Plan]],base_de_datos[[#This Row],[Horas totales]]="N/A")),1,0)</f>
        <v>0</v>
      </c>
      <c r="AC21" s="93" t="e">
        <f>_xlfn.XLOOKUP(base_de_datos[[#This Row],[Profesor]],Nombre,Grado)</f>
        <v>#REF!</v>
      </c>
      <c r="AD21" s="94" t="e">
        <f>_xlfn.XLOOKUP(base_de_datos[[#This Row],[Profesor]],Nombre,Tipo)</f>
        <v>#REF!</v>
      </c>
      <c r="AE21" s="93">
        <f>IF(IFERROR(VLOOKUP($C21,Planes_de_estudio[],MATCH($AE$2,Carreras,0)+2,0),"")&gt;0,IFERROR(VLOOKUP($C21,Planes_de_estudio[],MATCH($AE$2,Carreras,0)+2,0),""),"")</f>
        <v>6</v>
      </c>
      <c r="AF21" s="93">
        <f>IF(IFERROR(VLOOKUP($C21,Planes_de_estudio[],MATCH($AF$2,Carreras,0)+2,0),"")&gt;0,IFERROR(VLOOKUP($C21,Planes_de_estudio[],MATCH($AF$2,Carreras,0)+2,0),""),"")</f>
        <v>7</v>
      </c>
      <c r="AG21" s="93">
        <f>IF(IFERROR(VLOOKUP($C21,Planes_de_estudio[],MATCH($AG$2,Carreras,0)+2,0),"")&gt;0,IFERROR(VLOOKUP($C21,Planes_de_estudio[],MATCH($AG$2,Carreras,0)+2,0),""),"")</f>
        <v>7</v>
      </c>
      <c r="AH21" s="93">
        <f>IF(IFERROR(VLOOKUP($C21,Planes_de_estudio[],MATCH($AH$2,Carreras,0)+2,0),"")&gt;0,IFERROR(VLOOKUP($C21,Planes_de_estudio[],MATCH($AH$2,Carreras,0)+2,0),""),"")</f>
        <v>7</v>
      </c>
      <c r="AI21" s="93" t="str">
        <f>IF(IFERROR(VLOOKUP($C21,Planes_de_estudio[],MATCH($AI$2,Carreras,0)+2,0),"")&gt;0,IFERROR(VLOOKUP($C21,Planes_de_estudio[],MATCH($AI$2,Carreras,0)+2,0),""),"")</f>
        <v/>
      </c>
      <c r="AJ21" s="93">
        <f>IF(IFERROR(VLOOKUP($C21,Planes_de_estudio[],MATCH($AJ$2,Carreras,0)+2,0),"")&gt;0,IFERROR(VLOOKUP($C21,Planes_de_estudio[],MATCH($AJ$2,Carreras,0)+2,0),""),"")</f>
        <v>9</v>
      </c>
      <c r="AK21" s="93">
        <f>IF(IFERROR(VLOOKUP($C21,Planes_de_estudio[],MATCH($AK$2,Carreras,0)+2,0),"")&gt;0,IFERROR(VLOOKUP($C21,Planes_de_estudio[],MATCH($AK$2,Carreras,0)+2,0),""),"")</f>
        <v>5</v>
      </c>
      <c r="AL2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86</v>
      </c>
      <c r="AN21" s="93">
        <f>base_de_datos[[#This Row],[Pronóstico]]/25</f>
        <v>3.44</v>
      </c>
      <c r="AO21" s="93" t="str">
        <f>VLOOKUP($C21,Planes_de_estudio[],2)</f>
        <v>EMP</v>
      </c>
      <c r="AP21" s="195">
        <v>6</v>
      </c>
      <c r="AQ21" s="195">
        <v>6</v>
      </c>
      <c r="AR21" s="195">
        <v>6</v>
      </c>
      <c r="AS21" s="195">
        <v>6</v>
      </c>
      <c r="AT21" s="196"/>
      <c r="AU21" s="195">
        <v>6</v>
      </c>
      <c r="AV21" s="195">
        <v>6</v>
      </c>
      <c r="AW21" s="91"/>
      <c r="AX21" s="73"/>
    </row>
    <row r="22" spans="1:50" s="5" customFormat="1" ht="16">
      <c r="B22" s="95" t="s">
        <v>111</v>
      </c>
      <c r="C22" s="96" t="s">
        <v>117</v>
      </c>
      <c r="D22" s="92">
        <v>1</v>
      </c>
      <c r="E22" s="97">
        <v>0.54166666666666696</v>
      </c>
      <c r="F22" s="97">
        <v>0.624999999999995</v>
      </c>
      <c r="G22" s="92"/>
      <c r="H22" s="92" t="s">
        <v>80</v>
      </c>
      <c r="I22" s="92" t="e">
        <f>INDEX(Aulas_capacidad,MATCH(base_de_datos[[#This Row],[Aula]],Aulas,0),2)</f>
        <v>#REF!</v>
      </c>
      <c r="J22" s="90">
        <v>9</v>
      </c>
      <c r="K22" s="92" t="e">
        <f>INDEX(Aulas_capacidad,MATCH(base_de_datos[[#This Row],[Aula]],Aulas,0),4)</f>
        <v>#REF!</v>
      </c>
      <c r="L22" s="98" t="e">
        <f>base_de_datos[[#This Row],[Cap 1.5]]-base_de_datos[[#This Row],[Inscritos]]</f>
        <v>#REF!</v>
      </c>
      <c r="M22" s="98" t="e">
        <f>INDEX(Aulas_capacidad,MATCH(base_de_datos[[#This Row],[Aula]],Aulas,0),5)</f>
        <v>#REF!</v>
      </c>
      <c r="N22" s="98" t="e">
        <f>base_de_datos[[#This Row],[Cap .90]]-base_de_datos[[#This Row],[Inscritos]]</f>
        <v>#REF!</v>
      </c>
      <c r="O22" s="92" t="s">
        <v>118</v>
      </c>
      <c r="P22" s="99" t="s">
        <v>68</v>
      </c>
      <c r="Q22" s="100"/>
      <c r="R22" s="99"/>
      <c r="S22" s="100"/>
      <c r="T22" s="100"/>
      <c r="U22" s="99"/>
      <c r="V22" s="99"/>
      <c r="W22" s="99" t="s">
        <v>101</v>
      </c>
      <c r="X22" s="93">
        <f>_xlfn.XLOOKUP(base_de_datos[[#This Row],[Materia]],Materias,Horas)/16</f>
        <v>4</v>
      </c>
      <c r="Y22" s="93">
        <f>ROUND(((base_de_datos[[#This Row],[Hora fin]]-base_de_datos[[#This Row],[Hora inicio]])*24)*(COUNTA(base_de_datos[[#This Row],[Lunes]:[Sábado]])),1)</f>
        <v>2</v>
      </c>
      <c r="Z22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" s="93">
        <f ca="1">IF(base_de_datos[[#This Row],[No clase]]=OFFSET(base_de_datos[[#This Row],[No clase]],-1,0),0,1)</f>
        <v>1</v>
      </c>
      <c r="AB22" s="93">
        <f ca="1">IF(NOT(OR(base_de_datos[[#This Row],[Horas totales]]=base_de_datos[[#This Row],[HT Plan]],base_de_datos[[#This Row],[Horas totales]]="N/A")),1,0)</f>
        <v>0</v>
      </c>
      <c r="AC22" s="93" t="e">
        <f>_xlfn.XLOOKUP(base_de_datos[[#This Row],[Profesor]],Nombre,Grado)</f>
        <v>#REF!</v>
      </c>
      <c r="AD22" s="94" t="e">
        <f>_xlfn.XLOOKUP(base_de_datos[[#This Row],[Profesor]],Nombre,Tipo)</f>
        <v>#REF!</v>
      </c>
      <c r="AE22" s="93" t="str">
        <f>IF(IFERROR(VLOOKUP($C22,Planes_de_estudio[],MATCH($AE$2,Carreras,0)+2,0),"")&gt;0,IFERROR(VLOOKUP($C22,Planes_de_estudio[],MATCH($AE$2,Carreras,0)+2,0),""),"")</f>
        <v/>
      </c>
      <c r="AF22" s="93" t="str">
        <f>IF(IFERROR(VLOOKUP($C22,Planes_de_estudio[],MATCH($AF$2,Carreras,0)+2,0),"")&gt;0,IFERROR(VLOOKUP($C22,Planes_de_estudio[],MATCH($AF$2,Carreras,0)+2,0),""),"")</f>
        <v/>
      </c>
      <c r="AG22" s="93" t="str">
        <f>IF(IFERROR(VLOOKUP($C22,Planes_de_estudio[],MATCH($AG$2,Carreras,0)+2,0),"")&gt;0,IFERROR(VLOOKUP($C22,Planes_de_estudio[],MATCH($AG$2,Carreras,0)+2,0),""),"")</f>
        <v/>
      </c>
      <c r="AH22" s="93" t="str">
        <f>IF(IFERROR(VLOOKUP($C22,Planes_de_estudio[],MATCH($AH$2,Carreras,0)+2,0),"")&gt;0,IFERROR(VLOOKUP($C22,Planes_de_estudio[],MATCH($AH$2,Carreras,0)+2,0),""),"")</f>
        <v/>
      </c>
      <c r="AI22" s="93">
        <f>IF(IFERROR(VLOOKUP($C22,Planes_de_estudio[],MATCH($AI$2,Carreras,0)+2,0),"")&gt;0,IFERROR(VLOOKUP($C22,Planes_de_estudio[],MATCH($AI$2,Carreras,0)+2,0),""),"")</f>
        <v>7</v>
      </c>
      <c r="AJ22" s="93" t="str">
        <f>IF(IFERROR(VLOOKUP($C22,Planes_de_estudio[],MATCH($AJ$2,Carreras,0)+2,0),"")&gt;0,IFERROR(VLOOKUP($C22,Planes_de_estudio[],MATCH($AJ$2,Carreras,0)+2,0),""),"")</f>
        <v/>
      </c>
      <c r="AK22" s="93" t="str">
        <f>IF(IFERROR(VLOOKUP($C22,Planes_de_estudio[],MATCH($AK$2,Carreras,0)+2,0),"")&gt;0,IFERROR(VLOOKUP($C22,Planes_de_estudio[],MATCH($AK$2,Carreras,0)+2,0),""),"")</f>
        <v/>
      </c>
      <c r="AL2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</v>
      </c>
      <c r="AN22" s="93">
        <f>base_de_datos[[#This Row],[Pronóstico]]/25</f>
        <v>0.36</v>
      </c>
      <c r="AO22" s="93" t="str">
        <f>VLOOKUP($C22,Planes_de_estudio[],2)</f>
        <v>EMP</v>
      </c>
      <c r="AP22" s="196"/>
      <c r="AQ22" s="196"/>
      <c r="AR22" s="196"/>
      <c r="AS22" s="196"/>
      <c r="AT22" s="195">
        <v>6</v>
      </c>
      <c r="AU22" s="196"/>
      <c r="AV22" s="196"/>
      <c r="AW22" s="91"/>
      <c r="AX22" s="73"/>
    </row>
    <row r="23" spans="1:50" s="5" customFormat="1" ht="16">
      <c r="B23" s="95" t="s">
        <v>111</v>
      </c>
      <c r="C23" s="96" t="s">
        <v>117</v>
      </c>
      <c r="D23" s="92">
        <v>1</v>
      </c>
      <c r="E23" s="97">
        <v>0.625</v>
      </c>
      <c r="F23" s="97">
        <v>0.70833333333332704</v>
      </c>
      <c r="G23" s="92" t="s">
        <v>72</v>
      </c>
      <c r="H23" s="175" t="s">
        <v>119</v>
      </c>
      <c r="I23" s="92" t="e">
        <f>INDEX(Aulas_capacidad,MATCH(base_de_datos[[#This Row],[Aula]],Aulas,0),2)</f>
        <v>#REF!</v>
      </c>
      <c r="J23" s="90">
        <v>9</v>
      </c>
      <c r="K23" s="92" t="e">
        <f>INDEX(Aulas_capacidad,MATCH(base_de_datos[[#This Row],[Aula]],Aulas,0),4)</f>
        <v>#REF!</v>
      </c>
      <c r="L23" s="98" t="e">
        <f>base_de_datos[[#This Row],[Cap 1.5]]-base_de_datos[[#This Row],[Inscritos]]</f>
        <v>#REF!</v>
      </c>
      <c r="M23" s="98" t="e">
        <f>INDEX(Aulas_capacidad,MATCH(base_de_datos[[#This Row],[Aula]],Aulas,0),5)</f>
        <v>#REF!</v>
      </c>
      <c r="N23" s="98" t="e">
        <f>base_de_datos[[#This Row],[Cap .90]]-base_de_datos[[#This Row],[Inscritos]]</f>
        <v>#REF!</v>
      </c>
      <c r="O23" s="92" t="s">
        <v>118</v>
      </c>
      <c r="P23" s="99"/>
      <c r="Q23" s="100"/>
      <c r="R23" s="99" t="s">
        <v>68</v>
      </c>
      <c r="S23" s="100"/>
      <c r="T23" s="100"/>
      <c r="U23" s="99"/>
      <c r="V23" s="99"/>
      <c r="W23" s="99" t="s">
        <v>101</v>
      </c>
      <c r="X23" s="93">
        <f>_xlfn.XLOOKUP(base_de_datos[[#This Row],[Materia]],Materias,Horas)/16</f>
        <v>4</v>
      </c>
      <c r="Y23" s="93">
        <f>ROUND(((base_de_datos[[#This Row],[Hora fin]]-base_de_datos[[#This Row],[Hora inicio]])*24)*(COUNTA(base_de_datos[[#This Row],[Lunes]:[Sábado]])),1)</f>
        <v>2</v>
      </c>
      <c r="Z23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3" s="93">
        <f ca="1">IF(base_de_datos[[#This Row],[No clase]]=OFFSET(base_de_datos[[#This Row],[No clase]],-1,0),0,1)</f>
        <v>0</v>
      </c>
      <c r="AB23" s="93">
        <f ca="1">IF(NOT(OR(base_de_datos[[#This Row],[Horas totales]]=base_de_datos[[#This Row],[HT Plan]],base_de_datos[[#This Row],[Horas totales]]="N/A")),1,0)</f>
        <v>0</v>
      </c>
      <c r="AC23" s="93" t="e">
        <f>_xlfn.XLOOKUP(base_de_datos[[#This Row],[Profesor]],Nombre,Grado)</f>
        <v>#REF!</v>
      </c>
      <c r="AD23" s="94" t="e">
        <f>_xlfn.XLOOKUP(base_de_datos[[#This Row],[Profesor]],Nombre,Tipo)</f>
        <v>#REF!</v>
      </c>
      <c r="AE23" s="93" t="str">
        <f>IF(IFERROR(VLOOKUP($C23,Planes_de_estudio[],MATCH($AE$2,Carreras,0)+2,0),"")&gt;0,IFERROR(VLOOKUP($C23,Planes_de_estudio[],MATCH($AE$2,Carreras,0)+2,0),""),"")</f>
        <v/>
      </c>
      <c r="AF23" s="93" t="str">
        <f>IF(IFERROR(VLOOKUP($C23,Planes_de_estudio[],MATCH($AF$2,Carreras,0)+2,0),"")&gt;0,IFERROR(VLOOKUP($C23,Planes_de_estudio[],MATCH($AF$2,Carreras,0)+2,0),""),"")</f>
        <v/>
      </c>
      <c r="AG23" s="93" t="str">
        <f>IF(IFERROR(VLOOKUP($C23,Planes_de_estudio[],MATCH($AG$2,Carreras,0)+2,0),"")&gt;0,IFERROR(VLOOKUP($C23,Planes_de_estudio[],MATCH($AG$2,Carreras,0)+2,0),""),"")</f>
        <v/>
      </c>
      <c r="AH23" s="93" t="str">
        <f>IF(IFERROR(VLOOKUP($C23,Planes_de_estudio[],MATCH($AH$2,Carreras,0)+2,0),"")&gt;0,IFERROR(VLOOKUP($C23,Planes_de_estudio[],MATCH($AH$2,Carreras,0)+2,0),""),"")</f>
        <v/>
      </c>
      <c r="AI23" s="93">
        <f>IF(IFERROR(VLOOKUP($C23,Planes_de_estudio[],MATCH($AI$2,Carreras,0)+2,0),"")&gt;0,IFERROR(VLOOKUP($C23,Planes_de_estudio[],MATCH($AI$2,Carreras,0)+2,0),""),"")</f>
        <v>7</v>
      </c>
      <c r="AJ23" s="93" t="str">
        <f>IF(IFERROR(VLOOKUP($C23,Planes_de_estudio[],MATCH($AJ$2,Carreras,0)+2,0),"")&gt;0,IFERROR(VLOOKUP($C23,Planes_de_estudio[],MATCH($AJ$2,Carreras,0)+2,0),""),"")</f>
        <v/>
      </c>
      <c r="AK23" s="93" t="str">
        <f>IF(IFERROR(VLOOKUP($C23,Planes_de_estudio[],MATCH($AK$2,Carreras,0)+2,0),"")&gt;0,IFERROR(VLOOKUP($C23,Planes_de_estudio[],MATCH($AK$2,Carreras,0)+2,0),""),"")</f>
        <v/>
      </c>
      <c r="AL2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</v>
      </c>
      <c r="AN23" s="93">
        <f>base_de_datos[[#This Row],[Pronóstico]]/25</f>
        <v>0.36</v>
      </c>
      <c r="AO23" s="93" t="str">
        <f>VLOOKUP($C23,Planes_de_estudio[],2)</f>
        <v>EMP</v>
      </c>
      <c r="AP23" s="196"/>
      <c r="AQ23" s="196"/>
      <c r="AR23" s="196"/>
      <c r="AS23" s="196"/>
      <c r="AT23" s="196"/>
      <c r="AU23" s="196"/>
      <c r="AV23" s="196"/>
      <c r="AW23" s="91"/>
      <c r="AX23" s="73"/>
    </row>
    <row r="24" spans="1:50" s="5" customFormat="1" ht="16">
      <c r="B24" s="95" t="s">
        <v>111</v>
      </c>
      <c r="C24" s="96" t="s">
        <v>120</v>
      </c>
      <c r="D24" s="92">
        <v>1</v>
      </c>
      <c r="E24" s="97">
        <v>0.70833333333333304</v>
      </c>
      <c r="F24" s="97">
        <v>0.79166666666665897</v>
      </c>
      <c r="G24" s="92" t="s">
        <v>72</v>
      </c>
      <c r="H24" s="175" t="s">
        <v>121</v>
      </c>
      <c r="I24" s="92" t="e">
        <f>INDEX(Aulas_capacidad,MATCH(base_de_datos[[#This Row],[Aula]],Aulas,0),2)</f>
        <v>#REF!</v>
      </c>
      <c r="J24" s="90">
        <v>7</v>
      </c>
      <c r="K24" s="92" t="e">
        <f>INDEX(Aulas_capacidad,MATCH(base_de_datos[[#This Row],[Aula]],Aulas,0),4)</f>
        <v>#REF!</v>
      </c>
      <c r="L24" s="98" t="e">
        <f>base_de_datos[[#This Row],[Cap 1.5]]-base_de_datos[[#This Row],[Inscritos]]</f>
        <v>#REF!</v>
      </c>
      <c r="M24" s="98" t="e">
        <f>INDEX(Aulas_capacidad,MATCH(base_de_datos[[#This Row],[Aula]],Aulas,0),5)</f>
        <v>#REF!</v>
      </c>
      <c r="N24" s="98" t="e">
        <f>base_de_datos[[#This Row],[Cap .90]]-base_de_datos[[#This Row],[Inscritos]]</f>
        <v>#REF!</v>
      </c>
      <c r="O24" s="92">
        <v>1515</v>
      </c>
      <c r="P24" s="99"/>
      <c r="Q24" s="100" t="s">
        <v>68</v>
      </c>
      <c r="R24" s="99"/>
      <c r="S24" s="100"/>
      <c r="T24" s="100"/>
      <c r="U24" s="99"/>
      <c r="V24" s="99"/>
      <c r="W24" s="99" t="s">
        <v>122</v>
      </c>
      <c r="X24" s="93">
        <f>_xlfn.XLOOKUP(base_de_datos[[#This Row],[Materia]],Materias,Horas)/16</f>
        <v>2</v>
      </c>
      <c r="Y24" s="93">
        <f>ROUND(((base_de_datos[[#This Row],[Hora fin]]-base_de_datos[[#This Row],[Hora inicio]])*24)*(COUNTA(base_de_datos[[#This Row],[Lunes]:[Sábado]])),1)</f>
        <v>2</v>
      </c>
      <c r="Z24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4" s="93">
        <f ca="1">IF(base_de_datos[[#This Row],[No clase]]=OFFSET(base_de_datos[[#This Row],[No clase]],-1,0),0,1)</f>
        <v>1</v>
      </c>
      <c r="AB24" s="93">
        <f ca="1">IF(NOT(OR(base_de_datos[[#This Row],[Horas totales]]=base_de_datos[[#This Row],[HT Plan]],base_de_datos[[#This Row],[Horas totales]]="N/A")),1,0)</f>
        <v>0</v>
      </c>
      <c r="AC24" s="93" t="e">
        <f>_xlfn.XLOOKUP(base_de_datos[[#This Row],[Profesor]],Nombre,Grado)</f>
        <v>#REF!</v>
      </c>
      <c r="AD24" s="94" t="e">
        <f>_xlfn.XLOOKUP(base_de_datos[[#This Row],[Profesor]],Nombre,Tipo)</f>
        <v>#REF!</v>
      </c>
      <c r="AE24" s="93">
        <f>IF(IFERROR(VLOOKUP($C24,Planes_de_estudio[],MATCH($AE$2,Carreras,0)+2,0),"")&gt;0,IFERROR(VLOOKUP($C24,Planes_de_estudio[],MATCH($AE$2,Carreras,0)+2,0),""),"")</f>
        <v>7</v>
      </c>
      <c r="AF24" s="93" t="str">
        <f>IF(IFERROR(VLOOKUP($C24,Planes_de_estudio[],MATCH($AF$2,Carreras,0)+2,0),"")&gt;0,IFERROR(VLOOKUP($C24,Planes_de_estudio[],MATCH($AF$2,Carreras,0)+2,0),""),"")</f>
        <v/>
      </c>
      <c r="AG24" s="93" t="str">
        <f>IF(IFERROR(VLOOKUP($C24,Planes_de_estudio[],MATCH($AG$2,Carreras,0)+2,0),"")&gt;0,IFERROR(VLOOKUP($C24,Planes_de_estudio[],MATCH($AG$2,Carreras,0)+2,0),""),"")</f>
        <v/>
      </c>
      <c r="AH24" s="93" t="str">
        <f>IF(IFERROR(VLOOKUP($C24,Planes_de_estudio[],MATCH($AH$2,Carreras,0)+2,0),"")&gt;0,IFERROR(VLOOKUP($C24,Planes_de_estudio[],MATCH($AH$2,Carreras,0)+2,0),""),"")</f>
        <v/>
      </c>
      <c r="AI24" s="93" t="str">
        <f>IF(IFERROR(VLOOKUP($C24,Planes_de_estudio[],MATCH($AI$2,Carreras,0)+2,0),"")&gt;0,IFERROR(VLOOKUP($C24,Planes_de_estudio[],MATCH($AI$2,Carreras,0)+2,0),""),"")</f>
        <v/>
      </c>
      <c r="AJ24" s="93" t="str">
        <f>IF(IFERROR(VLOOKUP($C24,Planes_de_estudio[],MATCH($AJ$2,Carreras,0)+2,0),"")&gt;0,IFERROR(VLOOKUP($C24,Planes_de_estudio[],MATCH($AJ$2,Carreras,0)+2,0),""),"")</f>
        <v/>
      </c>
      <c r="AK24" s="93" t="str">
        <f>IF(IFERROR(VLOOKUP($C24,Planes_de_estudio[],MATCH($AK$2,Carreras,0)+2,0),"")&gt;0,IFERROR(VLOOKUP($C24,Planes_de_estudio[],MATCH($AK$2,Carreras,0)+2,0),""),"")</f>
        <v/>
      </c>
      <c r="AL2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24" s="93">
        <f>base_de_datos[[#This Row],[Pronóstico]]/25</f>
        <v>0.96</v>
      </c>
      <c r="AO24" s="93" t="str">
        <f>VLOOKUP($C24,Planes_de_estudio[],2)</f>
        <v>DOP</v>
      </c>
      <c r="AP24" s="195">
        <v>6</v>
      </c>
      <c r="AQ24" s="196"/>
      <c r="AR24" s="196"/>
      <c r="AS24" s="196"/>
      <c r="AT24" s="196"/>
      <c r="AU24" s="196"/>
      <c r="AV24" s="196"/>
      <c r="AW24" s="91"/>
      <c r="AX24" s="73"/>
    </row>
    <row r="25" spans="1:50" s="5" customFormat="1" ht="16">
      <c r="B25" s="95" t="s">
        <v>123</v>
      </c>
      <c r="C25" s="96" t="s">
        <v>124</v>
      </c>
      <c r="D25" s="92">
        <v>1</v>
      </c>
      <c r="E25" s="97">
        <v>0.5</v>
      </c>
      <c r="F25" s="97">
        <v>0.60416666666666197</v>
      </c>
      <c r="G25" s="92" t="s">
        <v>72</v>
      </c>
      <c r="H25" s="92" t="s">
        <v>110</v>
      </c>
      <c r="I25" s="92" t="e">
        <f>INDEX(Aulas_capacidad,MATCH(base_de_datos[[#This Row],[Aula]],Aulas,0),2)</f>
        <v>#REF!</v>
      </c>
      <c r="J25" s="90">
        <v>21</v>
      </c>
      <c r="K25" s="92" t="e">
        <f>INDEX(Aulas_capacidad,MATCH(base_de_datos[[#This Row],[Aula]],Aulas,0),4)</f>
        <v>#REF!</v>
      </c>
      <c r="L25" s="98" t="e">
        <f>base_de_datos[[#This Row],[Cap 1.5]]-base_de_datos[[#This Row],[Inscritos]]</f>
        <v>#REF!</v>
      </c>
      <c r="M25" s="98" t="e">
        <f>INDEX(Aulas_capacidad,MATCH(base_de_datos[[#This Row],[Aula]],Aulas,0),5)</f>
        <v>#REF!</v>
      </c>
      <c r="N25" s="98" t="e">
        <f>base_de_datos[[#This Row],[Cap .90]]-base_de_datos[[#This Row],[Inscritos]]</f>
        <v>#REF!</v>
      </c>
      <c r="O25" s="92">
        <v>1629</v>
      </c>
      <c r="P25" s="99"/>
      <c r="Q25" s="100" t="s">
        <v>68</v>
      </c>
      <c r="R25" s="99"/>
      <c r="S25" s="100" t="s">
        <v>68</v>
      </c>
      <c r="T25" s="100"/>
      <c r="U25" s="99"/>
      <c r="V25" s="99"/>
      <c r="W25" s="99" t="s">
        <v>69</v>
      </c>
      <c r="X25" s="93">
        <f>_xlfn.XLOOKUP(base_de_datos[[#This Row],[Materia]],Materias,Horas)/16</f>
        <v>5</v>
      </c>
      <c r="Y25" s="93">
        <f>ROUND(((base_de_datos[[#This Row],[Hora fin]]-base_de_datos[[#This Row],[Hora inicio]])*24)*(COUNTA(base_de_datos[[#This Row],[Lunes]:[Sábado]])),1)</f>
        <v>5</v>
      </c>
      <c r="Z25" s="93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25" s="93">
        <f ca="1">IF(base_de_datos[[#This Row],[No clase]]=OFFSET(base_de_datos[[#This Row],[No clase]],-1,0),0,1)</f>
        <v>1</v>
      </c>
      <c r="AB25" s="93">
        <f ca="1">IF(NOT(OR(base_de_datos[[#This Row],[Horas totales]]=base_de_datos[[#This Row],[HT Plan]],base_de_datos[[#This Row],[Horas totales]]="N/A")),1,0)</f>
        <v>0</v>
      </c>
      <c r="AC25" s="93" t="e">
        <f>_xlfn.XLOOKUP(base_de_datos[[#This Row],[Profesor]],Nombre,Grado)</f>
        <v>#REF!</v>
      </c>
      <c r="AD25" s="94" t="e">
        <f>_xlfn.XLOOKUP(base_de_datos[[#This Row],[Profesor]],Nombre,Tipo)</f>
        <v>#REF!</v>
      </c>
      <c r="AE25" s="93" t="str">
        <f>IF(IFERROR(VLOOKUP($C25,Planes_de_estudio[],MATCH($AE$2,Carreras,0)+2,0),"")&gt;0,IFERROR(VLOOKUP($C25,Planes_de_estudio[],MATCH($AE$2,Carreras,0)+2,0),""),"")</f>
        <v/>
      </c>
      <c r="AF25" s="93" t="str">
        <f>IF(IFERROR(VLOOKUP($C25,Planes_de_estudio[],MATCH($AF$2,Carreras,0)+2,0),"")&gt;0,IFERROR(VLOOKUP($C25,Planes_de_estudio[],MATCH($AF$2,Carreras,0)+2,0),""),"")</f>
        <v/>
      </c>
      <c r="AG25" s="93">
        <f>IF(IFERROR(VLOOKUP($C25,Planes_de_estudio[],MATCH($AG$2,Carreras,0)+2,0),"")&gt;0,IFERROR(VLOOKUP($C25,Planes_de_estudio[],MATCH($AG$2,Carreras,0)+2,0),""),"")</f>
        <v>1</v>
      </c>
      <c r="AH25" s="93" t="str">
        <f>IF(IFERROR(VLOOKUP($C25,Planes_de_estudio[],MATCH($AH$2,Carreras,0)+2,0),"")&gt;0,IFERROR(VLOOKUP($C25,Planes_de_estudio[],MATCH($AH$2,Carreras,0)+2,0),""),"")</f>
        <v/>
      </c>
      <c r="AI25" s="93" t="str">
        <f>IF(IFERROR(VLOOKUP($C25,Planes_de_estudio[],MATCH($AI$2,Carreras,0)+2,0),"")&gt;0,IFERROR(VLOOKUP($C25,Planes_de_estudio[],MATCH($AI$2,Carreras,0)+2,0),""),"")</f>
        <v/>
      </c>
      <c r="AJ25" s="93" t="str">
        <f>IF(IFERROR(VLOOKUP($C25,Planes_de_estudio[],MATCH($AJ$2,Carreras,0)+2,0),"")&gt;0,IFERROR(VLOOKUP($C25,Planes_de_estudio[],MATCH($AJ$2,Carreras,0)+2,0),""),"")</f>
        <v/>
      </c>
      <c r="AK25" s="93" t="str">
        <f>IF(IFERROR(VLOOKUP($C25,Planes_de_estudio[],MATCH($AK$2,Carreras,0)+2,0),"")&gt;0,IFERROR(VLOOKUP($C25,Planes_de_estudio[],MATCH($AK$2,Carreras,0)+2,0),""),"")</f>
        <v/>
      </c>
      <c r="AL2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23.000000000000004</v>
      </c>
      <c r="AN25" s="93">
        <f>base_de_datos[[#This Row],[Pronóstico]]/25</f>
        <v>0.92000000000000015</v>
      </c>
      <c r="AO25" s="93" t="str">
        <f>VLOOKUP($C25,Planes_de_estudio[],2)</f>
        <v>IID</v>
      </c>
      <c r="AP25" s="196"/>
      <c r="AQ25" s="196"/>
      <c r="AR25" s="195">
        <v>6</v>
      </c>
      <c r="AS25" s="196"/>
      <c r="AT25" s="196"/>
      <c r="AU25" s="196"/>
      <c r="AV25" s="196"/>
      <c r="AW25" s="91"/>
      <c r="AX25" s="73"/>
    </row>
    <row r="26" spans="1:50" s="5" customFormat="1" ht="16">
      <c r="A26" s="5" t="s">
        <v>63</v>
      </c>
      <c r="B26" s="95" t="s">
        <v>123</v>
      </c>
      <c r="C26" s="96" t="s">
        <v>125</v>
      </c>
      <c r="D26" s="92">
        <v>1</v>
      </c>
      <c r="E26" s="97">
        <v>0.70833333333333304</v>
      </c>
      <c r="F26" s="97">
        <v>0.81249999999999201</v>
      </c>
      <c r="G26" s="92"/>
      <c r="H26" s="92" t="s">
        <v>110</v>
      </c>
      <c r="I26" s="92" t="e">
        <f>INDEX(Aulas_capacidad,MATCH(base_de_datos[[#This Row],[Aula]],Aulas,0),2)</f>
        <v>#REF!</v>
      </c>
      <c r="J26" s="90">
        <v>14</v>
      </c>
      <c r="K26" s="92" t="e">
        <f>INDEX(Aulas_capacidad,MATCH(base_de_datos[[#This Row],[Aula]],Aulas,0),4)</f>
        <v>#REF!</v>
      </c>
      <c r="L26" s="98" t="e">
        <f>base_de_datos[[#This Row],[Cap 1.5]]-base_de_datos[[#This Row],[Inscritos]]</f>
        <v>#REF!</v>
      </c>
      <c r="M26" s="98" t="e">
        <f>INDEX(Aulas_capacidad,MATCH(base_de_datos[[#This Row],[Aula]],Aulas,0),5)</f>
        <v>#REF!</v>
      </c>
      <c r="N26" s="98" t="e">
        <f>base_de_datos[[#This Row],[Cap .90]]-base_de_datos[[#This Row],[Inscritos]]</f>
        <v>#REF!</v>
      </c>
      <c r="O26" s="92">
        <v>1632</v>
      </c>
      <c r="P26" s="99" t="s">
        <v>68</v>
      </c>
      <c r="Q26" s="100"/>
      <c r="R26" s="99" t="s">
        <v>68</v>
      </c>
      <c r="S26" s="100"/>
      <c r="T26" s="100"/>
      <c r="U26" s="99"/>
      <c r="V26" s="99"/>
      <c r="W26" s="99" t="s">
        <v>74</v>
      </c>
      <c r="X26" s="101">
        <f>_xlfn.XLOOKUP(base_de_datos[[#This Row],[Materia]],Materias,Horas)/16</f>
        <v>5</v>
      </c>
      <c r="Y26" s="101">
        <f>ROUND(((base_de_datos[[#This Row],[Hora fin]]-base_de_datos[[#This Row],[Hora inicio]])*24)*(COUNTA(base_de_datos[[#This Row],[Lunes]:[Sábado]])),1)</f>
        <v>5</v>
      </c>
      <c r="Z26" s="101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26" s="93">
        <f ca="1">IF(base_de_datos[[#This Row],[No clase]]=OFFSET(base_de_datos[[#This Row],[No clase]],-1,0),0,1)</f>
        <v>1</v>
      </c>
      <c r="AB26" s="93">
        <f ca="1">IF(NOT(OR(base_de_datos[[#This Row],[Horas totales]]=base_de_datos[[#This Row],[HT Plan]],base_de_datos[[#This Row],[Horas totales]]="N/A")),1,0)</f>
        <v>0</v>
      </c>
      <c r="AC26" s="93" t="e">
        <f>_xlfn.XLOOKUP(base_de_datos[[#This Row],[Profesor]],Nombre,Grado)</f>
        <v>#REF!</v>
      </c>
      <c r="AD26" s="94" t="e">
        <f>_xlfn.XLOOKUP(base_de_datos[[#This Row],[Profesor]],Nombre,Tipo)</f>
        <v>#REF!</v>
      </c>
      <c r="AE26" s="93" t="str">
        <f>IF(IFERROR(VLOOKUP($C26,Planes_de_estudio[],MATCH($AE$2,Carreras,0)+2,0),"")&gt;0,IFERROR(VLOOKUP($C26,Planes_de_estudio[],MATCH($AE$2,Carreras,0)+2,0),""),"")</f>
        <v/>
      </c>
      <c r="AF26" s="93" t="str">
        <f>IF(IFERROR(VLOOKUP($C26,Planes_de_estudio[],MATCH($AF$2,Carreras,0)+2,0),"")&gt;0,IFERROR(VLOOKUP($C26,Planes_de_estudio[],MATCH($AF$2,Carreras,0)+2,0),""),"")</f>
        <v/>
      </c>
      <c r="AG26" s="93">
        <f>IF(IFERROR(VLOOKUP($C26,Planes_de_estudio[],MATCH($AG$2,Carreras,0)+2,0),"")&gt;0,IFERROR(VLOOKUP($C26,Planes_de_estudio[],MATCH($AG$2,Carreras,0)+2,0),""),"")</f>
        <v>5</v>
      </c>
      <c r="AH26" s="93" t="str">
        <f>IF(IFERROR(VLOOKUP($C26,Planes_de_estudio[],MATCH($AH$2,Carreras,0)+2,0),"")&gt;0,IFERROR(VLOOKUP($C26,Planes_de_estudio[],MATCH($AH$2,Carreras,0)+2,0),""),"")</f>
        <v/>
      </c>
      <c r="AI26" s="93" t="str">
        <f>IF(IFERROR(VLOOKUP($C26,Planes_de_estudio[],MATCH($AI$2,Carreras,0)+2,0),"")&gt;0,IFERROR(VLOOKUP($C26,Planes_de_estudio[],MATCH($AI$2,Carreras,0)+2,0),""),"")</f>
        <v/>
      </c>
      <c r="AJ26" s="93" t="str">
        <f>IF(IFERROR(VLOOKUP($C26,Planes_de_estudio[],MATCH($AJ$2,Carreras,0)+2,0),"")&gt;0,IFERROR(VLOOKUP($C26,Planes_de_estudio[],MATCH($AJ$2,Carreras,0)+2,0),""),"")</f>
        <v/>
      </c>
      <c r="AK26" s="93" t="str">
        <f>IF(IFERROR(VLOOKUP($C26,Planes_de_estudio[],MATCH($AK$2,Carreras,0)+2,0),"")&gt;0,IFERROR(VLOOKUP($C26,Planes_de_estudio[],MATCH($AK$2,Carreras,0)+2,0),""),"")</f>
        <v/>
      </c>
      <c r="AL2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30</v>
      </c>
      <c r="AN26" s="93">
        <f>base_de_datos[[#This Row],[Pronóstico]]/25</f>
        <v>1.2</v>
      </c>
      <c r="AO26" s="93" t="str">
        <f>VLOOKUP($C26,Planes_de_estudio[],2)</f>
        <v>IID</v>
      </c>
      <c r="AP26" s="196"/>
      <c r="AQ26" s="196"/>
      <c r="AR26" s="195">
        <v>6</v>
      </c>
      <c r="AS26" s="196"/>
      <c r="AT26" s="196"/>
      <c r="AU26" s="196"/>
      <c r="AV26" s="196"/>
      <c r="AW26" s="91"/>
      <c r="AX26" s="73"/>
    </row>
    <row r="27" spans="1:50" s="5" customFormat="1" ht="16">
      <c r="B27" s="95" t="s">
        <v>126</v>
      </c>
      <c r="C27" s="96" t="s">
        <v>127</v>
      </c>
      <c r="D27" s="92">
        <v>1</v>
      </c>
      <c r="E27" s="97">
        <v>0.70833333333333304</v>
      </c>
      <c r="F27" s="97">
        <v>0.79166666666665897</v>
      </c>
      <c r="G27" s="92" t="s">
        <v>72</v>
      </c>
      <c r="H27" s="175" t="s">
        <v>128</v>
      </c>
      <c r="I27" s="92" t="e">
        <f>INDEX(Aulas_capacidad,MATCH(base_de_datos[[#This Row],[Aula]],Aulas,0),2)</f>
        <v>#REF!</v>
      </c>
      <c r="J27" s="90">
        <v>22</v>
      </c>
      <c r="K27" s="92" t="e">
        <f>INDEX(Aulas_capacidad,MATCH(base_de_datos[[#This Row],[Aula]],Aulas,0),4)</f>
        <v>#REF!</v>
      </c>
      <c r="L27" s="98" t="e">
        <f>base_de_datos[[#This Row],[Cap 1.5]]-base_de_datos[[#This Row],[Inscritos]]</f>
        <v>#REF!</v>
      </c>
      <c r="M27" s="98" t="e">
        <f>INDEX(Aulas_capacidad,MATCH(base_de_datos[[#This Row],[Aula]],Aulas,0),5)</f>
        <v>#REF!</v>
      </c>
      <c r="N27" s="98" t="e">
        <f>base_de_datos[[#This Row],[Cap .90]]-base_de_datos[[#This Row],[Inscritos]]</f>
        <v>#REF!</v>
      </c>
      <c r="O27" s="92">
        <v>1516</v>
      </c>
      <c r="P27" s="99" t="s">
        <v>68</v>
      </c>
      <c r="Q27" s="100"/>
      <c r="R27" s="99"/>
      <c r="S27" s="100"/>
      <c r="T27" s="100"/>
      <c r="U27" s="99"/>
      <c r="V27" s="99"/>
      <c r="W27" s="99" t="s">
        <v>101</v>
      </c>
      <c r="X27" s="101">
        <f>_xlfn.XLOOKUP(base_de_datos[[#This Row],[Materia]],Materias,Horas)/16</f>
        <v>4</v>
      </c>
      <c r="Y27" s="101">
        <f>ROUND(((base_de_datos[[#This Row],[Hora fin]]-base_de_datos[[#This Row],[Hora inicio]])*24)*(COUNTA(base_de_datos[[#This Row],[Lunes]:[Sábado]])),1)</f>
        <v>2</v>
      </c>
      <c r="Z27" s="101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7" s="93">
        <f ca="1">IF(base_de_datos[[#This Row],[No clase]]=OFFSET(base_de_datos[[#This Row],[No clase]],-1,0),0,1)</f>
        <v>1</v>
      </c>
      <c r="AB27" s="93">
        <f ca="1">IF(NOT(OR(base_de_datos[[#This Row],[Horas totales]]=base_de_datos[[#This Row],[HT Plan]],base_de_datos[[#This Row],[Horas totales]]="N/A")),1,0)</f>
        <v>0</v>
      </c>
      <c r="AC27" s="93" t="e">
        <f>_xlfn.XLOOKUP(base_de_datos[[#This Row],[Profesor]],Nombre,Grado)</f>
        <v>#REF!</v>
      </c>
      <c r="AD27" s="94" t="e">
        <f>_xlfn.XLOOKUP(base_de_datos[[#This Row],[Profesor]],Nombre,Tipo)</f>
        <v>#REF!</v>
      </c>
      <c r="AE27" s="93">
        <f>IF(IFERROR(VLOOKUP($C27,Planes_de_estudio[],MATCH($AE$2,Carreras,0)+2,0),"")&gt;0,IFERROR(VLOOKUP($C27,Planes_de_estudio[],MATCH($AE$2,Carreras,0)+2,0),""),"")</f>
        <v>7</v>
      </c>
      <c r="AF27" s="93" t="str">
        <f>IF(IFERROR(VLOOKUP($C27,Planes_de_estudio[],MATCH($AF$2,Carreras,0)+2,0),"")&gt;0,IFERROR(VLOOKUP($C27,Planes_de_estudio[],MATCH($AF$2,Carreras,0)+2,0),""),"")</f>
        <v/>
      </c>
      <c r="AG27" s="93" t="str">
        <f>IF(IFERROR(VLOOKUP($C27,Planes_de_estudio[],MATCH($AG$2,Carreras,0)+2,0),"")&gt;0,IFERROR(VLOOKUP($C27,Planes_de_estudio[],MATCH($AG$2,Carreras,0)+2,0),""),"")</f>
        <v/>
      </c>
      <c r="AH27" s="93" t="str">
        <f>IF(IFERROR(VLOOKUP($C27,Planes_de_estudio[],MATCH($AH$2,Carreras,0)+2,0),"")&gt;0,IFERROR(VLOOKUP($C27,Planes_de_estudio[],MATCH($AH$2,Carreras,0)+2,0),""),"")</f>
        <v/>
      </c>
      <c r="AI27" s="93" t="str">
        <f>IF(IFERROR(VLOOKUP($C27,Planes_de_estudio[],MATCH($AI$2,Carreras,0)+2,0),"")&gt;0,IFERROR(VLOOKUP($C27,Planes_de_estudio[],MATCH($AI$2,Carreras,0)+2,0),""),"")</f>
        <v/>
      </c>
      <c r="AJ27" s="93" t="str">
        <f>IF(IFERROR(VLOOKUP($C27,Planes_de_estudio[],MATCH($AJ$2,Carreras,0)+2,0),"")&gt;0,IFERROR(VLOOKUP($C27,Planes_de_estudio[],MATCH($AJ$2,Carreras,0)+2,0),""),"")</f>
        <v/>
      </c>
      <c r="AK27" s="93" t="str">
        <f>IF(IFERROR(VLOOKUP($C27,Planes_de_estudio[],MATCH($AK$2,Carreras,0)+2,0),"")&gt;0,IFERROR(VLOOKUP($C27,Planes_de_estudio[],MATCH($AK$2,Carreras,0)+2,0),""),"")</f>
        <v/>
      </c>
      <c r="AL2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27" s="93">
        <f>base_de_datos[[#This Row],[Pronóstico]]/25</f>
        <v>0.96</v>
      </c>
      <c r="AO27" s="93" t="str">
        <f>VLOOKUP($C27,Planes_de_estudio[],2)</f>
        <v>DOP</v>
      </c>
      <c r="AP27" s="195">
        <v>6</v>
      </c>
      <c r="AQ27" s="196"/>
      <c r="AR27" s="196"/>
      <c r="AS27" s="196"/>
      <c r="AT27" s="196"/>
      <c r="AU27" s="196"/>
      <c r="AV27" s="196"/>
      <c r="AW27" s="91"/>
      <c r="AX27" s="73"/>
    </row>
    <row r="28" spans="1:50" s="5" customFormat="1" ht="16">
      <c r="A28" s="5" t="s">
        <v>63</v>
      </c>
      <c r="B28" s="95" t="s">
        <v>126</v>
      </c>
      <c r="C28" s="96" t="s">
        <v>127</v>
      </c>
      <c r="D28" s="92">
        <v>1</v>
      </c>
      <c r="E28" s="97">
        <v>0.70833333333333304</v>
      </c>
      <c r="F28" s="97">
        <v>0.79166666666665897</v>
      </c>
      <c r="G28" s="92" t="s">
        <v>72</v>
      </c>
      <c r="H28" s="175" t="s">
        <v>121</v>
      </c>
      <c r="I28" s="92" t="e">
        <f>INDEX(Aulas_capacidad,MATCH(base_de_datos[[#This Row],[Aula]],Aulas,0),2)</f>
        <v>#REF!</v>
      </c>
      <c r="J28" s="90">
        <v>22</v>
      </c>
      <c r="K28" s="92" t="e">
        <f>INDEX(Aulas_capacidad,MATCH(base_de_datos[[#This Row],[Aula]],Aulas,0),4)</f>
        <v>#REF!</v>
      </c>
      <c r="L28" s="98" t="e">
        <f>base_de_datos[[#This Row],[Cap 1.5]]-base_de_datos[[#This Row],[Inscritos]]</f>
        <v>#REF!</v>
      </c>
      <c r="M28" s="98" t="e">
        <f>INDEX(Aulas_capacidad,MATCH(base_de_datos[[#This Row],[Aula]],Aulas,0),5)</f>
        <v>#REF!</v>
      </c>
      <c r="N28" s="98" t="e">
        <f>base_de_datos[[#This Row],[Cap .90]]-base_de_datos[[#This Row],[Inscritos]]</f>
        <v>#REF!</v>
      </c>
      <c r="O28" s="92">
        <v>1516</v>
      </c>
      <c r="P28" s="99"/>
      <c r="Q28" s="100"/>
      <c r="R28" s="99"/>
      <c r="S28" s="100" t="s">
        <v>68</v>
      </c>
      <c r="T28" s="100"/>
      <c r="U28" s="99"/>
      <c r="V28" s="99"/>
      <c r="W28" s="99" t="s">
        <v>101</v>
      </c>
      <c r="X28" s="101">
        <f>_xlfn.XLOOKUP(base_de_datos[[#This Row],[Materia]],Materias,Horas)/16</f>
        <v>4</v>
      </c>
      <c r="Y28" s="101">
        <f>ROUND(((base_de_datos[[#This Row],[Hora fin]]-base_de_datos[[#This Row],[Hora inicio]])*24)*(COUNTA(base_de_datos[[#This Row],[Lunes]:[Sábado]])),1)</f>
        <v>2</v>
      </c>
      <c r="Z28" s="101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8" s="93">
        <f ca="1">IF(base_de_datos[[#This Row],[No clase]]=OFFSET(base_de_datos[[#This Row],[No clase]],-1,0),0,1)</f>
        <v>0</v>
      </c>
      <c r="AB28" s="93">
        <f ca="1">IF(NOT(OR(base_de_datos[[#This Row],[Horas totales]]=base_de_datos[[#This Row],[HT Plan]],base_de_datos[[#This Row],[Horas totales]]="N/A")),1,0)</f>
        <v>0</v>
      </c>
      <c r="AC28" s="93" t="e">
        <f>_xlfn.XLOOKUP(base_de_datos[[#This Row],[Profesor]],Nombre,Grado)</f>
        <v>#REF!</v>
      </c>
      <c r="AD28" s="94" t="e">
        <f>_xlfn.XLOOKUP(base_de_datos[[#This Row],[Profesor]],Nombre,Tipo)</f>
        <v>#REF!</v>
      </c>
      <c r="AE28" s="93">
        <f>IF(IFERROR(VLOOKUP($C28,Planes_de_estudio[],MATCH($AE$2,Carreras,0)+2,0),"")&gt;0,IFERROR(VLOOKUP($C28,Planes_de_estudio[],MATCH($AE$2,Carreras,0)+2,0),""),"")</f>
        <v>7</v>
      </c>
      <c r="AF28" s="93" t="str">
        <f>IF(IFERROR(VLOOKUP($C28,Planes_de_estudio[],MATCH($AF$2,Carreras,0)+2,0),"")&gt;0,IFERROR(VLOOKUP($C28,Planes_de_estudio[],MATCH($AF$2,Carreras,0)+2,0),""),"")</f>
        <v/>
      </c>
      <c r="AG28" s="93" t="str">
        <f>IF(IFERROR(VLOOKUP($C28,Planes_de_estudio[],MATCH($AG$2,Carreras,0)+2,0),"")&gt;0,IFERROR(VLOOKUP($C28,Planes_de_estudio[],MATCH($AG$2,Carreras,0)+2,0),""),"")</f>
        <v/>
      </c>
      <c r="AH28" s="93" t="str">
        <f>IF(IFERROR(VLOOKUP($C28,Planes_de_estudio[],MATCH($AH$2,Carreras,0)+2,0),"")&gt;0,IFERROR(VLOOKUP($C28,Planes_de_estudio[],MATCH($AH$2,Carreras,0)+2,0),""),"")</f>
        <v/>
      </c>
      <c r="AI28" s="93" t="str">
        <f>IF(IFERROR(VLOOKUP($C28,Planes_de_estudio[],MATCH($AI$2,Carreras,0)+2,0),"")&gt;0,IFERROR(VLOOKUP($C28,Planes_de_estudio[],MATCH($AI$2,Carreras,0)+2,0),""),"")</f>
        <v/>
      </c>
      <c r="AJ28" s="93" t="str">
        <f>IF(IFERROR(VLOOKUP($C28,Planes_de_estudio[],MATCH($AJ$2,Carreras,0)+2,0),"")&gt;0,IFERROR(VLOOKUP($C28,Planes_de_estudio[],MATCH($AJ$2,Carreras,0)+2,0),""),"")</f>
        <v/>
      </c>
      <c r="AK28" s="93" t="str">
        <f>IF(IFERROR(VLOOKUP($C28,Planes_de_estudio[],MATCH($AK$2,Carreras,0)+2,0),"")&gt;0,IFERROR(VLOOKUP($C28,Planes_de_estudio[],MATCH($AK$2,Carreras,0)+2,0),""),"")</f>
        <v/>
      </c>
      <c r="AL2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28" s="93">
        <f>base_de_datos[[#This Row],[Pronóstico]]/25</f>
        <v>0.96</v>
      </c>
      <c r="AO28" s="93" t="str">
        <f>VLOOKUP($C28,Planes_de_estudio[],2)</f>
        <v>DOP</v>
      </c>
      <c r="AP28" s="196"/>
      <c r="AQ28" s="196"/>
      <c r="AR28" s="196"/>
      <c r="AS28" s="196"/>
      <c r="AT28" s="196"/>
      <c r="AU28" s="196"/>
      <c r="AV28" s="196"/>
      <c r="AW28" s="91"/>
      <c r="AX28" s="73"/>
    </row>
    <row r="29" spans="1:50" s="5" customFormat="1" ht="14.25" customHeight="1">
      <c r="B29" s="95" t="s">
        <v>126</v>
      </c>
      <c r="C29" s="96" t="s">
        <v>129</v>
      </c>
      <c r="D29" s="92">
        <v>1</v>
      </c>
      <c r="E29" s="97">
        <v>0.64583333333333304</v>
      </c>
      <c r="F29" s="97">
        <v>0.70833333333332704</v>
      </c>
      <c r="G29" s="92" t="s">
        <v>72</v>
      </c>
      <c r="H29" s="92" t="s">
        <v>128</v>
      </c>
      <c r="I29" s="92" t="e">
        <f>INDEX(Aulas_capacidad,MATCH(base_de_datos[[#This Row],[Aula]],Aulas,0),2)</f>
        <v>#REF!</v>
      </c>
      <c r="J29" s="90">
        <v>25</v>
      </c>
      <c r="K29" s="92" t="e">
        <f>INDEX(Aulas_capacidad,MATCH(base_de_datos[[#This Row],[Aula]],Aulas,0),4)</f>
        <v>#REF!</v>
      </c>
      <c r="L29" s="98" t="e">
        <f>base_de_datos[[#This Row],[Cap 1.5]]-base_de_datos[[#This Row],[Inscritos]]</f>
        <v>#REF!</v>
      </c>
      <c r="M29" s="98" t="e">
        <f>INDEX(Aulas_capacidad,MATCH(base_de_datos[[#This Row],[Aula]],Aulas,0),5)</f>
        <v>#REF!</v>
      </c>
      <c r="N29" s="98" t="e">
        <f>base_de_datos[[#This Row],[Cap .90]]-base_de_datos[[#This Row],[Inscritos]]</f>
        <v>#REF!</v>
      </c>
      <c r="O29" s="92" t="s">
        <v>130</v>
      </c>
      <c r="P29" s="99"/>
      <c r="Q29" s="100" t="s">
        <v>68</v>
      </c>
      <c r="R29" s="99"/>
      <c r="S29" s="100" t="s">
        <v>68</v>
      </c>
      <c r="T29" s="100"/>
      <c r="U29" s="99"/>
      <c r="V29" s="99"/>
      <c r="W29" s="99" t="s">
        <v>122</v>
      </c>
      <c r="X29" s="93">
        <f>_xlfn.XLOOKUP(base_de_datos[[#This Row],[Materia]],Materias,Horas)/16</f>
        <v>3</v>
      </c>
      <c r="Y29" s="93">
        <f>ROUND(((base_de_datos[[#This Row],[Hora fin]]-base_de_datos[[#This Row],[Hora inicio]])*24)*(COUNTA(base_de_datos[[#This Row],[Lunes]:[Sábado]])),1)</f>
        <v>3</v>
      </c>
      <c r="Z29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9" s="93">
        <f ca="1">IF(base_de_datos[[#This Row],[No clase]]=OFFSET(base_de_datos[[#This Row],[No clase]],-1,0),0,1)</f>
        <v>1</v>
      </c>
      <c r="AB29" s="93">
        <f ca="1">IF(NOT(OR(base_de_datos[[#This Row],[Horas totales]]=base_de_datos[[#This Row],[HT Plan]],base_de_datos[[#This Row],[Horas totales]]="N/A")),1,0)</f>
        <v>0</v>
      </c>
      <c r="AC29" s="93" t="e">
        <f>_xlfn.XLOOKUP(base_de_datos[[#This Row],[Profesor]],Nombre,Grado)</f>
        <v>#REF!</v>
      </c>
      <c r="AD29" s="94" t="e">
        <f>_xlfn.XLOOKUP(base_de_datos[[#This Row],[Profesor]],Nombre,Tipo)</f>
        <v>#REF!</v>
      </c>
      <c r="AE29" s="93">
        <f>IF(IFERROR(VLOOKUP($C29,Planes_de_estudio[],MATCH($AE$2,Carreras,0)+2,0),"")&gt;0,IFERROR(VLOOKUP($C29,Planes_de_estudio[],MATCH($AE$2,Carreras,0)+2,0),""),"")</f>
        <v>5</v>
      </c>
      <c r="AF29" s="93" t="str">
        <f>IF(IFERROR(VLOOKUP($C29,Planes_de_estudio[],MATCH($AF$2,Carreras,0)+2,0),"")&gt;0,IFERROR(VLOOKUP($C29,Planes_de_estudio[],MATCH($AF$2,Carreras,0)+2,0),""),"")</f>
        <v/>
      </c>
      <c r="AG29" s="93" t="str">
        <f>IF(IFERROR(VLOOKUP($C29,Planes_de_estudio[],MATCH($AG$2,Carreras,0)+2,0),"")&gt;0,IFERROR(VLOOKUP($C29,Planes_de_estudio[],MATCH($AG$2,Carreras,0)+2,0),""),"")</f>
        <v/>
      </c>
      <c r="AH29" s="93" t="str">
        <f>IF(IFERROR(VLOOKUP($C29,Planes_de_estudio[],MATCH($AH$2,Carreras,0)+2,0),"")&gt;0,IFERROR(VLOOKUP($C29,Planes_de_estudio[],MATCH($AH$2,Carreras,0)+2,0),""),"")</f>
        <v/>
      </c>
      <c r="AI29" s="93" t="str">
        <f>IF(IFERROR(VLOOKUP($C29,Planes_de_estudio[],MATCH($AI$2,Carreras,0)+2,0),"")&gt;0,IFERROR(VLOOKUP($C29,Planes_de_estudio[],MATCH($AI$2,Carreras,0)+2,0),""),"")</f>
        <v/>
      </c>
      <c r="AJ29" s="93" t="str">
        <f>IF(IFERROR(VLOOKUP($C29,Planes_de_estudio[],MATCH($AJ$2,Carreras,0)+2,0),"")&gt;0,IFERROR(VLOOKUP($C29,Planes_de_estudio[],MATCH($AJ$2,Carreras,0)+2,0),""),"")</f>
        <v/>
      </c>
      <c r="AK29" s="93" t="str">
        <f>IF(IFERROR(VLOOKUP($C29,Planes_de_estudio[],MATCH($AK$2,Carreras,0)+2,0),"")&gt;0,IFERROR(VLOOKUP($C29,Planes_de_estudio[],MATCH($AK$2,Carreras,0)+2,0),""),"")</f>
        <v/>
      </c>
      <c r="AL2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23</v>
      </c>
      <c r="AN29" s="93">
        <f>base_de_datos[[#This Row],[Pronóstico]]/25</f>
        <v>0.92</v>
      </c>
      <c r="AO29" s="93" t="str">
        <f>VLOOKUP($C29,Planes_de_estudio[],2)</f>
        <v>DOP</v>
      </c>
      <c r="AP29" s="195">
        <v>6</v>
      </c>
      <c r="AQ29" s="196"/>
      <c r="AR29" s="196"/>
      <c r="AS29" s="196"/>
      <c r="AT29" s="196"/>
      <c r="AU29" s="196"/>
      <c r="AV29" s="196"/>
      <c r="AW29" s="91"/>
      <c r="AX29" s="73"/>
    </row>
    <row r="30" spans="1:50" s="5" customFormat="1" ht="14.25" customHeight="1">
      <c r="B30" s="95" t="s">
        <v>131</v>
      </c>
      <c r="C30" s="96" t="s">
        <v>132</v>
      </c>
      <c r="D30" s="92">
        <v>1</v>
      </c>
      <c r="E30" s="97">
        <v>0.39583333333333398</v>
      </c>
      <c r="F30" s="97">
        <v>0.45833333333333098</v>
      </c>
      <c r="G30" s="92" t="s">
        <v>72</v>
      </c>
      <c r="H30" s="92" t="s">
        <v>133</v>
      </c>
      <c r="I30" s="92" t="e">
        <f>INDEX(Aulas_capacidad,MATCH(base_de_datos[[#This Row],[Aula]],Aulas,0),2)</f>
        <v>#REF!</v>
      </c>
      <c r="J30" s="90">
        <v>23</v>
      </c>
      <c r="K30" s="92" t="e">
        <f>INDEX(Aulas_capacidad,MATCH(base_de_datos[[#This Row],[Aula]],Aulas,0),4)</f>
        <v>#REF!</v>
      </c>
      <c r="L30" s="98" t="e">
        <f>base_de_datos[[#This Row],[Cap 1.5]]-base_de_datos[[#This Row],[Inscritos]]</f>
        <v>#REF!</v>
      </c>
      <c r="M30" s="98" t="e">
        <f>INDEX(Aulas_capacidad,MATCH(base_de_datos[[#This Row],[Aula]],Aulas,0),5)</f>
        <v>#REF!</v>
      </c>
      <c r="N30" s="98" t="e">
        <f>base_de_datos[[#This Row],[Cap .90]]-base_de_datos[[#This Row],[Inscritos]]</f>
        <v>#REF!</v>
      </c>
      <c r="O30" s="92" t="s">
        <v>134</v>
      </c>
      <c r="P30" s="99" t="s">
        <v>68</v>
      </c>
      <c r="Q30" s="100"/>
      <c r="R30" s="99"/>
      <c r="S30" s="100"/>
      <c r="T30" s="100" t="s">
        <v>68</v>
      </c>
      <c r="U30" s="99"/>
      <c r="V30" s="99"/>
      <c r="W30" s="99" t="s">
        <v>135</v>
      </c>
      <c r="X30" s="101">
        <f>_xlfn.XLOOKUP(base_de_datos[[#This Row],[Materia]],Materias,Horas)/16</f>
        <v>3</v>
      </c>
      <c r="Y30" s="101">
        <f>ROUND(((base_de_datos[[#This Row],[Hora fin]]-base_de_datos[[#This Row],[Hora inicio]])*24)*(COUNTA(base_de_datos[[#This Row],[Lunes]:[Sábado]])),1)</f>
        <v>3</v>
      </c>
      <c r="Z30" s="101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0" s="93">
        <f ca="1">IF(base_de_datos[[#This Row],[No clase]]=OFFSET(base_de_datos[[#This Row],[No clase]],-1,0),0,1)</f>
        <v>1</v>
      </c>
      <c r="AB30" s="93">
        <f ca="1">IF(NOT(OR(base_de_datos[[#This Row],[Horas totales]]=base_de_datos[[#This Row],[HT Plan]],base_de_datos[[#This Row],[Horas totales]]="N/A")),1,0)</f>
        <v>0</v>
      </c>
      <c r="AC30" s="93" t="e">
        <f>_xlfn.XLOOKUP(base_de_datos[[#This Row],[Profesor]],Nombre,Grado)</f>
        <v>#REF!</v>
      </c>
      <c r="AD30" s="94" t="e">
        <f>_xlfn.XLOOKUP(base_de_datos[[#This Row],[Profesor]],Nombre,Tipo)</f>
        <v>#REF!</v>
      </c>
      <c r="AE30" s="93">
        <f>IF(IFERROR(VLOOKUP($C30,Planes_de_estudio[],MATCH($AE$2,Carreras,0)+2,0),"")&gt;0,IFERROR(VLOOKUP($C30,Planes_de_estudio[],MATCH($AE$2,Carreras,0)+2,0),""),"")</f>
        <v>3</v>
      </c>
      <c r="AF30" s="93">
        <f>IF(IFERROR(VLOOKUP($C30,Planes_de_estudio[],MATCH($AF$2,Carreras,0)+2,0),"")&gt;0,IFERROR(VLOOKUP($C30,Planes_de_estudio[],MATCH($AF$2,Carreras,0)+2,0),""),"")</f>
        <v>3</v>
      </c>
      <c r="AG30" s="93" t="str">
        <f>IF(IFERROR(VLOOKUP($C30,Planes_de_estudio[],MATCH($AG$2,Carreras,0)+2,0),"")&gt;0,IFERROR(VLOOKUP($C30,Planes_de_estudio[],MATCH($AG$2,Carreras,0)+2,0),""),"")</f>
        <v/>
      </c>
      <c r="AH30" s="93">
        <f>IF(IFERROR(VLOOKUP($C30,Planes_de_estudio[],MATCH($AH$2,Carreras,0)+2,0),"")&gt;0,IFERROR(VLOOKUP($C30,Planes_de_estudio[],MATCH($AH$2,Carreras,0)+2,0),""),"")</f>
        <v>4</v>
      </c>
      <c r="AI30" s="93">
        <f>IF(IFERROR(VLOOKUP($C30,Planes_de_estudio[],MATCH($AI$2,Carreras,0)+2,0),"")&gt;0,IFERROR(VLOOKUP($C30,Planes_de_estudio[],MATCH($AI$2,Carreras,0)+2,0),""),"")</f>
        <v>4</v>
      </c>
      <c r="AJ30" s="93">
        <f>IF(IFERROR(VLOOKUP($C30,Planes_de_estudio[],MATCH($AJ$2,Carreras,0)+2,0),"")&gt;0,IFERROR(VLOOKUP($C30,Planes_de_estudio[],MATCH($AJ$2,Carreras,0)+2,0),""),"")</f>
        <v>4</v>
      </c>
      <c r="AK30" s="93">
        <f>IF(IFERROR(VLOOKUP($C30,Planes_de_estudio[],MATCH($AK$2,Carreras,0)+2,0),"")&gt;0,IFERROR(VLOOKUP($C30,Planes_de_estudio[],MATCH($AK$2,Carreras,0)+2,0),""),"")</f>
        <v>3</v>
      </c>
      <c r="AL3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3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51</v>
      </c>
      <c r="AN30" s="93">
        <f>base_de_datos[[#This Row],[Pronóstico]]/25</f>
        <v>2.04</v>
      </c>
      <c r="AO30" s="93" t="str">
        <f>VLOOKUP($C30,Planes_de_estudio[],2)</f>
        <v>MAT</v>
      </c>
      <c r="AP30" s="195">
        <v>6</v>
      </c>
      <c r="AQ30" s="195">
        <v>6</v>
      </c>
      <c r="AR30" s="196"/>
      <c r="AS30" s="195">
        <v>6</v>
      </c>
      <c r="AT30" s="195">
        <v>6</v>
      </c>
      <c r="AU30" s="195">
        <v>6</v>
      </c>
      <c r="AV30" s="195">
        <v>6</v>
      </c>
      <c r="AW30" s="91"/>
      <c r="AX30" s="73"/>
    </row>
    <row r="31" spans="1:50" s="5" customFormat="1" ht="16">
      <c r="B31" s="95" t="s">
        <v>131</v>
      </c>
      <c r="C31" s="96" t="s">
        <v>136</v>
      </c>
      <c r="D31" s="92">
        <v>1</v>
      </c>
      <c r="E31" s="97">
        <v>0.625</v>
      </c>
      <c r="F31" s="97">
        <v>0.70833333333332704</v>
      </c>
      <c r="G31" s="92" t="s">
        <v>72</v>
      </c>
      <c r="H31" s="175" t="s">
        <v>119</v>
      </c>
      <c r="I31" s="92" t="e">
        <f>INDEX(Aulas_capacidad,MATCH(base_de_datos[[#This Row],[Aula]],Aulas,0),2)</f>
        <v>#REF!</v>
      </c>
      <c r="J31" s="90">
        <v>5</v>
      </c>
      <c r="K31" s="92" t="e">
        <f>INDEX(Aulas_capacidad,MATCH(base_de_datos[[#This Row],[Aula]],Aulas,0),4)</f>
        <v>#REF!</v>
      </c>
      <c r="L31" s="98" t="e">
        <f>base_de_datos[[#This Row],[Cap 1.5]]-base_de_datos[[#This Row],[Inscritos]]</f>
        <v>#REF!</v>
      </c>
      <c r="M31" s="98" t="e">
        <f>INDEX(Aulas_capacidad,MATCH(base_de_datos[[#This Row],[Aula]],Aulas,0),5)</f>
        <v>#REF!</v>
      </c>
      <c r="N31" s="98" t="e">
        <f>base_de_datos[[#This Row],[Cap .90]]-base_de_datos[[#This Row],[Inscritos]]</f>
        <v>#REF!</v>
      </c>
      <c r="O31" s="92">
        <v>1615</v>
      </c>
      <c r="P31" s="99"/>
      <c r="Q31" s="100" t="s">
        <v>68</v>
      </c>
      <c r="R31" s="99"/>
      <c r="S31" s="100" t="s">
        <v>68</v>
      </c>
      <c r="T31" s="100"/>
      <c r="U31" s="99"/>
      <c r="V31" s="99"/>
      <c r="W31" s="99" t="s">
        <v>122</v>
      </c>
      <c r="X31" s="93">
        <f>_xlfn.XLOOKUP(base_de_datos[[#This Row],[Materia]],Materias,Horas)/16</f>
        <v>4</v>
      </c>
      <c r="Y31" s="93">
        <f>ROUND(((base_de_datos[[#This Row],[Hora fin]]-base_de_datos[[#This Row],[Hora inicio]])*24)*(COUNTA(base_de_datos[[#This Row],[Lunes]:[Sábado]])),1)</f>
        <v>4</v>
      </c>
      <c r="Z31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1" s="93">
        <f ca="1">IF(base_de_datos[[#This Row],[No clase]]=OFFSET(base_de_datos[[#This Row],[No clase]],-1,0),0,1)</f>
        <v>1</v>
      </c>
      <c r="AB31" s="93">
        <f ca="1">IF(NOT(OR(base_de_datos[[#This Row],[Horas totales]]=base_de_datos[[#This Row],[HT Plan]],base_de_datos[[#This Row],[Horas totales]]="N/A")),1,0)</f>
        <v>0</v>
      </c>
      <c r="AC31" s="93" t="e">
        <f>_xlfn.XLOOKUP(base_de_datos[[#This Row],[Profesor]],Nombre,Grado)</f>
        <v>#REF!</v>
      </c>
      <c r="AD31" s="94" t="e">
        <f>_xlfn.XLOOKUP(base_de_datos[[#This Row],[Profesor]],Nombre,Tipo)</f>
        <v>#REF!</v>
      </c>
      <c r="AE31" s="93" t="str">
        <f>IF(IFERROR(VLOOKUP($C31,Planes_de_estudio[],MATCH($AE$2,Carreras,0)+2,0),"")&gt;0,IFERROR(VLOOKUP($C31,Planes_de_estudio[],MATCH($AE$2,Carreras,0)+2,0),""),"")</f>
        <v/>
      </c>
      <c r="AF31" s="93" t="str">
        <f>IF(IFERROR(VLOOKUP($C31,Planes_de_estudio[],MATCH($AF$2,Carreras,0)+2,0),"")&gt;0,IFERROR(VLOOKUP($C31,Planes_de_estudio[],MATCH($AF$2,Carreras,0)+2,0),""),"")</f>
        <v/>
      </c>
      <c r="AG31" s="93" t="str">
        <f>IF(IFERROR(VLOOKUP($C31,Planes_de_estudio[],MATCH($AG$2,Carreras,0)+2,0),"")&gt;0,IFERROR(VLOOKUP($C31,Planes_de_estudio[],MATCH($AG$2,Carreras,0)+2,0),""),"")</f>
        <v/>
      </c>
      <c r="AH31" s="93" t="str">
        <f>IF(IFERROR(VLOOKUP($C31,Planes_de_estudio[],MATCH($AH$2,Carreras,0)+2,0),"")&gt;0,IFERROR(VLOOKUP($C31,Planes_de_estudio[],MATCH($AH$2,Carreras,0)+2,0),""),"")</f>
        <v/>
      </c>
      <c r="AI31" s="93">
        <f>IF(IFERROR(VLOOKUP($C31,Planes_de_estudio[],MATCH($AI$2,Carreras,0)+2,0),"")&gt;0,IFERROR(VLOOKUP($C31,Planes_de_estudio[],MATCH($AI$2,Carreras,0)+2,0),""),"")</f>
        <v>5</v>
      </c>
      <c r="AJ31" s="93" t="str">
        <f>IF(IFERROR(VLOOKUP($C31,Planes_de_estudio[],MATCH($AJ$2,Carreras,0)+2,0),"")&gt;0,IFERROR(VLOOKUP($C31,Planes_de_estudio[],MATCH($AJ$2,Carreras,0)+2,0),""),"")</f>
        <v/>
      </c>
      <c r="AK31" s="93" t="str">
        <f>IF(IFERROR(VLOOKUP($C31,Planes_de_estudio[],MATCH($AK$2,Carreras,0)+2,0),"")&gt;0,IFERROR(VLOOKUP($C31,Planes_de_estudio[],MATCH($AK$2,Carreras,0)+2,0),""),"")</f>
        <v/>
      </c>
      <c r="AL3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3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</v>
      </c>
      <c r="AN31" s="93">
        <f>base_de_datos[[#This Row],[Pronóstico]]/25</f>
        <v>0.12</v>
      </c>
      <c r="AO31" s="93" t="str">
        <f>VLOOKUP($C31,Planes_de_estudio[],2)</f>
        <v>ETF</v>
      </c>
      <c r="AP31" s="196"/>
      <c r="AQ31" s="196"/>
      <c r="AR31" s="196"/>
      <c r="AS31" s="196"/>
      <c r="AT31" s="195">
        <v>6</v>
      </c>
      <c r="AU31" s="196"/>
      <c r="AV31" s="196"/>
      <c r="AW31" s="91"/>
      <c r="AX31" s="73"/>
    </row>
    <row r="32" spans="1:50" s="5" customFormat="1" ht="16">
      <c r="B32" s="95" t="s">
        <v>137</v>
      </c>
      <c r="C32" s="96" t="s">
        <v>138</v>
      </c>
      <c r="D32" s="92">
        <v>1</v>
      </c>
      <c r="E32" s="97">
        <v>0.45833333333333398</v>
      </c>
      <c r="F32" s="97">
        <v>0.624999999999995</v>
      </c>
      <c r="G32" s="92" t="s">
        <v>72</v>
      </c>
      <c r="H32" s="92" t="s">
        <v>73</v>
      </c>
      <c r="I32" s="92" t="e">
        <f>INDEX(Aulas_capacidad,MATCH(base_de_datos[[#This Row],[Aula]],Aulas,0),2)</f>
        <v>#REF!</v>
      </c>
      <c r="J32" s="90">
        <v>10</v>
      </c>
      <c r="K32" s="92" t="e">
        <f>INDEX(Aulas_capacidad,MATCH(base_de_datos[[#This Row],[Aula]],Aulas,0),4)</f>
        <v>#REF!</v>
      </c>
      <c r="L32" s="98" t="e">
        <f>base_de_datos[[#This Row],[Cap 1.5]]-base_de_datos[[#This Row],[Inscritos]]</f>
        <v>#REF!</v>
      </c>
      <c r="M32" s="98" t="e">
        <f>INDEX(Aulas_capacidad,MATCH(base_de_datos[[#This Row],[Aula]],Aulas,0),5)</f>
        <v>#REF!</v>
      </c>
      <c r="N32" s="98" t="e">
        <f>base_de_datos[[#This Row],[Cap .90]]-base_de_datos[[#This Row],[Inscritos]]</f>
        <v>#REF!</v>
      </c>
      <c r="O32" s="92" t="s">
        <v>139</v>
      </c>
      <c r="P32" s="99"/>
      <c r="Q32" s="100"/>
      <c r="R32" s="99"/>
      <c r="S32" s="100"/>
      <c r="T32" s="100" t="s">
        <v>68</v>
      </c>
      <c r="U32" s="99"/>
      <c r="V32" s="99"/>
      <c r="W32" s="99" t="s">
        <v>135</v>
      </c>
      <c r="X32" s="93">
        <f>_xlfn.XLOOKUP(base_de_datos[[#This Row],[Materia]],Materias,Horas)/16</f>
        <v>4</v>
      </c>
      <c r="Y32" s="93">
        <f>ROUND(((base_de_datos[[#This Row],[Hora fin]]-base_de_datos[[#This Row],[Hora inicio]])*24)*(COUNTA(base_de_datos[[#This Row],[Lunes]:[Sábado]])),1)</f>
        <v>4</v>
      </c>
      <c r="Z32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2" s="93">
        <f ca="1">IF(base_de_datos[[#This Row],[No clase]]=OFFSET(base_de_datos[[#This Row],[No clase]],-1,0),0,1)</f>
        <v>1</v>
      </c>
      <c r="AB32" s="93">
        <f ca="1">IF(NOT(OR(base_de_datos[[#This Row],[Horas totales]]=base_de_datos[[#This Row],[HT Plan]],base_de_datos[[#This Row],[Horas totales]]="N/A")),1,0)</f>
        <v>0</v>
      </c>
      <c r="AC32" s="93" t="e">
        <f>_xlfn.XLOOKUP(base_de_datos[[#This Row],[Profesor]],Nombre,Grado)</f>
        <v>#REF!</v>
      </c>
      <c r="AD32" s="94" t="e">
        <f>_xlfn.XLOOKUP(base_de_datos[[#This Row],[Profesor]],Nombre,Tipo)</f>
        <v>#REF!</v>
      </c>
      <c r="AE32" s="93" t="str">
        <f>IF(IFERROR(VLOOKUP($C32,Planes_de_estudio[],MATCH($AE$2,Carreras,0)+2,0),"")&gt;0,IFERROR(VLOOKUP($C32,Planes_de_estudio[],MATCH($AE$2,Carreras,0)+2,0),""),"")</f>
        <v/>
      </c>
      <c r="AF32" s="93">
        <f>IF(IFERROR(VLOOKUP($C32,Planes_de_estudio[],MATCH($AF$2,Carreras,0)+2,0),"")&gt;0,IFERROR(VLOOKUP($C32,Planes_de_estudio[],MATCH($AF$2,Carreras,0)+2,0),""),"")</f>
        <v>4</v>
      </c>
      <c r="AG32" s="93" t="str">
        <f>IF(IFERROR(VLOOKUP($C32,Planes_de_estudio[],MATCH($AG$2,Carreras,0)+2,0),"")&gt;0,IFERROR(VLOOKUP($C32,Planes_de_estudio[],MATCH($AG$2,Carreras,0)+2,0),""),"")</f>
        <v/>
      </c>
      <c r="AH32" s="93" t="str">
        <f>IF(IFERROR(VLOOKUP($C32,Planes_de_estudio[],MATCH($AH$2,Carreras,0)+2,0),"")&gt;0,IFERROR(VLOOKUP($C32,Planes_de_estudio[],MATCH($AH$2,Carreras,0)+2,0),""),"")</f>
        <v/>
      </c>
      <c r="AI32" s="93">
        <f>IF(IFERROR(VLOOKUP($C32,Planes_de_estudio[],MATCH($AI$2,Carreras,0)+2,0),"")&gt;0,IFERROR(VLOOKUP($C32,Planes_de_estudio[],MATCH($AI$2,Carreras,0)+2,0),""),"")</f>
        <v>5</v>
      </c>
      <c r="AJ32" s="93" t="str">
        <f>IF(IFERROR(VLOOKUP($C32,Planes_de_estudio[],MATCH($AJ$2,Carreras,0)+2,0),"")&gt;0,IFERROR(VLOOKUP($C32,Planes_de_estudio[],MATCH($AJ$2,Carreras,0)+2,0),""),"")</f>
        <v/>
      </c>
      <c r="AK32" s="93">
        <f>IF(IFERROR(VLOOKUP($C32,Planes_de_estudio[],MATCH($AK$2,Carreras,0)+2,0),"")&gt;0,IFERROR(VLOOKUP($C32,Planes_de_estudio[],MATCH($AK$2,Carreras,0)+2,0),""),"")</f>
        <v>4</v>
      </c>
      <c r="AL3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3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8</v>
      </c>
      <c r="AN32" s="93">
        <f>base_de_datos[[#This Row],[Pronóstico]]/25</f>
        <v>0.32</v>
      </c>
      <c r="AO32" s="93" t="str">
        <f>VLOOKUP($C32,Planes_de_estudio[],2)</f>
        <v>EEC</v>
      </c>
      <c r="AP32" s="196"/>
      <c r="AQ32" s="195">
        <v>6</v>
      </c>
      <c r="AR32" s="196"/>
      <c r="AS32" s="196"/>
      <c r="AT32" s="195">
        <v>6</v>
      </c>
      <c r="AU32" s="196"/>
      <c r="AV32" s="195">
        <v>6</v>
      </c>
      <c r="AW32" s="91"/>
      <c r="AX32" s="73"/>
    </row>
    <row r="33" spans="2:50" s="5" customFormat="1" ht="16">
      <c r="B33" s="95" t="s">
        <v>140</v>
      </c>
      <c r="C33" s="96" t="s">
        <v>141</v>
      </c>
      <c r="D33" s="92">
        <v>1</v>
      </c>
      <c r="E33" s="97">
        <v>0.5</v>
      </c>
      <c r="F33" s="97">
        <v>0.58333333333332904</v>
      </c>
      <c r="G33" s="92" t="s">
        <v>72</v>
      </c>
      <c r="H33" s="92" t="s">
        <v>142</v>
      </c>
      <c r="I33" s="92" t="e">
        <f>INDEX(Aulas_capacidad,MATCH(base_de_datos[[#This Row],[Aula]],Aulas,0),2)</f>
        <v>#REF!</v>
      </c>
      <c r="J33" s="90">
        <v>9</v>
      </c>
      <c r="K33" s="92" t="e">
        <f>INDEX(Aulas_capacidad,MATCH(base_de_datos[[#This Row],[Aula]],Aulas,0),4)</f>
        <v>#REF!</v>
      </c>
      <c r="L33" s="98" t="e">
        <f>base_de_datos[[#This Row],[Cap 1.5]]-base_de_datos[[#This Row],[Inscritos]]</f>
        <v>#REF!</v>
      </c>
      <c r="M33" s="98" t="e">
        <f>INDEX(Aulas_capacidad,MATCH(base_de_datos[[#This Row],[Aula]],Aulas,0),5)</f>
        <v>#REF!</v>
      </c>
      <c r="N33" s="98" t="e">
        <f>base_de_datos[[#This Row],[Cap .90]]-base_de_datos[[#This Row],[Inscritos]]</f>
        <v>#REF!</v>
      </c>
      <c r="O33" s="92" t="s">
        <v>143</v>
      </c>
      <c r="P33" s="99"/>
      <c r="Q33" s="100" t="s">
        <v>68</v>
      </c>
      <c r="R33" s="99"/>
      <c r="S33" s="100"/>
      <c r="T33" s="100"/>
      <c r="U33" s="99"/>
      <c r="V33" s="99"/>
      <c r="W33" s="99" t="s">
        <v>92</v>
      </c>
      <c r="X33" s="93">
        <f>_xlfn.XLOOKUP(base_de_datos[[#This Row],[Materia]],Materias,Horas)/16</f>
        <v>4</v>
      </c>
      <c r="Y33" s="93">
        <f>ROUND(((base_de_datos[[#This Row],[Hora fin]]-base_de_datos[[#This Row],[Hora inicio]])*24)*(COUNTA(base_de_datos[[#This Row],[Lunes]:[Sábado]])),1)</f>
        <v>2</v>
      </c>
      <c r="Z33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33" s="93">
        <f ca="1">IF(base_de_datos[[#This Row],[No clase]]=OFFSET(base_de_datos[[#This Row],[No clase]],-1,0),0,1)</f>
        <v>1</v>
      </c>
      <c r="AB33" s="93">
        <f ca="1">IF(NOT(OR(base_de_datos[[#This Row],[Horas totales]]=base_de_datos[[#This Row],[HT Plan]],base_de_datos[[#This Row],[Horas totales]]="N/A")),1,0)</f>
        <v>1</v>
      </c>
      <c r="AC33" s="93" t="e">
        <f>_xlfn.XLOOKUP(base_de_datos[[#This Row],[Profesor]],Nombre,Grado)</f>
        <v>#REF!</v>
      </c>
      <c r="AD33" s="94" t="e">
        <f>_xlfn.XLOOKUP(base_de_datos[[#This Row],[Profesor]],Nombre,Tipo)</f>
        <v>#REF!</v>
      </c>
      <c r="AE33" s="93" t="str">
        <f>IF(IFERROR(VLOOKUP($C33,Planes_de_estudio[],MATCH($AE$2,Carreras,0)+2,0),"")&gt;0,IFERROR(VLOOKUP($C33,Planes_de_estudio[],MATCH($AE$2,Carreras,0)+2,0),""),"")</f>
        <v/>
      </c>
      <c r="AF33" s="93" t="str">
        <f>IF(IFERROR(VLOOKUP($C33,Planes_de_estudio[],MATCH($AF$2,Carreras,0)+2,0),"")&gt;0,IFERROR(VLOOKUP($C33,Planes_de_estudio[],MATCH($AF$2,Carreras,0)+2,0),""),"")</f>
        <v/>
      </c>
      <c r="AG33" s="93" t="str">
        <f>IF(IFERROR(VLOOKUP($C33,Planes_de_estudio[],MATCH($AG$2,Carreras,0)+2,0),"")&gt;0,IFERROR(VLOOKUP($C33,Planes_de_estudio[],MATCH($AG$2,Carreras,0)+2,0),""),"")</f>
        <v/>
      </c>
      <c r="AH33" s="93" t="str">
        <f>IF(IFERROR(VLOOKUP($C33,Planes_de_estudio[],MATCH($AH$2,Carreras,0)+2,0),"")&gt;0,IFERROR(VLOOKUP($C33,Planes_de_estudio[],MATCH($AH$2,Carreras,0)+2,0),""),"")</f>
        <v/>
      </c>
      <c r="AI33" s="93" t="str">
        <f>IF(IFERROR(VLOOKUP($C33,Planes_de_estudio[],MATCH($AI$2,Carreras,0)+2,0),"")&gt;0,IFERROR(VLOOKUP($C33,Planes_de_estudio[],MATCH($AI$2,Carreras,0)+2,0),""),"")</f>
        <v/>
      </c>
      <c r="AJ33" s="93" t="str">
        <f>IF(IFERROR(VLOOKUP($C33,Planes_de_estudio[],MATCH($AJ$2,Carreras,0)+2,0),"")&gt;0,IFERROR(VLOOKUP($C33,Planes_de_estudio[],MATCH($AJ$2,Carreras,0)+2,0),""),"")</f>
        <v/>
      </c>
      <c r="AK33" s="93">
        <f>IF(IFERROR(VLOOKUP($C33,Planes_de_estudio[],MATCH($AK$2,Carreras,0)+2,0),"")&gt;0,IFERROR(VLOOKUP($C33,Planes_de_estudio[],MATCH($AK$2,Carreras,0)+2,0),""),"")</f>
        <v>3</v>
      </c>
      <c r="AL3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3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</v>
      </c>
      <c r="AN33" s="93">
        <f>base_de_datos[[#This Row],[Pronóstico]]/25</f>
        <v>0.4</v>
      </c>
      <c r="AO33" s="93" t="str">
        <f>VLOOKUP($C33,Planes_de_estudio[],2)</f>
        <v>BIO</v>
      </c>
      <c r="AP33" s="196"/>
      <c r="AQ33" s="196"/>
      <c r="AR33" s="196"/>
      <c r="AS33" s="196"/>
      <c r="AT33" s="196"/>
      <c r="AU33" s="196"/>
      <c r="AV33" s="195">
        <v>6</v>
      </c>
      <c r="AW33" s="91"/>
      <c r="AX33" s="73"/>
    </row>
    <row r="34" spans="2:50" s="5" customFormat="1" ht="15">
      <c r="B34" s="95" t="s">
        <v>144</v>
      </c>
      <c r="C34" s="96" t="s">
        <v>145</v>
      </c>
      <c r="D34" s="92">
        <v>1</v>
      </c>
      <c r="E34" s="97">
        <v>0.39583333333333398</v>
      </c>
      <c r="F34" s="97">
        <v>0.45833333333333098</v>
      </c>
      <c r="G34" s="92"/>
      <c r="H34" s="92" t="s">
        <v>146</v>
      </c>
      <c r="I34" s="92" t="e">
        <f>INDEX(Aulas_capacidad,MATCH(base_de_datos[[#This Row],[Aula]],Aulas,0),2)</f>
        <v>#REF!</v>
      </c>
      <c r="J34" s="90">
        <v>27</v>
      </c>
      <c r="K34" s="92" t="e">
        <f>INDEX(Aulas_capacidad,MATCH(base_de_datos[[#This Row],[Aula]],Aulas,0),4)</f>
        <v>#REF!</v>
      </c>
      <c r="L34" s="98" t="e">
        <f>base_de_datos[[#This Row],[Cap 1.5]]-base_de_datos[[#This Row],[Inscritos]]</f>
        <v>#REF!</v>
      </c>
      <c r="M34" s="98" t="e">
        <f>INDEX(Aulas_capacidad,MATCH(base_de_datos[[#This Row],[Aula]],Aulas,0),5)</f>
        <v>#REF!</v>
      </c>
      <c r="N34" s="98" t="e">
        <f>base_de_datos[[#This Row],[Cap .90]]-base_de_datos[[#This Row],[Inscritos]]</f>
        <v>#REF!</v>
      </c>
      <c r="O34" s="92" t="s">
        <v>147</v>
      </c>
      <c r="P34" s="99"/>
      <c r="Q34" s="100"/>
      <c r="R34" s="99" t="s">
        <v>68</v>
      </c>
      <c r="S34" s="100"/>
      <c r="T34" s="100"/>
      <c r="U34" s="99"/>
      <c r="V34" s="99"/>
      <c r="W34" s="99" t="s">
        <v>148</v>
      </c>
      <c r="X34" s="93">
        <f>_xlfn.XLOOKUP(base_de_datos[[#This Row],[Materia]],Materias,Horas)/16</f>
        <v>3</v>
      </c>
      <c r="Y34" s="93">
        <f>ROUND(((base_de_datos[[#This Row],[Hora fin]]-base_de_datos[[#This Row],[Hora inicio]])*24)*(COUNTA(base_de_datos[[#This Row],[Lunes]:[Sábado]])),1)</f>
        <v>1.5</v>
      </c>
      <c r="Z34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4" s="93">
        <f ca="1">IF(base_de_datos[[#This Row],[No clase]]=OFFSET(base_de_datos[[#This Row],[No clase]],-1,0),0,1)</f>
        <v>1</v>
      </c>
      <c r="AB34" s="93">
        <f ca="1">IF(NOT(OR(base_de_datos[[#This Row],[Horas totales]]=base_de_datos[[#This Row],[HT Plan]],base_de_datos[[#This Row],[Horas totales]]="N/A")),1,0)</f>
        <v>0</v>
      </c>
      <c r="AC34" s="93" t="e">
        <f>_xlfn.XLOOKUP(base_de_datos[[#This Row],[Profesor]],Nombre,Grado)</f>
        <v>#REF!</v>
      </c>
      <c r="AD34" s="94" t="e">
        <f>_xlfn.XLOOKUP(base_de_datos[[#This Row],[Profesor]],Nombre,Tipo)</f>
        <v>#REF!</v>
      </c>
      <c r="AE34" s="93">
        <f>IF(IFERROR(VLOOKUP($C34,Planes_de_estudio[],MATCH($AE$2,Carreras,0)+2,0),"")&gt;0,IFERROR(VLOOKUP($C34,Planes_de_estudio[],MATCH($AE$2,Carreras,0)+2,0),""),"")</f>
        <v>1</v>
      </c>
      <c r="AF34" s="93">
        <f>IF(IFERROR(VLOOKUP($C34,Planes_de_estudio[],MATCH($AF$2,Carreras,0)+2,0),"")&gt;0,IFERROR(VLOOKUP($C34,Planes_de_estudio[],MATCH($AF$2,Carreras,0)+2,0),""),"")</f>
        <v>1</v>
      </c>
      <c r="AG34" s="93">
        <f>IF(IFERROR(VLOOKUP($C34,Planes_de_estudio[],MATCH($AG$2,Carreras,0)+2,0),"")&gt;0,IFERROR(VLOOKUP($C34,Planes_de_estudio[],MATCH($AG$2,Carreras,0)+2,0),""),"")</f>
        <v>1</v>
      </c>
      <c r="AH34" s="93">
        <f>IF(IFERROR(VLOOKUP($C34,Planes_de_estudio[],MATCH($AH$2,Carreras,0)+2,0),"")&gt;0,IFERROR(VLOOKUP($C34,Planes_de_estudio[],MATCH($AH$2,Carreras,0)+2,0),""),"")</f>
        <v>1</v>
      </c>
      <c r="AI34" s="93">
        <f>IF(IFERROR(VLOOKUP($C34,Planes_de_estudio[],MATCH($AI$2,Carreras,0)+2,0),"")&gt;0,IFERROR(VLOOKUP($C34,Planes_de_estudio[],MATCH($AI$2,Carreras,0)+2,0),""),"")</f>
        <v>1</v>
      </c>
      <c r="AJ34" s="93">
        <f>IF(IFERROR(VLOOKUP($C34,Planes_de_estudio[],MATCH($AJ$2,Carreras,0)+2,0),"")&gt;0,IFERROR(VLOOKUP($C34,Planes_de_estudio[],MATCH($AJ$2,Carreras,0)+2,0),""),"")</f>
        <v>1</v>
      </c>
      <c r="AK34" s="93">
        <f>IF(IFERROR(VLOOKUP($C34,Planes_de_estudio[],MATCH($AK$2,Carreras,0)+2,0),"")&gt;0,IFERROR(VLOOKUP($C34,Planes_de_estudio[],MATCH($AK$2,Carreras,0)+2,0),""),"")</f>
        <v>1</v>
      </c>
      <c r="AL3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3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34" s="93">
        <f>base_de_datos[[#This Row],[Pronóstico]]/25</f>
        <v>5.2</v>
      </c>
      <c r="AO34" s="93" t="str">
        <f>VLOOKUP($C34,Planes_de_estudio[],2)</f>
        <v>HUM</v>
      </c>
      <c r="AP34" s="195">
        <v>6</v>
      </c>
      <c r="AQ34" s="195">
        <v>6</v>
      </c>
      <c r="AR34" s="195">
        <v>6</v>
      </c>
      <c r="AS34" s="195">
        <v>6</v>
      </c>
      <c r="AT34" s="195">
        <v>6</v>
      </c>
      <c r="AU34" s="195">
        <v>6</v>
      </c>
      <c r="AV34" s="195">
        <v>6</v>
      </c>
      <c r="AW34" s="91"/>
      <c r="AX34" s="73"/>
    </row>
    <row r="35" spans="2:50" s="5" customFormat="1" ht="16">
      <c r="B35" s="95" t="s">
        <v>144</v>
      </c>
      <c r="C35" s="96" t="s">
        <v>145</v>
      </c>
      <c r="D35" s="92">
        <v>1</v>
      </c>
      <c r="E35" s="97">
        <v>0.39583333333333398</v>
      </c>
      <c r="F35" s="97">
        <v>0.45833333333333098</v>
      </c>
      <c r="G35" s="92"/>
      <c r="H35" s="92" t="s">
        <v>149</v>
      </c>
      <c r="I35" s="92" t="e">
        <f>INDEX(Aulas_capacidad,MATCH(base_de_datos[[#This Row],[Aula]],Aulas,0),2)</f>
        <v>#REF!</v>
      </c>
      <c r="J35" s="90">
        <v>27</v>
      </c>
      <c r="K35" s="92" t="e">
        <f>INDEX(Aulas_capacidad,MATCH(base_de_datos[[#This Row],[Aula]],Aulas,0),4)</f>
        <v>#REF!</v>
      </c>
      <c r="L35" s="98" t="e">
        <f>base_de_datos[[#This Row],[Cap 1.5]]-base_de_datos[[#This Row],[Inscritos]]</f>
        <v>#REF!</v>
      </c>
      <c r="M35" s="98" t="e">
        <f>INDEX(Aulas_capacidad,MATCH(base_de_datos[[#This Row],[Aula]],Aulas,0),5)</f>
        <v>#REF!</v>
      </c>
      <c r="N35" s="98" t="e">
        <f>base_de_datos[[#This Row],[Cap .90]]-base_de_datos[[#This Row],[Inscritos]]</f>
        <v>#REF!</v>
      </c>
      <c r="O35" s="92" t="s">
        <v>147</v>
      </c>
      <c r="P35" s="99"/>
      <c r="Q35" s="100"/>
      <c r="R35" s="99"/>
      <c r="S35" s="100"/>
      <c r="T35" s="100" t="s">
        <v>68</v>
      </c>
      <c r="U35" s="99"/>
      <c r="V35" s="99"/>
      <c r="W35" s="99" t="s">
        <v>148</v>
      </c>
      <c r="X35" s="93">
        <f>_xlfn.XLOOKUP(base_de_datos[[#This Row],[Materia]],Materias,Horas)/16</f>
        <v>3</v>
      </c>
      <c r="Y35" s="93">
        <f>ROUND(((base_de_datos[[#This Row],[Hora fin]]-base_de_datos[[#This Row],[Hora inicio]])*24)*(COUNTA(base_de_datos[[#This Row],[Lunes]:[Sábado]])),1)</f>
        <v>1.5</v>
      </c>
      <c r="Z35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35" s="93">
        <f ca="1">IF(base_de_datos[[#This Row],[No clase]]=OFFSET(base_de_datos[[#This Row],[No clase]],-1,0),0,1)</f>
        <v>0</v>
      </c>
      <c r="AB35" s="93">
        <f ca="1">IF(NOT(OR(base_de_datos[[#This Row],[Horas totales]]=base_de_datos[[#This Row],[HT Plan]],base_de_datos[[#This Row],[Horas totales]]="N/A")),1,0)</f>
        <v>0</v>
      </c>
      <c r="AC35" s="93" t="e">
        <f>_xlfn.XLOOKUP(base_de_datos[[#This Row],[Profesor]],Nombre,Grado)</f>
        <v>#REF!</v>
      </c>
      <c r="AD35" s="94" t="e">
        <f>_xlfn.XLOOKUP(base_de_datos[[#This Row],[Profesor]],Nombre,Tipo)</f>
        <v>#REF!</v>
      </c>
      <c r="AE35" s="93">
        <f>IF(IFERROR(VLOOKUP($C35,Planes_de_estudio[],MATCH($AE$2,Carreras,0)+2,0),"")&gt;0,IFERROR(VLOOKUP($C35,Planes_de_estudio[],MATCH($AE$2,Carreras,0)+2,0),""),"")</f>
        <v>1</v>
      </c>
      <c r="AF35" s="93">
        <f>IF(IFERROR(VLOOKUP($C35,Planes_de_estudio[],MATCH($AF$2,Carreras,0)+2,0),"")&gt;0,IFERROR(VLOOKUP($C35,Planes_de_estudio[],MATCH($AF$2,Carreras,0)+2,0),""),"")</f>
        <v>1</v>
      </c>
      <c r="AG35" s="93">
        <f>IF(IFERROR(VLOOKUP($C35,Planes_de_estudio[],MATCH($AG$2,Carreras,0)+2,0),"")&gt;0,IFERROR(VLOOKUP($C35,Planes_de_estudio[],MATCH($AG$2,Carreras,0)+2,0),""),"")</f>
        <v>1</v>
      </c>
      <c r="AH35" s="93">
        <f>IF(IFERROR(VLOOKUP($C35,Planes_de_estudio[],MATCH($AH$2,Carreras,0)+2,0),"")&gt;0,IFERROR(VLOOKUP($C35,Planes_de_estudio[],MATCH($AH$2,Carreras,0)+2,0),""),"")</f>
        <v>1</v>
      </c>
      <c r="AI35" s="93">
        <f>IF(IFERROR(VLOOKUP($C35,Planes_de_estudio[],MATCH($AI$2,Carreras,0)+2,0),"")&gt;0,IFERROR(VLOOKUP($C35,Planes_de_estudio[],MATCH($AI$2,Carreras,0)+2,0),""),"")</f>
        <v>1</v>
      </c>
      <c r="AJ35" s="93">
        <f>IF(IFERROR(VLOOKUP($C35,Planes_de_estudio[],MATCH($AJ$2,Carreras,0)+2,0),"")&gt;0,IFERROR(VLOOKUP($C35,Planes_de_estudio[],MATCH($AJ$2,Carreras,0)+2,0),""),"")</f>
        <v>1</v>
      </c>
      <c r="AK35" s="93">
        <f>IF(IFERROR(VLOOKUP($C35,Planes_de_estudio[],MATCH($AK$2,Carreras,0)+2,0),"")&gt;0,IFERROR(VLOOKUP($C35,Planes_de_estudio[],MATCH($AK$2,Carreras,0)+2,0),""),"")</f>
        <v>1</v>
      </c>
      <c r="AL3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3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35" s="93">
        <f>base_de_datos[[#This Row],[Pronóstico]]/25</f>
        <v>5.2</v>
      </c>
      <c r="AO35" s="93" t="str">
        <f>VLOOKUP($C35,Planes_de_estudio[],2)</f>
        <v>HUM</v>
      </c>
      <c r="AP35" s="196"/>
      <c r="AQ35" s="196"/>
      <c r="AR35" s="196"/>
      <c r="AS35" s="196"/>
      <c r="AT35" s="196"/>
      <c r="AU35" s="196"/>
      <c r="AV35" s="196"/>
      <c r="AW35" s="91"/>
      <c r="AX35" s="73"/>
    </row>
    <row r="36" spans="2:50" s="5" customFormat="1" ht="15">
      <c r="B36" s="95" t="s">
        <v>150</v>
      </c>
      <c r="C36" s="96" t="s">
        <v>145</v>
      </c>
      <c r="D36" s="92">
        <v>2</v>
      </c>
      <c r="E36" s="97">
        <v>0.39583333333333398</v>
      </c>
      <c r="F36" s="97">
        <v>0.45833333333333098</v>
      </c>
      <c r="G36" s="92"/>
      <c r="H36" s="92" t="s">
        <v>151</v>
      </c>
      <c r="I36" s="92" t="e">
        <f>INDEX(Aulas_capacidad,MATCH(base_de_datos[[#This Row],[Aula]],Aulas,0),2)</f>
        <v>#REF!</v>
      </c>
      <c r="J36" s="90">
        <v>23</v>
      </c>
      <c r="K36" s="92" t="e">
        <f>INDEX(Aulas_capacidad,MATCH(base_de_datos[[#This Row],[Aula]],Aulas,0),4)</f>
        <v>#REF!</v>
      </c>
      <c r="L36" s="98" t="e">
        <f>base_de_datos[[#This Row],[Cap 1.5]]-base_de_datos[[#This Row],[Inscritos]]</f>
        <v>#REF!</v>
      </c>
      <c r="M36" s="98" t="e">
        <f>INDEX(Aulas_capacidad,MATCH(base_de_datos[[#This Row],[Aula]],Aulas,0),5)</f>
        <v>#REF!</v>
      </c>
      <c r="N36" s="98" t="e">
        <f>base_de_datos[[#This Row],[Cap .90]]-base_de_datos[[#This Row],[Inscritos]]</f>
        <v>#REF!</v>
      </c>
      <c r="O36" s="92" t="s">
        <v>152</v>
      </c>
      <c r="P36" s="99"/>
      <c r="Q36" s="100"/>
      <c r="R36" s="99" t="s">
        <v>68</v>
      </c>
      <c r="S36" s="100"/>
      <c r="T36" s="100"/>
      <c r="U36" s="99"/>
      <c r="V36" s="99"/>
      <c r="W36" s="99" t="s">
        <v>148</v>
      </c>
      <c r="X36" s="93">
        <f>_xlfn.XLOOKUP(base_de_datos[[#This Row],[Materia]],Materias,Horas)/16</f>
        <v>3</v>
      </c>
      <c r="Y36" s="93">
        <f>ROUND(((base_de_datos[[#This Row],[Hora fin]]-base_de_datos[[#This Row],[Hora inicio]])*24)*(COUNTA(base_de_datos[[#This Row],[Lunes]:[Sábado]])),1)</f>
        <v>1.5</v>
      </c>
      <c r="Z36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6" s="93">
        <f ca="1">IF(base_de_datos[[#This Row],[No clase]]=OFFSET(base_de_datos[[#This Row],[No clase]],-1,0),0,1)</f>
        <v>1</v>
      </c>
      <c r="AB36" s="93">
        <f ca="1">IF(NOT(OR(base_de_datos[[#This Row],[Horas totales]]=base_de_datos[[#This Row],[HT Plan]],base_de_datos[[#This Row],[Horas totales]]="N/A")),1,0)</f>
        <v>0</v>
      </c>
      <c r="AC36" s="93" t="e">
        <f>_xlfn.XLOOKUP(base_de_datos[[#This Row],[Profesor]],Nombre,Grado)</f>
        <v>#REF!</v>
      </c>
      <c r="AD36" s="94" t="e">
        <f>_xlfn.XLOOKUP(base_de_datos[[#This Row],[Profesor]],Nombre,Tipo)</f>
        <v>#REF!</v>
      </c>
      <c r="AE36" s="93">
        <f>IF(IFERROR(VLOOKUP($C36,Planes_de_estudio[],MATCH($AE$2,Carreras,0)+2,0),"")&gt;0,IFERROR(VLOOKUP($C36,Planes_de_estudio[],MATCH($AE$2,Carreras,0)+2,0),""),"")</f>
        <v>1</v>
      </c>
      <c r="AF36" s="93">
        <f>IF(IFERROR(VLOOKUP($C36,Planes_de_estudio[],MATCH($AF$2,Carreras,0)+2,0),"")&gt;0,IFERROR(VLOOKUP($C36,Planes_de_estudio[],MATCH($AF$2,Carreras,0)+2,0),""),"")</f>
        <v>1</v>
      </c>
      <c r="AG36" s="93">
        <f>IF(IFERROR(VLOOKUP($C36,Planes_de_estudio[],MATCH($AG$2,Carreras,0)+2,0),"")&gt;0,IFERROR(VLOOKUP($C36,Planes_de_estudio[],MATCH($AG$2,Carreras,0)+2,0),""),"")</f>
        <v>1</v>
      </c>
      <c r="AH36" s="93">
        <f>IF(IFERROR(VLOOKUP($C36,Planes_de_estudio[],MATCH($AH$2,Carreras,0)+2,0),"")&gt;0,IFERROR(VLOOKUP($C36,Planes_de_estudio[],MATCH($AH$2,Carreras,0)+2,0),""),"")</f>
        <v>1</v>
      </c>
      <c r="AI36" s="93">
        <f>IF(IFERROR(VLOOKUP($C36,Planes_de_estudio[],MATCH($AI$2,Carreras,0)+2,0),"")&gt;0,IFERROR(VLOOKUP($C36,Planes_de_estudio[],MATCH($AI$2,Carreras,0)+2,0),""),"")</f>
        <v>1</v>
      </c>
      <c r="AJ36" s="93">
        <f>IF(IFERROR(VLOOKUP($C36,Planes_de_estudio[],MATCH($AJ$2,Carreras,0)+2,0),"")&gt;0,IFERROR(VLOOKUP($C36,Planes_de_estudio[],MATCH($AJ$2,Carreras,0)+2,0),""),"")</f>
        <v>1</v>
      </c>
      <c r="AK36" s="93">
        <f>IF(IFERROR(VLOOKUP($C36,Planes_de_estudio[],MATCH($AK$2,Carreras,0)+2,0),"")&gt;0,IFERROR(VLOOKUP($C36,Planes_de_estudio[],MATCH($AK$2,Carreras,0)+2,0),""),"")</f>
        <v>1</v>
      </c>
      <c r="AL3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3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36" s="93">
        <f>base_de_datos[[#This Row],[Pronóstico]]/25</f>
        <v>5.2</v>
      </c>
      <c r="AO36" s="93" t="str">
        <f>VLOOKUP($C36,Planes_de_estudio[],2)</f>
        <v>HUM</v>
      </c>
      <c r="AP36" s="195">
        <v>6</v>
      </c>
      <c r="AQ36" s="195">
        <v>6</v>
      </c>
      <c r="AR36" s="195">
        <v>6</v>
      </c>
      <c r="AS36" s="195">
        <v>6</v>
      </c>
      <c r="AT36" s="195">
        <v>6</v>
      </c>
      <c r="AU36" s="195">
        <v>6</v>
      </c>
      <c r="AV36" s="195">
        <v>6</v>
      </c>
      <c r="AW36" s="91"/>
      <c r="AX36" s="73"/>
    </row>
    <row r="37" spans="2:50" s="5" customFormat="1" ht="16">
      <c r="B37" s="95" t="s">
        <v>150</v>
      </c>
      <c r="C37" s="96" t="s">
        <v>145</v>
      </c>
      <c r="D37" s="92">
        <v>2</v>
      </c>
      <c r="E37" s="97">
        <v>0.39583333333333398</v>
      </c>
      <c r="F37" s="97">
        <v>0.45833333333333098</v>
      </c>
      <c r="G37" s="92"/>
      <c r="H37" s="92" t="s">
        <v>153</v>
      </c>
      <c r="I37" s="92" t="e">
        <f>INDEX(Aulas_capacidad,MATCH(base_de_datos[[#This Row],[Aula]],Aulas,0),2)</f>
        <v>#REF!</v>
      </c>
      <c r="J37" s="90">
        <v>23</v>
      </c>
      <c r="K37" s="92" t="e">
        <f>INDEX(Aulas_capacidad,MATCH(base_de_datos[[#This Row],[Aula]],Aulas,0),4)</f>
        <v>#REF!</v>
      </c>
      <c r="L37" s="98" t="e">
        <f>base_de_datos[[#This Row],[Cap 1.5]]-base_de_datos[[#This Row],[Inscritos]]</f>
        <v>#REF!</v>
      </c>
      <c r="M37" s="98" t="e">
        <f>INDEX(Aulas_capacidad,MATCH(base_de_datos[[#This Row],[Aula]],Aulas,0),5)</f>
        <v>#REF!</v>
      </c>
      <c r="N37" s="98" t="e">
        <f>base_de_datos[[#This Row],[Cap .90]]-base_de_datos[[#This Row],[Inscritos]]</f>
        <v>#REF!</v>
      </c>
      <c r="O37" s="92" t="s">
        <v>152</v>
      </c>
      <c r="P37" s="99"/>
      <c r="Q37" s="100"/>
      <c r="R37" s="99"/>
      <c r="S37" s="100"/>
      <c r="T37" s="100" t="s">
        <v>68</v>
      </c>
      <c r="U37" s="99"/>
      <c r="V37" s="99"/>
      <c r="W37" s="99" t="s">
        <v>148</v>
      </c>
      <c r="X37" s="93">
        <f>_xlfn.XLOOKUP(base_de_datos[[#This Row],[Materia]],Materias,Horas)/16</f>
        <v>3</v>
      </c>
      <c r="Y37" s="93">
        <f>ROUND(((base_de_datos[[#This Row],[Hora fin]]-base_de_datos[[#This Row],[Hora inicio]])*24)*(COUNTA(base_de_datos[[#This Row],[Lunes]:[Sábado]])),1)</f>
        <v>1.5</v>
      </c>
      <c r="Z37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37" s="93">
        <f ca="1">IF(base_de_datos[[#This Row],[No clase]]=OFFSET(base_de_datos[[#This Row],[No clase]],-1,0),0,1)</f>
        <v>0</v>
      </c>
      <c r="AB37" s="93">
        <f ca="1">IF(NOT(OR(base_de_datos[[#This Row],[Horas totales]]=base_de_datos[[#This Row],[HT Plan]],base_de_datos[[#This Row],[Horas totales]]="N/A")),1,0)</f>
        <v>0</v>
      </c>
      <c r="AC37" s="93" t="e">
        <f>_xlfn.XLOOKUP(base_de_datos[[#This Row],[Profesor]],Nombre,Grado)</f>
        <v>#REF!</v>
      </c>
      <c r="AD37" s="94" t="e">
        <f>_xlfn.XLOOKUP(base_de_datos[[#This Row],[Profesor]],Nombre,Tipo)</f>
        <v>#REF!</v>
      </c>
      <c r="AE37" s="93">
        <f>IF(IFERROR(VLOOKUP($C37,Planes_de_estudio[],MATCH($AE$2,Carreras,0)+2,0),"")&gt;0,IFERROR(VLOOKUP($C37,Planes_de_estudio[],MATCH($AE$2,Carreras,0)+2,0),""),"")</f>
        <v>1</v>
      </c>
      <c r="AF37" s="93">
        <f>IF(IFERROR(VLOOKUP($C37,Planes_de_estudio[],MATCH($AF$2,Carreras,0)+2,0),"")&gt;0,IFERROR(VLOOKUP($C37,Planes_de_estudio[],MATCH($AF$2,Carreras,0)+2,0),""),"")</f>
        <v>1</v>
      </c>
      <c r="AG37" s="93">
        <f>IF(IFERROR(VLOOKUP($C37,Planes_de_estudio[],MATCH($AG$2,Carreras,0)+2,0),"")&gt;0,IFERROR(VLOOKUP($C37,Planes_de_estudio[],MATCH($AG$2,Carreras,0)+2,0),""),"")</f>
        <v>1</v>
      </c>
      <c r="AH37" s="93">
        <f>IF(IFERROR(VLOOKUP($C37,Planes_de_estudio[],MATCH($AH$2,Carreras,0)+2,0),"")&gt;0,IFERROR(VLOOKUP($C37,Planes_de_estudio[],MATCH($AH$2,Carreras,0)+2,0),""),"")</f>
        <v>1</v>
      </c>
      <c r="AI37" s="93">
        <f>IF(IFERROR(VLOOKUP($C37,Planes_de_estudio[],MATCH($AI$2,Carreras,0)+2,0),"")&gt;0,IFERROR(VLOOKUP($C37,Planes_de_estudio[],MATCH($AI$2,Carreras,0)+2,0),""),"")</f>
        <v>1</v>
      </c>
      <c r="AJ37" s="93">
        <f>IF(IFERROR(VLOOKUP($C37,Planes_de_estudio[],MATCH($AJ$2,Carreras,0)+2,0),"")&gt;0,IFERROR(VLOOKUP($C37,Planes_de_estudio[],MATCH($AJ$2,Carreras,0)+2,0),""),"")</f>
        <v>1</v>
      </c>
      <c r="AK37" s="93">
        <f>IF(IFERROR(VLOOKUP($C37,Planes_de_estudio[],MATCH($AK$2,Carreras,0)+2,0),"")&gt;0,IFERROR(VLOOKUP($C37,Planes_de_estudio[],MATCH($AK$2,Carreras,0)+2,0),""),"")</f>
        <v>1</v>
      </c>
      <c r="AL3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3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37" s="93">
        <f>base_de_datos[[#This Row],[Pronóstico]]/25</f>
        <v>5.2</v>
      </c>
      <c r="AO37" s="93" t="str">
        <f>VLOOKUP($C37,Planes_de_estudio[],2)</f>
        <v>HUM</v>
      </c>
      <c r="AP37" s="196"/>
      <c r="AQ37" s="196"/>
      <c r="AR37" s="196"/>
      <c r="AS37" s="196"/>
      <c r="AT37" s="196"/>
      <c r="AU37" s="196"/>
      <c r="AV37" s="196"/>
      <c r="AW37" s="91"/>
      <c r="AX37" s="73"/>
    </row>
    <row r="38" spans="2:50" s="5" customFormat="1" ht="15">
      <c r="B38" s="95" t="s">
        <v>154</v>
      </c>
      <c r="C38" s="96" t="s">
        <v>145</v>
      </c>
      <c r="D38" s="92">
        <v>3</v>
      </c>
      <c r="E38" s="97">
        <v>0.39583333333333398</v>
      </c>
      <c r="F38" s="97">
        <v>0.45833333333333098</v>
      </c>
      <c r="G38" s="92"/>
      <c r="H38" s="92" t="s">
        <v>155</v>
      </c>
      <c r="I38" s="92" t="e">
        <f>INDEX(Aulas_capacidad,MATCH(base_de_datos[[#This Row],[Aula]],Aulas,0),2)</f>
        <v>#REF!</v>
      </c>
      <c r="J38" s="90">
        <v>25</v>
      </c>
      <c r="K38" s="92" t="e">
        <f>INDEX(Aulas_capacidad,MATCH(base_de_datos[[#This Row],[Aula]],Aulas,0),4)</f>
        <v>#REF!</v>
      </c>
      <c r="L38" s="98" t="e">
        <f>base_de_datos[[#This Row],[Cap 1.5]]-base_de_datos[[#This Row],[Inscritos]]</f>
        <v>#REF!</v>
      </c>
      <c r="M38" s="98" t="e">
        <f>INDEX(Aulas_capacidad,MATCH(base_de_datos[[#This Row],[Aula]],Aulas,0),5)</f>
        <v>#REF!</v>
      </c>
      <c r="N38" s="98" t="e">
        <f>base_de_datos[[#This Row],[Cap .90]]-base_de_datos[[#This Row],[Inscritos]]</f>
        <v>#REF!</v>
      </c>
      <c r="O38" s="92" t="s">
        <v>156</v>
      </c>
      <c r="P38" s="99"/>
      <c r="Q38" s="100"/>
      <c r="R38" s="99" t="s">
        <v>68</v>
      </c>
      <c r="S38" s="100"/>
      <c r="T38" s="100"/>
      <c r="U38" s="99"/>
      <c r="V38" s="99"/>
      <c r="W38" s="99" t="s">
        <v>148</v>
      </c>
      <c r="X38" s="93">
        <f>_xlfn.XLOOKUP(base_de_datos[[#This Row],[Materia]],Materias,Horas)/16</f>
        <v>3</v>
      </c>
      <c r="Y38" s="93">
        <f>ROUND(((base_de_datos[[#This Row],[Hora fin]]-base_de_datos[[#This Row],[Hora inicio]])*24)*(COUNTA(base_de_datos[[#This Row],[Lunes]:[Sábado]])),1)</f>
        <v>1.5</v>
      </c>
      <c r="Z38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8" s="93">
        <f ca="1">IF(base_de_datos[[#This Row],[No clase]]=OFFSET(base_de_datos[[#This Row],[No clase]],-1,0),0,1)</f>
        <v>1</v>
      </c>
      <c r="AB38" s="93">
        <f ca="1">IF(NOT(OR(base_de_datos[[#This Row],[Horas totales]]=base_de_datos[[#This Row],[HT Plan]],base_de_datos[[#This Row],[Horas totales]]="N/A")),1,0)</f>
        <v>0</v>
      </c>
      <c r="AC38" s="93" t="e">
        <f>_xlfn.XLOOKUP(base_de_datos[[#This Row],[Profesor]],Nombre,Grado)</f>
        <v>#REF!</v>
      </c>
      <c r="AD38" s="94" t="e">
        <f>_xlfn.XLOOKUP(base_de_datos[[#This Row],[Profesor]],Nombre,Tipo)</f>
        <v>#REF!</v>
      </c>
      <c r="AE38" s="93">
        <f>IF(IFERROR(VLOOKUP($C38,Planes_de_estudio[],MATCH($AE$2,Carreras,0)+2,0),"")&gt;0,IFERROR(VLOOKUP($C38,Planes_de_estudio[],MATCH($AE$2,Carreras,0)+2,0),""),"")</f>
        <v>1</v>
      </c>
      <c r="AF38" s="93">
        <f>IF(IFERROR(VLOOKUP($C38,Planes_de_estudio[],MATCH($AF$2,Carreras,0)+2,0),"")&gt;0,IFERROR(VLOOKUP($C38,Planes_de_estudio[],MATCH($AF$2,Carreras,0)+2,0),""),"")</f>
        <v>1</v>
      </c>
      <c r="AG38" s="93">
        <f>IF(IFERROR(VLOOKUP($C38,Planes_de_estudio[],MATCH($AG$2,Carreras,0)+2,0),"")&gt;0,IFERROR(VLOOKUP($C38,Planes_de_estudio[],MATCH($AG$2,Carreras,0)+2,0),""),"")</f>
        <v>1</v>
      </c>
      <c r="AH38" s="93">
        <f>IF(IFERROR(VLOOKUP($C38,Planes_de_estudio[],MATCH($AH$2,Carreras,0)+2,0),"")&gt;0,IFERROR(VLOOKUP($C38,Planes_de_estudio[],MATCH($AH$2,Carreras,0)+2,0),""),"")</f>
        <v>1</v>
      </c>
      <c r="AI38" s="93">
        <f>IF(IFERROR(VLOOKUP($C38,Planes_de_estudio[],MATCH($AI$2,Carreras,0)+2,0),"")&gt;0,IFERROR(VLOOKUP($C38,Planes_de_estudio[],MATCH($AI$2,Carreras,0)+2,0),""),"")</f>
        <v>1</v>
      </c>
      <c r="AJ38" s="93">
        <f>IF(IFERROR(VLOOKUP($C38,Planes_de_estudio[],MATCH($AJ$2,Carreras,0)+2,0),"")&gt;0,IFERROR(VLOOKUP($C38,Planes_de_estudio[],MATCH($AJ$2,Carreras,0)+2,0),""),"")</f>
        <v>1</v>
      </c>
      <c r="AK38" s="93">
        <f>IF(IFERROR(VLOOKUP($C38,Planes_de_estudio[],MATCH($AK$2,Carreras,0)+2,0),"")&gt;0,IFERROR(VLOOKUP($C38,Planes_de_estudio[],MATCH($AK$2,Carreras,0)+2,0),""),"")</f>
        <v>1</v>
      </c>
      <c r="AL3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3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38" s="93">
        <f>base_de_datos[[#This Row],[Pronóstico]]/25</f>
        <v>5.2</v>
      </c>
      <c r="AO38" s="93" t="str">
        <f>VLOOKUP($C38,Planes_de_estudio[],2)</f>
        <v>HUM</v>
      </c>
      <c r="AP38" s="195">
        <v>6</v>
      </c>
      <c r="AQ38" s="195">
        <v>6</v>
      </c>
      <c r="AR38" s="195">
        <v>6</v>
      </c>
      <c r="AS38" s="195">
        <v>6</v>
      </c>
      <c r="AT38" s="195">
        <v>6</v>
      </c>
      <c r="AU38" s="195">
        <v>6</v>
      </c>
      <c r="AV38" s="195">
        <v>6</v>
      </c>
      <c r="AW38" s="91"/>
      <c r="AX38" s="73"/>
    </row>
    <row r="39" spans="2:50" s="5" customFormat="1" ht="16">
      <c r="B39" s="95" t="s">
        <v>154</v>
      </c>
      <c r="C39" s="96" t="s">
        <v>145</v>
      </c>
      <c r="D39" s="92">
        <v>3</v>
      </c>
      <c r="E39" s="97">
        <v>0.39583333333333398</v>
      </c>
      <c r="F39" s="97">
        <v>0.45833333333333098</v>
      </c>
      <c r="G39" s="92"/>
      <c r="H39" s="92" t="s">
        <v>151</v>
      </c>
      <c r="I39" s="92" t="e">
        <f>INDEX(Aulas_capacidad,MATCH(base_de_datos[[#This Row],[Aula]],Aulas,0),2)</f>
        <v>#REF!</v>
      </c>
      <c r="J39" s="90">
        <v>25</v>
      </c>
      <c r="K39" s="92" t="e">
        <f>INDEX(Aulas_capacidad,MATCH(base_de_datos[[#This Row],[Aula]],Aulas,0),4)</f>
        <v>#REF!</v>
      </c>
      <c r="L39" s="98" t="e">
        <f>base_de_datos[[#This Row],[Cap 1.5]]-base_de_datos[[#This Row],[Inscritos]]</f>
        <v>#REF!</v>
      </c>
      <c r="M39" s="98" t="e">
        <f>INDEX(Aulas_capacidad,MATCH(base_de_datos[[#This Row],[Aula]],Aulas,0),5)</f>
        <v>#REF!</v>
      </c>
      <c r="N39" s="98" t="e">
        <f>base_de_datos[[#This Row],[Cap .90]]-base_de_datos[[#This Row],[Inscritos]]</f>
        <v>#REF!</v>
      </c>
      <c r="O39" s="92" t="s">
        <v>156</v>
      </c>
      <c r="P39" s="99"/>
      <c r="Q39" s="100"/>
      <c r="R39" s="99"/>
      <c r="S39" s="100"/>
      <c r="T39" s="100" t="s">
        <v>68</v>
      </c>
      <c r="U39" s="99"/>
      <c r="V39" s="99"/>
      <c r="W39" s="99" t="s">
        <v>148</v>
      </c>
      <c r="X39" s="93">
        <f>_xlfn.XLOOKUP(base_de_datos[[#This Row],[Materia]],Materias,Horas)/16</f>
        <v>3</v>
      </c>
      <c r="Y39" s="93">
        <f>ROUND(((base_de_datos[[#This Row],[Hora fin]]-base_de_datos[[#This Row],[Hora inicio]])*24)*(COUNTA(base_de_datos[[#This Row],[Lunes]:[Sábado]])),1)</f>
        <v>1.5</v>
      </c>
      <c r="Z39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39" s="93">
        <f ca="1">IF(base_de_datos[[#This Row],[No clase]]=OFFSET(base_de_datos[[#This Row],[No clase]],-1,0),0,1)</f>
        <v>0</v>
      </c>
      <c r="AB39" s="93">
        <f ca="1">IF(NOT(OR(base_de_datos[[#This Row],[Horas totales]]=base_de_datos[[#This Row],[HT Plan]],base_de_datos[[#This Row],[Horas totales]]="N/A")),1,0)</f>
        <v>0</v>
      </c>
      <c r="AC39" s="93" t="e">
        <f>_xlfn.XLOOKUP(base_de_datos[[#This Row],[Profesor]],Nombre,Grado)</f>
        <v>#REF!</v>
      </c>
      <c r="AD39" s="94" t="e">
        <f>_xlfn.XLOOKUP(base_de_datos[[#This Row],[Profesor]],Nombre,Tipo)</f>
        <v>#REF!</v>
      </c>
      <c r="AE39" s="93">
        <f>IF(IFERROR(VLOOKUP($C39,Planes_de_estudio[],MATCH($AE$2,Carreras,0)+2,0),"")&gt;0,IFERROR(VLOOKUP($C39,Planes_de_estudio[],MATCH($AE$2,Carreras,0)+2,0),""),"")</f>
        <v>1</v>
      </c>
      <c r="AF39" s="93">
        <f>IF(IFERROR(VLOOKUP($C39,Planes_de_estudio[],MATCH($AF$2,Carreras,0)+2,0),"")&gt;0,IFERROR(VLOOKUP($C39,Planes_de_estudio[],MATCH($AF$2,Carreras,0)+2,0),""),"")</f>
        <v>1</v>
      </c>
      <c r="AG39" s="93">
        <f>IF(IFERROR(VLOOKUP($C39,Planes_de_estudio[],MATCH($AG$2,Carreras,0)+2,0),"")&gt;0,IFERROR(VLOOKUP($C39,Planes_de_estudio[],MATCH($AG$2,Carreras,0)+2,0),""),"")</f>
        <v>1</v>
      </c>
      <c r="AH39" s="93">
        <f>IF(IFERROR(VLOOKUP($C39,Planes_de_estudio[],MATCH($AH$2,Carreras,0)+2,0),"")&gt;0,IFERROR(VLOOKUP($C39,Planes_de_estudio[],MATCH($AH$2,Carreras,0)+2,0),""),"")</f>
        <v>1</v>
      </c>
      <c r="AI39" s="93">
        <f>IF(IFERROR(VLOOKUP($C39,Planes_de_estudio[],MATCH($AI$2,Carreras,0)+2,0),"")&gt;0,IFERROR(VLOOKUP($C39,Planes_de_estudio[],MATCH($AI$2,Carreras,0)+2,0),""),"")</f>
        <v>1</v>
      </c>
      <c r="AJ39" s="93">
        <f>IF(IFERROR(VLOOKUP($C39,Planes_de_estudio[],MATCH($AJ$2,Carreras,0)+2,0),"")&gt;0,IFERROR(VLOOKUP($C39,Planes_de_estudio[],MATCH($AJ$2,Carreras,0)+2,0),""),"")</f>
        <v>1</v>
      </c>
      <c r="AK39" s="93">
        <f>IF(IFERROR(VLOOKUP($C39,Planes_de_estudio[],MATCH($AK$2,Carreras,0)+2,0),"")&gt;0,IFERROR(VLOOKUP($C39,Planes_de_estudio[],MATCH($AK$2,Carreras,0)+2,0),""),"")</f>
        <v>1</v>
      </c>
      <c r="AL3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3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39" s="93">
        <f>base_de_datos[[#This Row],[Pronóstico]]/25</f>
        <v>5.2</v>
      </c>
      <c r="AO39" s="93" t="str">
        <f>VLOOKUP($C39,Planes_de_estudio[],2)</f>
        <v>HUM</v>
      </c>
      <c r="AP39" s="196"/>
      <c r="AQ39" s="196"/>
      <c r="AR39" s="196"/>
      <c r="AS39" s="196"/>
      <c r="AT39" s="196"/>
      <c r="AU39" s="196"/>
      <c r="AV39" s="196"/>
      <c r="AW39" s="91"/>
      <c r="AX39" s="73"/>
    </row>
    <row r="40" spans="2:50" s="5" customFormat="1" ht="15">
      <c r="B40" s="95" t="s">
        <v>157</v>
      </c>
      <c r="C40" s="96" t="s">
        <v>145</v>
      </c>
      <c r="D40" s="92">
        <v>4</v>
      </c>
      <c r="E40" s="97">
        <v>0.39583333333333398</v>
      </c>
      <c r="F40" s="97">
        <v>0.45833333333333098</v>
      </c>
      <c r="G40" s="92"/>
      <c r="H40" s="92" t="s">
        <v>153</v>
      </c>
      <c r="I40" s="92" t="e">
        <f>INDEX(Aulas_capacidad,MATCH(base_de_datos[[#This Row],[Aula]],Aulas,0),2)</f>
        <v>#REF!</v>
      </c>
      <c r="J40" s="90">
        <v>20</v>
      </c>
      <c r="K40" s="92" t="e">
        <f>INDEX(Aulas_capacidad,MATCH(base_de_datos[[#This Row],[Aula]],Aulas,0),4)</f>
        <v>#REF!</v>
      </c>
      <c r="L40" s="98" t="e">
        <f>base_de_datos[[#This Row],[Cap 1.5]]-base_de_datos[[#This Row],[Inscritos]]</f>
        <v>#REF!</v>
      </c>
      <c r="M40" s="98" t="e">
        <f>INDEX(Aulas_capacidad,MATCH(base_de_datos[[#This Row],[Aula]],Aulas,0),5)</f>
        <v>#REF!</v>
      </c>
      <c r="N40" s="98" t="e">
        <f>base_de_datos[[#This Row],[Cap .90]]-base_de_datos[[#This Row],[Inscritos]]</f>
        <v>#REF!</v>
      </c>
      <c r="O40" s="92" t="s">
        <v>158</v>
      </c>
      <c r="P40" s="99"/>
      <c r="Q40" s="100"/>
      <c r="R40" s="99" t="s">
        <v>68</v>
      </c>
      <c r="S40" s="100"/>
      <c r="T40" s="100"/>
      <c r="U40" s="99"/>
      <c r="V40" s="99"/>
      <c r="W40" s="99" t="s">
        <v>148</v>
      </c>
      <c r="X40" s="93">
        <f>_xlfn.XLOOKUP(base_de_datos[[#This Row],[Materia]],Materias,Horas)/16</f>
        <v>3</v>
      </c>
      <c r="Y40" s="93">
        <f>ROUND(((base_de_datos[[#This Row],[Hora fin]]-base_de_datos[[#This Row],[Hora inicio]])*24)*(COUNTA(base_de_datos[[#This Row],[Lunes]:[Sábado]])),1)</f>
        <v>1.5</v>
      </c>
      <c r="Z40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0" s="93">
        <f ca="1">IF(base_de_datos[[#This Row],[No clase]]=OFFSET(base_de_datos[[#This Row],[No clase]],-1,0),0,1)</f>
        <v>1</v>
      </c>
      <c r="AB40" s="93">
        <f ca="1">IF(NOT(OR(base_de_datos[[#This Row],[Horas totales]]=base_de_datos[[#This Row],[HT Plan]],base_de_datos[[#This Row],[Horas totales]]="N/A")),1,0)</f>
        <v>0</v>
      </c>
      <c r="AC40" s="93" t="e">
        <f>_xlfn.XLOOKUP(base_de_datos[[#This Row],[Profesor]],Nombre,Grado)</f>
        <v>#REF!</v>
      </c>
      <c r="AD40" s="94" t="e">
        <f>_xlfn.XLOOKUP(base_de_datos[[#This Row],[Profesor]],Nombre,Tipo)</f>
        <v>#REF!</v>
      </c>
      <c r="AE40" s="93">
        <f>IF(IFERROR(VLOOKUP($C40,Planes_de_estudio[],MATCH($AE$2,Carreras,0)+2,0),"")&gt;0,IFERROR(VLOOKUP($C40,Planes_de_estudio[],MATCH($AE$2,Carreras,0)+2,0),""),"")</f>
        <v>1</v>
      </c>
      <c r="AF40" s="93">
        <f>IF(IFERROR(VLOOKUP($C40,Planes_de_estudio[],MATCH($AF$2,Carreras,0)+2,0),"")&gt;0,IFERROR(VLOOKUP($C40,Planes_de_estudio[],MATCH($AF$2,Carreras,0)+2,0),""),"")</f>
        <v>1</v>
      </c>
      <c r="AG40" s="93">
        <f>IF(IFERROR(VLOOKUP($C40,Planes_de_estudio[],MATCH($AG$2,Carreras,0)+2,0),"")&gt;0,IFERROR(VLOOKUP($C40,Planes_de_estudio[],MATCH($AG$2,Carreras,0)+2,0),""),"")</f>
        <v>1</v>
      </c>
      <c r="AH40" s="93">
        <f>IF(IFERROR(VLOOKUP($C40,Planes_de_estudio[],MATCH($AH$2,Carreras,0)+2,0),"")&gt;0,IFERROR(VLOOKUP($C40,Planes_de_estudio[],MATCH($AH$2,Carreras,0)+2,0),""),"")</f>
        <v>1</v>
      </c>
      <c r="AI40" s="93">
        <f>IF(IFERROR(VLOOKUP($C40,Planes_de_estudio[],MATCH($AI$2,Carreras,0)+2,0),"")&gt;0,IFERROR(VLOOKUP($C40,Planes_de_estudio[],MATCH($AI$2,Carreras,0)+2,0),""),"")</f>
        <v>1</v>
      </c>
      <c r="AJ40" s="93">
        <f>IF(IFERROR(VLOOKUP($C40,Planes_de_estudio[],MATCH($AJ$2,Carreras,0)+2,0),"")&gt;0,IFERROR(VLOOKUP($C40,Planes_de_estudio[],MATCH($AJ$2,Carreras,0)+2,0),""),"")</f>
        <v>1</v>
      </c>
      <c r="AK40" s="93">
        <f>IF(IFERROR(VLOOKUP($C40,Planes_de_estudio[],MATCH($AK$2,Carreras,0)+2,0),"")&gt;0,IFERROR(VLOOKUP($C40,Planes_de_estudio[],MATCH($AK$2,Carreras,0)+2,0),""),"")</f>
        <v>1</v>
      </c>
      <c r="AL4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4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40" s="93">
        <f>base_de_datos[[#This Row],[Pronóstico]]/25</f>
        <v>5.2</v>
      </c>
      <c r="AO40" s="93" t="str">
        <f>VLOOKUP($C40,Planes_de_estudio[],2)</f>
        <v>HUM</v>
      </c>
      <c r="AP40" s="195">
        <v>6</v>
      </c>
      <c r="AQ40" s="195">
        <v>6</v>
      </c>
      <c r="AR40" s="195">
        <v>6</v>
      </c>
      <c r="AS40" s="195">
        <v>6</v>
      </c>
      <c r="AT40" s="195">
        <v>6</v>
      </c>
      <c r="AU40" s="195">
        <v>6</v>
      </c>
      <c r="AV40" s="195">
        <v>6</v>
      </c>
      <c r="AW40" s="91"/>
      <c r="AX40" s="73"/>
    </row>
    <row r="41" spans="2:50" s="5" customFormat="1" ht="16">
      <c r="B41" s="95" t="s">
        <v>157</v>
      </c>
      <c r="C41" s="96" t="s">
        <v>145</v>
      </c>
      <c r="D41" s="92">
        <v>4</v>
      </c>
      <c r="E41" s="97">
        <v>0.39583333333333398</v>
      </c>
      <c r="F41" s="97">
        <v>0.45833333333333098</v>
      </c>
      <c r="G41" s="92"/>
      <c r="H41" s="92" t="s">
        <v>159</v>
      </c>
      <c r="I41" s="92" t="e">
        <f>INDEX(Aulas_capacidad,MATCH(base_de_datos[[#This Row],[Aula]],Aulas,0),2)</f>
        <v>#REF!</v>
      </c>
      <c r="J41" s="90">
        <v>20</v>
      </c>
      <c r="K41" s="92" t="e">
        <f>INDEX(Aulas_capacidad,MATCH(base_de_datos[[#This Row],[Aula]],Aulas,0),4)</f>
        <v>#REF!</v>
      </c>
      <c r="L41" s="98" t="e">
        <f>base_de_datos[[#This Row],[Cap 1.5]]-base_de_datos[[#This Row],[Inscritos]]</f>
        <v>#REF!</v>
      </c>
      <c r="M41" s="98" t="e">
        <f>INDEX(Aulas_capacidad,MATCH(base_de_datos[[#This Row],[Aula]],Aulas,0),5)</f>
        <v>#REF!</v>
      </c>
      <c r="N41" s="98" t="e">
        <f>base_de_datos[[#This Row],[Cap .90]]-base_de_datos[[#This Row],[Inscritos]]</f>
        <v>#REF!</v>
      </c>
      <c r="O41" s="92" t="s">
        <v>158</v>
      </c>
      <c r="P41" s="99"/>
      <c r="Q41" s="100"/>
      <c r="R41" s="99"/>
      <c r="S41" s="100"/>
      <c r="T41" s="100" t="s">
        <v>68</v>
      </c>
      <c r="U41" s="99"/>
      <c r="V41" s="99"/>
      <c r="W41" s="99" t="s">
        <v>148</v>
      </c>
      <c r="X41" s="93">
        <f>_xlfn.XLOOKUP(base_de_datos[[#This Row],[Materia]],Materias,Horas)/16</f>
        <v>3</v>
      </c>
      <c r="Y41" s="93">
        <f>ROUND(((base_de_datos[[#This Row],[Hora fin]]-base_de_datos[[#This Row],[Hora inicio]])*24)*(COUNTA(base_de_datos[[#This Row],[Lunes]:[Sábado]])),1)</f>
        <v>1.5</v>
      </c>
      <c r="Z41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41" s="93">
        <f ca="1">IF(base_de_datos[[#This Row],[No clase]]=OFFSET(base_de_datos[[#This Row],[No clase]],-1,0),0,1)</f>
        <v>0</v>
      </c>
      <c r="AB41" s="93">
        <f ca="1">IF(NOT(OR(base_de_datos[[#This Row],[Horas totales]]=base_de_datos[[#This Row],[HT Plan]],base_de_datos[[#This Row],[Horas totales]]="N/A")),1,0)</f>
        <v>0</v>
      </c>
      <c r="AC41" s="93" t="e">
        <f>_xlfn.XLOOKUP(base_de_datos[[#This Row],[Profesor]],Nombre,Grado)</f>
        <v>#REF!</v>
      </c>
      <c r="AD41" s="94" t="e">
        <f>_xlfn.XLOOKUP(base_de_datos[[#This Row],[Profesor]],Nombre,Tipo)</f>
        <v>#REF!</v>
      </c>
      <c r="AE41" s="93">
        <f>IF(IFERROR(VLOOKUP($C41,Planes_de_estudio[],MATCH($AE$2,Carreras,0)+2,0),"")&gt;0,IFERROR(VLOOKUP($C41,Planes_de_estudio[],MATCH($AE$2,Carreras,0)+2,0),""),"")</f>
        <v>1</v>
      </c>
      <c r="AF41" s="93">
        <f>IF(IFERROR(VLOOKUP($C41,Planes_de_estudio[],MATCH($AF$2,Carreras,0)+2,0),"")&gt;0,IFERROR(VLOOKUP($C41,Planes_de_estudio[],MATCH($AF$2,Carreras,0)+2,0),""),"")</f>
        <v>1</v>
      </c>
      <c r="AG41" s="93">
        <f>IF(IFERROR(VLOOKUP($C41,Planes_de_estudio[],MATCH($AG$2,Carreras,0)+2,0),"")&gt;0,IFERROR(VLOOKUP($C41,Planes_de_estudio[],MATCH($AG$2,Carreras,0)+2,0),""),"")</f>
        <v>1</v>
      </c>
      <c r="AH41" s="93">
        <f>IF(IFERROR(VLOOKUP($C41,Planes_de_estudio[],MATCH($AH$2,Carreras,0)+2,0),"")&gt;0,IFERROR(VLOOKUP($C41,Planes_de_estudio[],MATCH($AH$2,Carreras,0)+2,0),""),"")</f>
        <v>1</v>
      </c>
      <c r="AI41" s="93">
        <f>IF(IFERROR(VLOOKUP($C41,Planes_de_estudio[],MATCH($AI$2,Carreras,0)+2,0),"")&gt;0,IFERROR(VLOOKUP($C41,Planes_de_estudio[],MATCH($AI$2,Carreras,0)+2,0),""),"")</f>
        <v>1</v>
      </c>
      <c r="AJ41" s="93">
        <f>IF(IFERROR(VLOOKUP($C41,Planes_de_estudio[],MATCH($AJ$2,Carreras,0)+2,0),"")&gt;0,IFERROR(VLOOKUP($C41,Planes_de_estudio[],MATCH($AJ$2,Carreras,0)+2,0),""),"")</f>
        <v>1</v>
      </c>
      <c r="AK41" s="93">
        <f>IF(IFERROR(VLOOKUP($C41,Planes_de_estudio[],MATCH($AK$2,Carreras,0)+2,0),"")&gt;0,IFERROR(VLOOKUP($C41,Planes_de_estudio[],MATCH($AK$2,Carreras,0)+2,0),""),"")</f>
        <v>1</v>
      </c>
      <c r="AL4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4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41" s="93">
        <f>base_de_datos[[#This Row],[Pronóstico]]/25</f>
        <v>5.2</v>
      </c>
      <c r="AO41" s="93" t="str">
        <f>VLOOKUP($C41,Planes_de_estudio[],2)</f>
        <v>HUM</v>
      </c>
      <c r="AP41" s="196"/>
      <c r="AQ41" s="196"/>
      <c r="AR41" s="196"/>
      <c r="AS41" s="196"/>
      <c r="AT41" s="196"/>
      <c r="AU41" s="196"/>
      <c r="AV41" s="196"/>
      <c r="AW41" s="91"/>
      <c r="AX41" s="73"/>
    </row>
    <row r="42" spans="2:50" s="5" customFormat="1" ht="15">
      <c r="B42" s="95" t="s">
        <v>160</v>
      </c>
      <c r="C42" s="96" t="s">
        <v>145</v>
      </c>
      <c r="D42" s="92">
        <v>5</v>
      </c>
      <c r="E42" s="97">
        <v>0.39583333333333398</v>
      </c>
      <c r="F42" s="97">
        <v>0.45833333333333098</v>
      </c>
      <c r="G42" s="92"/>
      <c r="H42" s="92" t="s">
        <v>115</v>
      </c>
      <c r="I42" s="92" t="e">
        <f>INDEX(Aulas_capacidad,MATCH(base_de_datos[[#This Row],[Aula]],Aulas,0),2)</f>
        <v>#REF!</v>
      </c>
      <c r="J42" s="90">
        <v>26</v>
      </c>
      <c r="K42" s="92" t="e">
        <f>INDEX(Aulas_capacidad,MATCH(base_de_datos[[#This Row],[Aula]],Aulas,0),4)</f>
        <v>#REF!</v>
      </c>
      <c r="L42" s="98" t="e">
        <f>base_de_datos[[#This Row],[Cap 1.5]]-base_de_datos[[#This Row],[Inscritos]]</f>
        <v>#REF!</v>
      </c>
      <c r="M42" s="98" t="e">
        <f>INDEX(Aulas_capacidad,MATCH(base_de_datos[[#This Row],[Aula]],Aulas,0),5)</f>
        <v>#REF!</v>
      </c>
      <c r="N42" s="98" t="e">
        <f>base_de_datos[[#This Row],[Cap .90]]-base_de_datos[[#This Row],[Inscritos]]</f>
        <v>#REF!</v>
      </c>
      <c r="O42" s="92" t="s">
        <v>161</v>
      </c>
      <c r="P42" s="99"/>
      <c r="Q42" s="100"/>
      <c r="R42" s="99" t="s">
        <v>68</v>
      </c>
      <c r="S42" s="100"/>
      <c r="T42" s="100"/>
      <c r="U42" s="99"/>
      <c r="V42" s="99"/>
      <c r="W42" s="99" t="s">
        <v>148</v>
      </c>
      <c r="X42" s="101">
        <f>_xlfn.XLOOKUP(base_de_datos[[#This Row],[Materia]],Materias,Horas)/16</f>
        <v>3</v>
      </c>
      <c r="Y42" s="101">
        <f>ROUND(((base_de_datos[[#This Row],[Hora fin]]-base_de_datos[[#This Row],[Hora inicio]])*24)*(COUNTA(base_de_datos[[#This Row],[Lunes]:[Sábado]])),1)</f>
        <v>1.5</v>
      </c>
      <c r="Z42" s="101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2" s="93">
        <f ca="1">IF(base_de_datos[[#This Row],[No clase]]=OFFSET(base_de_datos[[#This Row],[No clase]],-1,0),0,1)</f>
        <v>1</v>
      </c>
      <c r="AB42" s="93">
        <f ca="1">IF(NOT(OR(base_de_datos[[#This Row],[Horas totales]]=base_de_datos[[#This Row],[HT Plan]],base_de_datos[[#This Row],[Horas totales]]="N/A")),1,0)</f>
        <v>0</v>
      </c>
      <c r="AC42" s="93" t="e">
        <f>_xlfn.XLOOKUP(base_de_datos[[#This Row],[Profesor]],Nombre,Grado)</f>
        <v>#REF!</v>
      </c>
      <c r="AD42" s="94" t="e">
        <f>_xlfn.XLOOKUP(base_de_datos[[#This Row],[Profesor]],Nombre,Tipo)</f>
        <v>#REF!</v>
      </c>
      <c r="AE42" s="93">
        <f>IF(IFERROR(VLOOKUP($C42,Planes_de_estudio[],MATCH($AE$2,Carreras,0)+2,0),"")&gt;0,IFERROR(VLOOKUP($C42,Planes_de_estudio[],MATCH($AE$2,Carreras,0)+2,0),""),"")</f>
        <v>1</v>
      </c>
      <c r="AF42" s="93">
        <f>IF(IFERROR(VLOOKUP($C42,Planes_de_estudio[],MATCH($AF$2,Carreras,0)+2,0),"")&gt;0,IFERROR(VLOOKUP($C42,Planes_de_estudio[],MATCH($AF$2,Carreras,0)+2,0),""),"")</f>
        <v>1</v>
      </c>
      <c r="AG42" s="93">
        <f>IF(IFERROR(VLOOKUP($C42,Planes_de_estudio[],MATCH($AG$2,Carreras,0)+2,0),"")&gt;0,IFERROR(VLOOKUP($C42,Planes_de_estudio[],MATCH($AG$2,Carreras,0)+2,0),""),"")</f>
        <v>1</v>
      </c>
      <c r="AH42" s="93">
        <f>IF(IFERROR(VLOOKUP($C42,Planes_de_estudio[],MATCH($AH$2,Carreras,0)+2,0),"")&gt;0,IFERROR(VLOOKUP($C42,Planes_de_estudio[],MATCH($AH$2,Carreras,0)+2,0),""),"")</f>
        <v>1</v>
      </c>
      <c r="AI42" s="93">
        <f>IF(IFERROR(VLOOKUP($C42,Planes_de_estudio[],MATCH($AI$2,Carreras,0)+2,0),"")&gt;0,IFERROR(VLOOKUP($C42,Planes_de_estudio[],MATCH($AI$2,Carreras,0)+2,0),""),"")</f>
        <v>1</v>
      </c>
      <c r="AJ42" s="93">
        <f>IF(IFERROR(VLOOKUP($C42,Planes_de_estudio[],MATCH($AJ$2,Carreras,0)+2,0),"")&gt;0,IFERROR(VLOOKUP($C42,Planes_de_estudio[],MATCH($AJ$2,Carreras,0)+2,0),""),"")</f>
        <v>1</v>
      </c>
      <c r="AK42" s="93">
        <f>IF(IFERROR(VLOOKUP($C42,Planes_de_estudio[],MATCH($AK$2,Carreras,0)+2,0),"")&gt;0,IFERROR(VLOOKUP($C42,Planes_de_estudio[],MATCH($AK$2,Carreras,0)+2,0),""),"")</f>
        <v>1</v>
      </c>
      <c r="AL4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4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42" s="93">
        <f>base_de_datos[[#This Row],[Pronóstico]]/25</f>
        <v>5.2</v>
      </c>
      <c r="AO42" s="93" t="str">
        <f>VLOOKUP($C42,Planes_de_estudio[],2)</f>
        <v>HUM</v>
      </c>
      <c r="AP42" s="195">
        <v>6</v>
      </c>
      <c r="AQ42" s="195">
        <v>6</v>
      </c>
      <c r="AR42" s="195">
        <v>6</v>
      </c>
      <c r="AS42" s="195">
        <v>6</v>
      </c>
      <c r="AT42" s="195">
        <v>6</v>
      </c>
      <c r="AU42" s="195">
        <v>6</v>
      </c>
      <c r="AV42" s="195">
        <v>6</v>
      </c>
      <c r="AW42" s="91"/>
      <c r="AX42" s="73"/>
    </row>
    <row r="43" spans="2:50" s="5" customFormat="1" ht="16">
      <c r="B43" s="95" t="s">
        <v>160</v>
      </c>
      <c r="C43" s="96" t="s">
        <v>145</v>
      </c>
      <c r="D43" s="92">
        <v>5</v>
      </c>
      <c r="E43" s="97">
        <v>0.39583333333333398</v>
      </c>
      <c r="F43" s="97">
        <v>0.45833333333333098</v>
      </c>
      <c r="G43" s="92"/>
      <c r="H43" s="92" t="s">
        <v>162</v>
      </c>
      <c r="I43" s="92" t="e">
        <f>INDEX(Aulas_capacidad,MATCH(base_de_datos[[#This Row],[Aula]],Aulas,0),2)</f>
        <v>#REF!</v>
      </c>
      <c r="J43" s="90">
        <v>26</v>
      </c>
      <c r="K43" s="92" t="e">
        <f>INDEX(Aulas_capacidad,MATCH(base_de_datos[[#This Row],[Aula]],Aulas,0),4)</f>
        <v>#REF!</v>
      </c>
      <c r="L43" s="98" t="e">
        <f>base_de_datos[[#This Row],[Cap 1.5]]-base_de_datos[[#This Row],[Inscritos]]</f>
        <v>#REF!</v>
      </c>
      <c r="M43" s="98" t="e">
        <f>INDEX(Aulas_capacidad,MATCH(base_de_datos[[#This Row],[Aula]],Aulas,0),5)</f>
        <v>#REF!</v>
      </c>
      <c r="N43" s="98" t="e">
        <f>base_de_datos[[#This Row],[Cap .90]]-base_de_datos[[#This Row],[Inscritos]]</f>
        <v>#REF!</v>
      </c>
      <c r="O43" s="92" t="s">
        <v>161</v>
      </c>
      <c r="P43" s="99"/>
      <c r="Q43" s="100"/>
      <c r="R43" s="99"/>
      <c r="S43" s="100"/>
      <c r="T43" s="100" t="s">
        <v>68</v>
      </c>
      <c r="U43" s="99"/>
      <c r="V43" s="99"/>
      <c r="W43" s="99" t="s">
        <v>148</v>
      </c>
      <c r="X43" s="101">
        <f>_xlfn.XLOOKUP(base_de_datos[[#This Row],[Materia]],Materias,Horas)/16</f>
        <v>3</v>
      </c>
      <c r="Y43" s="101">
        <f>ROUND(((base_de_datos[[#This Row],[Hora fin]]-base_de_datos[[#This Row],[Hora inicio]])*24)*(COUNTA(base_de_datos[[#This Row],[Lunes]:[Sábado]])),1)</f>
        <v>1.5</v>
      </c>
      <c r="Z43" s="101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43" s="93">
        <f ca="1">IF(base_de_datos[[#This Row],[No clase]]=OFFSET(base_de_datos[[#This Row],[No clase]],-1,0),0,1)</f>
        <v>0</v>
      </c>
      <c r="AB43" s="93">
        <f ca="1">IF(NOT(OR(base_de_datos[[#This Row],[Horas totales]]=base_de_datos[[#This Row],[HT Plan]],base_de_datos[[#This Row],[Horas totales]]="N/A")),1,0)</f>
        <v>0</v>
      </c>
      <c r="AC43" s="93" t="e">
        <f>_xlfn.XLOOKUP(base_de_datos[[#This Row],[Profesor]],Nombre,Grado)</f>
        <v>#REF!</v>
      </c>
      <c r="AD43" s="94" t="e">
        <f>_xlfn.XLOOKUP(base_de_datos[[#This Row],[Profesor]],Nombre,Tipo)</f>
        <v>#REF!</v>
      </c>
      <c r="AE43" s="93">
        <f>IF(IFERROR(VLOOKUP($C43,Planes_de_estudio[],MATCH($AE$2,Carreras,0)+2,0),"")&gt;0,IFERROR(VLOOKUP($C43,Planes_de_estudio[],MATCH($AE$2,Carreras,0)+2,0),""),"")</f>
        <v>1</v>
      </c>
      <c r="AF43" s="93">
        <f>IF(IFERROR(VLOOKUP($C43,Planes_de_estudio[],MATCH($AF$2,Carreras,0)+2,0),"")&gt;0,IFERROR(VLOOKUP($C43,Planes_de_estudio[],MATCH($AF$2,Carreras,0)+2,0),""),"")</f>
        <v>1</v>
      </c>
      <c r="AG43" s="93">
        <f>IF(IFERROR(VLOOKUP($C43,Planes_de_estudio[],MATCH($AG$2,Carreras,0)+2,0),"")&gt;0,IFERROR(VLOOKUP($C43,Planes_de_estudio[],MATCH($AG$2,Carreras,0)+2,0),""),"")</f>
        <v>1</v>
      </c>
      <c r="AH43" s="93">
        <f>IF(IFERROR(VLOOKUP($C43,Planes_de_estudio[],MATCH($AH$2,Carreras,0)+2,0),"")&gt;0,IFERROR(VLOOKUP($C43,Planes_de_estudio[],MATCH($AH$2,Carreras,0)+2,0),""),"")</f>
        <v>1</v>
      </c>
      <c r="AI43" s="93">
        <f>IF(IFERROR(VLOOKUP($C43,Planes_de_estudio[],MATCH($AI$2,Carreras,0)+2,0),"")&gt;0,IFERROR(VLOOKUP($C43,Planes_de_estudio[],MATCH($AI$2,Carreras,0)+2,0),""),"")</f>
        <v>1</v>
      </c>
      <c r="AJ43" s="93">
        <f>IF(IFERROR(VLOOKUP($C43,Planes_de_estudio[],MATCH($AJ$2,Carreras,0)+2,0),"")&gt;0,IFERROR(VLOOKUP($C43,Planes_de_estudio[],MATCH($AJ$2,Carreras,0)+2,0),""),"")</f>
        <v>1</v>
      </c>
      <c r="AK43" s="93">
        <f>IF(IFERROR(VLOOKUP($C43,Planes_de_estudio[],MATCH($AK$2,Carreras,0)+2,0),"")&gt;0,IFERROR(VLOOKUP($C43,Planes_de_estudio[],MATCH($AK$2,Carreras,0)+2,0),""),"")</f>
        <v>1</v>
      </c>
      <c r="AL4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4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43" s="93">
        <f>base_de_datos[[#This Row],[Pronóstico]]/25</f>
        <v>5.2</v>
      </c>
      <c r="AO43" s="93" t="str">
        <f>VLOOKUP($C43,Planes_de_estudio[],2)</f>
        <v>HUM</v>
      </c>
      <c r="AP43" s="196"/>
      <c r="AQ43" s="196"/>
      <c r="AR43" s="196"/>
      <c r="AS43" s="196"/>
      <c r="AT43" s="196"/>
      <c r="AU43" s="196"/>
      <c r="AV43" s="196"/>
      <c r="AW43" s="91"/>
      <c r="AX43" s="73"/>
    </row>
    <row r="44" spans="2:50" s="5" customFormat="1" ht="15">
      <c r="B44" s="95" t="s">
        <v>163</v>
      </c>
      <c r="C44" s="96" t="s">
        <v>164</v>
      </c>
      <c r="D44" s="92">
        <v>1</v>
      </c>
      <c r="E44" s="97">
        <v>0.39583333333333398</v>
      </c>
      <c r="F44" s="97">
        <v>0.45833333333333098</v>
      </c>
      <c r="G44" s="92"/>
      <c r="H44" s="92" t="s">
        <v>87</v>
      </c>
      <c r="I44" s="92" t="e">
        <f>INDEX(Aulas_capacidad,MATCH(base_de_datos[[#This Row],[Aula]],Aulas,0),2)</f>
        <v>#REF!</v>
      </c>
      <c r="J44" s="90">
        <v>17</v>
      </c>
      <c r="K44" s="92" t="e">
        <f>INDEX(Aulas_capacidad,MATCH(base_de_datos[[#This Row],[Aula]],Aulas,0),4)</f>
        <v>#REF!</v>
      </c>
      <c r="L44" s="98" t="e">
        <f>base_de_datos[[#This Row],[Cap 1.5]]-base_de_datos[[#This Row],[Inscritos]]</f>
        <v>#REF!</v>
      </c>
      <c r="M44" s="98" t="e">
        <f>INDEX(Aulas_capacidad,MATCH(base_de_datos[[#This Row],[Aula]],Aulas,0),5)</f>
        <v>#REF!</v>
      </c>
      <c r="N44" s="98" t="e">
        <f>base_de_datos[[#This Row],[Cap .90]]-base_de_datos[[#This Row],[Inscritos]]</f>
        <v>#REF!</v>
      </c>
      <c r="O44" s="92" t="s">
        <v>165</v>
      </c>
      <c r="P44" s="99"/>
      <c r="Q44" s="100"/>
      <c r="R44" s="99" t="s">
        <v>68</v>
      </c>
      <c r="S44" s="100"/>
      <c r="T44" s="100" t="s">
        <v>68</v>
      </c>
      <c r="U44" s="99"/>
      <c r="V44" s="99"/>
      <c r="W44" s="99" t="s">
        <v>148</v>
      </c>
      <c r="X44" s="93">
        <f>_xlfn.XLOOKUP(base_de_datos[[#This Row],[Materia]],Materias,Horas)/16</f>
        <v>3</v>
      </c>
      <c r="Y44" s="93">
        <f>ROUND(((base_de_datos[[#This Row],[Hora fin]]-base_de_datos[[#This Row],[Hora inicio]])*24)*(COUNTA(base_de_datos[[#This Row],[Lunes]:[Sábado]])),1)</f>
        <v>3</v>
      </c>
      <c r="Z44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4" s="93">
        <f ca="1">IF(base_de_datos[[#This Row],[No clase]]=OFFSET(base_de_datos[[#This Row],[No clase]],-1,0),0,1)</f>
        <v>1</v>
      </c>
      <c r="AB44" s="93">
        <f ca="1">IF(NOT(OR(base_de_datos[[#This Row],[Horas totales]]=base_de_datos[[#This Row],[HT Plan]],base_de_datos[[#This Row],[Horas totales]]="N/A")),1,0)</f>
        <v>0</v>
      </c>
      <c r="AC44" s="93" t="e">
        <f>_xlfn.XLOOKUP(base_de_datos[[#This Row],[Profesor]],Nombre,Grado)</f>
        <v>#REF!</v>
      </c>
      <c r="AD44" s="94" t="e">
        <f>_xlfn.XLOOKUP(base_de_datos[[#This Row],[Profesor]],Nombre,Tipo)</f>
        <v>#REF!</v>
      </c>
      <c r="AE44" s="93">
        <f>IF(IFERROR(VLOOKUP($C44,Planes_de_estudio[],MATCH($AE$2,Carreras,0)+2,0),"")&gt;0,IFERROR(VLOOKUP($C44,Planes_de_estudio[],MATCH($AE$2,Carreras,0)+2,0),""),"")</f>
        <v>2</v>
      </c>
      <c r="AF44" s="93">
        <f>IF(IFERROR(VLOOKUP($C44,Planes_de_estudio[],MATCH($AF$2,Carreras,0)+2,0),"")&gt;0,IFERROR(VLOOKUP($C44,Planes_de_estudio[],MATCH($AF$2,Carreras,0)+2,0),""),"")</f>
        <v>2</v>
      </c>
      <c r="AG44" s="93">
        <f>IF(IFERROR(VLOOKUP($C44,Planes_de_estudio[],MATCH($AG$2,Carreras,0)+2,0),"")&gt;0,IFERROR(VLOOKUP($C44,Planes_de_estudio[],MATCH($AG$2,Carreras,0)+2,0),""),"")</f>
        <v>2</v>
      </c>
      <c r="AH44" s="93">
        <f>IF(IFERROR(VLOOKUP($C44,Planes_de_estudio[],MATCH($AH$2,Carreras,0)+2,0),"")&gt;0,IFERROR(VLOOKUP($C44,Planes_de_estudio[],MATCH($AH$2,Carreras,0)+2,0),""),"")</f>
        <v>2</v>
      </c>
      <c r="AI44" s="93">
        <f>IF(IFERROR(VLOOKUP($C44,Planes_de_estudio[],MATCH($AI$2,Carreras,0)+2,0),"")&gt;0,IFERROR(VLOOKUP($C44,Planes_de_estudio[],MATCH($AI$2,Carreras,0)+2,0),""),"")</f>
        <v>2</v>
      </c>
      <c r="AJ44" s="93">
        <f>IF(IFERROR(VLOOKUP($C44,Planes_de_estudio[],MATCH($AJ$2,Carreras,0)+2,0),"")&gt;0,IFERROR(VLOOKUP($C44,Planes_de_estudio[],MATCH($AJ$2,Carreras,0)+2,0),""),"")</f>
        <v>2</v>
      </c>
      <c r="AK44" s="93">
        <f>IF(IFERROR(VLOOKUP($C44,Planes_de_estudio[],MATCH($AK$2,Carreras,0)+2,0),"")&gt;0,IFERROR(VLOOKUP($C44,Planes_de_estudio[],MATCH($AK$2,Carreras,0)+2,0),""),"")</f>
        <v>2</v>
      </c>
      <c r="AL4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4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44" s="93">
        <f>base_de_datos[[#This Row],[Pronóstico]]/25</f>
        <v>0.72</v>
      </c>
      <c r="AO44" s="93" t="str">
        <f>VLOOKUP($C44,Planes_de_estudio[],2)</f>
        <v>HUM</v>
      </c>
      <c r="AP44" s="195">
        <v>6</v>
      </c>
      <c r="AQ44" s="195">
        <v>6</v>
      </c>
      <c r="AR44" s="195">
        <v>6</v>
      </c>
      <c r="AS44" s="195">
        <v>6</v>
      </c>
      <c r="AT44" s="195">
        <v>6</v>
      </c>
      <c r="AU44" s="195">
        <v>6</v>
      </c>
      <c r="AV44" s="195">
        <v>6</v>
      </c>
      <c r="AW44" s="91"/>
      <c r="AX44" s="73"/>
    </row>
    <row r="45" spans="2:50" s="5" customFormat="1" ht="15">
      <c r="B45" s="95" t="s">
        <v>166</v>
      </c>
      <c r="C45" s="96" t="s">
        <v>167</v>
      </c>
      <c r="D45" s="92">
        <v>1</v>
      </c>
      <c r="E45" s="97">
        <v>0.5</v>
      </c>
      <c r="F45" s="97">
        <v>0.562499999999996</v>
      </c>
      <c r="G45" s="92"/>
      <c r="H45" s="92" t="s">
        <v>149</v>
      </c>
      <c r="I45" s="92" t="e">
        <f>INDEX(Aulas_capacidad,MATCH(base_de_datos[[#This Row],[Aula]],Aulas,0),2)</f>
        <v>#REF!</v>
      </c>
      <c r="J45" s="90">
        <v>15</v>
      </c>
      <c r="K45" s="92" t="e">
        <f>INDEX(Aulas_capacidad,MATCH(base_de_datos[[#This Row],[Aula]],Aulas,0),4)</f>
        <v>#REF!</v>
      </c>
      <c r="L45" s="98" t="e">
        <f>base_de_datos[[#This Row],[Cap 1.5]]-base_de_datos[[#This Row],[Inscritos]]</f>
        <v>#REF!</v>
      </c>
      <c r="M45" s="98" t="e">
        <f>INDEX(Aulas_capacidad,MATCH(base_de_datos[[#This Row],[Aula]],Aulas,0),5)</f>
        <v>#REF!</v>
      </c>
      <c r="N45" s="98" t="e">
        <f>base_de_datos[[#This Row],[Cap .90]]-base_de_datos[[#This Row],[Inscritos]]</f>
        <v>#REF!</v>
      </c>
      <c r="O45" s="92" t="s">
        <v>168</v>
      </c>
      <c r="P45" s="99" t="s">
        <v>68</v>
      </c>
      <c r="Q45" s="100"/>
      <c r="R45" s="99"/>
      <c r="S45" s="100"/>
      <c r="T45" s="100" t="s">
        <v>68</v>
      </c>
      <c r="U45" s="99"/>
      <c r="V45" s="99"/>
      <c r="W45" s="99" t="s">
        <v>101</v>
      </c>
      <c r="X45" s="93">
        <f>_xlfn.XLOOKUP(base_de_datos[[#This Row],[Materia]],Materias,Horas)/16</f>
        <v>3</v>
      </c>
      <c r="Y45" s="93">
        <f>ROUND(((base_de_datos[[#This Row],[Hora fin]]-base_de_datos[[#This Row],[Hora inicio]])*24)*(COUNTA(base_de_datos[[#This Row],[Lunes]:[Sábado]])),1)</f>
        <v>3</v>
      </c>
      <c r="Z45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5" s="93">
        <f ca="1">IF(base_de_datos[[#This Row],[No clase]]=OFFSET(base_de_datos[[#This Row],[No clase]],-1,0),0,1)</f>
        <v>1</v>
      </c>
      <c r="AB45" s="93">
        <f ca="1">IF(NOT(OR(base_de_datos[[#This Row],[Horas totales]]=base_de_datos[[#This Row],[HT Plan]],base_de_datos[[#This Row],[Horas totales]]="N/A")),1,0)</f>
        <v>0</v>
      </c>
      <c r="AC45" s="93" t="e">
        <f>_xlfn.XLOOKUP(base_de_datos[[#This Row],[Profesor]],Nombre,Grado)</f>
        <v>#REF!</v>
      </c>
      <c r="AD45" s="94" t="e">
        <f>_xlfn.XLOOKUP(base_de_datos[[#This Row],[Profesor]],Nombre,Tipo)</f>
        <v>#REF!</v>
      </c>
      <c r="AE45" s="93">
        <f>IF(IFERROR(VLOOKUP($C45,Planes_de_estudio[],MATCH($AE$2,Carreras,0)+2,0),"")&gt;0,IFERROR(VLOOKUP($C45,Planes_de_estudio[],MATCH($AE$2,Carreras,0)+2,0),""),"")</f>
        <v>3</v>
      </c>
      <c r="AF45" s="93">
        <f>IF(IFERROR(VLOOKUP($C45,Planes_de_estudio[],MATCH($AF$2,Carreras,0)+2,0),"")&gt;0,IFERROR(VLOOKUP($C45,Planes_de_estudio[],MATCH($AF$2,Carreras,0)+2,0),""),"")</f>
        <v>3</v>
      </c>
      <c r="AG45" s="93">
        <f>IF(IFERROR(VLOOKUP($C45,Planes_de_estudio[],MATCH($AG$2,Carreras,0)+2,0),"")&gt;0,IFERROR(VLOOKUP($C45,Planes_de_estudio[],MATCH($AG$2,Carreras,0)+2,0),""),"")</f>
        <v>3</v>
      </c>
      <c r="AH45" s="93">
        <f>IF(IFERROR(VLOOKUP($C45,Planes_de_estudio[],MATCH($AH$2,Carreras,0)+2,0),"")&gt;0,IFERROR(VLOOKUP($C45,Planes_de_estudio[],MATCH($AH$2,Carreras,0)+2,0),""),"")</f>
        <v>3</v>
      </c>
      <c r="AI45" s="93">
        <f>IF(IFERROR(VLOOKUP($C45,Planes_de_estudio[],MATCH($AI$2,Carreras,0)+2,0),"")&gt;0,IFERROR(VLOOKUP($C45,Planes_de_estudio[],MATCH($AI$2,Carreras,0)+2,0),""),"")</f>
        <v>3</v>
      </c>
      <c r="AJ45" s="93">
        <f>IF(IFERROR(VLOOKUP($C45,Planes_de_estudio[],MATCH($AJ$2,Carreras,0)+2,0),"")&gt;0,IFERROR(VLOOKUP($C45,Planes_de_estudio[],MATCH($AJ$2,Carreras,0)+2,0),""),"")</f>
        <v>3</v>
      </c>
      <c r="AK45" s="93">
        <f>IF(IFERROR(VLOOKUP($C45,Planes_de_estudio[],MATCH($AK$2,Carreras,0)+2,0),"")&gt;0,IFERROR(VLOOKUP($C45,Planes_de_estudio[],MATCH($AK$2,Carreras,0)+2,0),""),"")</f>
        <v>3</v>
      </c>
      <c r="AL4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4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105</v>
      </c>
      <c r="AN45" s="93">
        <f>base_de_datos[[#This Row],[Pronóstico]]/25</f>
        <v>4.2</v>
      </c>
      <c r="AO45" s="93" t="str">
        <f>VLOOKUP($C45,Planes_de_estudio[],2)</f>
        <v>HUM</v>
      </c>
      <c r="AP45" s="195">
        <v>6</v>
      </c>
      <c r="AQ45" s="195">
        <v>6</v>
      </c>
      <c r="AR45" s="195">
        <v>6</v>
      </c>
      <c r="AS45" s="195">
        <v>6</v>
      </c>
      <c r="AT45" s="195">
        <v>6</v>
      </c>
      <c r="AU45" s="195">
        <v>6</v>
      </c>
      <c r="AV45" s="195">
        <v>6</v>
      </c>
      <c r="AW45" s="91"/>
      <c r="AX45" s="73"/>
    </row>
    <row r="46" spans="2:50" s="5" customFormat="1" ht="15">
      <c r="B46" s="95" t="s">
        <v>150</v>
      </c>
      <c r="C46" s="96" t="s">
        <v>167</v>
      </c>
      <c r="D46" s="92">
        <v>2</v>
      </c>
      <c r="E46" s="97">
        <v>0.5</v>
      </c>
      <c r="F46" s="97">
        <v>0.562499999999996</v>
      </c>
      <c r="G46" s="92"/>
      <c r="H46" s="92" t="s">
        <v>159</v>
      </c>
      <c r="I46" s="92" t="e">
        <f>INDEX(Aulas_capacidad,MATCH(base_de_datos[[#This Row],[Aula]],Aulas,0),2)</f>
        <v>#REF!</v>
      </c>
      <c r="J46" s="90">
        <v>7</v>
      </c>
      <c r="K46" s="92" t="e">
        <f>INDEX(Aulas_capacidad,MATCH(base_de_datos[[#This Row],[Aula]],Aulas,0),4)</f>
        <v>#REF!</v>
      </c>
      <c r="L46" s="98" t="e">
        <f>base_de_datos[[#This Row],[Cap 1.5]]-base_de_datos[[#This Row],[Inscritos]]</f>
        <v>#REF!</v>
      </c>
      <c r="M46" s="98" t="e">
        <f>INDEX(Aulas_capacidad,MATCH(base_de_datos[[#This Row],[Aula]],Aulas,0),5)</f>
        <v>#REF!</v>
      </c>
      <c r="N46" s="98" t="e">
        <f>base_de_datos[[#This Row],[Cap .90]]-base_de_datos[[#This Row],[Inscritos]]</f>
        <v>#REF!</v>
      </c>
      <c r="O46" s="92" t="s">
        <v>169</v>
      </c>
      <c r="P46" s="99" t="s">
        <v>68</v>
      </c>
      <c r="Q46" s="100"/>
      <c r="R46" s="99"/>
      <c r="S46" s="100"/>
      <c r="T46" s="100"/>
      <c r="U46" s="99"/>
      <c r="V46" s="99"/>
      <c r="W46" s="99" t="s">
        <v>101</v>
      </c>
      <c r="X46" s="93">
        <f>_xlfn.XLOOKUP(base_de_datos[[#This Row],[Materia]],Materias,Horas)/16</f>
        <v>3</v>
      </c>
      <c r="Y46" s="93">
        <f>ROUND(((base_de_datos[[#This Row],[Hora fin]]-base_de_datos[[#This Row],[Hora inicio]])*24)*(COUNTA(base_de_datos[[#This Row],[Lunes]:[Sábado]])),1)</f>
        <v>1.5</v>
      </c>
      <c r="Z46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6" s="93">
        <f ca="1">IF(base_de_datos[[#This Row],[No clase]]=OFFSET(base_de_datos[[#This Row],[No clase]],-1,0),0,1)</f>
        <v>1</v>
      </c>
      <c r="AB46" s="93">
        <f ca="1">IF(NOT(OR(base_de_datos[[#This Row],[Horas totales]]=base_de_datos[[#This Row],[HT Plan]],base_de_datos[[#This Row],[Horas totales]]="N/A")),1,0)</f>
        <v>0</v>
      </c>
      <c r="AC46" s="93" t="e">
        <f>_xlfn.XLOOKUP(base_de_datos[[#This Row],[Profesor]],Nombre,Grado)</f>
        <v>#REF!</v>
      </c>
      <c r="AD46" s="94" t="e">
        <f>_xlfn.XLOOKUP(base_de_datos[[#This Row],[Profesor]],Nombre,Tipo)</f>
        <v>#REF!</v>
      </c>
      <c r="AE46" s="93">
        <f>IF(IFERROR(VLOOKUP($C46,Planes_de_estudio[],MATCH($AE$2,Carreras,0)+2,0),"")&gt;0,IFERROR(VLOOKUP($C46,Planes_de_estudio[],MATCH($AE$2,Carreras,0)+2,0),""),"")</f>
        <v>3</v>
      </c>
      <c r="AF46" s="93">
        <f>IF(IFERROR(VLOOKUP($C46,Planes_de_estudio[],MATCH($AF$2,Carreras,0)+2,0),"")&gt;0,IFERROR(VLOOKUP($C46,Planes_de_estudio[],MATCH($AF$2,Carreras,0)+2,0),""),"")</f>
        <v>3</v>
      </c>
      <c r="AG46" s="93">
        <f>IF(IFERROR(VLOOKUP($C46,Planes_de_estudio[],MATCH($AG$2,Carreras,0)+2,0),"")&gt;0,IFERROR(VLOOKUP($C46,Planes_de_estudio[],MATCH($AG$2,Carreras,0)+2,0),""),"")</f>
        <v>3</v>
      </c>
      <c r="AH46" s="93">
        <f>IF(IFERROR(VLOOKUP($C46,Planes_de_estudio[],MATCH($AH$2,Carreras,0)+2,0),"")&gt;0,IFERROR(VLOOKUP($C46,Planes_de_estudio[],MATCH($AH$2,Carreras,0)+2,0),""),"")</f>
        <v>3</v>
      </c>
      <c r="AI46" s="93">
        <f>IF(IFERROR(VLOOKUP($C46,Planes_de_estudio[],MATCH($AI$2,Carreras,0)+2,0),"")&gt;0,IFERROR(VLOOKUP($C46,Planes_de_estudio[],MATCH($AI$2,Carreras,0)+2,0),""),"")</f>
        <v>3</v>
      </c>
      <c r="AJ46" s="93">
        <f>IF(IFERROR(VLOOKUP($C46,Planes_de_estudio[],MATCH($AJ$2,Carreras,0)+2,0),"")&gt;0,IFERROR(VLOOKUP($C46,Planes_de_estudio[],MATCH($AJ$2,Carreras,0)+2,0),""),"")</f>
        <v>3</v>
      </c>
      <c r="AK46" s="93">
        <f>IF(IFERROR(VLOOKUP($C46,Planes_de_estudio[],MATCH($AK$2,Carreras,0)+2,0),"")&gt;0,IFERROR(VLOOKUP($C46,Planes_de_estudio[],MATCH($AK$2,Carreras,0)+2,0),""),"")</f>
        <v>3</v>
      </c>
      <c r="AL4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4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105</v>
      </c>
      <c r="AN46" s="93">
        <f>base_de_datos[[#This Row],[Pronóstico]]/25</f>
        <v>4.2</v>
      </c>
      <c r="AO46" s="93" t="str">
        <f>VLOOKUP($C46,Planes_de_estudio[],2)</f>
        <v>HUM</v>
      </c>
      <c r="AP46" s="195">
        <v>6</v>
      </c>
      <c r="AQ46" s="195">
        <v>6</v>
      </c>
      <c r="AR46" s="195">
        <v>6</v>
      </c>
      <c r="AS46" s="195">
        <v>6</v>
      </c>
      <c r="AT46" s="195">
        <v>6</v>
      </c>
      <c r="AU46" s="195">
        <v>6</v>
      </c>
      <c r="AV46" s="195">
        <v>6</v>
      </c>
      <c r="AW46" s="91"/>
      <c r="AX46" s="73"/>
    </row>
    <row r="47" spans="2:50" s="5" customFormat="1" ht="16">
      <c r="B47" s="95" t="s">
        <v>150</v>
      </c>
      <c r="C47" s="96" t="s">
        <v>167</v>
      </c>
      <c r="D47" s="92">
        <v>2</v>
      </c>
      <c r="E47" s="97">
        <v>0.5</v>
      </c>
      <c r="F47" s="97">
        <v>0.562499999999996</v>
      </c>
      <c r="G47" s="92"/>
      <c r="H47" s="92" t="s">
        <v>153</v>
      </c>
      <c r="I47" s="92" t="e">
        <f>INDEX(Aulas_capacidad,MATCH(base_de_datos[[#This Row],[Aula]],Aulas,0),2)</f>
        <v>#REF!</v>
      </c>
      <c r="J47" s="90">
        <v>7</v>
      </c>
      <c r="K47" s="92" t="e">
        <f>INDEX(Aulas_capacidad,MATCH(base_de_datos[[#This Row],[Aula]],Aulas,0),4)</f>
        <v>#REF!</v>
      </c>
      <c r="L47" s="98" t="e">
        <f>base_de_datos[[#This Row],[Cap 1.5]]-base_de_datos[[#This Row],[Inscritos]]</f>
        <v>#REF!</v>
      </c>
      <c r="M47" s="98" t="e">
        <f>INDEX(Aulas_capacidad,MATCH(base_de_datos[[#This Row],[Aula]],Aulas,0),5)</f>
        <v>#REF!</v>
      </c>
      <c r="N47" s="98" t="e">
        <f>base_de_datos[[#This Row],[Cap .90]]-base_de_datos[[#This Row],[Inscritos]]</f>
        <v>#REF!</v>
      </c>
      <c r="O47" s="92" t="s">
        <v>169</v>
      </c>
      <c r="P47" s="99"/>
      <c r="Q47" s="100"/>
      <c r="R47" s="99"/>
      <c r="S47" s="100"/>
      <c r="T47" s="100" t="s">
        <v>68</v>
      </c>
      <c r="U47" s="99"/>
      <c r="V47" s="99"/>
      <c r="W47" s="99" t="s">
        <v>101</v>
      </c>
      <c r="X47" s="93">
        <f>_xlfn.XLOOKUP(base_de_datos[[#This Row],[Materia]],Materias,Horas)/16</f>
        <v>3</v>
      </c>
      <c r="Y47" s="93">
        <f>ROUND(((base_de_datos[[#This Row],[Hora fin]]-base_de_datos[[#This Row],[Hora inicio]])*24)*(COUNTA(base_de_datos[[#This Row],[Lunes]:[Sábado]])),1)</f>
        <v>1.5</v>
      </c>
      <c r="Z47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47" s="93">
        <f ca="1">IF(base_de_datos[[#This Row],[No clase]]=OFFSET(base_de_datos[[#This Row],[No clase]],-1,0),0,1)</f>
        <v>0</v>
      </c>
      <c r="AB47" s="93">
        <f ca="1">IF(NOT(OR(base_de_datos[[#This Row],[Horas totales]]=base_de_datos[[#This Row],[HT Plan]],base_de_datos[[#This Row],[Horas totales]]="N/A")),1,0)</f>
        <v>0</v>
      </c>
      <c r="AC47" s="93" t="e">
        <f>_xlfn.XLOOKUP(base_de_datos[[#This Row],[Profesor]],Nombre,Grado)</f>
        <v>#REF!</v>
      </c>
      <c r="AD47" s="94" t="e">
        <f>_xlfn.XLOOKUP(base_de_datos[[#This Row],[Profesor]],Nombre,Tipo)</f>
        <v>#REF!</v>
      </c>
      <c r="AE47" s="93">
        <f>IF(IFERROR(VLOOKUP($C47,Planes_de_estudio[],MATCH($AE$2,Carreras,0)+2,0),"")&gt;0,IFERROR(VLOOKUP($C47,Planes_de_estudio[],MATCH($AE$2,Carreras,0)+2,0),""),"")</f>
        <v>3</v>
      </c>
      <c r="AF47" s="93">
        <f>IF(IFERROR(VLOOKUP($C47,Planes_de_estudio[],MATCH($AF$2,Carreras,0)+2,0),"")&gt;0,IFERROR(VLOOKUP($C47,Planes_de_estudio[],MATCH($AF$2,Carreras,0)+2,0),""),"")</f>
        <v>3</v>
      </c>
      <c r="AG47" s="93">
        <f>IF(IFERROR(VLOOKUP($C47,Planes_de_estudio[],MATCH($AG$2,Carreras,0)+2,0),"")&gt;0,IFERROR(VLOOKUP($C47,Planes_de_estudio[],MATCH($AG$2,Carreras,0)+2,0),""),"")</f>
        <v>3</v>
      </c>
      <c r="AH47" s="93">
        <f>IF(IFERROR(VLOOKUP($C47,Planes_de_estudio[],MATCH($AH$2,Carreras,0)+2,0),"")&gt;0,IFERROR(VLOOKUP($C47,Planes_de_estudio[],MATCH($AH$2,Carreras,0)+2,0),""),"")</f>
        <v>3</v>
      </c>
      <c r="AI47" s="93">
        <f>IF(IFERROR(VLOOKUP($C47,Planes_de_estudio[],MATCH($AI$2,Carreras,0)+2,0),"")&gt;0,IFERROR(VLOOKUP($C47,Planes_de_estudio[],MATCH($AI$2,Carreras,0)+2,0),""),"")</f>
        <v>3</v>
      </c>
      <c r="AJ47" s="93">
        <f>IF(IFERROR(VLOOKUP($C47,Planes_de_estudio[],MATCH($AJ$2,Carreras,0)+2,0),"")&gt;0,IFERROR(VLOOKUP($C47,Planes_de_estudio[],MATCH($AJ$2,Carreras,0)+2,0),""),"")</f>
        <v>3</v>
      </c>
      <c r="AK47" s="93">
        <f>IF(IFERROR(VLOOKUP($C47,Planes_de_estudio[],MATCH($AK$2,Carreras,0)+2,0),"")&gt;0,IFERROR(VLOOKUP($C47,Planes_de_estudio[],MATCH($AK$2,Carreras,0)+2,0),""),"")</f>
        <v>3</v>
      </c>
      <c r="AL4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4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105</v>
      </c>
      <c r="AN47" s="93">
        <f>base_de_datos[[#This Row],[Pronóstico]]/25</f>
        <v>4.2</v>
      </c>
      <c r="AO47" s="93" t="str">
        <f>VLOOKUP($C47,Planes_de_estudio[],2)</f>
        <v>HUM</v>
      </c>
      <c r="AP47" s="196"/>
      <c r="AQ47" s="196"/>
      <c r="AR47" s="196"/>
      <c r="AS47" s="196"/>
      <c r="AT47" s="196"/>
      <c r="AU47" s="196"/>
      <c r="AV47" s="196"/>
      <c r="AW47" s="91"/>
      <c r="AX47" s="73"/>
    </row>
    <row r="48" spans="2:50" s="5" customFormat="1" ht="15">
      <c r="B48" s="95" t="s">
        <v>160</v>
      </c>
      <c r="C48" s="96" t="s">
        <v>167</v>
      </c>
      <c r="D48" s="92">
        <v>3</v>
      </c>
      <c r="E48" s="97">
        <v>0.5</v>
      </c>
      <c r="F48" s="97">
        <v>0.562499999999996</v>
      </c>
      <c r="G48" s="92"/>
      <c r="H48" s="92" t="s">
        <v>153</v>
      </c>
      <c r="I48" s="92" t="e">
        <f>INDEX(Aulas_capacidad,MATCH(base_de_datos[[#This Row],[Aula]],Aulas,0),2)</f>
        <v>#REF!</v>
      </c>
      <c r="J48" s="90">
        <v>15</v>
      </c>
      <c r="K48" s="92" t="e">
        <f>INDEX(Aulas_capacidad,MATCH(base_de_datos[[#This Row],[Aula]],Aulas,0),4)</f>
        <v>#REF!</v>
      </c>
      <c r="L48" s="98" t="e">
        <f>base_de_datos[[#This Row],[Cap 1.5]]-base_de_datos[[#This Row],[Inscritos]]</f>
        <v>#REF!</v>
      </c>
      <c r="M48" s="98" t="e">
        <f>INDEX(Aulas_capacidad,MATCH(base_de_datos[[#This Row],[Aula]],Aulas,0),5)</f>
        <v>#REF!</v>
      </c>
      <c r="N48" s="98" t="e">
        <f>base_de_datos[[#This Row],[Cap .90]]-base_de_datos[[#This Row],[Inscritos]]</f>
        <v>#REF!</v>
      </c>
      <c r="O48" s="92" t="s">
        <v>170</v>
      </c>
      <c r="P48" s="99" t="s">
        <v>68</v>
      </c>
      <c r="Q48" s="100"/>
      <c r="R48" s="99"/>
      <c r="S48" s="100"/>
      <c r="T48" s="100"/>
      <c r="U48" s="99"/>
      <c r="V48" s="99"/>
      <c r="W48" s="99" t="s">
        <v>101</v>
      </c>
      <c r="X48" s="93">
        <f>_xlfn.XLOOKUP(base_de_datos[[#This Row],[Materia]],Materias,Horas)/16</f>
        <v>3</v>
      </c>
      <c r="Y48" s="93">
        <f>ROUND(((base_de_datos[[#This Row],[Hora fin]]-base_de_datos[[#This Row],[Hora inicio]])*24)*(COUNTA(base_de_datos[[#This Row],[Lunes]:[Sábado]])),1)</f>
        <v>1.5</v>
      </c>
      <c r="Z48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8" s="93">
        <f ca="1">IF(base_de_datos[[#This Row],[No clase]]=OFFSET(base_de_datos[[#This Row],[No clase]],-1,0),0,1)</f>
        <v>1</v>
      </c>
      <c r="AB48" s="93">
        <f ca="1">IF(NOT(OR(base_de_datos[[#This Row],[Horas totales]]=base_de_datos[[#This Row],[HT Plan]],base_de_datos[[#This Row],[Horas totales]]="N/A")),1,0)</f>
        <v>0</v>
      </c>
      <c r="AC48" s="93" t="e">
        <f>_xlfn.XLOOKUP(base_de_datos[[#This Row],[Profesor]],Nombre,Grado)</f>
        <v>#REF!</v>
      </c>
      <c r="AD48" s="94" t="e">
        <f>_xlfn.XLOOKUP(base_de_datos[[#This Row],[Profesor]],Nombre,Tipo)</f>
        <v>#REF!</v>
      </c>
      <c r="AE48" s="93">
        <f>IF(IFERROR(VLOOKUP($C48,Planes_de_estudio[],MATCH($AE$2,Carreras,0)+2,0),"")&gt;0,IFERROR(VLOOKUP($C48,Planes_de_estudio[],MATCH($AE$2,Carreras,0)+2,0),""),"")</f>
        <v>3</v>
      </c>
      <c r="AF48" s="93">
        <f>IF(IFERROR(VLOOKUP($C48,Planes_de_estudio[],MATCH($AF$2,Carreras,0)+2,0),"")&gt;0,IFERROR(VLOOKUP($C48,Planes_de_estudio[],MATCH($AF$2,Carreras,0)+2,0),""),"")</f>
        <v>3</v>
      </c>
      <c r="AG48" s="93">
        <f>IF(IFERROR(VLOOKUP($C48,Planes_de_estudio[],MATCH($AG$2,Carreras,0)+2,0),"")&gt;0,IFERROR(VLOOKUP($C48,Planes_de_estudio[],MATCH($AG$2,Carreras,0)+2,0),""),"")</f>
        <v>3</v>
      </c>
      <c r="AH48" s="93">
        <f>IF(IFERROR(VLOOKUP($C48,Planes_de_estudio[],MATCH($AH$2,Carreras,0)+2,0),"")&gt;0,IFERROR(VLOOKUP($C48,Planes_de_estudio[],MATCH($AH$2,Carreras,0)+2,0),""),"")</f>
        <v>3</v>
      </c>
      <c r="AI48" s="93">
        <f>IF(IFERROR(VLOOKUP($C48,Planes_de_estudio[],MATCH($AI$2,Carreras,0)+2,0),"")&gt;0,IFERROR(VLOOKUP($C48,Planes_de_estudio[],MATCH($AI$2,Carreras,0)+2,0),""),"")</f>
        <v>3</v>
      </c>
      <c r="AJ48" s="93">
        <f>IF(IFERROR(VLOOKUP($C48,Planes_de_estudio[],MATCH($AJ$2,Carreras,0)+2,0),"")&gt;0,IFERROR(VLOOKUP($C48,Planes_de_estudio[],MATCH($AJ$2,Carreras,0)+2,0),""),"")</f>
        <v>3</v>
      </c>
      <c r="AK48" s="93">
        <f>IF(IFERROR(VLOOKUP($C48,Planes_de_estudio[],MATCH($AK$2,Carreras,0)+2,0),"")&gt;0,IFERROR(VLOOKUP($C48,Planes_de_estudio[],MATCH($AK$2,Carreras,0)+2,0),""),"")</f>
        <v>3</v>
      </c>
      <c r="AL4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4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105</v>
      </c>
      <c r="AN48" s="93">
        <f>base_de_datos[[#This Row],[Pronóstico]]/25</f>
        <v>4.2</v>
      </c>
      <c r="AO48" s="93" t="str">
        <f>VLOOKUP($C48,Planes_de_estudio[],2)</f>
        <v>HUM</v>
      </c>
      <c r="AP48" s="195">
        <v>6</v>
      </c>
      <c r="AQ48" s="195">
        <v>6</v>
      </c>
      <c r="AR48" s="195">
        <v>6</v>
      </c>
      <c r="AS48" s="195">
        <v>6</v>
      </c>
      <c r="AT48" s="195">
        <v>6</v>
      </c>
      <c r="AU48" s="195">
        <v>6</v>
      </c>
      <c r="AV48" s="195">
        <v>6</v>
      </c>
      <c r="AW48" s="91"/>
      <c r="AX48" s="73"/>
    </row>
    <row r="49" spans="1:50" s="5" customFormat="1" ht="16">
      <c r="B49" s="95" t="s">
        <v>160</v>
      </c>
      <c r="C49" s="96" t="s">
        <v>167</v>
      </c>
      <c r="D49" s="92">
        <v>3</v>
      </c>
      <c r="E49" s="97">
        <v>0.5</v>
      </c>
      <c r="F49" s="97">
        <v>0.562499999999996</v>
      </c>
      <c r="G49" s="92"/>
      <c r="H49" s="92" t="s">
        <v>159</v>
      </c>
      <c r="I49" s="92" t="e">
        <f>INDEX(Aulas_capacidad,MATCH(base_de_datos[[#This Row],[Aula]],Aulas,0),2)</f>
        <v>#REF!</v>
      </c>
      <c r="J49" s="90">
        <v>15</v>
      </c>
      <c r="K49" s="92" t="e">
        <f>INDEX(Aulas_capacidad,MATCH(base_de_datos[[#This Row],[Aula]],Aulas,0),4)</f>
        <v>#REF!</v>
      </c>
      <c r="L49" s="98" t="e">
        <f>base_de_datos[[#This Row],[Cap 1.5]]-base_de_datos[[#This Row],[Inscritos]]</f>
        <v>#REF!</v>
      </c>
      <c r="M49" s="98" t="e">
        <f>INDEX(Aulas_capacidad,MATCH(base_de_datos[[#This Row],[Aula]],Aulas,0),5)</f>
        <v>#REF!</v>
      </c>
      <c r="N49" s="98" t="e">
        <f>base_de_datos[[#This Row],[Cap .90]]-base_de_datos[[#This Row],[Inscritos]]</f>
        <v>#REF!</v>
      </c>
      <c r="O49" s="92" t="s">
        <v>170</v>
      </c>
      <c r="P49" s="99"/>
      <c r="Q49" s="100"/>
      <c r="R49" s="99"/>
      <c r="S49" s="100"/>
      <c r="T49" s="100" t="s">
        <v>68</v>
      </c>
      <c r="U49" s="99"/>
      <c r="V49" s="99"/>
      <c r="W49" s="99" t="s">
        <v>101</v>
      </c>
      <c r="X49" s="93">
        <f>_xlfn.XLOOKUP(base_de_datos[[#This Row],[Materia]],Materias,Horas)/16</f>
        <v>3</v>
      </c>
      <c r="Y49" s="93">
        <f>ROUND(((base_de_datos[[#This Row],[Hora fin]]-base_de_datos[[#This Row],[Hora inicio]])*24)*(COUNTA(base_de_datos[[#This Row],[Lunes]:[Sábado]])),1)</f>
        <v>1.5</v>
      </c>
      <c r="Z49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49" s="93">
        <f ca="1">IF(base_de_datos[[#This Row],[No clase]]=OFFSET(base_de_datos[[#This Row],[No clase]],-1,0),0,1)</f>
        <v>0</v>
      </c>
      <c r="AB49" s="93">
        <f ca="1">IF(NOT(OR(base_de_datos[[#This Row],[Horas totales]]=base_de_datos[[#This Row],[HT Plan]],base_de_datos[[#This Row],[Horas totales]]="N/A")),1,0)</f>
        <v>0</v>
      </c>
      <c r="AC49" s="93" t="e">
        <f>_xlfn.XLOOKUP(base_de_datos[[#This Row],[Profesor]],Nombre,Grado)</f>
        <v>#REF!</v>
      </c>
      <c r="AD49" s="94" t="e">
        <f>_xlfn.XLOOKUP(base_de_datos[[#This Row],[Profesor]],Nombre,Tipo)</f>
        <v>#REF!</v>
      </c>
      <c r="AE49" s="93">
        <f>IF(IFERROR(VLOOKUP($C49,Planes_de_estudio[],MATCH($AE$2,Carreras,0)+2,0),"")&gt;0,IFERROR(VLOOKUP($C49,Planes_de_estudio[],MATCH($AE$2,Carreras,0)+2,0),""),"")</f>
        <v>3</v>
      </c>
      <c r="AF49" s="93">
        <f>IF(IFERROR(VLOOKUP($C49,Planes_de_estudio[],MATCH($AF$2,Carreras,0)+2,0),"")&gt;0,IFERROR(VLOOKUP($C49,Planes_de_estudio[],MATCH($AF$2,Carreras,0)+2,0),""),"")</f>
        <v>3</v>
      </c>
      <c r="AG49" s="93">
        <f>IF(IFERROR(VLOOKUP($C49,Planes_de_estudio[],MATCH($AG$2,Carreras,0)+2,0),"")&gt;0,IFERROR(VLOOKUP($C49,Planes_de_estudio[],MATCH($AG$2,Carreras,0)+2,0),""),"")</f>
        <v>3</v>
      </c>
      <c r="AH49" s="93">
        <f>IF(IFERROR(VLOOKUP($C49,Planes_de_estudio[],MATCH($AH$2,Carreras,0)+2,0),"")&gt;0,IFERROR(VLOOKUP($C49,Planes_de_estudio[],MATCH($AH$2,Carreras,0)+2,0),""),"")</f>
        <v>3</v>
      </c>
      <c r="AI49" s="93">
        <f>IF(IFERROR(VLOOKUP($C49,Planes_de_estudio[],MATCH($AI$2,Carreras,0)+2,0),"")&gt;0,IFERROR(VLOOKUP($C49,Planes_de_estudio[],MATCH($AI$2,Carreras,0)+2,0),""),"")</f>
        <v>3</v>
      </c>
      <c r="AJ49" s="93">
        <f>IF(IFERROR(VLOOKUP($C49,Planes_de_estudio[],MATCH($AJ$2,Carreras,0)+2,0),"")&gt;0,IFERROR(VLOOKUP($C49,Planes_de_estudio[],MATCH($AJ$2,Carreras,0)+2,0),""),"")</f>
        <v>3</v>
      </c>
      <c r="AK49" s="93">
        <f>IF(IFERROR(VLOOKUP($C49,Planes_de_estudio[],MATCH($AK$2,Carreras,0)+2,0),"")&gt;0,IFERROR(VLOOKUP($C49,Planes_de_estudio[],MATCH($AK$2,Carreras,0)+2,0),""),"")</f>
        <v>3</v>
      </c>
      <c r="AL4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4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105</v>
      </c>
      <c r="AN49" s="93">
        <f>base_de_datos[[#This Row],[Pronóstico]]/25</f>
        <v>4.2</v>
      </c>
      <c r="AO49" s="93" t="str">
        <f>VLOOKUP($C49,Planes_de_estudio[],2)</f>
        <v>HUM</v>
      </c>
      <c r="AP49" s="196"/>
      <c r="AQ49" s="196"/>
      <c r="AR49" s="196"/>
      <c r="AS49" s="196"/>
      <c r="AT49" s="196"/>
      <c r="AU49" s="196"/>
      <c r="AV49" s="196"/>
      <c r="AW49" s="91"/>
      <c r="AX49" s="73"/>
    </row>
    <row r="50" spans="1:50" s="5" customFormat="1" ht="15">
      <c r="B50" s="95" t="s">
        <v>171</v>
      </c>
      <c r="C50" s="96" t="s">
        <v>167</v>
      </c>
      <c r="D50" s="92">
        <v>4</v>
      </c>
      <c r="E50" s="97">
        <v>0.5</v>
      </c>
      <c r="F50" s="97">
        <v>0.562499999999996</v>
      </c>
      <c r="G50" s="92"/>
      <c r="H50" s="92" t="s">
        <v>151</v>
      </c>
      <c r="I50" s="92" t="e">
        <f>INDEX(Aulas_capacidad,MATCH(base_de_datos[[#This Row],[Aula]],Aulas,0),2)</f>
        <v>#REF!</v>
      </c>
      <c r="J50" s="90">
        <v>24</v>
      </c>
      <c r="K50" s="92" t="e">
        <f>INDEX(Aulas_capacidad,MATCH(base_de_datos[[#This Row],[Aula]],Aulas,0),4)</f>
        <v>#REF!</v>
      </c>
      <c r="L50" s="98" t="e">
        <f>base_de_datos[[#This Row],[Cap 1.5]]-base_de_datos[[#This Row],[Inscritos]]</f>
        <v>#REF!</v>
      </c>
      <c r="M50" s="98" t="e">
        <f>INDEX(Aulas_capacidad,MATCH(base_de_datos[[#This Row],[Aula]],Aulas,0),5)</f>
        <v>#REF!</v>
      </c>
      <c r="N50" s="98" t="e">
        <f>base_de_datos[[#This Row],[Cap .90]]-base_de_datos[[#This Row],[Inscritos]]</f>
        <v>#REF!</v>
      </c>
      <c r="O50" s="92" t="s">
        <v>172</v>
      </c>
      <c r="P50" s="99" t="s">
        <v>68</v>
      </c>
      <c r="Q50" s="100"/>
      <c r="R50" s="99"/>
      <c r="S50" s="100"/>
      <c r="T50" s="100" t="s">
        <v>68</v>
      </c>
      <c r="U50" s="99"/>
      <c r="V50" s="99"/>
      <c r="W50" s="99" t="s">
        <v>101</v>
      </c>
      <c r="X50" s="93">
        <f>_xlfn.XLOOKUP(base_de_datos[[#This Row],[Materia]],Materias,Horas)/16</f>
        <v>3</v>
      </c>
      <c r="Y50" s="93">
        <f>ROUND(((base_de_datos[[#This Row],[Hora fin]]-base_de_datos[[#This Row],[Hora inicio]])*24)*(COUNTA(base_de_datos[[#This Row],[Lunes]:[Sábado]])),1)</f>
        <v>3</v>
      </c>
      <c r="Z50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0" s="93">
        <f ca="1">IF(base_de_datos[[#This Row],[No clase]]=OFFSET(base_de_datos[[#This Row],[No clase]],-1,0),0,1)</f>
        <v>1</v>
      </c>
      <c r="AB50" s="93">
        <f ca="1">IF(NOT(OR(base_de_datos[[#This Row],[Horas totales]]=base_de_datos[[#This Row],[HT Plan]],base_de_datos[[#This Row],[Horas totales]]="N/A")),1,0)</f>
        <v>0</v>
      </c>
      <c r="AC50" s="93" t="e">
        <f>_xlfn.XLOOKUP(base_de_datos[[#This Row],[Profesor]],Nombre,Grado)</f>
        <v>#REF!</v>
      </c>
      <c r="AD50" s="94" t="e">
        <f>_xlfn.XLOOKUP(base_de_datos[[#This Row],[Profesor]],Nombre,Tipo)</f>
        <v>#REF!</v>
      </c>
      <c r="AE50" s="93">
        <f>IF(IFERROR(VLOOKUP($C50,Planes_de_estudio[],MATCH($AE$2,Carreras,0)+2,0),"")&gt;0,IFERROR(VLOOKUP($C50,Planes_de_estudio[],MATCH($AE$2,Carreras,0)+2,0),""),"")</f>
        <v>3</v>
      </c>
      <c r="AF50" s="93">
        <f>IF(IFERROR(VLOOKUP($C50,Planes_de_estudio[],MATCH($AF$2,Carreras,0)+2,0),"")&gt;0,IFERROR(VLOOKUP($C50,Planes_de_estudio[],MATCH($AF$2,Carreras,0)+2,0),""),"")</f>
        <v>3</v>
      </c>
      <c r="AG50" s="93">
        <f>IF(IFERROR(VLOOKUP($C50,Planes_de_estudio[],MATCH($AG$2,Carreras,0)+2,0),"")&gt;0,IFERROR(VLOOKUP($C50,Planes_de_estudio[],MATCH($AG$2,Carreras,0)+2,0),""),"")</f>
        <v>3</v>
      </c>
      <c r="AH50" s="93">
        <f>IF(IFERROR(VLOOKUP($C50,Planes_de_estudio[],MATCH($AH$2,Carreras,0)+2,0),"")&gt;0,IFERROR(VLOOKUP($C50,Planes_de_estudio[],MATCH($AH$2,Carreras,0)+2,0),""),"")</f>
        <v>3</v>
      </c>
      <c r="AI50" s="93">
        <f>IF(IFERROR(VLOOKUP($C50,Planes_de_estudio[],MATCH($AI$2,Carreras,0)+2,0),"")&gt;0,IFERROR(VLOOKUP($C50,Planes_de_estudio[],MATCH($AI$2,Carreras,0)+2,0),""),"")</f>
        <v>3</v>
      </c>
      <c r="AJ50" s="93">
        <f>IF(IFERROR(VLOOKUP($C50,Planes_de_estudio[],MATCH($AJ$2,Carreras,0)+2,0),"")&gt;0,IFERROR(VLOOKUP($C50,Planes_de_estudio[],MATCH($AJ$2,Carreras,0)+2,0),""),"")</f>
        <v>3</v>
      </c>
      <c r="AK50" s="93">
        <f>IF(IFERROR(VLOOKUP($C50,Planes_de_estudio[],MATCH($AK$2,Carreras,0)+2,0),"")&gt;0,IFERROR(VLOOKUP($C50,Planes_de_estudio[],MATCH($AK$2,Carreras,0)+2,0),""),"")</f>
        <v>3</v>
      </c>
      <c r="AL5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5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105</v>
      </c>
      <c r="AN50" s="93">
        <f>base_de_datos[[#This Row],[Pronóstico]]/25</f>
        <v>4.2</v>
      </c>
      <c r="AO50" s="93" t="str">
        <f>VLOOKUP($C50,Planes_de_estudio[],2)</f>
        <v>HUM</v>
      </c>
      <c r="AP50" s="195">
        <v>6</v>
      </c>
      <c r="AQ50" s="195">
        <v>6</v>
      </c>
      <c r="AR50" s="195">
        <v>6</v>
      </c>
      <c r="AS50" s="195">
        <v>6</v>
      </c>
      <c r="AT50" s="195">
        <v>6</v>
      </c>
      <c r="AU50" s="195">
        <v>6</v>
      </c>
      <c r="AV50" s="195">
        <v>6</v>
      </c>
      <c r="AW50" s="91"/>
      <c r="AX50" s="73"/>
    </row>
    <row r="51" spans="1:50" s="5" customFormat="1" ht="15">
      <c r="B51" s="95" t="s">
        <v>144</v>
      </c>
      <c r="C51" s="96" t="s">
        <v>173</v>
      </c>
      <c r="D51" s="92">
        <v>1</v>
      </c>
      <c r="E51" s="97">
        <v>0.5</v>
      </c>
      <c r="F51" s="97">
        <v>0.58333333333332904</v>
      </c>
      <c r="G51" s="92"/>
      <c r="H51" s="92" t="s">
        <v>174</v>
      </c>
      <c r="I51" s="92" t="e">
        <f>INDEX(Aulas_capacidad,MATCH(base_de_datos[[#This Row],[Aula]],Aulas,0),2)</f>
        <v>#REF!</v>
      </c>
      <c r="J51" s="90">
        <v>17</v>
      </c>
      <c r="K51" s="92" t="e">
        <f>INDEX(Aulas_capacidad,MATCH(base_de_datos[[#This Row],[Aula]],Aulas,0),4)</f>
        <v>#REF!</v>
      </c>
      <c r="L51" s="98" t="e">
        <f>base_de_datos[[#This Row],[Cap 1.5]]-base_de_datos[[#This Row],[Inscritos]]</f>
        <v>#REF!</v>
      </c>
      <c r="M51" s="98" t="e">
        <f>INDEX(Aulas_capacidad,MATCH(base_de_datos[[#This Row],[Aula]],Aulas,0),5)</f>
        <v>#REF!</v>
      </c>
      <c r="N51" s="98" t="e">
        <f>base_de_datos[[#This Row],[Cap .90]]-base_de_datos[[#This Row],[Inscritos]]</f>
        <v>#REF!</v>
      </c>
      <c r="O51" s="92" t="s">
        <v>175</v>
      </c>
      <c r="P51" s="99"/>
      <c r="Q51" s="100"/>
      <c r="R51" s="99"/>
      <c r="S51" s="100"/>
      <c r="T51" s="100" t="s">
        <v>68</v>
      </c>
      <c r="U51" s="99"/>
      <c r="V51" s="99"/>
      <c r="W51" s="99" t="s">
        <v>135</v>
      </c>
      <c r="X51" s="93">
        <f>_xlfn.XLOOKUP(base_de_datos[[#This Row],[Materia]],Materias,Horas)/16</f>
        <v>2</v>
      </c>
      <c r="Y51" s="93">
        <f>ROUND(((base_de_datos[[#This Row],[Hora fin]]-base_de_datos[[#This Row],[Hora inicio]])*24)*(COUNTA(base_de_datos[[#This Row],[Lunes]:[Sábado]])),1)</f>
        <v>2</v>
      </c>
      <c r="Z51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51" s="93">
        <f ca="1">IF(base_de_datos[[#This Row],[No clase]]=OFFSET(base_de_datos[[#This Row],[No clase]],-1,0),0,1)</f>
        <v>1</v>
      </c>
      <c r="AB51" s="93">
        <f ca="1">IF(NOT(OR(base_de_datos[[#This Row],[Horas totales]]=base_de_datos[[#This Row],[HT Plan]],base_de_datos[[#This Row],[Horas totales]]="N/A")),1,0)</f>
        <v>0</v>
      </c>
      <c r="AC51" s="93" t="e">
        <f>_xlfn.XLOOKUP(base_de_datos[[#This Row],[Profesor]],Nombre,Grado)</f>
        <v>#REF!</v>
      </c>
      <c r="AD51" s="94" t="e">
        <f>_xlfn.XLOOKUP(base_de_datos[[#This Row],[Profesor]],Nombre,Tipo)</f>
        <v>#REF!</v>
      </c>
      <c r="AE51" s="93">
        <f>IF(IFERROR(VLOOKUP($C51,Planes_de_estudio[],MATCH($AE$2,Carreras,0)+2,0),"")&gt;0,IFERROR(VLOOKUP($C51,Planes_de_estudio[],MATCH($AE$2,Carreras,0)+2,0),""),"")</f>
        <v>4</v>
      </c>
      <c r="AF51" s="93">
        <f>IF(IFERROR(VLOOKUP($C51,Planes_de_estudio[],MATCH($AF$2,Carreras,0)+2,0),"")&gt;0,IFERROR(VLOOKUP($C51,Planes_de_estudio[],MATCH($AF$2,Carreras,0)+2,0),""),"")</f>
        <v>4</v>
      </c>
      <c r="AG51" s="93">
        <f>IF(IFERROR(VLOOKUP($C51,Planes_de_estudio[],MATCH($AG$2,Carreras,0)+2,0),"")&gt;0,IFERROR(VLOOKUP($C51,Planes_de_estudio[],MATCH($AG$2,Carreras,0)+2,0),""),"")</f>
        <v>4</v>
      </c>
      <c r="AH51" s="93">
        <f>IF(IFERROR(VLOOKUP($C51,Planes_de_estudio[],MATCH($AH$2,Carreras,0)+2,0),"")&gt;0,IFERROR(VLOOKUP($C51,Planes_de_estudio[],MATCH($AH$2,Carreras,0)+2,0),""),"")</f>
        <v>4</v>
      </c>
      <c r="AI51" s="93">
        <f>IF(IFERROR(VLOOKUP($C51,Planes_de_estudio[],MATCH($AI$2,Carreras,0)+2,0),"")&gt;0,IFERROR(VLOOKUP($C51,Planes_de_estudio[],MATCH($AI$2,Carreras,0)+2,0),""),"")</f>
        <v>4</v>
      </c>
      <c r="AJ51" s="93">
        <f>IF(IFERROR(VLOOKUP($C51,Planes_de_estudio[],MATCH($AJ$2,Carreras,0)+2,0),"")&gt;0,IFERROR(VLOOKUP($C51,Planes_de_estudio[],MATCH($AJ$2,Carreras,0)+2,0),""),"")</f>
        <v>4</v>
      </c>
      <c r="AK51" s="93">
        <f>IF(IFERROR(VLOOKUP($C51,Planes_de_estudio[],MATCH($AK$2,Carreras,0)+2,0),"")&gt;0,IFERROR(VLOOKUP($C51,Planes_de_estudio[],MATCH($AK$2,Carreras,0)+2,0),""),"")</f>
        <v>4</v>
      </c>
      <c r="AL5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5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15</v>
      </c>
      <c r="AN51" s="93">
        <f>base_de_datos[[#This Row],[Pronóstico]]/25</f>
        <v>0.6</v>
      </c>
      <c r="AO51" s="93" t="str">
        <f>VLOOKUP($C51,Planes_de_estudio[],2)</f>
        <v>HUM</v>
      </c>
      <c r="AP51" s="195">
        <v>6</v>
      </c>
      <c r="AQ51" s="195">
        <v>6</v>
      </c>
      <c r="AR51" s="195">
        <v>6</v>
      </c>
      <c r="AS51" s="195">
        <v>6</v>
      </c>
      <c r="AT51" s="195">
        <v>6</v>
      </c>
      <c r="AU51" s="195">
        <v>6</v>
      </c>
      <c r="AV51" s="195">
        <v>6</v>
      </c>
      <c r="AW51" s="91"/>
      <c r="AX51" s="73"/>
    </row>
    <row r="52" spans="1:50" s="5" customFormat="1" ht="15">
      <c r="B52" s="95" t="s">
        <v>176</v>
      </c>
      <c r="C52" s="96" t="s">
        <v>177</v>
      </c>
      <c r="D52" s="92">
        <v>1</v>
      </c>
      <c r="E52" s="97">
        <v>0.375</v>
      </c>
      <c r="F52" s="97">
        <v>0.45833333333333098</v>
      </c>
      <c r="G52" s="92"/>
      <c r="H52" s="92" t="s">
        <v>151</v>
      </c>
      <c r="I52" s="92" t="e">
        <f>INDEX(Aulas_capacidad,MATCH(base_de_datos[[#This Row],[Aula]],Aulas,0),2)</f>
        <v>#REF!</v>
      </c>
      <c r="J52" s="90">
        <v>14</v>
      </c>
      <c r="K52" s="92" t="e">
        <f>INDEX(Aulas_capacidad,MATCH(base_de_datos[[#This Row],[Aula]],Aulas,0),4)</f>
        <v>#REF!</v>
      </c>
      <c r="L52" s="98" t="e">
        <f>base_de_datos[[#This Row],[Cap 1.5]]-base_de_datos[[#This Row],[Inscritos]]</f>
        <v>#REF!</v>
      </c>
      <c r="M52" s="98" t="e">
        <f>INDEX(Aulas_capacidad,MATCH(base_de_datos[[#This Row],[Aula]],Aulas,0),5)</f>
        <v>#REF!</v>
      </c>
      <c r="N52" s="98" t="e">
        <f>base_de_datos[[#This Row],[Cap .90]]-base_de_datos[[#This Row],[Inscritos]]</f>
        <v>#REF!</v>
      </c>
      <c r="O52" s="92" t="s">
        <v>178</v>
      </c>
      <c r="P52" s="99"/>
      <c r="Q52" s="100" t="s">
        <v>68</v>
      </c>
      <c r="R52" s="99"/>
      <c r="S52" s="100"/>
      <c r="T52" s="100"/>
      <c r="U52" s="99"/>
      <c r="V52" s="99"/>
      <c r="W52" s="99" t="s">
        <v>69</v>
      </c>
      <c r="X52" s="93">
        <f>_xlfn.XLOOKUP(base_de_datos[[#This Row],[Materia]],Materias,Horas)/16</f>
        <v>2</v>
      </c>
      <c r="Y52" s="93">
        <f>ROUND(((base_de_datos[[#This Row],[Hora fin]]-base_de_datos[[#This Row],[Hora inicio]])*24)*(COUNTA(base_de_datos[[#This Row],[Lunes]:[Sábado]])),1)</f>
        <v>2</v>
      </c>
      <c r="Z52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52" s="93">
        <f ca="1">IF(base_de_datos[[#This Row],[No clase]]=OFFSET(base_de_datos[[#This Row],[No clase]],-1,0),0,1)</f>
        <v>1</v>
      </c>
      <c r="AB52" s="93">
        <f ca="1">IF(NOT(OR(base_de_datos[[#This Row],[Horas totales]]=base_de_datos[[#This Row],[HT Plan]],base_de_datos[[#This Row],[Horas totales]]="N/A")),1,0)</f>
        <v>0</v>
      </c>
      <c r="AC52" s="93" t="e">
        <f>_xlfn.XLOOKUP(base_de_datos[[#This Row],[Profesor]],Nombre,Grado)</f>
        <v>#REF!</v>
      </c>
      <c r="AD52" s="94" t="e">
        <f>_xlfn.XLOOKUP(base_de_datos[[#This Row],[Profesor]],Nombre,Tipo)</f>
        <v>#REF!</v>
      </c>
      <c r="AE52" s="93">
        <f>IF(IFERROR(VLOOKUP($C52,Planes_de_estudio[],MATCH($AE$2,Carreras,0)+2,0),"")&gt;0,IFERROR(VLOOKUP($C52,Planes_de_estudio[],MATCH($AE$2,Carreras,0)+2,0),""),"")</f>
        <v>5</v>
      </c>
      <c r="AF52" s="93">
        <f>IF(IFERROR(VLOOKUP($C52,Planes_de_estudio[],MATCH($AF$2,Carreras,0)+2,0),"")&gt;0,IFERROR(VLOOKUP($C52,Planes_de_estudio[],MATCH($AF$2,Carreras,0)+2,0),""),"")</f>
        <v>5</v>
      </c>
      <c r="AG52" s="93">
        <f>IF(IFERROR(VLOOKUP($C52,Planes_de_estudio[],MATCH($AG$2,Carreras,0)+2,0),"")&gt;0,IFERROR(VLOOKUP($C52,Planes_de_estudio[],MATCH($AG$2,Carreras,0)+2,0),""),"")</f>
        <v>5</v>
      </c>
      <c r="AH52" s="93">
        <f>IF(IFERROR(VLOOKUP($C52,Planes_de_estudio[],MATCH($AH$2,Carreras,0)+2,0),"")&gt;0,IFERROR(VLOOKUP($C52,Planes_de_estudio[],MATCH($AH$2,Carreras,0)+2,0),""),"")</f>
        <v>5</v>
      </c>
      <c r="AI52" s="93">
        <f>IF(IFERROR(VLOOKUP($C52,Planes_de_estudio[],MATCH($AI$2,Carreras,0)+2,0),"")&gt;0,IFERROR(VLOOKUP($C52,Planes_de_estudio[],MATCH($AI$2,Carreras,0)+2,0),""),"")</f>
        <v>5</v>
      </c>
      <c r="AJ52" s="93">
        <f>IF(IFERROR(VLOOKUP($C52,Planes_de_estudio[],MATCH($AJ$2,Carreras,0)+2,0),"")&gt;0,IFERROR(VLOOKUP($C52,Planes_de_estudio[],MATCH($AJ$2,Carreras,0)+2,0),""),"")</f>
        <v>5</v>
      </c>
      <c r="AK52" s="93">
        <f>IF(IFERROR(VLOOKUP($C52,Planes_de_estudio[],MATCH($AK$2,Carreras,0)+2,0),"")&gt;0,IFERROR(VLOOKUP($C52,Planes_de_estudio[],MATCH($AK$2,Carreras,0)+2,0),""),"")</f>
        <v>5</v>
      </c>
      <c r="AL5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5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105</v>
      </c>
      <c r="AN52" s="93">
        <f>base_de_datos[[#This Row],[Pronóstico]]/25</f>
        <v>4.2</v>
      </c>
      <c r="AO52" s="93" t="str">
        <f>VLOOKUP($C52,Planes_de_estudio[],2)</f>
        <v>HUM</v>
      </c>
      <c r="AP52" s="195">
        <v>6</v>
      </c>
      <c r="AQ52" s="195">
        <v>6</v>
      </c>
      <c r="AR52" s="195">
        <v>6</v>
      </c>
      <c r="AS52" s="195">
        <v>6</v>
      </c>
      <c r="AT52" s="195">
        <v>6</v>
      </c>
      <c r="AU52" s="195">
        <v>6</v>
      </c>
      <c r="AV52" s="195">
        <v>6</v>
      </c>
      <c r="AW52" s="91"/>
      <c r="AX52" s="73"/>
    </row>
    <row r="53" spans="1:50" s="5" customFormat="1" ht="15">
      <c r="B53" s="95" t="s">
        <v>176</v>
      </c>
      <c r="C53" s="96" t="s">
        <v>177</v>
      </c>
      <c r="D53" s="92">
        <v>2</v>
      </c>
      <c r="E53" s="97">
        <v>0.70833333333333304</v>
      </c>
      <c r="F53" s="97">
        <v>0.79166666666665897</v>
      </c>
      <c r="G53" s="92"/>
      <c r="H53" s="92" t="s">
        <v>153</v>
      </c>
      <c r="I53" s="92" t="e">
        <f>INDEX(Aulas_capacidad,MATCH(base_de_datos[[#This Row],[Aula]],Aulas,0),2)</f>
        <v>#REF!</v>
      </c>
      <c r="J53" s="90">
        <v>58</v>
      </c>
      <c r="K53" s="92" t="e">
        <f>INDEX(Aulas_capacidad,MATCH(base_de_datos[[#This Row],[Aula]],Aulas,0),4)</f>
        <v>#REF!</v>
      </c>
      <c r="L53" s="98" t="e">
        <f>base_de_datos[[#This Row],[Cap 1.5]]-base_de_datos[[#This Row],[Inscritos]]</f>
        <v>#REF!</v>
      </c>
      <c r="M53" s="98" t="e">
        <f>INDEX(Aulas_capacidad,MATCH(base_de_datos[[#This Row],[Aula]],Aulas,0),5)</f>
        <v>#REF!</v>
      </c>
      <c r="N53" s="98" t="e">
        <f>base_de_datos[[#This Row],[Cap .90]]-base_de_datos[[#This Row],[Inscritos]]</f>
        <v>#REF!</v>
      </c>
      <c r="O53" s="92" t="s">
        <v>179</v>
      </c>
      <c r="P53" s="99"/>
      <c r="Q53" s="100"/>
      <c r="R53" s="99"/>
      <c r="S53" s="100" t="s">
        <v>68</v>
      </c>
      <c r="T53" s="100"/>
      <c r="U53" s="99"/>
      <c r="V53" s="99"/>
      <c r="W53" s="99" t="s">
        <v>79</v>
      </c>
      <c r="X53" s="93">
        <f>_xlfn.XLOOKUP(base_de_datos[[#This Row],[Materia]],Materias,Horas)/16</f>
        <v>2</v>
      </c>
      <c r="Y53" s="93">
        <f>ROUND(((base_de_datos[[#This Row],[Hora fin]]-base_de_datos[[#This Row],[Hora inicio]])*24)*(COUNTA(base_de_datos[[#This Row],[Lunes]:[Sábado]])),1)</f>
        <v>2</v>
      </c>
      <c r="Z53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53" s="93">
        <f ca="1">IF(base_de_datos[[#This Row],[No clase]]=OFFSET(base_de_datos[[#This Row],[No clase]],-1,0),0,1)</f>
        <v>1</v>
      </c>
      <c r="AB53" s="93">
        <f ca="1">IF(NOT(OR(base_de_datos[[#This Row],[Horas totales]]=base_de_datos[[#This Row],[HT Plan]],base_de_datos[[#This Row],[Horas totales]]="N/A")),1,0)</f>
        <v>0</v>
      </c>
      <c r="AC53" s="93" t="e">
        <f>_xlfn.XLOOKUP(base_de_datos[[#This Row],[Profesor]],Nombre,Grado)</f>
        <v>#REF!</v>
      </c>
      <c r="AD53" s="94" t="e">
        <f>_xlfn.XLOOKUP(base_de_datos[[#This Row],[Profesor]],Nombre,Tipo)</f>
        <v>#REF!</v>
      </c>
      <c r="AE53" s="93">
        <f>IF(IFERROR(VLOOKUP($C53,Planes_de_estudio[],MATCH($AE$2,Carreras,0)+2,0),"")&gt;0,IFERROR(VLOOKUP($C53,Planes_de_estudio[],MATCH($AE$2,Carreras,0)+2,0),""),"")</f>
        <v>5</v>
      </c>
      <c r="AF53" s="93">
        <f>IF(IFERROR(VLOOKUP($C53,Planes_de_estudio[],MATCH($AF$2,Carreras,0)+2,0),"")&gt;0,IFERROR(VLOOKUP($C53,Planes_de_estudio[],MATCH($AF$2,Carreras,0)+2,0),""),"")</f>
        <v>5</v>
      </c>
      <c r="AG53" s="93">
        <f>IF(IFERROR(VLOOKUP($C53,Planes_de_estudio[],MATCH($AG$2,Carreras,0)+2,0),"")&gt;0,IFERROR(VLOOKUP($C53,Planes_de_estudio[],MATCH($AG$2,Carreras,0)+2,0),""),"")</f>
        <v>5</v>
      </c>
      <c r="AH53" s="93">
        <f>IF(IFERROR(VLOOKUP($C53,Planes_de_estudio[],MATCH($AH$2,Carreras,0)+2,0),"")&gt;0,IFERROR(VLOOKUP($C53,Planes_de_estudio[],MATCH($AH$2,Carreras,0)+2,0),""),"")</f>
        <v>5</v>
      </c>
      <c r="AI53" s="93">
        <f>IF(IFERROR(VLOOKUP($C53,Planes_de_estudio[],MATCH($AI$2,Carreras,0)+2,0),"")&gt;0,IFERROR(VLOOKUP($C53,Planes_de_estudio[],MATCH($AI$2,Carreras,0)+2,0),""),"")</f>
        <v>5</v>
      </c>
      <c r="AJ53" s="93">
        <f>IF(IFERROR(VLOOKUP($C53,Planes_de_estudio[],MATCH($AJ$2,Carreras,0)+2,0),"")&gt;0,IFERROR(VLOOKUP($C53,Planes_de_estudio[],MATCH($AJ$2,Carreras,0)+2,0),""),"")</f>
        <v>5</v>
      </c>
      <c r="AK53" s="93">
        <f>IF(IFERROR(VLOOKUP($C53,Planes_de_estudio[],MATCH($AK$2,Carreras,0)+2,0),"")&gt;0,IFERROR(VLOOKUP($C53,Planes_de_estudio[],MATCH($AK$2,Carreras,0)+2,0),""),"")</f>
        <v>5</v>
      </c>
      <c r="AL5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5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105</v>
      </c>
      <c r="AN53" s="93">
        <f>base_de_datos[[#This Row],[Pronóstico]]/25</f>
        <v>4.2</v>
      </c>
      <c r="AO53" s="93" t="str">
        <f>VLOOKUP($C53,Planes_de_estudio[],2)</f>
        <v>HUM</v>
      </c>
      <c r="AP53" s="195">
        <v>6</v>
      </c>
      <c r="AQ53" s="195">
        <v>6</v>
      </c>
      <c r="AR53" s="195">
        <v>6</v>
      </c>
      <c r="AS53" s="195">
        <v>6</v>
      </c>
      <c r="AT53" s="195">
        <v>6</v>
      </c>
      <c r="AU53" s="195">
        <v>6</v>
      </c>
      <c r="AV53" s="195">
        <v>6</v>
      </c>
      <c r="AW53" s="91"/>
      <c r="AX53" s="73"/>
    </row>
    <row r="54" spans="1:50" s="5" customFormat="1" ht="15">
      <c r="B54" s="95" t="s">
        <v>176</v>
      </c>
      <c r="C54" s="96" t="s">
        <v>177</v>
      </c>
      <c r="D54" s="92">
        <v>4</v>
      </c>
      <c r="E54" s="97">
        <v>0.70833333333333304</v>
      </c>
      <c r="F54" s="97">
        <v>0.79166666666665897</v>
      </c>
      <c r="G54" s="92"/>
      <c r="H54" s="92" t="s">
        <v>153</v>
      </c>
      <c r="I54" s="92" t="e">
        <f>INDEX(Aulas_capacidad,MATCH(base_de_datos[[#This Row],[Aula]],Aulas,0),2)</f>
        <v>#REF!</v>
      </c>
      <c r="J54" s="90">
        <v>32</v>
      </c>
      <c r="K54" s="92" t="e">
        <f>INDEX(Aulas_capacidad,MATCH(base_de_datos[[#This Row],[Aula]],Aulas,0),4)</f>
        <v>#REF!</v>
      </c>
      <c r="L54" s="98" t="e">
        <f>base_de_datos[[#This Row],[Cap 1.5]]-base_de_datos[[#This Row],[Inscritos]]</f>
        <v>#REF!</v>
      </c>
      <c r="M54" s="98" t="e">
        <f>INDEX(Aulas_capacidad,MATCH(base_de_datos[[#This Row],[Aula]],Aulas,0),5)</f>
        <v>#REF!</v>
      </c>
      <c r="N54" s="98" t="e">
        <f>base_de_datos[[#This Row],[Cap .90]]-base_de_datos[[#This Row],[Inscritos]]</f>
        <v>#REF!</v>
      </c>
      <c r="O54" s="92" t="s">
        <v>180</v>
      </c>
      <c r="P54" s="99"/>
      <c r="Q54" s="100" t="s">
        <v>68</v>
      </c>
      <c r="R54" s="99"/>
      <c r="S54" s="100"/>
      <c r="T54" s="100"/>
      <c r="U54" s="99"/>
      <c r="V54" s="99"/>
      <c r="W54" s="99" t="s">
        <v>69</v>
      </c>
      <c r="X54" s="93">
        <f>_xlfn.XLOOKUP(base_de_datos[[#This Row],[Materia]],Materias,Horas)/16</f>
        <v>2</v>
      </c>
      <c r="Y54" s="93">
        <f>ROUND(((base_de_datos[[#This Row],[Hora fin]]-base_de_datos[[#This Row],[Hora inicio]])*24)*(COUNTA(base_de_datos[[#This Row],[Lunes]:[Sábado]])),1)</f>
        <v>2</v>
      </c>
      <c r="Z54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54" s="93">
        <f ca="1">IF(base_de_datos[[#This Row],[No clase]]=OFFSET(base_de_datos[[#This Row],[No clase]],-1,0),0,1)</f>
        <v>1</v>
      </c>
      <c r="AB54" s="93">
        <f ca="1">IF(NOT(OR(base_de_datos[[#This Row],[Horas totales]]=base_de_datos[[#This Row],[HT Plan]],base_de_datos[[#This Row],[Horas totales]]="N/A")),1,0)</f>
        <v>0</v>
      </c>
      <c r="AC54" s="93" t="e">
        <f>_xlfn.XLOOKUP(base_de_datos[[#This Row],[Profesor]],Nombre,Grado)</f>
        <v>#REF!</v>
      </c>
      <c r="AD54" s="94" t="e">
        <f>_xlfn.XLOOKUP(base_de_datos[[#This Row],[Profesor]],Nombre,Tipo)</f>
        <v>#REF!</v>
      </c>
      <c r="AE54" s="93">
        <f>IF(IFERROR(VLOOKUP($C54,Planes_de_estudio[],MATCH($AE$2,Carreras,0)+2,0),"")&gt;0,IFERROR(VLOOKUP($C54,Planes_de_estudio[],MATCH($AE$2,Carreras,0)+2,0),""),"")</f>
        <v>5</v>
      </c>
      <c r="AF54" s="93">
        <f>IF(IFERROR(VLOOKUP($C54,Planes_de_estudio[],MATCH($AF$2,Carreras,0)+2,0),"")&gt;0,IFERROR(VLOOKUP($C54,Planes_de_estudio[],MATCH($AF$2,Carreras,0)+2,0),""),"")</f>
        <v>5</v>
      </c>
      <c r="AG54" s="93">
        <f>IF(IFERROR(VLOOKUP($C54,Planes_de_estudio[],MATCH($AG$2,Carreras,0)+2,0),"")&gt;0,IFERROR(VLOOKUP($C54,Planes_de_estudio[],MATCH($AG$2,Carreras,0)+2,0),""),"")</f>
        <v>5</v>
      </c>
      <c r="AH54" s="93">
        <f>IF(IFERROR(VLOOKUP($C54,Planes_de_estudio[],MATCH($AH$2,Carreras,0)+2,0),"")&gt;0,IFERROR(VLOOKUP($C54,Planes_de_estudio[],MATCH($AH$2,Carreras,0)+2,0),""),"")</f>
        <v>5</v>
      </c>
      <c r="AI54" s="93">
        <f>IF(IFERROR(VLOOKUP($C54,Planes_de_estudio[],MATCH($AI$2,Carreras,0)+2,0),"")&gt;0,IFERROR(VLOOKUP($C54,Planes_de_estudio[],MATCH($AI$2,Carreras,0)+2,0),""),"")</f>
        <v>5</v>
      </c>
      <c r="AJ54" s="93">
        <f>IF(IFERROR(VLOOKUP($C54,Planes_de_estudio[],MATCH($AJ$2,Carreras,0)+2,0),"")&gt;0,IFERROR(VLOOKUP($C54,Planes_de_estudio[],MATCH($AJ$2,Carreras,0)+2,0),""),"")</f>
        <v>5</v>
      </c>
      <c r="AK54" s="93">
        <f>IF(IFERROR(VLOOKUP($C54,Planes_de_estudio[],MATCH($AK$2,Carreras,0)+2,0),"")&gt;0,IFERROR(VLOOKUP($C54,Planes_de_estudio[],MATCH($AK$2,Carreras,0)+2,0),""),"")</f>
        <v>5</v>
      </c>
      <c r="AL5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5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105</v>
      </c>
      <c r="AN54" s="93">
        <f>base_de_datos[[#This Row],[Pronóstico]]/25</f>
        <v>4.2</v>
      </c>
      <c r="AO54" s="93" t="str">
        <f>VLOOKUP($C54,Planes_de_estudio[],2)</f>
        <v>HUM</v>
      </c>
      <c r="AP54" s="195">
        <v>6</v>
      </c>
      <c r="AQ54" s="195">
        <v>6</v>
      </c>
      <c r="AR54" s="195">
        <v>6</v>
      </c>
      <c r="AS54" s="195">
        <v>6</v>
      </c>
      <c r="AT54" s="195">
        <v>6</v>
      </c>
      <c r="AU54" s="195">
        <v>6</v>
      </c>
      <c r="AV54" s="195">
        <v>6</v>
      </c>
      <c r="AW54" s="91"/>
      <c r="AX54" s="73"/>
    </row>
    <row r="55" spans="1:50" s="5" customFormat="1" ht="15">
      <c r="A55" s="5" t="s">
        <v>63</v>
      </c>
      <c r="B55" s="95" t="s">
        <v>154</v>
      </c>
      <c r="C55" s="96" t="s">
        <v>181</v>
      </c>
      <c r="D55" s="92">
        <v>1</v>
      </c>
      <c r="E55" s="97">
        <v>0.79166666666666696</v>
      </c>
      <c r="F55" s="97">
        <v>0.91666666666665697</v>
      </c>
      <c r="G55" s="92"/>
      <c r="H55" s="92" t="s">
        <v>146</v>
      </c>
      <c r="I55" s="92" t="e">
        <f>INDEX(Aulas_capacidad,MATCH(base_de_datos[[#This Row],[Aula]],Aulas,0),2)</f>
        <v>#REF!</v>
      </c>
      <c r="J55" s="90">
        <v>17</v>
      </c>
      <c r="K55" s="92" t="e">
        <f>INDEX(Aulas_capacidad,MATCH(base_de_datos[[#This Row],[Aula]],Aulas,0),4)</f>
        <v>#REF!</v>
      </c>
      <c r="L55" s="98" t="e">
        <f>base_de_datos[[#This Row],[Cap 1.5]]-base_de_datos[[#This Row],[Inscritos]]</f>
        <v>#REF!</v>
      </c>
      <c r="M55" s="98" t="e">
        <f>INDEX(Aulas_capacidad,MATCH(base_de_datos[[#This Row],[Aula]],Aulas,0),5)</f>
        <v>#REF!</v>
      </c>
      <c r="N55" s="98" t="e">
        <f>base_de_datos[[#This Row],[Cap .90]]-base_de_datos[[#This Row],[Inscritos]]</f>
        <v>#REF!</v>
      </c>
      <c r="O55" s="92" t="s">
        <v>182</v>
      </c>
      <c r="P55" s="99"/>
      <c r="Q55" s="100" t="s">
        <v>68</v>
      </c>
      <c r="R55" s="99"/>
      <c r="S55" s="100"/>
      <c r="T55" s="100"/>
      <c r="U55" s="99"/>
      <c r="V55" s="99" t="s">
        <v>68</v>
      </c>
      <c r="W55" s="99" t="s">
        <v>69</v>
      </c>
      <c r="X55" s="93">
        <f>_xlfn.XLOOKUP(base_de_datos[[#This Row],[Materia]],Materias,Horas)/16</f>
        <v>3</v>
      </c>
      <c r="Y55" s="93">
        <f>ROUND(((base_de_datos[[#This Row],[Hora fin]]-base_de_datos[[#This Row],[Hora inicio]])*24)*(COUNTA(base_de_datos[[#This Row],[Lunes]:[Sábado]])),1)</f>
        <v>3</v>
      </c>
      <c r="Z55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5" s="93">
        <f ca="1">IF(base_de_datos[[#This Row],[No clase]]=OFFSET(base_de_datos[[#This Row],[No clase]],-1,0),0,1)</f>
        <v>1</v>
      </c>
      <c r="AB55" s="93">
        <f ca="1">IF(NOT(OR(base_de_datos[[#This Row],[Horas totales]]=base_de_datos[[#This Row],[HT Plan]],base_de_datos[[#This Row],[Horas totales]]="N/A")),1,0)</f>
        <v>0</v>
      </c>
      <c r="AC55" s="93" t="e">
        <f>_xlfn.XLOOKUP(base_de_datos[[#This Row],[Profesor]],Nombre,Grado)</f>
        <v>#REF!</v>
      </c>
      <c r="AD55" s="94" t="e">
        <f>_xlfn.XLOOKUP(base_de_datos[[#This Row],[Profesor]],Nombre,Tipo)</f>
        <v>#REF!</v>
      </c>
      <c r="AE55" s="93">
        <f>IF(IFERROR(VLOOKUP($C55,Planes_de_estudio[],MATCH($AE$2,Carreras,0)+2,0),"")&gt;0,IFERROR(VLOOKUP($C55,Planes_de_estudio[],MATCH($AE$2,Carreras,0)+2,0),""),"")</f>
        <v>7</v>
      </c>
      <c r="AF55" s="93">
        <f>IF(IFERROR(VLOOKUP($C55,Planes_de_estudio[],MATCH($AF$2,Carreras,0)+2,0),"")&gt;0,IFERROR(VLOOKUP($C55,Planes_de_estudio[],MATCH($AF$2,Carreras,0)+2,0),""),"")</f>
        <v>7</v>
      </c>
      <c r="AG55" s="93">
        <f>IF(IFERROR(VLOOKUP($C55,Planes_de_estudio[],MATCH($AG$2,Carreras,0)+2,0),"")&gt;0,IFERROR(VLOOKUP($C55,Planes_de_estudio[],MATCH($AG$2,Carreras,0)+2,0),""),"")</f>
        <v>7</v>
      </c>
      <c r="AH55" s="93">
        <f>IF(IFERROR(VLOOKUP($C55,Planes_de_estudio[],MATCH($AH$2,Carreras,0)+2,0),"")&gt;0,IFERROR(VLOOKUP($C55,Planes_de_estudio[],MATCH($AH$2,Carreras,0)+2,0),""),"")</f>
        <v>7</v>
      </c>
      <c r="AI55" s="93">
        <f>IF(IFERROR(VLOOKUP($C55,Planes_de_estudio[],MATCH($AI$2,Carreras,0)+2,0),"")&gt;0,IFERROR(VLOOKUP($C55,Planes_de_estudio[],MATCH($AI$2,Carreras,0)+2,0),""),"")</f>
        <v>7</v>
      </c>
      <c r="AJ55" s="93">
        <f>IF(IFERROR(VLOOKUP($C55,Planes_de_estudio[],MATCH($AJ$2,Carreras,0)+2,0),"")&gt;0,IFERROR(VLOOKUP($C55,Planes_de_estudio[],MATCH($AJ$2,Carreras,0)+2,0),""),"")</f>
        <v>7</v>
      </c>
      <c r="AK55" s="93">
        <f>IF(IFERROR(VLOOKUP($C55,Planes_de_estudio[],MATCH($AK$2,Carreras,0)+2,0),"")&gt;0,IFERROR(VLOOKUP($C55,Planes_de_estudio[],MATCH($AK$2,Carreras,0)+2,0),""),"")</f>
        <v>7</v>
      </c>
      <c r="AL5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5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120</v>
      </c>
      <c r="AN55" s="93">
        <f>base_de_datos[[#This Row],[Pronóstico]]/25</f>
        <v>4.8</v>
      </c>
      <c r="AO55" s="93" t="str">
        <f>VLOOKUP($C55,Planes_de_estudio[],2)</f>
        <v>HUM</v>
      </c>
      <c r="AP55" s="195">
        <v>6</v>
      </c>
      <c r="AQ55" s="195">
        <v>6</v>
      </c>
      <c r="AR55" s="195">
        <v>6</v>
      </c>
      <c r="AS55" s="195">
        <v>6</v>
      </c>
      <c r="AT55" s="195">
        <v>6</v>
      </c>
      <c r="AU55" s="195">
        <v>6</v>
      </c>
      <c r="AV55" s="195">
        <v>6</v>
      </c>
      <c r="AW55" s="91"/>
      <c r="AX55" s="73"/>
    </row>
    <row r="56" spans="1:50" s="5" customFormat="1" ht="15">
      <c r="A56" s="5" t="s">
        <v>63</v>
      </c>
      <c r="B56" s="95" t="s">
        <v>183</v>
      </c>
      <c r="C56" s="96" t="s">
        <v>181</v>
      </c>
      <c r="D56" s="92">
        <v>2</v>
      </c>
      <c r="E56" s="97">
        <v>0.79166666666666696</v>
      </c>
      <c r="F56" s="97">
        <v>0.91666666666665697</v>
      </c>
      <c r="G56" s="92"/>
      <c r="H56" s="92" t="s">
        <v>151</v>
      </c>
      <c r="I56" s="92" t="e">
        <f>INDEX(Aulas_capacidad,MATCH(base_de_datos[[#This Row],[Aula]],Aulas,0),2)</f>
        <v>#REF!</v>
      </c>
      <c r="J56" s="90">
        <v>31</v>
      </c>
      <c r="K56" s="92" t="e">
        <f>INDEX(Aulas_capacidad,MATCH(base_de_datos[[#This Row],[Aula]],Aulas,0),4)</f>
        <v>#REF!</v>
      </c>
      <c r="L56" s="98" t="e">
        <f>base_de_datos[[#This Row],[Cap 1.5]]-base_de_datos[[#This Row],[Inscritos]]</f>
        <v>#REF!</v>
      </c>
      <c r="M56" s="98" t="e">
        <f>INDEX(Aulas_capacidad,MATCH(base_de_datos[[#This Row],[Aula]],Aulas,0),5)</f>
        <v>#REF!</v>
      </c>
      <c r="N56" s="98" t="e">
        <f>base_de_datos[[#This Row],[Cap .90]]-base_de_datos[[#This Row],[Inscritos]]</f>
        <v>#REF!</v>
      </c>
      <c r="O56" s="92" t="s">
        <v>184</v>
      </c>
      <c r="P56" s="99"/>
      <c r="Q56" s="100" t="s">
        <v>68</v>
      </c>
      <c r="R56" s="99"/>
      <c r="S56" s="100"/>
      <c r="T56" s="100"/>
      <c r="U56" s="99"/>
      <c r="V56" s="99"/>
      <c r="W56" s="99" t="s">
        <v>69</v>
      </c>
      <c r="X56" s="93">
        <f>_xlfn.XLOOKUP(base_de_datos[[#This Row],[Materia]],Materias,Horas)/16</f>
        <v>3</v>
      </c>
      <c r="Y56" s="93">
        <f>ROUND(((base_de_datos[[#This Row],[Hora fin]]-base_de_datos[[#This Row],[Hora inicio]])*24)*(COUNTA(base_de_datos[[#This Row],[Lunes]:[Sábado]])),1)</f>
        <v>3</v>
      </c>
      <c r="Z56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6" s="93">
        <f ca="1">IF(base_de_datos[[#This Row],[No clase]]=OFFSET(base_de_datos[[#This Row],[No clase]],-1,0),0,1)</f>
        <v>1</v>
      </c>
      <c r="AB56" s="93">
        <f ca="1">IF(NOT(OR(base_de_datos[[#This Row],[Horas totales]]=base_de_datos[[#This Row],[HT Plan]],base_de_datos[[#This Row],[Horas totales]]="N/A")),1,0)</f>
        <v>0</v>
      </c>
      <c r="AC56" s="93" t="e">
        <f>_xlfn.XLOOKUP(base_de_datos[[#This Row],[Profesor]],Nombre,Grado)</f>
        <v>#REF!</v>
      </c>
      <c r="AD56" s="94" t="e">
        <f>_xlfn.XLOOKUP(base_de_datos[[#This Row],[Profesor]],Nombre,Tipo)</f>
        <v>#REF!</v>
      </c>
      <c r="AE56" s="93">
        <f>IF(IFERROR(VLOOKUP($C56,Planes_de_estudio[],MATCH($AE$2,Carreras,0)+2,0),"")&gt;0,IFERROR(VLOOKUP($C56,Planes_de_estudio[],MATCH($AE$2,Carreras,0)+2,0),""),"")</f>
        <v>7</v>
      </c>
      <c r="AF56" s="93">
        <f>IF(IFERROR(VLOOKUP($C56,Planes_de_estudio[],MATCH($AF$2,Carreras,0)+2,0),"")&gt;0,IFERROR(VLOOKUP($C56,Planes_de_estudio[],MATCH($AF$2,Carreras,0)+2,0),""),"")</f>
        <v>7</v>
      </c>
      <c r="AG56" s="93">
        <f>IF(IFERROR(VLOOKUP($C56,Planes_de_estudio[],MATCH($AG$2,Carreras,0)+2,0),"")&gt;0,IFERROR(VLOOKUP($C56,Planes_de_estudio[],MATCH($AG$2,Carreras,0)+2,0),""),"")</f>
        <v>7</v>
      </c>
      <c r="AH56" s="93">
        <f>IF(IFERROR(VLOOKUP($C56,Planes_de_estudio[],MATCH($AH$2,Carreras,0)+2,0),"")&gt;0,IFERROR(VLOOKUP($C56,Planes_de_estudio[],MATCH($AH$2,Carreras,0)+2,0),""),"")</f>
        <v>7</v>
      </c>
      <c r="AI56" s="93">
        <f>IF(IFERROR(VLOOKUP($C56,Planes_de_estudio[],MATCH($AI$2,Carreras,0)+2,0),"")&gt;0,IFERROR(VLOOKUP($C56,Planes_de_estudio[],MATCH($AI$2,Carreras,0)+2,0),""),"")</f>
        <v>7</v>
      </c>
      <c r="AJ56" s="93">
        <f>IF(IFERROR(VLOOKUP($C56,Planes_de_estudio[],MATCH($AJ$2,Carreras,0)+2,0),"")&gt;0,IFERROR(VLOOKUP($C56,Planes_de_estudio[],MATCH($AJ$2,Carreras,0)+2,0),""),"")</f>
        <v>7</v>
      </c>
      <c r="AK56" s="93">
        <f>IF(IFERROR(VLOOKUP($C56,Planes_de_estudio[],MATCH($AK$2,Carreras,0)+2,0),"")&gt;0,IFERROR(VLOOKUP($C56,Planes_de_estudio[],MATCH($AK$2,Carreras,0)+2,0),""),"")</f>
        <v>7</v>
      </c>
      <c r="AL5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5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120</v>
      </c>
      <c r="AN56" s="93">
        <f>base_de_datos[[#This Row],[Pronóstico]]/25</f>
        <v>4.8</v>
      </c>
      <c r="AO56" s="93" t="str">
        <f>VLOOKUP($C56,Planes_de_estudio[],2)</f>
        <v>HUM</v>
      </c>
      <c r="AP56" s="195">
        <v>6</v>
      </c>
      <c r="AQ56" s="195">
        <v>6</v>
      </c>
      <c r="AR56" s="195">
        <v>6</v>
      </c>
      <c r="AS56" s="195">
        <v>6</v>
      </c>
      <c r="AT56" s="195">
        <v>6</v>
      </c>
      <c r="AU56" s="195">
        <v>6</v>
      </c>
      <c r="AV56" s="195">
        <v>6</v>
      </c>
      <c r="AW56" s="91"/>
      <c r="AX56" s="73"/>
    </row>
    <row r="57" spans="1:50" s="5" customFormat="1" ht="15">
      <c r="B57" s="95" t="s">
        <v>185</v>
      </c>
      <c r="C57" s="96" t="s">
        <v>181</v>
      </c>
      <c r="D57" s="92">
        <v>3</v>
      </c>
      <c r="E57" s="97">
        <v>0.79166666666666696</v>
      </c>
      <c r="F57" s="97">
        <v>0.91666666666665697</v>
      </c>
      <c r="G57" s="92"/>
      <c r="H57" s="92" t="s">
        <v>153</v>
      </c>
      <c r="I57" s="92" t="e">
        <f>INDEX(Aulas_capacidad,MATCH(base_de_datos[[#This Row],[Aula]],Aulas,0),2)</f>
        <v>#REF!</v>
      </c>
      <c r="J57" s="90">
        <v>31</v>
      </c>
      <c r="K57" s="92" t="e">
        <f>INDEX(Aulas_capacidad,MATCH(base_de_datos[[#This Row],[Aula]],Aulas,0),4)</f>
        <v>#REF!</v>
      </c>
      <c r="L57" s="98" t="e">
        <f>base_de_datos[[#This Row],[Cap 1.5]]-base_de_datos[[#This Row],[Inscritos]]</f>
        <v>#REF!</v>
      </c>
      <c r="M57" s="98" t="e">
        <f>INDEX(Aulas_capacidad,MATCH(base_de_datos[[#This Row],[Aula]],Aulas,0),5)</f>
        <v>#REF!</v>
      </c>
      <c r="N57" s="98" t="e">
        <f>base_de_datos[[#This Row],[Cap .90]]-base_de_datos[[#This Row],[Inscritos]]</f>
        <v>#REF!</v>
      </c>
      <c r="O57" s="92" t="s">
        <v>186</v>
      </c>
      <c r="P57" s="99"/>
      <c r="Q57" s="100" t="s">
        <v>68</v>
      </c>
      <c r="R57" s="99"/>
      <c r="S57" s="100"/>
      <c r="T57" s="100"/>
      <c r="U57" s="99"/>
      <c r="V57" s="99"/>
      <c r="W57" s="99" t="s">
        <v>69</v>
      </c>
      <c r="X57" s="93">
        <f>_xlfn.XLOOKUP(base_de_datos[[#This Row],[Materia]],Materias,Horas)/16</f>
        <v>3</v>
      </c>
      <c r="Y57" s="93">
        <f>ROUND(((base_de_datos[[#This Row],[Hora fin]]-base_de_datos[[#This Row],[Hora inicio]])*24)*(COUNTA(base_de_datos[[#This Row],[Lunes]:[Sábado]])),1)</f>
        <v>3</v>
      </c>
      <c r="Z57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7" s="93">
        <f ca="1">IF(base_de_datos[[#This Row],[No clase]]=OFFSET(base_de_datos[[#This Row],[No clase]],-1,0),0,1)</f>
        <v>1</v>
      </c>
      <c r="AB57" s="93">
        <f ca="1">IF(NOT(OR(base_de_datos[[#This Row],[Horas totales]]=base_de_datos[[#This Row],[HT Plan]],base_de_datos[[#This Row],[Horas totales]]="N/A")),1,0)</f>
        <v>0</v>
      </c>
      <c r="AC57" s="93" t="e">
        <f>_xlfn.XLOOKUP(base_de_datos[[#This Row],[Profesor]],Nombre,Grado)</f>
        <v>#REF!</v>
      </c>
      <c r="AD57" s="94" t="e">
        <f>_xlfn.XLOOKUP(base_de_datos[[#This Row],[Profesor]],Nombre,Tipo)</f>
        <v>#REF!</v>
      </c>
      <c r="AE57" s="93">
        <f>IF(IFERROR(VLOOKUP($C57,Planes_de_estudio[],MATCH($AE$2,Carreras,0)+2,0),"")&gt;0,IFERROR(VLOOKUP($C57,Planes_de_estudio[],MATCH($AE$2,Carreras,0)+2,0),""),"")</f>
        <v>7</v>
      </c>
      <c r="AF57" s="93">
        <f>IF(IFERROR(VLOOKUP($C57,Planes_de_estudio[],MATCH($AF$2,Carreras,0)+2,0),"")&gt;0,IFERROR(VLOOKUP($C57,Planes_de_estudio[],MATCH($AF$2,Carreras,0)+2,0),""),"")</f>
        <v>7</v>
      </c>
      <c r="AG57" s="93">
        <f>IF(IFERROR(VLOOKUP($C57,Planes_de_estudio[],MATCH($AG$2,Carreras,0)+2,0),"")&gt;0,IFERROR(VLOOKUP($C57,Planes_de_estudio[],MATCH($AG$2,Carreras,0)+2,0),""),"")</f>
        <v>7</v>
      </c>
      <c r="AH57" s="93">
        <f>IF(IFERROR(VLOOKUP($C57,Planes_de_estudio[],MATCH($AH$2,Carreras,0)+2,0),"")&gt;0,IFERROR(VLOOKUP($C57,Planes_de_estudio[],MATCH($AH$2,Carreras,0)+2,0),""),"")</f>
        <v>7</v>
      </c>
      <c r="AI57" s="93">
        <f>IF(IFERROR(VLOOKUP($C57,Planes_de_estudio[],MATCH($AI$2,Carreras,0)+2,0),"")&gt;0,IFERROR(VLOOKUP($C57,Planes_de_estudio[],MATCH($AI$2,Carreras,0)+2,0),""),"")</f>
        <v>7</v>
      </c>
      <c r="AJ57" s="93">
        <f>IF(IFERROR(VLOOKUP($C57,Planes_de_estudio[],MATCH($AJ$2,Carreras,0)+2,0),"")&gt;0,IFERROR(VLOOKUP($C57,Planes_de_estudio[],MATCH($AJ$2,Carreras,0)+2,0),""),"")</f>
        <v>7</v>
      </c>
      <c r="AK57" s="93">
        <f>IF(IFERROR(VLOOKUP($C57,Planes_de_estudio[],MATCH($AK$2,Carreras,0)+2,0),"")&gt;0,IFERROR(VLOOKUP($C57,Planes_de_estudio[],MATCH($AK$2,Carreras,0)+2,0),""),"")</f>
        <v>7</v>
      </c>
      <c r="AL5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5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120</v>
      </c>
      <c r="AN57" s="93">
        <f>base_de_datos[[#This Row],[Pronóstico]]/25</f>
        <v>4.8</v>
      </c>
      <c r="AO57" s="93" t="str">
        <f>VLOOKUP($C57,Planes_de_estudio[],2)</f>
        <v>HUM</v>
      </c>
      <c r="AP57" s="195">
        <v>6</v>
      </c>
      <c r="AQ57" s="195">
        <v>6</v>
      </c>
      <c r="AR57" s="195">
        <v>6</v>
      </c>
      <c r="AS57" s="195">
        <v>6</v>
      </c>
      <c r="AT57" s="195">
        <v>6</v>
      </c>
      <c r="AU57" s="195">
        <v>6</v>
      </c>
      <c r="AV57" s="195">
        <v>6</v>
      </c>
      <c r="AW57" s="91"/>
      <c r="AX57" s="73"/>
    </row>
    <row r="58" spans="1:50" s="5" customFormat="1" ht="15">
      <c r="B58" s="95" t="s">
        <v>187</v>
      </c>
      <c r="C58" s="96" t="s">
        <v>188</v>
      </c>
      <c r="D58" s="92">
        <v>1</v>
      </c>
      <c r="E58" s="97">
        <v>0.79166666666666696</v>
      </c>
      <c r="F58" s="97">
        <v>0.91666666666665697</v>
      </c>
      <c r="G58" s="92"/>
      <c r="H58" s="92" t="s">
        <v>159</v>
      </c>
      <c r="I58" s="92" t="e">
        <f>INDEX(Aulas_capacidad,MATCH(base_de_datos[[#This Row],[Aula]],Aulas,0),2)</f>
        <v>#REF!</v>
      </c>
      <c r="J58" s="90">
        <v>7</v>
      </c>
      <c r="K58" s="92" t="e">
        <f>INDEX(Aulas_capacidad,MATCH(base_de_datos[[#This Row],[Aula]],Aulas,0),4)</f>
        <v>#REF!</v>
      </c>
      <c r="L58" s="98" t="e">
        <f>base_de_datos[[#This Row],[Cap 1.5]]-base_de_datos[[#This Row],[Inscritos]]</f>
        <v>#REF!</v>
      </c>
      <c r="M58" s="98" t="e">
        <f>INDEX(Aulas_capacidad,MATCH(base_de_datos[[#This Row],[Aula]],Aulas,0),5)</f>
        <v>#REF!</v>
      </c>
      <c r="N58" s="98" t="e">
        <f>base_de_datos[[#This Row],[Cap .90]]-base_de_datos[[#This Row],[Inscritos]]</f>
        <v>#REF!</v>
      </c>
      <c r="O58" s="92" t="s">
        <v>189</v>
      </c>
      <c r="P58" s="99"/>
      <c r="Q58" s="100" t="s">
        <v>68</v>
      </c>
      <c r="R58" s="99"/>
      <c r="S58" s="100"/>
      <c r="T58" s="100"/>
      <c r="U58" s="99"/>
      <c r="V58" s="99"/>
      <c r="W58" s="99" t="s">
        <v>69</v>
      </c>
      <c r="X58" s="93">
        <f>_xlfn.XLOOKUP(base_de_datos[[#This Row],[Materia]],Materias,Horas)/16</f>
        <v>3</v>
      </c>
      <c r="Y58" s="93">
        <f>ROUND(((base_de_datos[[#This Row],[Hora fin]]-base_de_datos[[#This Row],[Hora inicio]])*24)*(COUNTA(base_de_datos[[#This Row],[Lunes]:[Sábado]])),1)</f>
        <v>3</v>
      </c>
      <c r="Z58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8" s="93">
        <f ca="1">IF(base_de_datos[[#This Row],[No clase]]=OFFSET(base_de_datos[[#This Row],[No clase]],-1,0),0,1)</f>
        <v>1</v>
      </c>
      <c r="AB58" s="93">
        <f ca="1">IF(NOT(OR(base_de_datos[[#This Row],[Horas totales]]=base_de_datos[[#This Row],[HT Plan]],base_de_datos[[#This Row],[Horas totales]]="N/A")),1,0)</f>
        <v>0</v>
      </c>
      <c r="AC58" s="93" t="e">
        <f>_xlfn.XLOOKUP(base_de_datos[[#This Row],[Profesor]],Nombre,Grado)</f>
        <v>#REF!</v>
      </c>
      <c r="AD58" s="94" t="e">
        <f>_xlfn.XLOOKUP(base_de_datos[[#This Row],[Profesor]],Nombre,Tipo)</f>
        <v>#REF!</v>
      </c>
      <c r="AE58" s="93">
        <f>IF(IFERROR(VLOOKUP($C58,Planes_de_estudio[],MATCH($AE$2,Carreras,0)+2,0),"")&gt;0,IFERROR(VLOOKUP($C58,Planes_de_estudio[],MATCH($AE$2,Carreras,0)+2,0),""),"")</f>
        <v>8</v>
      </c>
      <c r="AF58" s="93">
        <f>IF(IFERROR(VLOOKUP($C58,Planes_de_estudio[],MATCH($AF$2,Carreras,0)+2,0),"")&gt;0,IFERROR(VLOOKUP($C58,Planes_de_estudio[],MATCH($AF$2,Carreras,0)+2,0),""),"")</f>
        <v>8</v>
      </c>
      <c r="AG58" s="93">
        <f>IF(IFERROR(VLOOKUP($C58,Planes_de_estudio[],MATCH($AG$2,Carreras,0)+2,0),"")&gt;0,IFERROR(VLOOKUP($C58,Planes_de_estudio[],MATCH($AG$2,Carreras,0)+2,0),""),"")</f>
        <v>8</v>
      </c>
      <c r="AH58" s="93">
        <f>IF(IFERROR(VLOOKUP($C58,Planes_de_estudio[],MATCH($AH$2,Carreras,0)+2,0),"")&gt;0,IFERROR(VLOOKUP($C58,Planes_de_estudio[],MATCH($AH$2,Carreras,0)+2,0),""),"")</f>
        <v>8</v>
      </c>
      <c r="AI58" s="93">
        <f>IF(IFERROR(VLOOKUP($C58,Planes_de_estudio[],MATCH($AI$2,Carreras,0)+2,0),"")&gt;0,IFERROR(VLOOKUP($C58,Planes_de_estudio[],MATCH($AI$2,Carreras,0)+2,0),""),"")</f>
        <v>8</v>
      </c>
      <c r="AJ58" s="93">
        <f>IF(IFERROR(VLOOKUP($C58,Planes_de_estudio[],MATCH($AJ$2,Carreras,0)+2,0),"")&gt;0,IFERROR(VLOOKUP($C58,Planes_de_estudio[],MATCH($AJ$2,Carreras,0)+2,0),""),"")</f>
        <v>10</v>
      </c>
      <c r="AK58" s="93">
        <f>IF(IFERROR(VLOOKUP($C58,Planes_de_estudio[],MATCH($AK$2,Carreras,0)+2,0),"")&gt;0,IFERROR(VLOOKUP($C58,Planes_de_estudio[],MATCH($AK$2,Carreras,0)+2,0),""),"")</f>
        <v>8</v>
      </c>
      <c r="AL5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5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</v>
      </c>
      <c r="AN58" s="93">
        <f>base_de_datos[[#This Row],[Pronóstico]]/25</f>
        <v>0.2</v>
      </c>
      <c r="AO58" s="93" t="str">
        <f>VLOOKUP($C58,Planes_de_estudio[],2)</f>
        <v>HUM</v>
      </c>
      <c r="AP58" s="195">
        <v>6</v>
      </c>
      <c r="AQ58" s="195">
        <v>6</v>
      </c>
      <c r="AR58" s="195">
        <v>6</v>
      </c>
      <c r="AS58" s="195">
        <v>6</v>
      </c>
      <c r="AT58" s="195">
        <v>6</v>
      </c>
      <c r="AU58" s="195">
        <v>6</v>
      </c>
      <c r="AV58" s="195">
        <v>6</v>
      </c>
      <c r="AW58" s="91"/>
      <c r="AX58" s="73"/>
    </row>
    <row r="59" spans="1:50" s="5" customFormat="1" ht="16">
      <c r="B59" s="95" t="s">
        <v>190</v>
      </c>
      <c r="C59" s="96" t="s">
        <v>191</v>
      </c>
      <c r="D59" s="92">
        <v>1</v>
      </c>
      <c r="E59" s="97">
        <v>0.375</v>
      </c>
      <c r="F59" s="97">
        <v>0.45833333333333098</v>
      </c>
      <c r="G59" s="92" t="s">
        <v>72</v>
      </c>
      <c r="H59" s="92" t="s">
        <v>18</v>
      </c>
      <c r="I59" s="92" t="e">
        <f>INDEX(Aulas_capacidad,MATCH(base_de_datos[[#This Row],[Aula]],Aulas,0),2)</f>
        <v>#REF!</v>
      </c>
      <c r="J59" s="90">
        <v>12</v>
      </c>
      <c r="K59" s="92" t="e">
        <f>INDEX(Aulas_capacidad,MATCH(base_de_datos[[#This Row],[Aula]],Aulas,0),4)</f>
        <v>#REF!</v>
      </c>
      <c r="L59" s="98" t="e">
        <f>base_de_datos[[#This Row],[Cap 1.5]]-base_de_datos[[#This Row],[Inscritos]]</f>
        <v>#REF!</v>
      </c>
      <c r="M59" s="98" t="e">
        <f>INDEX(Aulas_capacidad,MATCH(base_de_datos[[#This Row],[Aula]],Aulas,0),5)</f>
        <v>#REF!</v>
      </c>
      <c r="N59" s="98" t="e">
        <f>base_de_datos[[#This Row],[Cap .90]]-base_de_datos[[#This Row],[Inscritos]]</f>
        <v>#REF!</v>
      </c>
      <c r="O59" s="92" t="s">
        <v>192</v>
      </c>
      <c r="P59" s="99"/>
      <c r="Q59" s="100"/>
      <c r="R59" s="99" t="s">
        <v>68</v>
      </c>
      <c r="S59" s="100"/>
      <c r="T59" s="100"/>
      <c r="U59" s="99"/>
      <c r="V59" s="99"/>
      <c r="W59" s="99" t="s">
        <v>148</v>
      </c>
      <c r="X59" s="93">
        <f>_xlfn.XLOOKUP(base_de_datos[[#This Row],[Materia]],Materias,Horas)/16</f>
        <v>4</v>
      </c>
      <c r="Y59" s="93">
        <f>ROUND(((base_de_datos[[#This Row],[Hora fin]]-base_de_datos[[#This Row],[Hora inicio]])*24)*(COUNTA(base_de_datos[[#This Row],[Lunes]:[Sábado]])),1)</f>
        <v>2</v>
      </c>
      <c r="Z59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59" s="93">
        <f ca="1">IF(base_de_datos[[#This Row],[No clase]]=OFFSET(base_de_datos[[#This Row],[No clase]],-1,0),0,1)</f>
        <v>1</v>
      </c>
      <c r="AB59" s="93">
        <f ca="1">IF(NOT(OR(base_de_datos[[#This Row],[Horas totales]]=base_de_datos[[#This Row],[HT Plan]],base_de_datos[[#This Row],[Horas totales]]="N/A")),1,0)</f>
        <v>0</v>
      </c>
      <c r="AC59" s="93" t="e">
        <f>_xlfn.XLOOKUP(base_de_datos[[#This Row],[Profesor]],Nombre,Grado)</f>
        <v>#REF!</v>
      </c>
      <c r="AD59" s="94" t="e">
        <f>_xlfn.XLOOKUP(base_de_datos[[#This Row],[Profesor]],Nombre,Tipo)</f>
        <v>#REF!</v>
      </c>
      <c r="AE59" s="93" t="str">
        <f>IF(IFERROR(VLOOKUP($C59,Planes_de_estudio[],MATCH($AE$2,Carreras,0)+2,0),"")&gt;0,IFERROR(VLOOKUP($C59,Planes_de_estudio[],MATCH($AE$2,Carreras,0)+2,0),""),"")</f>
        <v/>
      </c>
      <c r="AF59" s="93" t="str">
        <f>IF(IFERROR(VLOOKUP($C59,Planes_de_estudio[],MATCH($AF$2,Carreras,0)+2,0),"")&gt;0,IFERROR(VLOOKUP($C59,Planes_de_estudio[],MATCH($AF$2,Carreras,0)+2,0),""),"")</f>
        <v/>
      </c>
      <c r="AG59" s="93" t="str">
        <f>IF(IFERROR(VLOOKUP($C59,Planes_de_estudio[],MATCH($AG$2,Carreras,0)+2,0),"")&gt;0,IFERROR(VLOOKUP($C59,Planes_de_estudio[],MATCH($AG$2,Carreras,0)+2,0),""),"")</f>
        <v/>
      </c>
      <c r="AH59" s="93" t="str">
        <f>IF(IFERROR(VLOOKUP($C59,Planes_de_estudio[],MATCH($AH$2,Carreras,0)+2,0),"")&gt;0,IFERROR(VLOOKUP($C59,Planes_de_estudio[],MATCH($AH$2,Carreras,0)+2,0),""),"")</f>
        <v/>
      </c>
      <c r="AI59" s="93" t="str">
        <f>IF(IFERROR(VLOOKUP($C59,Planes_de_estudio[],MATCH($AI$2,Carreras,0)+2,0),"")&gt;0,IFERROR(VLOOKUP($C59,Planes_de_estudio[],MATCH($AI$2,Carreras,0)+2,0),""),"")</f>
        <v/>
      </c>
      <c r="AJ59" s="93">
        <f>IF(IFERROR(VLOOKUP($C59,Planes_de_estudio[],MATCH($AJ$2,Carreras,0)+2,0),"")&gt;0,IFERROR(VLOOKUP($C59,Planes_de_estudio[],MATCH($AJ$2,Carreras,0)+2,0),""),"")</f>
        <v>5</v>
      </c>
      <c r="AK59" s="93" t="str">
        <f>IF(IFERROR(VLOOKUP($C59,Planes_de_estudio[],MATCH($AK$2,Carreras,0)+2,0),"")&gt;0,IFERROR(VLOOKUP($C59,Planes_de_estudio[],MATCH($AK$2,Carreras,0)+2,0),""),"")</f>
        <v/>
      </c>
      <c r="AL5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5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11</v>
      </c>
      <c r="AN59" s="93">
        <f>base_de_datos[[#This Row],[Pronóstico]]/25</f>
        <v>0.44</v>
      </c>
      <c r="AO59" s="93" t="str">
        <f>VLOOKUP($C59,Planes_de_estudio[],2)</f>
        <v>ETF</v>
      </c>
      <c r="AP59" s="196"/>
      <c r="AQ59" s="196"/>
      <c r="AR59" s="196"/>
      <c r="AS59" s="196"/>
      <c r="AT59" s="196"/>
      <c r="AU59" s="195">
        <v>6</v>
      </c>
      <c r="AV59" s="196"/>
      <c r="AW59" s="91"/>
      <c r="AX59" s="73"/>
    </row>
    <row r="60" spans="1:50" s="5" customFormat="1" ht="16">
      <c r="A60" s="5" t="s">
        <v>63</v>
      </c>
      <c r="B60" s="95" t="s">
        <v>190</v>
      </c>
      <c r="C60" s="96" t="s">
        <v>191</v>
      </c>
      <c r="D60" s="92">
        <v>1</v>
      </c>
      <c r="E60" s="97">
        <v>0.375</v>
      </c>
      <c r="F60" s="97">
        <v>0.45833333333333098</v>
      </c>
      <c r="G60" s="92" t="s">
        <v>72</v>
      </c>
      <c r="H60" s="92" t="s">
        <v>18</v>
      </c>
      <c r="I60" s="92" t="e">
        <f>INDEX(Aulas_capacidad,MATCH(base_de_datos[[#This Row],[Aula]],Aulas,0),2)</f>
        <v>#REF!</v>
      </c>
      <c r="J60" s="90">
        <v>12</v>
      </c>
      <c r="K60" s="92" t="e">
        <f>INDEX(Aulas_capacidad,MATCH(base_de_datos[[#This Row],[Aula]],Aulas,0),4)</f>
        <v>#REF!</v>
      </c>
      <c r="L60" s="98" t="e">
        <f>base_de_datos[[#This Row],[Cap 1.5]]-base_de_datos[[#This Row],[Inscritos]]</f>
        <v>#REF!</v>
      </c>
      <c r="M60" s="98" t="e">
        <f>INDEX(Aulas_capacidad,MATCH(base_de_datos[[#This Row],[Aula]],Aulas,0),5)</f>
        <v>#REF!</v>
      </c>
      <c r="N60" s="98" t="e">
        <f>base_de_datos[[#This Row],[Cap .90]]-base_de_datos[[#This Row],[Inscritos]]</f>
        <v>#REF!</v>
      </c>
      <c r="O60" s="92" t="s">
        <v>192</v>
      </c>
      <c r="P60" s="99"/>
      <c r="Q60" s="100"/>
      <c r="R60" s="99"/>
      <c r="S60" s="100" t="s">
        <v>68</v>
      </c>
      <c r="T60" s="100"/>
      <c r="U60" s="99"/>
      <c r="V60" s="99"/>
      <c r="W60" s="99" t="s">
        <v>148</v>
      </c>
      <c r="X60" s="93">
        <f>_xlfn.XLOOKUP(base_de_datos[[#This Row],[Materia]],Materias,Horas)/16</f>
        <v>4</v>
      </c>
      <c r="Y60" s="93">
        <f>ROUND(((base_de_datos[[#This Row],[Hora fin]]-base_de_datos[[#This Row],[Hora inicio]])*24)*(COUNTA(base_de_datos[[#This Row],[Lunes]:[Sábado]])),1)</f>
        <v>2</v>
      </c>
      <c r="Z60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0" s="93">
        <f ca="1">IF(base_de_datos[[#This Row],[No clase]]=OFFSET(base_de_datos[[#This Row],[No clase]],-1,0),0,1)</f>
        <v>0</v>
      </c>
      <c r="AB60" s="93">
        <f ca="1">IF(NOT(OR(base_de_datos[[#This Row],[Horas totales]]=base_de_datos[[#This Row],[HT Plan]],base_de_datos[[#This Row],[Horas totales]]="N/A")),1,0)</f>
        <v>0</v>
      </c>
      <c r="AC60" s="93" t="e">
        <f>_xlfn.XLOOKUP(base_de_datos[[#This Row],[Profesor]],Nombre,Grado)</f>
        <v>#REF!</v>
      </c>
      <c r="AD60" s="94" t="e">
        <f>_xlfn.XLOOKUP(base_de_datos[[#This Row],[Profesor]],Nombre,Tipo)</f>
        <v>#REF!</v>
      </c>
      <c r="AE60" s="93" t="str">
        <f>IF(IFERROR(VLOOKUP($C60,Planes_de_estudio[],MATCH($AE$2,Carreras,0)+2,0),"")&gt;0,IFERROR(VLOOKUP($C60,Planes_de_estudio[],MATCH($AE$2,Carreras,0)+2,0),""),"")</f>
        <v/>
      </c>
      <c r="AF60" s="93" t="str">
        <f>IF(IFERROR(VLOOKUP($C60,Planes_de_estudio[],MATCH($AF$2,Carreras,0)+2,0),"")&gt;0,IFERROR(VLOOKUP($C60,Planes_de_estudio[],MATCH($AF$2,Carreras,0)+2,0),""),"")</f>
        <v/>
      </c>
      <c r="AG60" s="93" t="str">
        <f>IF(IFERROR(VLOOKUP($C60,Planes_de_estudio[],MATCH($AG$2,Carreras,0)+2,0),"")&gt;0,IFERROR(VLOOKUP($C60,Planes_de_estudio[],MATCH($AG$2,Carreras,0)+2,0),""),"")</f>
        <v/>
      </c>
      <c r="AH60" s="93" t="str">
        <f>IF(IFERROR(VLOOKUP($C60,Planes_de_estudio[],MATCH($AH$2,Carreras,0)+2,0),"")&gt;0,IFERROR(VLOOKUP($C60,Planes_de_estudio[],MATCH($AH$2,Carreras,0)+2,0),""),"")</f>
        <v/>
      </c>
      <c r="AI60" s="93" t="str">
        <f>IF(IFERROR(VLOOKUP($C60,Planes_de_estudio[],MATCH($AI$2,Carreras,0)+2,0),"")&gt;0,IFERROR(VLOOKUP($C60,Planes_de_estudio[],MATCH($AI$2,Carreras,0)+2,0),""),"")</f>
        <v/>
      </c>
      <c r="AJ60" s="93">
        <f>IF(IFERROR(VLOOKUP($C60,Planes_de_estudio[],MATCH($AJ$2,Carreras,0)+2,0),"")&gt;0,IFERROR(VLOOKUP($C60,Planes_de_estudio[],MATCH($AJ$2,Carreras,0)+2,0),""),"")</f>
        <v>5</v>
      </c>
      <c r="AK60" s="93" t="str">
        <f>IF(IFERROR(VLOOKUP($C60,Planes_de_estudio[],MATCH($AK$2,Carreras,0)+2,0),"")&gt;0,IFERROR(VLOOKUP($C60,Planes_de_estudio[],MATCH($AK$2,Carreras,0)+2,0),""),"")</f>
        <v/>
      </c>
      <c r="AL6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6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11</v>
      </c>
      <c r="AN60" s="93">
        <f>base_de_datos[[#This Row],[Pronóstico]]/25</f>
        <v>0.44</v>
      </c>
      <c r="AO60" s="93" t="str">
        <f>VLOOKUP($C60,Planes_de_estudio[],2)</f>
        <v>ETF</v>
      </c>
      <c r="AP60" s="196"/>
      <c r="AQ60" s="196"/>
      <c r="AR60" s="196"/>
      <c r="AS60" s="196"/>
      <c r="AT60" s="196"/>
      <c r="AU60" s="196"/>
      <c r="AV60" s="196"/>
      <c r="AW60" s="91"/>
      <c r="AX60" s="73"/>
    </row>
    <row r="61" spans="1:50" s="5" customFormat="1" ht="16">
      <c r="A61" s="5" t="s">
        <v>63</v>
      </c>
      <c r="B61" s="95" t="s">
        <v>193</v>
      </c>
      <c r="C61" s="96" t="s">
        <v>194</v>
      </c>
      <c r="D61" s="92">
        <v>2</v>
      </c>
      <c r="E61" s="97">
        <v>0.625</v>
      </c>
      <c r="F61" s="97">
        <v>0.70833333333332704</v>
      </c>
      <c r="G61" s="92" t="s">
        <v>72</v>
      </c>
      <c r="H61" s="92" t="s">
        <v>195</v>
      </c>
      <c r="I61" s="92" t="e">
        <f>INDEX(Aulas_capacidad,MATCH(base_de_datos[[#This Row],[Aula]],Aulas,0),2)</f>
        <v>#REF!</v>
      </c>
      <c r="J61" s="90">
        <v>26</v>
      </c>
      <c r="K61" s="92" t="e">
        <f>INDEX(Aulas_capacidad,MATCH(base_de_datos[[#This Row],[Aula]],Aulas,0),4)</f>
        <v>#REF!</v>
      </c>
      <c r="L61" s="98" t="e">
        <f>base_de_datos[[#This Row],[Cap 1.5]]-base_de_datos[[#This Row],[Inscritos]]</f>
        <v>#REF!</v>
      </c>
      <c r="M61" s="98" t="e">
        <f>INDEX(Aulas_capacidad,MATCH(base_de_datos[[#This Row],[Aula]],Aulas,0),5)</f>
        <v>#REF!</v>
      </c>
      <c r="N61" s="98" t="e">
        <f>base_de_datos[[#This Row],[Cap .90]]-base_de_datos[[#This Row],[Inscritos]]</f>
        <v>#REF!</v>
      </c>
      <c r="O61" s="92" t="s">
        <v>196</v>
      </c>
      <c r="P61" s="99"/>
      <c r="Q61" s="100" t="s">
        <v>68</v>
      </c>
      <c r="R61" s="99"/>
      <c r="S61" s="100" t="s">
        <v>68</v>
      </c>
      <c r="T61" s="100"/>
      <c r="U61" s="99"/>
      <c r="V61" s="99"/>
      <c r="W61" s="99" t="s">
        <v>122</v>
      </c>
      <c r="X61" s="93">
        <f>_xlfn.XLOOKUP(base_de_datos[[#This Row],[Materia]],Materias,Horas)/16</f>
        <v>4</v>
      </c>
      <c r="Y61" s="93">
        <f>ROUND(((base_de_datos[[#This Row],[Hora fin]]-base_de_datos[[#This Row],[Hora inicio]])*24)*(COUNTA(base_de_datos[[#This Row],[Lunes]:[Sábado]])),1)</f>
        <v>4</v>
      </c>
      <c r="Z61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1" s="93">
        <f ca="1">IF(base_de_datos[[#This Row],[No clase]]=OFFSET(base_de_datos[[#This Row],[No clase]],-1,0),0,1)</f>
        <v>1</v>
      </c>
      <c r="AB61" s="93">
        <f ca="1">IF(NOT(OR(base_de_datos[[#This Row],[Horas totales]]=base_de_datos[[#This Row],[HT Plan]],base_de_datos[[#This Row],[Horas totales]]="N/A")),1,0)</f>
        <v>0</v>
      </c>
      <c r="AC61" s="93" t="e">
        <f>_xlfn.XLOOKUP(base_de_datos[[#This Row],[Profesor]],Nombre,Grado)</f>
        <v>#REF!</v>
      </c>
      <c r="AD61" s="94" t="e">
        <f>_xlfn.XLOOKUP(base_de_datos[[#This Row],[Profesor]],Nombre,Tipo)</f>
        <v>#REF!</v>
      </c>
      <c r="AE61" s="93" t="str">
        <f>IF(IFERROR(VLOOKUP($C61,Planes_de_estudio[],MATCH($AE$2,Carreras,0)+2,0),"")&gt;0,IFERROR(VLOOKUP($C61,Planes_de_estudio[],MATCH($AE$2,Carreras,0)+2,0),""),"")</f>
        <v/>
      </c>
      <c r="AF61" s="93">
        <f>IF(IFERROR(VLOOKUP($C61,Planes_de_estudio[],MATCH($AF$2,Carreras,0)+2,0),"")&gt;0,IFERROR(VLOOKUP($C61,Planes_de_estudio[],MATCH($AF$2,Carreras,0)+2,0),""),"")</f>
        <v>5</v>
      </c>
      <c r="AG61" s="93" t="str">
        <f>IF(IFERROR(VLOOKUP($C61,Planes_de_estudio[],MATCH($AG$2,Carreras,0)+2,0),"")&gt;0,IFERROR(VLOOKUP($C61,Planes_de_estudio[],MATCH($AG$2,Carreras,0)+2,0),""),"")</f>
        <v/>
      </c>
      <c r="AH61" s="93">
        <f>IF(IFERROR(VLOOKUP($C61,Planes_de_estudio[],MATCH($AH$2,Carreras,0)+2,0),"")&gt;0,IFERROR(VLOOKUP($C61,Planes_de_estudio[],MATCH($AH$2,Carreras,0)+2,0),""),"")</f>
        <v>5</v>
      </c>
      <c r="AI61" s="93">
        <f>IF(IFERROR(VLOOKUP($C61,Planes_de_estudio[],MATCH($AI$2,Carreras,0)+2,0),"")&gt;0,IFERROR(VLOOKUP($C61,Planes_de_estudio[],MATCH($AI$2,Carreras,0)+2,0),""),"")</f>
        <v>6</v>
      </c>
      <c r="AJ61" s="93" t="str">
        <f>IF(IFERROR(VLOOKUP($C61,Planes_de_estudio[],MATCH($AJ$2,Carreras,0)+2,0),"")&gt;0,IFERROR(VLOOKUP($C61,Planes_de_estudio[],MATCH($AJ$2,Carreras,0)+2,0),""),"")</f>
        <v/>
      </c>
      <c r="AK61" s="93">
        <f>IF(IFERROR(VLOOKUP($C61,Planes_de_estudio[],MATCH($AK$2,Carreras,0)+2,0),"")&gt;0,IFERROR(VLOOKUP($C61,Planes_de_estudio[],MATCH($AK$2,Carreras,0)+2,0),""),"")</f>
        <v>5</v>
      </c>
      <c r="AL6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6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38</v>
      </c>
      <c r="AN61" s="93">
        <f>base_de_datos[[#This Row],[Pronóstico]]/25</f>
        <v>1.52</v>
      </c>
      <c r="AO61" s="93" t="str">
        <f>VLOOKUP($C61,Planes_de_estudio[],2)</f>
        <v>EEC</v>
      </c>
      <c r="AP61" s="196"/>
      <c r="AQ61" s="195">
        <v>6</v>
      </c>
      <c r="AR61" s="196"/>
      <c r="AS61" s="195">
        <v>6</v>
      </c>
      <c r="AT61" s="195">
        <v>6</v>
      </c>
      <c r="AU61" s="196"/>
      <c r="AV61" s="195">
        <v>6</v>
      </c>
      <c r="AW61" s="91"/>
      <c r="AX61" s="73"/>
    </row>
    <row r="62" spans="1:50" s="5" customFormat="1" ht="30">
      <c r="A62" s="5" t="s">
        <v>63</v>
      </c>
      <c r="B62" s="95" t="s">
        <v>105</v>
      </c>
      <c r="C62" s="96" t="s">
        <v>98</v>
      </c>
      <c r="D62" s="92">
        <v>1</v>
      </c>
      <c r="E62" s="97">
        <v>0.5</v>
      </c>
      <c r="F62" s="97">
        <v>0.58333333333332904</v>
      </c>
      <c r="G62" s="92" t="s">
        <v>72</v>
      </c>
      <c r="H62" s="92" t="s">
        <v>106</v>
      </c>
      <c r="I62" s="92" t="e">
        <f>INDEX(Aulas_capacidad,MATCH(base_de_datos[[#This Row],[Aula]],Aulas,0),2)</f>
        <v>#REF!</v>
      </c>
      <c r="J62" s="90">
        <v>29</v>
      </c>
      <c r="K62" s="92" t="e">
        <f>INDEX(Aulas_capacidad,MATCH(base_de_datos[[#This Row],[Aula]],Aulas,0),4)</f>
        <v>#REF!</v>
      </c>
      <c r="L62" s="98" t="e">
        <f>base_de_datos[[#This Row],[Cap 1.5]]-base_de_datos[[#This Row],[Inscritos]]</f>
        <v>#REF!</v>
      </c>
      <c r="M62" s="98" t="e">
        <f>INDEX(Aulas_capacidad,MATCH(base_de_datos[[#This Row],[Aula]],Aulas,0),5)</f>
        <v>#REF!</v>
      </c>
      <c r="N62" s="98" t="e">
        <f>base_de_datos[[#This Row],[Cap .90]]-base_de_datos[[#This Row],[Inscritos]]</f>
        <v>#REF!</v>
      </c>
      <c r="O62" s="92" t="s">
        <v>107</v>
      </c>
      <c r="P62" s="99"/>
      <c r="Q62" s="100"/>
      <c r="R62" s="99"/>
      <c r="S62" s="100" t="s">
        <v>68</v>
      </c>
      <c r="T62" s="100"/>
      <c r="U62" s="99"/>
      <c r="V62" s="99"/>
      <c r="W62" s="99" t="s">
        <v>101</v>
      </c>
      <c r="X62" s="93">
        <f>_xlfn.XLOOKUP(base_de_datos[[#This Row],[Materia]],Materias,Horas)/16</f>
        <v>4</v>
      </c>
      <c r="Y62" s="93">
        <f>ROUND(((base_de_datos[[#This Row],[Hora fin]]-base_de_datos[[#This Row],[Hora inicio]])*24)*(COUNTA(base_de_datos[[#This Row],[Lunes]:[Sábado]])),1)</f>
        <v>2</v>
      </c>
      <c r="Z62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62" s="93">
        <f ca="1">IF(base_de_datos[[#This Row],[No clase]]=OFFSET(base_de_datos[[#This Row],[No clase]],-1,0),0,1)</f>
        <v>1</v>
      </c>
      <c r="AB62" s="93">
        <f ca="1">IF(NOT(OR(base_de_datos[[#This Row],[Horas totales]]=base_de_datos[[#This Row],[HT Plan]],base_de_datos[[#This Row],[Horas totales]]="N/A")),1,0)</f>
        <v>1</v>
      </c>
      <c r="AC62" s="93" t="e">
        <f>_xlfn.XLOOKUP(base_de_datos[[#This Row],[Profesor]],Nombre,Grado)</f>
        <v>#REF!</v>
      </c>
      <c r="AD62" s="94" t="e">
        <f>_xlfn.XLOOKUP(base_de_datos[[#This Row],[Profesor]],Nombre,Tipo)</f>
        <v>#REF!</v>
      </c>
      <c r="AE62" s="93">
        <f>IF(IFERROR(VLOOKUP($C62,Planes_de_estudio[],MATCH($AE$2,Carreras,0)+2,0),"")&gt;0,IFERROR(VLOOKUP($C62,Planes_de_estudio[],MATCH($AE$2,Carreras,0)+2,0),""),"")</f>
        <v>1</v>
      </c>
      <c r="AF62" s="93">
        <f>IF(IFERROR(VLOOKUP($C62,Planes_de_estudio[],MATCH($AF$2,Carreras,0)+2,0),"")&gt;0,IFERROR(VLOOKUP($C62,Planes_de_estudio[],MATCH($AF$2,Carreras,0)+2,0),""),"")</f>
        <v>1</v>
      </c>
      <c r="AG62" s="93">
        <f>IF(IFERROR(VLOOKUP($C62,Planes_de_estudio[],MATCH($AG$2,Carreras,0)+2,0),"")&gt;0,IFERROR(VLOOKUP($C62,Planes_de_estudio[],MATCH($AG$2,Carreras,0)+2,0),""),"")</f>
        <v>3</v>
      </c>
      <c r="AH62" s="93">
        <f>IF(IFERROR(VLOOKUP($C62,Planes_de_estudio[],MATCH($AH$2,Carreras,0)+2,0),"")&gt;0,IFERROR(VLOOKUP($C62,Planes_de_estudio[],MATCH($AH$2,Carreras,0)+2,0),""),"")</f>
        <v>1</v>
      </c>
      <c r="AI62" s="93">
        <f>IF(IFERROR(VLOOKUP($C62,Planes_de_estudio[],MATCH($AI$2,Carreras,0)+2,0),"")&gt;0,IFERROR(VLOOKUP($C62,Planes_de_estudio[],MATCH($AI$2,Carreras,0)+2,0),""),"")</f>
        <v>1</v>
      </c>
      <c r="AJ62" s="93">
        <f>IF(IFERROR(VLOOKUP($C62,Planes_de_estudio[],MATCH($AJ$2,Carreras,0)+2,0),"")&gt;0,IFERROR(VLOOKUP($C62,Planes_de_estudio[],MATCH($AJ$2,Carreras,0)+2,0),""),"")</f>
        <v>1</v>
      </c>
      <c r="AK62" s="93">
        <f>IF(IFERROR(VLOOKUP($C62,Planes_de_estudio[],MATCH($AK$2,Carreras,0)+2,0),"")&gt;0,IFERROR(VLOOKUP($C62,Planes_de_estudio[],MATCH($AK$2,Carreras,0)+2,0),""),"")</f>
        <v>1</v>
      </c>
      <c r="AL6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6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121</v>
      </c>
      <c r="AN62" s="93">
        <f>base_de_datos[[#This Row],[Pronóstico]]/25</f>
        <v>4.84</v>
      </c>
      <c r="AO62" s="93" t="str">
        <f>VLOOKUP($C62,Planes_de_estudio[],2)</f>
        <v>COM</v>
      </c>
      <c r="AP62" s="195">
        <v>6</v>
      </c>
      <c r="AQ62" s="195">
        <v>6</v>
      </c>
      <c r="AR62" s="195">
        <v>6</v>
      </c>
      <c r="AS62" s="195">
        <v>6</v>
      </c>
      <c r="AT62" s="195">
        <v>6</v>
      </c>
      <c r="AU62" s="195">
        <v>6</v>
      </c>
      <c r="AV62" s="195">
        <v>6</v>
      </c>
      <c r="AW62" s="91"/>
      <c r="AX62" s="73"/>
    </row>
    <row r="63" spans="1:50" s="5" customFormat="1" ht="16">
      <c r="B63" s="95" t="s">
        <v>197</v>
      </c>
      <c r="C63" s="96" t="s">
        <v>198</v>
      </c>
      <c r="D63" s="92">
        <v>1</v>
      </c>
      <c r="E63" s="97">
        <v>0.29166666666666669</v>
      </c>
      <c r="F63" s="97">
        <v>0.374999999999999</v>
      </c>
      <c r="G63" s="92" t="s">
        <v>66</v>
      </c>
      <c r="H63" s="175" t="s">
        <v>67</v>
      </c>
      <c r="I63" s="92" t="e">
        <f>INDEX(Aulas_capacidad,MATCH(base_de_datos[[#This Row],[Aula]],Aulas,0),2)</f>
        <v>#REF!</v>
      </c>
      <c r="J63" s="90">
        <v>30</v>
      </c>
      <c r="K63" s="92" t="e">
        <f>INDEX(Aulas_capacidad,MATCH(base_de_datos[[#This Row],[Aula]],Aulas,0),4)</f>
        <v>#REF!</v>
      </c>
      <c r="L63" s="98" t="e">
        <f>base_de_datos[[#This Row],[Cap 1.5]]-base_de_datos[[#This Row],[Inscritos]]</f>
        <v>#REF!</v>
      </c>
      <c r="M63" s="98" t="e">
        <f>INDEX(Aulas_capacidad,MATCH(base_de_datos[[#This Row],[Aula]],Aulas,0),5)</f>
        <v>#REF!</v>
      </c>
      <c r="N63" s="98" t="e">
        <f>base_de_datos[[#This Row],[Cap .90]]-base_de_datos[[#This Row],[Inscritos]]</f>
        <v>#REF!</v>
      </c>
      <c r="O63" s="92" t="s">
        <v>199</v>
      </c>
      <c r="P63" s="99"/>
      <c r="Q63" s="100" t="s">
        <v>68</v>
      </c>
      <c r="R63" s="99"/>
      <c r="S63" s="100" t="s">
        <v>68</v>
      </c>
      <c r="T63" s="100"/>
      <c r="U63" s="99"/>
      <c r="V63" s="99"/>
      <c r="W63" s="99" t="s">
        <v>92</v>
      </c>
      <c r="X63" s="93">
        <f>_xlfn.XLOOKUP(base_de_datos[[#This Row],[Materia]],Materias,Horas)/16</f>
        <v>4</v>
      </c>
      <c r="Y63" s="93">
        <f>ROUND(((base_de_datos[[#This Row],[Hora fin]]-base_de_datos[[#This Row],[Hora inicio]])*24)*(COUNTA(base_de_datos[[#This Row],[Lunes]:[Sábado]])),1)</f>
        <v>4</v>
      </c>
      <c r="Z63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3" s="93">
        <f ca="1">IF(base_de_datos[[#This Row],[No clase]]=OFFSET(base_de_datos[[#This Row],[No clase]],-1,0),0,1)</f>
        <v>1</v>
      </c>
      <c r="AB63" s="93">
        <f ca="1">IF(NOT(OR(base_de_datos[[#This Row],[Horas totales]]=base_de_datos[[#This Row],[HT Plan]],base_de_datos[[#This Row],[Horas totales]]="N/A")),1,0)</f>
        <v>0</v>
      </c>
      <c r="AC63" s="93" t="e">
        <f>_xlfn.XLOOKUP(base_de_datos[[#This Row],[Profesor]],Nombre,Grado)</f>
        <v>#REF!</v>
      </c>
      <c r="AD63" s="94" t="e">
        <f>_xlfn.XLOOKUP(base_de_datos[[#This Row],[Profesor]],Nombre,Tipo)</f>
        <v>#REF!</v>
      </c>
      <c r="AE63" s="93" t="str">
        <f>IF(IFERROR(VLOOKUP($C63,Planes_de_estudio[],MATCH($AE$2,Carreras,0)+2,0),"")&gt;0,IFERROR(VLOOKUP($C63,Planes_de_estudio[],MATCH($AE$2,Carreras,0)+2,0),""),"")</f>
        <v/>
      </c>
      <c r="AF63" s="93">
        <f>IF(IFERROR(VLOOKUP($C63,Planes_de_estudio[],MATCH($AF$2,Carreras,0)+2,0),"")&gt;0,IFERROR(VLOOKUP($C63,Planes_de_estudio[],MATCH($AF$2,Carreras,0)+2,0),""),"")</f>
        <v>3</v>
      </c>
      <c r="AG63" s="93" t="str">
        <f>IF(IFERROR(VLOOKUP($C63,Planes_de_estudio[],MATCH($AG$2,Carreras,0)+2,0),"")&gt;0,IFERROR(VLOOKUP($C63,Planes_de_estudio[],MATCH($AG$2,Carreras,0)+2,0),""),"")</f>
        <v/>
      </c>
      <c r="AH63" s="93" t="str">
        <f>IF(IFERROR(VLOOKUP($C63,Planes_de_estudio[],MATCH($AH$2,Carreras,0)+2,0),"")&gt;0,IFERROR(VLOOKUP($C63,Planes_de_estudio[],MATCH($AH$2,Carreras,0)+2,0),""),"")</f>
        <v/>
      </c>
      <c r="AI63" s="93" t="str">
        <f>IF(IFERROR(VLOOKUP($C63,Planes_de_estudio[],MATCH($AI$2,Carreras,0)+2,0),"")&gt;0,IFERROR(VLOOKUP($C63,Planes_de_estudio[],MATCH($AI$2,Carreras,0)+2,0),""),"")</f>
        <v/>
      </c>
      <c r="AJ63" s="93">
        <f>IF(IFERROR(VLOOKUP($C63,Planes_de_estudio[],MATCH($AJ$2,Carreras,0)+2,0),"")&gt;0,IFERROR(VLOOKUP($C63,Planes_de_estudio[],MATCH($AJ$2,Carreras,0)+2,0),""),"")</f>
        <v>3</v>
      </c>
      <c r="AK63" s="93" t="str">
        <f>IF(IFERROR(VLOOKUP($C63,Planes_de_estudio[],MATCH($AK$2,Carreras,0)+2,0),"")&gt;0,IFERROR(VLOOKUP($C63,Planes_de_estudio[],MATCH($AK$2,Carreras,0)+2,0),""),"")</f>
        <v/>
      </c>
      <c r="AL6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6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28</v>
      </c>
      <c r="AN63" s="93">
        <f>base_de_datos[[#This Row],[Pronóstico]]/25</f>
        <v>1.1200000000000001</v>
      </c>
      <c r="AO63" s="93" t="str">
        <f>VLOOKUP($C63,Planes_de_estudio[],2)</f>
        <v>MEC</v>
      </c>
      <c r="AP63" s="196"/>
      <c r="AQ63" s="195">
        <v>6</v>
      </c>
      <c r="AR63" s="196"/>
      <c r="AS63" s="196"/>
      <c r="AT63" s="196"/>
      <c r="AU63" s="195">
        <v>6</v>
      </c>
      <c r="AV63" s="196"/>
      <c r="AW63" s="91"/>
      <c r="AX63" s="73"/>
    </row>
    <row r="64" spans="1:50" s="5" customFormat="1" ht="15">
      <c r="B64" s="95" t="s">
        <v>200</v>
      </c>
      <c r="C64" s="96" t="s">
        <v>201</v>
      </c>
      <c r="D64" s="92">
        <v>1</v>
      </c>
      <c r="E64" s="97">
        <v>0.5</v>
      </c>
      <c r="F64" s="97">
        <v>0.58333333333332904</v>
      </c>
      <c r="G64" s="92" t="s">
        <v>72</v>
      </c>
      <c r="H64" s="92" t="s">
        <v>202</v>
      </c>
      <c r="I64" s="92" t="e">
        <f>INDEX(Aulas_capacidad,MATCH(base_de_datos[[#This Row],[Aula]],Aulas,0),2)</f>
        <v>#REF!</v>
      </c>
      <c r="J64" s="90">
        <v>24</v>
      </c>
      <c r="K64" s="92" t="e">
        <f>INDEX(Aulas_capacidad,MATCH(base_de_datos[[#This Row],[Aula]],Aulas,0),4)</f>
        <v>#REF!</v>
      </c>
      <c r="L64" s="98" t="e">
        <f>base_de_datos[[#This Row],[Cap 1.5]]-base_de_datos[[#This Row],[Inscritos]]</f>
        <v>#REF!</v>
      </c>
      <c r="M64" s="98" t="e">
        <f>INDEX(Aulas_capacidad,MATCH(base_de_datos[[#This Row],[Aula]],Aulas,0),5)</f>
        <v>#REF!</v>
      </c>
      <c r="N64" s="98" t="e">
        <f>base_de_datos[[#This Row],[Cap .90]]-base_de_datos[[#This Row],[Inscritos]]</f>
        <v>#REF!</v>
      </c>
      <c r="O64" s="92" t="s">
        <v>203</v>
      </c>
      <c r="P64" s="99" t="s">
        <v>68</v>
      </c>
      <c r="Q64" s="100"/>
      <c r="R64" s="99"/>
      <c r="S64" s="100"/>
      <c r="T64" s="100"/>
      <c r="U64" s="99"/>
      <c r="V64" s="99"/>
      <c r="W64" s="99" t="s">
        <v>74</v>
      </c>
      <c r="X64" s="93">
        <f>_xlfn.XLOOKUP(base_de_datos[[#This Row],[Materia]],Materias,Horas)/16</f>
        <v>4</v>
      </c>
      <c r="Y64" s="93">
        <f>ROUND(((base_de_datos[[#This Row],[Hora fin]]-base_de_datos[[#This Row],[Hora inicio]])*24)*(COUNTA(base_de_datos[[#This Row],[Lunes]:[Sábado]])),1)</f>
        <v>2</v>
      </c>
      <c r="Z64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4" s="93">
        <f ca="1">IF(base_de_datos[[#This Row],[No clase]]=OFFSET(base_de_datos[[#This Row],[No clase]],-1,0),0,1)</f>
        <v>1</v>
      </c>
      <c r="AB64" s="93">
        <f ca="1">IF(NOT(OR(base_de_datos[[#This Row],[Horas totales]]=base_de_datos[[#This Row],[HT Plan]],base_de_datos[[#This Row],[Horas totales]]="N/A")),1,0)</f>
        <v>0</v>
      </c>
      <c r="AC64" s="93" t="e">
        <f>_xlfn.XLOOKUP(base_de_datos[[#This Row],[Profesor]],Nombre,Grado)</f>
        <v>#REF!</v>
      </c>
      <c r="AD64" s="94" t="e">
        <f>_xlfn.XLOOKUP(base_de_datos[[#This Row],[Profesor]],Nombre,Tipo)</f>
        <v>#REF!</v>
      </c>
      <c r="AE64" s="93">
        <f>IF(IFERROR(VLOOKUP($C64,Planes_de_estudio[],MATCH($AE$2,Carreras,0)+2,0),"")&gt;0,IFERROR(VLOOKUP($C64,Planes_de_estudio[],MATCH($AE$2,Carreras,0)+2,0),""),"")</f>
        <v>1</v>
      </c>
      <c r="AF64" s="93">
        <f>IF(IFERROR(VLOOKUP($C64,Planes_de_estudio[],MATCH($AF$2,Carreras,0)+2,0),"")&gt;0,IFERROR(VLOOKUP($C64,Planes_de_estudio[],MATCH($AF$2,Carreras,0)+2,0),""),"")</f>
        <v>1</v>
      </c>
      <c r="AG64" s="93">
        <f>IF(IFERROR(VLOOKUP($C64,Planes_de_estudio[],MATCH($AG$2,Carreras,0)+2,0),"")&gt;0,IFERROR(VLOOKUP($C64,Planes_de_estudio[],MATCH($AG$2,Carreras,0)+2,0),""),"")</f>
        <v>1</v>
      </c>
      <c r="AH64" s="93">
        <f>IF(IFERROR(VLOOKUP($C64,Planes_de_estudio[],MATCH($AH$2,Carreras,0)+2,0),"")&gt;0,IFERROR(VLOOKUP($C64,Planes_de_estudio[],MATCH($AH$2,Carreras,0)+2,0),""),"")</f>
        <v>1</v>
      </c>
      <c r="AI64" s="93">
        <f>IF(IFERROR(VLOOKUP($C64,Planes_de_estudio[],MATCH($AI$2,Carreras,0)+2,0),"")&gt;0,IFERROR(VLOOKUP($C64,Planes_de_estudio[],MATCH($AI$2,Carreras,0)+2,0),""),"")</f>
        <v>2</v>
      </c>
      <c r="AJ64" s="93">
        <f>IF(IFERROR(VLOOKUP($C64,Planes_de_estudio[],MATCH($AJ$2,Carreras,0)+2,0),"")&gt;0,IFERROR(VLOOKUP($C64,Planes_de_estudio[],MATCH($AJ$2,Carreras,0)+2,0),""),"")</f>
        <v>1</v>
      </c>
      <c r="AK64" s="93">
        <f>IF(IFERROR(VLOOKUP($C64,Planes_de_estudio[],MATCH($AK$2,Carreras,0)+2,0),"")&gt;0,IFERROR(VLOOKUP($C64,Planes_de_estudio[],MATCH($AK$2,Carreras,0)+2,0),""),"")</f>
        <v>1</v>
      </c>
      <c r="AL6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6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120</v>
      </c>
      <c r="AN64" s="93">
        <f>base_de_datos[[#This Row],[Pronóstico]]/25</f>
        <v>4.8</v>
      </c>
      <c r="AO64" s="93" t="str">
        <f>VLOOKUP($C64,Planes_de_estudio[],2)</f>
        <v>MEC</v>
      </c>
      <c r="AP64" s="195">
        <v>6</v>
      </c>
      <c r="AQ64" s="195">
        <v>6</v>
      </c>
      <c r="AR64" s="195">
        <v>6</v>
      </c>
      <c r="AS64" s="195">
        <v>6</v>
      </c>
      <c r="AT64" s="195">
        <v>6</v>
      </c>
      <c r="AU64" s="195">
        <v>6</v>
      </c>
      <c r="AV64" s="195">
        <v>6</v>
      </c>
      <c r="AW64" s="91"/>
      <c r="AX64" s="73"/>
    </row>
    <row r="65" spans="1:50" s="5" customFormat="1" ht="16">
      <c r="B65" s="95" t="s">
        <v>200</v>
      </c>
      <c r="C65" s="96" t="s">
        <v>201</v>
      </c>
      <c r="D65" s="92">
        <v>1</v>
      </c>
      <c r="E65" s="97">
        <v>0.5</v>
      </c>
      <c r="F65" s="97">
        <v>0.58333333333332904</v>
      </c>
      <c r="G65" s="92" t="s">
        <v>72</v>
      </c>
      <c r="H65" s="92" t="s">
        <v>202</v>
      </c>
      <c r="I65" s="92" t="e">
        <f>INDEX(Aulas_capacidad,MATCH(base_de_datos[[#This Row],[Aula]],Aulas,0),2)</f>
        <v>#REF!</v>
      </c>
      <c r="J65" s="90">
        <v>24</v>
      </c>
      <c r="K65" s="92" t="e">
        <f>INDEX(Aulas_capacidad,MATCH(base_de_datos[[#This Row],[Aula]],Aulas,0),4)</f>
        <v>#REF!</v>
      </c>
      <c r="L65" s="98" t="e">
        <f>base_de_datos[[#This Row],[Cap 1.5]]-base_de_datos[[#This Row],[Inscritos]]</f>
        <v>#REF!</v>
      </c>
      <c r="M65" s="98" t="e">
        <f>INDEX(Aulas_capacidad,MATCH(base_de_datos[[#This Row],[Aula]],Aulas,0),5)</f>
        <v>#REF!</v>
      </c>
      <c r="N65" s="98" t="e">
        <f>base_de_datos[[#This Row],[Cap .90]]-base_de_datos[[#This Row],[Inscritos]]</f>
        <v>#REF!</v>
      </c>
      <c r="O65" s="92" t="s">
        <v>203</v>
      </c>
      <c r="P65" s="99"/>
      <c r="Q65" s="100"/>
      <c r="R65" s="99" t="s">
        <v>68</v>
      </c>
      <c r="S65" s="100"/>
      <c r="T65" s="100"/>
      <c r="U65" s="99"/>
      <c r="V65" s="99"/>
      <c r="W65" s="99" t="s">
        <v>74</v>
      </c>
      <c r="X65" s="93">
        <f>_xlfn.XLOOKUP(base_de_datos[[#This Row],[Materia]],Materias,Horas)/16</f>
        <v>4</v>
      </c>
      <c r="Y65" s="93">
        <f>ROUND(((base_de_datos[[#This Row],[Hora fin]]-base_de_datos[[#This Row],[Hora inicio]])*24)*(COUNTA(base_de_datos[[#This Row],[Lunes]:[Sábado]])),1)</f>
        <v>2</v>
      </c>
      <c r="Z65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5" s="93">
        <f ca="1">IF(base_de_datos[[#This Row],[No clase]]=OFFSET(base_de_datos[[#This Row],[No clase]],-1,0),0,1)</f>
        <v>0</v>
      </c>
      <c r="AB65" s="93">
        <f ca="1">IF(NOT(OR(base_de_datos[[#This Row],[Horas totales]]=base_de_datos[[#This Row],[HT Plan]],base_de_datos[[#This Row],[Horas totales]]="N/A")),1,0)</f>
        <v>0</v>
      </c>
      <c r="AC65" s="93" t="e">
        <f>_xlfn.XLOOKUP(base_de_datos[[#This Row],[Profesor]],Nombre,Grado)</f>
        <v>#REF!</v>
      </c>
      <c r="AD65" s="94" t="e">
        <f>_xlfn.XLOOKUP(base_de_datos[[#This Row],[Profesor]],Nombre,Tipo)</f>
        <v>#REF!</v>
      </c>
      <c r="AE65" s="93">
        <f>IF(IFERROR(VLOOKUP($C65,Planes_de_estudio[],MATCH($AE$2,Carreras,0)+2,0),"")&gt;0,IFERROR(VLOOKUP($C65,Planes_de_estudio[],MATCH($AE$2,Carreras,0)+2,0),""),"")</f>
        <v>1</v>
      </c>
      <c r="AF65" s="93">
        <f>IF(IFERROR(VLOOKUP($C65,Planes_de_estudio[],MATCH($AF$2,Carreras,0)+2,0),"")&gt;0,IFERROR(VLOOKUP($C65,Planes_de_estudio[],MATCH($AF$2,Carreras,0)+2,0),""),"")</f>
        <v>1</v>
      </c>
      <c r="AG65" s="93">
        <f>IF(IFERROR(VLOOKUP($C65,Planes_de_estudio[],MATCH($AG$2,Carreras,0)+2,0),"")&gt;0,IFERROR(VLOOKUP($C65,Planes_de_estudio[],MATCH($AG$2,Carreras,0)+2,0),""),"")</f>
        <v>1</v>
      </c>
      <c r="AH65" s="93">
        <f>IF(IFERROR(VLOOKUP($C65,Planes_de_estudio[],MATCH($AH$2,Carreras,0)+2,0),"")&gt;0,IFERROR(VLOOKUP($C65,Planes_de_estudio[],MATCH($AH$2,Carreras,0)+2,0),""),"")</f>
        <v>1</v>
      </c>
      <c r="AI65" s="93">
        <f>IF(IFERROR(VLOOKUP($C65,Planes_de_estudio[],MATCH($AI$2,Carreras,0)+2,0),"")&gt;0,IFERROR(VLOOKUP($C65,Planes_de_estudio[],MATCH($AI$2,Carreras,0)+2,0),""),"")</f>
        <v>2</v>
      </c>
      <c r="AJ65" s="93">
        <f>IF(IFERROR(VLOOKUP($C65,Planes_de_estudio[],MATCH($AJ$2,Carreras,0)+2,0),"")&gt;0,IFERROR(VLOOKUP($C65,Planes_de_estudio[],MATCH($AJ$2,Carreras,0)+2,0),""),"")</f>
        <v>1</v>
      </c>
      <c r="AK65" s="93">
        <f>IF(IFERROR(VLOOKUP($C65,Planes_de_estudio[],MATCH($AK$2,Carreras,0)+2,0),"")&gt;0,IFERROR(VLOOKUP($C65,Planes_de_estudio[],MATCH($AK$2,Carreras,0)+2,0),""),"")</f>
        <v>1</v>
      </c>
      <c r="AL6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6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120</v>
      </c>
      <c r="AN65" s="93">
        <f>base_de_datos[[#This Row],[Pronóstico]]/25</f>
        <v>4.8</v>
      </c>
      <c r="AO65" s="93" t="str">
        <f>VLOOKUP($C65,Planes_de_estudio[],2)</f>
        <v>MEC</v>
      </c>
      <c r="AP65" s="196"/>
      <c r="AQ65" s="196"/>
      <c r="AR65" s="196"/>
      <c r="AS65" s="196"/>
      <c r="AT65" s="196"/>
      <c r="AU65" s="196"/>
      <c r="AV65" s="196"/>
      <c r="AW65" s="91"/>
      <c r="AX65" s="73"/>
    </row>
    <row r="66" spans="1:50" s="5" customFormat="1" ht="15">
      <c r="B66" s="95" t="s">
        <v>204</v>
      </c>
      <c r="C66" s="96" t="s">
        <v>201</v>
      </c>
      <c r="D66" s="92">
        <v>2</v>
      </c>
      <c r="E66" s="97">
        <v>0.5</v>
      </c>
      <c r="F66" s="97">
        <v>0.58333333333332904</v>
      </c>
      <c r="G66" s="92"/>
      <c r="H66" s="92" t="s">
        <v>205</v>
      </c>
      <c r="I66" s="92" t="e">
        <f>INDEX(Aulas_capacidad,MATCH(base_de_datos[[#This Row],[Aula]],Aulas,0),2)</f>
        <v>#REF!</v>
      </c>
      <c r="J66" s="90">
        <v>26</v>
      </c>
      <c r="K66" s="92" t="e">
        <f>INDEX(Aulas_capacidad,MATCH(base_de_datos[[#This Row],[Aula]],Aulas,0),4)</f>
        <v>#REF!</v>
      </c>
      <c r="L66" s="98" t="e">
        <f>base_de_datos[[#This Row],[Cap 1.5]]-base_de_datos[[#This Row],[Inscritos]]</f>
        <v>#REF!</v>
      </c>
      <c r="M66" s="98" t="e">
        <f>INDEX(Aulas_capacidad,MATCH(base_de_datos[[#This Row],[Aula]],Aulas,0),5)</f>
        <v>#REF!</v>
      </c>
      <c r="N66" s="98" t="e">
        <f>base_de_datos[[#This Row],[Cap .90]]-base_de_datos[[#This Row],[Inscritos]]</f>
        <v>#REF!</v>
      </c>
      <c r="O66" s="92" t="s">
        <v>206</v>
      </c>
      <c r="P66" s="99" t="s">
        <v>68</v>
      </c>
      <c r="Q66" s="100"/>
      <c r="R66" s="99" t="s">
        <v>68</v>
      </c>
      <c r="S66" s="100"/>
      <c r="T66" s="100"/>
      <c r="U66" s="99"/>
      <c r="V66" s="99"/>
      <c r="W66" s="99" t="s">
        <v>74</v>
      </c>
      <c r="X66" s="93">
        <f>_xlfn.XLOOKUP(base_de_datos[[#This Row],[Materia]],Materias,Horas)/16</f>
        <v>4</v>
      </c>
      <c r="Y66" s="93">
        <f>ROUND(((base_de_datos[[#This Row],[Hora fin]]-base_de_datos[[#This Row],[Hora inicio]])*24)*(COUNTA(base_de_datos[[#This Row],[Lunes]:[Sábado]])),1)</f>
        <v>4</v>
      </c>
      <c r="Z66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6" s="93">
        <f ca="1">IF(base_de_datos[[#This Row],[No clase]]=OFFSET(base_de_datos[[#This Row],[No clase]],-1,0),0,1)</f>
        <v>1</v>
      </c>
      <c r="AB66" s="93">
        <f ca="1">IF(NOT(OR(base_de_datos[[#This Row],[Horas totales]]=base_de_datos[[#This Row],[HT Plan]],base_de_datos[[#This Row],[Horas totales]]="N/A")),1,0)</f>
        <v>0</v>
      </c>
      <c r="AC66" s="93" t="e">
        <f>_xlfn.XLOOKUP(base_de_datos[[#This Row],[Profesor]],Nombre,Grado)</f>
        <v>#REF!</v>
      </c>
      <c r="AD66" s="94" t="e">
        <f>_xlfn.XLOOKUP(base_de_datos[[#This Row],[Profesor]],Nombre,Tipo)</f>
        <v>#REF!</v>
      </c>
      <c r="AE66" s="93">
        <f>IF(IFERROR(VLOOKUP($C66,Planes_de_estudio[],MATCH($AE$2,Carreras,0)+2,0),"")&gt;0,IFERROR(VLOOKUP($C66,Planes_de_estudio[],MATCH($AE$2,Carreras,0)+2,0),""),"")</f>
        <v>1</v>
      </c>
      <c r="AF66" s="93">
        <f>IF(IFERROR(VLOOKUP($C66,Planes_de_estudio[],MATCH($AF$2,Carreras,0)+2,0),"")&gt;0,IFERROR(VLOOKUP($C66,Planes_de_estudio[],MATCH($AF$2,Carreras,0)+2,0),""),"")</f>
        <v>1</v>
      </c>
      <c r="AG66" s="93">
        <f>IF(IFERROR(VLOOKUP($C66,Planes_de_estudio[],MATCH($AG$2,Carreras,0)+2,0),"")&gt;0,IFERROR(VLOOKUP($C66,Planes_de_estudio[],MATCH($AG$2,Carreras,0)+2,0),""),"")</f>
        <v>1</v>
      </c>
      <c r="AH66" s="93">
        <f>IF(IFERROR(VLOOKUP($C66,Planes_de_estudio[],MATCH($AH$2,Carreras,0)+2,0),"")&gt;0,IFERROR(VLOOKUP($C66,Planes_de_estudio[],MATCH($AH$2,Carreras,0)+2,0),""),"")</f>
        <v>1</v>
      </c>
      <c r="AI66" s="93">
        <f>IF(IFERROR(VLOOKUP($C66,Planes_de_estudio[],MATCH($AI$2,Carreras,0)+2,0),"")&gt;0,IFERROR(VLOOKUP($C66,Planes_de_estudio[],MATCH($AI$2,Carreras,0)+2,0),""),"")</f>
        <v>2</v>
      </c>
      <c r="AJ66" s="93">
        <f>IF(IFERROR(VLOOKUP($C66,Planes_de_estudio[],MATCH($AJ$2,Carreras,0)+2,0),"")&gt;0,IFERROR(VLOOKUP($C66,Planes_de_estudio[],MATCH($AJ$2,Carreras,0)+2,0),""),"")</f>
        <v>1</v>
      </c>
      <c r="AK66" s="93">
        <f>IF(IFERROR(VLOOKUP($C66,Planes_de_estudio[],MATCH($AK$2,Carreras,0)+2,0),"")&gt;0,IFERROR(VLOOKUP($C66,Planes_de_estudio[],MATCH($AK$2,Carreras,0)+2,0),""),"")</f>
        <v>1</v>
      </c>
      <c r="AL6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6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120</v>
      </c>
      <c r="AN66" s="93">
        <f>base_de_datos[[#This Row],[Pronóstico]]/25</f>
        <v>4.8</v>
      </c>
      <c r="AO66" s="93" t="str">
        <f>VLOOKUP($C66,Planes_de_estudio[],2)</f>
        <v>MEC</v>
      </c>
      <c r="AP66" s="195">
        <v>6</v>
      </c>
      <c r="AQ66" s="195">
        <v>6</v>
      </c>
      <c r="AR66" s="195">
        <v>6</v>
      </c>
      <c r="AS66" s="195">
        <v>6</v>
      </c>
      <c r="AT66" s="195">
        <v>6</v>
      </c>
      <c r="AU66" s="195">
        <v>6</v>
      </c>
      <c r="AV66" s="195">
        <v>6</v>
      </c>
      <c r="AW66" s="91"/>
      <c r="AX66" s="73"/>
    </row>
    <row r="67" spans="1:50" s="5" customFormat="1" ht="16">
      <c r="B67" s="95" t="s">
        <v>207</v>
      </c>
      <c r="C67" s="96" t="s">
        <v>194</v>
      </c>
      <c r="D67" s="92">
        <v>1</v>
      </c>
      <c r="E67" s="97">
        <v>0.625</v>
      </c>
      <c r="F67" s="97">
        <v>0.70833333333332704</v>
      </c>
      <c r="G67" s="92" t="s">
        <v>66</v>
      </c>
      <c r="H67" s="92" t="s">
        <v>84</v>
      </c>
      <c r="I67" s="92" t="e">
        <f>INDEX(Aulas_capacidad,MATCH(base_de_datos[[#This Row],[Aula]],Aulas,0),2)</f>
        <v>#REF!</v>
      </c>
      <c r="J67" s="90">
        <v>25</v>
      </c>
      <c r="K67" s="92" t="e">
        <f>INDEX(Aulas_capacidad,MATCH(base_de_datos[[#This Row],[Aula]],Aulas,0),4)</f>
        <v>#REF!</v>
      </c>
      <c r="L67" s="98" t="e">
        <f>base_de_datos[[#This Row],[Cap 1.5]]-base_de_datos[[#This Row],[Inscritos]]</f>
        <v>#REF!</v>
      </c>
      <c r="M67" s="98" t="e">
        <f>INDEX(Aulas_capacidad,MATCH(base_de_datos[[#This Row],[Aula]],Aulas,0),5)</f>
        <v>#REF!</v>
      </c>
      <c r="N67" s="98" t="e">
        <f>base_de_datos[[#This Row],[Cap .90]]-base_de_datos[[#This Row],[Inscritos]]</f>
        <v>#REF!</v>
      </c>
      <c r="O67" s="92" t="s">
        <v>208</v>
      </c>
      <c r="P67" s="99"/>
      <c r="Q67" s="100" t="s">
        <v>68</v>
      </c>
      <c r="R67" s="99"/>
      <c r="S67" s="100" t="s">
        <v>68</v>
      </c>
      <c r="T67" s="100"/>
      <c r="U67" s="99"/>
      <c r="V67" s="99"/>
      <c r="W67" s="99" t="s">
        <v>122</v>
      </c>
      <c r="X67" s="93">
        <f>_xlfn.XLOOKUP(base_de_datos[[#This Row],[Materia]],Materias,Horas)/16</f>
        <v>4</v>
      </c>
      <c r="Y67" s="93">
        <f>ROUND(((base_de_datos[[#This Row],[Hora fin]]-base_de_datos[[#This Row],[Hora inicio]])*24)*(COUNTA(base_de_datos[[#This Row],[Lunes]:[Sábado]])),1)</f>
        <v>4</v>
      </c>
      <c r="Z67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7" s="93">
        <f ca="1">IF(base_de_datos[[#This Row],[No clase]]=OFFSET(base_de_datos[[#This Row],[No clase]],-1,0),0,1)</f>
        <v>1</v>
      </c>
      <c r="AB67" s="93">
        <f ca="1">IF(NOT(OR(base_de_datos[[#This Row],[Horas totales]]=base_de_datos[[#This Row],[HT Plan]],base_de_datos[[#This Row],[Horas totales]]="N/A")),1,0)</f>
        <v>0</v>
      </c>
      <c r="AC67" s="93" t="e">
        <f>_xlfn.XLOOKUP(base_de_datos[[#This Row],[Profesor]],Nombre,Grado)</f>
        <v>#REF!</v>
      </c>
      <c r="AD67" s="94" t="e">
        <f>_xlfn.XLOOKUP(base_de_datos[[#This Row],[Profesor]],Nombre,Tipo)</f>
        <v>#REF!</v>
      </c>
      <c r="AE67" s="93" t="str">
        <f>IF(IFERROR(VLOOKUP($C67,Planes_de_estudio[],MATCH($AE$2,Carreras,0)+2,0),"")&gt;0,IFERROR(VLOOKUP($C67,Planes_de_estudio[],MATCH($AE$2,Carreras,0)+2,0),""),"")</f>
        <v/>
      </c>
      <c r="AF67" s="93">
        <f>IF(IFERROR(VLOOKUP($C67,Planes_de_estudio[],MATCH($AF$2,Carreras,0)+2,0),"")&gt;0,IFERROR(VLOOKUP($C67,Planes_de_estudio[],MATCH($AF$2,Carreras,0)+2,0),""),"")</f>
        <v>5</v>
      </c>
      <c r="AG67" s="93" t="str">
        <f>IF(IFERROR(VLOOKUP($C67,Planes_de_estudio[],MATCH($AG$2,Carreras,0)+2,0),"")&gt;0,IFERROR(VLOOKUP($C67,Planes_de_estudio[],MATCH($AG$2,Carreras,0)+2,0),""),"")</f>
        <v/>
      </c>
      <c r="AH67" s="93">
        <f>IF(IFERROR(VLOOKUP($C67,Planes_de_estudio[],MATCH($AH$2,Carreras,0)+2,0),"")&gt;0,IFERROR(VLOOKUP($C67,Planes_de_estudio[],MATCH($AH$2,Carreras,0)+2,0),""),"")</f>
        <v>5</v>
      </c>
      <c r="AI67" s="93">
        <f>IF(IFERROR(VLOOKUP($C67,Planes_de_estudio[],MATCH($AI$2,Carreras,0)+2,0),"")&gt;0,IFERROR(VLOOKUP($C67,Planes_de_estudio[],MATCH($AI$2,Carreras,0)+2,0),""),"")</f>
        <v>6</v>
      </c>
      <c r="AJ67" s="93" t="str">
        <f>IF(IFERROR(VLOOKUP($C67,Planes_de_estudio[],MATCH($AJ$2,Carreras,0)+2,0),"")&gt;0,IFERROR(VLOOKUP($C67,Planes_de_estudio[],MATCH($AJ$2,Carreras,0)+2,0),""),"")</f>
        <v/>
      </c>
      <c r="AK67" s="93">
        <f>IF(IFERROR(VLOOKUP($C67,Planes_de_estudio[],MATCH($AK$2,Carreras,0)+2,0),"")&gt;0,IFERROR(VLOOKUP($C67,Planes_de_estudio[],MATCH($AK$2,Carreras,0)+2,0),""),"")</f>
        <v>5</v>
      </c>
      <c r="AL6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6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38</v>
      </c>
      <c r="AN67" s="93">
        <f>base_de_datos[[#This Row],[Pronóstico]]/25</f>
        <v>1.52</v>
      </c>
      <c r="AO67" s="93" t="str">
        <f>VLOOKUP($C67,Planes_de_estudio[],2)</f>
        <v>EEC</v>
      </c>
      <c r="AP67" s="196"/>
      <c r="AQ67" s="195">
        <v>6</v>
      </c>
      <c r="AR67" s="196"/>
      <c r="AS67" s="195">
        <v>6</v>
      </c>
      <c r="AT67" s="195">
        <v>6</v>
      </c>
      <c r="AU67" s="196"/>
      <c r="AV67" s="195">
        <v>6</v>
      </c>
      <c r="AW67" s="91"/>
      <c r="AX67" s="73"/>
    </row>
    <row r="68" spans="1:50" s="5" customFormat="1" ht="16">
      <c r="B68" s="95" t="s">
        <v>207</v>
      </c>
      <c r="C68" s="96" t="s">
        <v>209</v>
      </c>
      <c r="D68" s="92">
        <v>1</v>
      </c>
      <c r="E68" s="97">
        <v>0.70833333333333304</v>
      </c>
      <c r="F68" s="97">
        <v>0.77083333333332604</v>
      </c>
      <c r="G68" s="92"/>
      <c r="H68" s="175" t="s">
        <v>84</v>
      </c>
      <c r="I68" s="92" t="e">
        <f>INDEX(Aulas_capacidad,MATCH(base_de_datos[[#This Row],[Aula]],Aulas,0),2)</f>
        <v>#REF!</v>
      </c>
      <c r="J68" s="90">
        <v>9</v>
      </c>
      <c r="K68" s="92" t="e">
        <f>INDEX(Aulas_capacidad,MATCH(base_de_datos[[#This Row],[Aula]],Aulas,0),4)</f>
        <v>#REF!</v>
      </c>
      <c r="L68" s="98" t="e">
        <f>base_de_datos[[#This Row],[Cap 1.5]]-base_de_datos[[#This Row],[Inscritos]]</f>
        <v>#REF!</v>
      </c>
      <c r="M68" s="98" t="e">
        <f>INDEX(Aulas_capacidad,MATCH(base_de_datos[[#This Row],[Aula]],Aulas,0),5)</f>
        <v>#REF!</v>
      </c>
      <c r="N68" s="98" t="e">
        <f>base_de_datos[[#This Row],[Cap .90]]-base_de_datos[[#This Row],[Inscritos]]</f>
        <v>#REF!</v>
      </c>
      <c r="O68" s="92" t="s">
        <v>210</v>
      </c>
      <c r="P68" s="99"/>
      <c r="Q68" s="100" t="s">
        <v>68</v>
      </c>
      <c r="R68" s="99"/>
      <c r="S68" s="100"/>
      <c r="T68" s="100"/>
      <c r="U68" s="99"/>
      <c r="V68" s="99"/>
      <c r="W68" s="99" t="s">
        <v>122</v>
      </c>
      <c r="X68" s="93">
        <f>_xlfn.XLOOKUP(base_de_datos[[#This Row],[Materia]],Materias,Horas)/16</f>
        <v>3</v>
      </c>
      <c r="Y68" s="93">
        <f>ROUND(((base_de_datos[[#This Row],[Hora fin]]-base_de_datos[[#This Row],[Hora inicio]])*24)*(COUNTA(base_de_datos[[#This Row],[Lunes]:[Sábado]])),1)</f>
        <v>1.5</v>
      </c>
      <c r="Z68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68" s="93">
        <f ca="1">IF(base_de_datos[[#This Row],[No clase]]=OFFSET(base_de_datos[[#This Row],[No clase]],-1,0),0,1)</f>
        <v>1</v>
      </c>
      <c r="AB68" s="93">
        <f ca="1">IF(NOT(OR(base_de_datos[[#This Row],[Horas totales]]=base_de_datos[[#This Row],[HT Plan]],base_de_datos[[#This Row],[Horas totales]]="N/A")),1,0)</f>
        <v>0</v>
      </c>
      <c r="AC68" s="93" t="e">
        <f>_xlfn.XLOOKUP(base_de_datos[[#This Row],[Profesor]],Nombre,Grado)</f>
        <v>#REF!</v>
      </c>
      <c r="AD68" s="94" t="e">
        <f>_xlfn.XLOOKUP(base_de_datos[[#This Row],[Profesor]],Nombre,Tipo)</f>
        <v>#REF!</v>
      </c>
      <c r="AE68" s="93" t="str">
        <f>IF(IFERROR(VLOOKUP($C68,Planes_de_estudio[],MATCH($AE$2,Carreras,0)+2,0),"")&gt;0,IFERROR(VLOOKUP($C68,Planes_de_estudio[],MATCH($AE$2,Carreras,0)+2,0),""),"")</f>
        <v/>
      </c>
      <c r="AF68" s="93">
        <f>IF(IFERROR(VLOOKUP($C68,Planes_de_estudio[],MATCH($AF$2,Carreras,0)+2,0),"")&gt;0,IFERROR(VLOOKUP($C68,Planes_de_estudio[],MATCH($AF$2,Carreras,0)+2,0),""),"")</f>
        <v>6</v>
      </c>
      <c r="AG68" s="93" t="str">
        <f>IF(IFERROR(VLOOKUP($C68,Planes_de_estudio[],MATCH($AG$2,Carreras,0)+2,0),"")&gt;0,IFERROR(VLOOKUP($C68,Planes_de_estudio[],MATCH($AG$2,Carreras,0)+2,0),""),"")</f>
        <v/>
      </c>
      <c r="AH68" s="93">
        <f>IF(IFERROR(VLOOKUP($C68,Planes_de_estudio[],MATCH($AH$2,Carreras,0)+2,0),"")&gt;0,IFERROR(VLOOKUP($C68,Planes_de_estudio[],MATCH($AH$2,Carreras,0)+2,0),""),"")</f>
        <v>6</v>
      </c>
      <c r="AI68" s="93">
        <f>IF(IFERROR(VLOOKUP($C68,Planes_de_estudio[],MATCH($AI$2,Carreras,0)+2,0),"")&gt;0,IFERROR(VLOOKUP($C68,Planes_de_estudio[],MATCH($AI$2,Carreras,0)+2,0),""),"")</f>
        <v>7</v>
      </c>
      <c r="AJ68" s="93" t="str">
        <f>IF(IFERROR(VLOOKUP($C68,Planes_de_estudio[],MATCH($AJ$2,Carreras,0)+2,0),"")&gt;0,IFERROR(VLOOKUP($C68,Planes_de_estudio[],MATCH($AJ$2,Carreras,0)+2,0),""),"")</f>
        <v/>
      </c>
      <c r="AK68" s="93">
        <f>IF(IFERROR(VLOOKUP($C68,Planes_de_estudio[],MATCH($AK$2,Carreras,0)+2,0),"")&gt;0,IFERROR(VLOOKUP($C68,Planes_de_estudio[],MATCH($AK$2,Carreras,0)+2,0),""),"")</f>
        <v>6</v>
      </c>
      <c r="AL6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6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</v>
      </c>
      <c r="AN68" s="93">
        <f>base_de_datos[[#This Row],[Pronóstico]]/25</f>
        <v>0.52</v>
      </c>
      <c r="AO68" s="93" t="str">
        <f>VLOOKUP($C68,Planes_de_estudio[],2)</f>
        <v>EEC</v>
      </c>
      <c r="AP68" s="196"/>
      <c r="AQ68" s="195">
        <v>6</v>
      </c>
      <c r="AR68" s="196"/>
      <c r="AS68" s="195">
        <v>6</v>
      </c>
      <c r="AT68" s="195">
        <v>6</v>
      </c>
      <c r="AU68" s="196"/>
      <c r="AV68" s="195">
        <v>6</v>
      </c>
      <c r="AW68" s="91"/>
      <c r="AX68" s="73"/>
    </row>
    <row r="69" spans="1:50" s="5" customFormat="1" ht="16">
      <c r="B69" s="95" t="s">
        <v>207</v>
      </c>
      <c r="C69" s="96" t="s">
        <v>209</v>
      </c>
      <c r="D69" s="92">
        <v>1</v>
      </c>
      <c r="E69" s="97">
        <v>0.70833333333333304</v>
      </c>
      <c r="F69" s="97">
        <v>0.77083333333332604</v>
      </c>
      <c r="G69" s="92" t="s">
        <v>72</v>
      </c>
      <c r="H69" s="175" t="s">
        <v>84</v>
      </c>
      <c r="I69" s="92" t="e">
        <f>INDEX(Aulas_capacidad,MATCH(base_de_datos[[#This Row],[Aula]],Aulas,0),2)</f>
        <v>#REF!</v>
      </c>
      <c r="J69" s="90">
        <v>9</v>
      </c>
      <c r="K69" s="92" t="e">
        <f>INDEX(Aulas_capacidad,MATCH(base_de_datos[[#This Row],[Aula]],Aulas,0),4)</f>
        <v>#REF!</v>
      </c>
      <c r="L69" s="98" t="e">
        <f>base_de_datos[[#This Row],[Cap 1.5]]-base_de_datos[[#This Row],[Inscritos]]</f>
        <v>#REF!</v>
      </c>
      <c r="M69" s="98" t="e">
        <f>INDEX(Aulas_capacidad,MATCH(base_de_datos[[#This Row],[Aula]],Aulas,0),5)</f>
        <v>#REF!</v>
      </c>
      <c r="N69" s="98" t="e">
        <f>base_de_datos[[#This Row],[Cap .90]]-base_de_datos[[#This Row],[Inscritos]]</f>
        <v>#REF!</v>
      </c>
      <c r="O69" s="92" t="s">
        <v>210</v>
      </c>
      <c r="P69" s="99"/>
      <c r="Q69" s="100"/>
      <c r="R69" s="99"/>
      <c r="S69" s="100" t="s">
        <v>68</v>
      </c>
      <c r="T69" s="100"/>
      <c r="U69" s="99"/>
      <c r="V69" s="99"/>
      <c r="W69" s="99" t="s">
        <v>122</v>
      </c>
      <c r="X69" s="93">
        <f>_xlfn.XLOOKUP(base_de_datos[[#This Row],[Materia]],Materias,Horas)/16</f>
        <v>3</v>
      </c>
      <c r="Y69" s="93">
        <f>ROUND(((base_de_datos[[#This Row],[Hora fin]]-base_de_datos[[#This Row],[Hora inicio]])*24)*(COUNTA(base_de_datos[[#This Row],[Lunes]:[Sábado]])),1)</f>
        <v>1.5</v>
      </c>
      <c r="Z69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9" s="93">
        <f ca="1">IF(base_de_datos[[#This Row],[No clase]]=OFFSET(base_de_datos[[#This Row],[No clase]],-1,0),0,1)</f>
        <v>0</v>
      </c>
      <c r="AB69" s="93">
        <f ca="1">IF(NOT(OR(base_de_datos[[#This Row],[Horas totales]]=base_de_datos[[#This Row],[HT Plan]],base_de_datos[[#This Row],[Horas totales]]="N/A")),1,0)</f>
        <v>0</v>
      </c>
      <c r="AC69" s="93" t="e">
        <f>_xlfn.XLOOKUP(base_de_datos[[#This Row],[Profesor]],Nombre,Grado)</f>
        <v>#REF!</v>
      </c>
      <c r="AD69" s="94" t="e">
        <f>_xlfn.XLOOKUP(base_de_datos[[#This Row],[Profesor]],Nombre,Tipo)</f>
        <v>#REF!</v>
      </c>
      <c r="AE69" s="93" t="str">
        <f>IF(IFERROR(VLOOKUP($C69,Planes_de_estudio[],MATCH($AE$2,Carreras,0)+2,0),"")&gt;0,IFERROR(VLOOKUP($C69,Planes_de_estudio[],MATCH($AE$2,Carreras,0)+2,0),""),"")</f>
        <v/>
      </c>
      <c r="AF69" s="93">
        <f>IF(IFERROR(VLOOKUP($C69,Planes_de_estudio[],MATCH($AF$2,Carreras,0)+2,0),"")&gt;0,IFERROR(VLOOKUP($C69,Planes_de_estudio[],MATCH($AF$2,Carreras,0)+2,0),""),"")</f>
        <v>6</v>
      </c>
      <c r="AG69" s="93" t="str">
        <f>IF(IFERROR(VLOOKUP($C69,Planes_de_estudio[],MATCH($AG$2,Carreras,0)+2,0),"")&gt;0,IFERROR(VLOOKUP($C69,Planes_de_estudio[],MATCH($AG$2,Carreras,0)+2,0),""),"")</f>
        <v/>
      </c>
      <c r="AH69" s="93">
        <f>IF(IFERROR(VLOOKUP($C69,Planes_de_estudio[],MATCH($AH$2,Carreras,0)+2,0),"")&gt;0,IFERROR(VLOOKUP($C69,Planes_de_estudio[],MATCH($AH$2,Carreras,0)+2,0),""),"")</f>
        <v>6</v>
      </c>
      <c r="AI69" s="93">
        <f>IF(IFERROR(VLOOKUP($C69,Planes_de_estudio[],MATCH($AI$2,Carreras,0)+2,0),"")&gt;0,IFERROR(VLOOKUP($C69,Planes_de_estudio[],MATCH($AI$2,Carreras,0)+2,0),""),"")</f>
        <v>7</v>
      </c>
      <c r="AJ69" s="93" t="str">
        <f>IF(IFERROR(VLOOKUP($C69,Planes_de_estudio[],MATCH($AJ$2,Carreras,0)+2,0),"")&gt;0,IFERROR(VLOOKUP($C69,Planes_de_estudio[],MATCH($AJ$2,Carreras,0)+2,0),""),"")</f>
        <v/>
      </c>
      <c r="AK69" s="93">
        <f>IF(IFERROR(VLOOKUP($C69,Planes_de_estudio[],MATCH($AK$2,Carreras,0)+2,0),"")&gt;0,IFERROR(VLOOKUP($C69,Planes_de_estudio[],MATCH($AK$2,Carreras,0)+2,0),""),"")</f>
        <v>6</v>
      </c>
      <c r="AL6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6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</v>
      </c>
      <c r="AN69" s="93">
        <f>base_de_datos[[#This Row],[Pronóstico]]/25</f>
        <v>0.52</v>
      </c>
      <c r="AO69" s="93" t="str">
        <f>VLOOKUP($C69,Planes_de_estudio[],2)</f>
        <v>EEC</v>
      </c>
      <c r="AP69" s="196"/>
      <c r="AQ69" s="196"/>
      <c r="AR69" s="196"/>
      <c r="AS69" s="196"/>
      <c r="AT69" s="196"/>
      <c r="AU69" s="196"/>
      <c r="AV69" s="196"/>
      <c r="AW69" s="91"/>
      <c r="AX69" s="73"/>
    </row>
    <row r="70" spans="1:50" s="5" customFormat="1" ht="16">
      <c r="A70" s="5" t="s">
        <v>63</v>
      </c>
      <c r="B70" s="95" t="s">
        <v>211</v>
      </c>
      <c r="C70" s="96" t="s">
        <v>212</v>
      </c>
      <c r="D70" s="92">
        <v>1</v>
      </c>
      <c r="E70" s="97">
        <v>0.5</v>
      </c>
      <c r="F70" s="97">
        <v>0.58333333333332904</v>
      </c>
      <c r="G70" s="92" t="s">
        <v>66</v>
      </c>
      <c r="H70" s="92" t="s">
        <v>67</v>
      </c>
      <c r="I70" s="92" t="e">
        <f>INDEX(Aulas_capacidad,MATCH(base_de_datos[[#This Row],[Aula]],Aulas,0),2)</f>
        <v>#REF!</v>
      </c>
      <c r="J70" s="90">
        <v>17</v>
      </c>
      <c r="K70" s="92" t="e">
        <f>INDEX(Aulas_capacidad,MATCH(base_de_datos[[#This Row],[Aula]],Aulas,0),4)</f>
        <v>#REF!</v>
      </c>
      <c r="L70" s="98" t="e">
        <f>base_de_datos[[#This Row],[Cap 1.5]]-base_de_datos[[#This Row],[Inscritos]]</f>
        <v>#REF!</v>
      </c>
      <c r="M70" s="98" t="e">
        <f>INDEX(Aulas_capacidad,MATCH(base_de_datos[[#This Row],[Aula]],Aulas,0),5)</f>
        <v>#REF!</v>
      </c>
      <c r="N70" s="98" t="e">
        <f>base_de_datos[[#This Row],[Cap .90]]-base_de_datos[[#This Row],[Inscritos]]</f>
        <v>#REF!</v>
      </c>
      <c r="O70" s="92">
        <v>1633</v>
      </c>
      <c r="P70" s="99"/>
      <c r="Q70" s="100"/>
      <c r="R70" s="99"/>
      <c r="S70" s="100" t="s">
        <v>68</v>
      </c>
      <c r="T70" s="100"/>
      <c r="U70" s="99"/>
      <c r="V70" s="99"/>
      <c r="W70" s="99" t="s">
        <v>79</v>
      </c>
      <c r="X70" s="101">
        <f>_xlfn.XLOOKUP(base_de_datos[[#This Row],[Materia]],Materias,Horas)/16</f>
        <v>5</v>
      </c>
      <c r="Y70" s="101">
        <f>ROUND(((base_de_datos[[#This Row],[Hora fin]]-base_de_datos[[#This Row],[Hora inicio]])*24)*(COUNTA(base_de_datos[[#This Row],[Lunes]:[Sábado]])),1)</f>
        <v>2</v>
      </c>
      <c r="Z70" s="101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70" s="93">
        <f ca="1">IF(base_de_datos[[#This Row],[No clase]]=OFFSET(base_de_datos[[#This Row],[No clase]],-1,0),0,1)</f>
        <v>1</v>
      </c>
      <c r="AB70" s="93">
        <f ca="1">IF(NOT(OR(base_de_datos[[#This Row],[Horas totales]]=base_de_datos[[#This Row],[HT Plan]],base_de_datos[[#This Row],[Horas totales]]="N/A")),1,0)</f>
        <v>0</v>
      </c>
      <c r="AC70" s="93" t="e">
        <f>_xlfn.XLOOKUP(base_de_datos[[#This Row],[Profesor]],Nombre,Grado)</f>
        <v>#REF!</v>
      </c>
      <c r="AD70" s="94" t="e">
        <f>_xlfn.XLOOKUP(base_de_datos[[#This Row],[Profesor]],Nombre,Tipo)</f>
        <v>#REF!</v>
      </c>
      <c r="AE70" s="93" t="str">
        <f>IF(IFERROR(VLOOKUP($C70,Planes_de_estudio[],MATCH($AE$2,Carreras,0)+2,0),"")&gt;0,IFERROR(VLOOKUP($C70,Planes_de_estudio[],MATCH($AE$2,Carreras,0)+2,0),""),"")</f>
        <v/>
      </c>
      <c r="AF70" s="93" t="str">
        <f>IF(IFERROR(VLOOKUP($C70,Planes_de_estudio[],MATCH($AF$2,Carreras,0)+2,0),"")&gt;0,IFERROR(VLOOKUP($C70,Planes_de_estudio[],MATCH($AF$2,Carreras,0)+2,0),""),"")</f>
        <v/>
      </c>
      <c r="AG70" s="93">
        <f>IF(IFERROR(VLOOKUP($C70,Planes_de_estudio[],MATCH($AG$2,Carreras,0)+2,0),"")&gt;0,IFERROR(VLOOKUP($C70,Planes_de_estudio[],MATCH($AG$2,Carreras,0)+2,0),""),"")</f>
        <v>3</v>
      </c>
      <c r="AH70" s="93" t="str">
        <f>IF(IFERROR(VLOOKUP($C70,Planes_de_estudio[],MATCH($AH$2,Carreras,0)+2,0),"")&gt;0,IFERROR(VLOOKUP($C70,Planes_de_estudio[],MATCH($AH$2,Carreras,0)+2,0),""),"")</f>
        <v/>
      </c>
      <c r="AI70" s="93" t="str">
        <f>IF(IFERROR(VLOOKUP($C70,Planes_de_estudio[],MATCH($AI$2,Carreras,0)+2,0),"")&gt;0,IFERROR(VLOOKUP($C70,Planes_de_estudio[],MATCH($AI$2,Carreras,0)+2,0),""),"")</f>
        <v/>
      </c>
      <c r="AJ70" s="93" t="str">
        <f>IF(IFERROR(VLOOKUP($C70,Planes_de_estudio[],MATCH($AJ$2,Carreras,0)+2,0),"")&gt;0,IFERROR(VLOOKUP($C70,Planes_de_estudio[],MATCH($AJ$2,Carreras,0)+2,0),""),"")</f>
        <v/>
      </c>
      <c r="AK70" s="93" t="str">
        <f>IF(IFERROR(VLOOKUP($C70,Planes_de_estudio[],MATCH($AK$2,Carreras,0)+2,0),"")&gt;0,IFERROR(VLOOKUP($C70,Planes_de_estudio[],MATCH($AK$2,Carreras,0)+2,0),""),"")</f>
        <v/>
      </c>
      <c r="AL7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7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70" s="93">
        <f>base_de_datos[[#This Row],[Pronóstico]]/25</f>
        <v>0.56000000000000005</v>
      </c>
      <c r="AO70" s="93" t="str">
        <f>VLOOKUP($C70,Planes_de_estudio[],2)</f>
        <v>IID</v>
      </c>
      <c r="AP70" s="196"/>
      <c r="AQ70" s="196"/>
      <c r="AR70" s="195">
        <v>6</v>
      </c>
      <c r="AS70" s="196"/>
      <c r="AT70" s="196"/>
      <c r="AU70" s="196"/>
      <c r="AV70" s="196"/>
      <c r="AW70" s="91"/>
      <c r="AX70" s="73"/>
    </row>
    <row r="71" spans="1:50" s="5" customFormat="1" ht="16">
      <c r="A71" s="5" t="s">
        <v>63</v>
      </c>
      <c r="B71" s="95" t="s">
        <v>211</v>
      </c>
      <c r="C71" s="96" t="s">
        <v>212</v>
      </c>
      <c r="D71" s="92">
        <v>1</v>
      </c>
      <c r="E71" s="97">
        <v>0.5</v>
      </c>
      <c r="F71" s="97">
        <v>0.624999999999995</v>
      </c>
      <c r="G71" s="92" t="s">
        <v>66</v>
      </c>
      <c r="H71" s="92" t="s">
        <v>67</v>
      </c>
      <c r="I71" s="92" t="e">
        <f>INDEX(Aulas_capacidad,MATCH(base_de_datos[[#This Row],[Aula]],Aulas,0),2)</f>
        <v>#REF!</v>
      </c>
      <c r="J71" s="90">
        <v>17</v>
      </c>
      <c r="K71" s="92" t="e">
        <f>INDEX(Aulas_capacidad,MATCH(base_de_datos[[#This Row],[Aula]],Aulas,0),4)</f>
        <v>#REF!</v>
      </c>
      <c r="L71" s="98" t="e">
        <f>base_de_datos[[#This Row],[Cap 1.5]]-base_de_datos[[#This Row],[Inscritos]]</f>
        <v>#REF!</v>
      </c>
      <c r="M71" s="98" t="e">
        <f>INDEX(Aulas_capacidad,MATCH(base_de_datos[[#This Row],[Aula]],Aulas,0),5)</f>
        <v>#REF!</v>
      </c>
      <c r="N71" s="98" t="e">
        <f>base_de_datos[[#This Row],[Cap .90]]-base_de_datos[[#This Row],[Inscritos]]</f>
        <v>#REF!</v>
      </c>
      <c r="O71" s="92">
        <v>1633</v>
      </c>
      <c r="P71" s="99"/>
      <c r="Q71" s="100" t="s">
        <v>68</v>
      </c>
      <c r="R71" s="99"/>
      <c r="S71" s="100"/>
      <c r="T71" s="100"/>
      <c r="U71" s="99"/>
      <c r="V71" s="99"/>
      <c r="W71" s="99" t="s">
        <v>79</v>
      </c>
      <c r="X71" s="93">
        <f>_xlfn.XLOOKUP(base_de_datos[[#This Row],[Materia]],Materias,Horas)/16</f>
        <v>5</v>
      </c>
      <c r="Y71" s="93">
        <f>ROUND(((base_de_datos[[#This Row],[Hora fin]]-base_de_datos[[#This Row],[Hora inicio]])*24)*(COUNTA(base_de_datos[[#This Row],[Lunes]:[Sábado]])),1)</f>
        <v>3</v>
      </c>
      <c r="Z71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1" s="93">
        <f ca="1">IF(base_de_datos[[#This Row],[No clase]]=OFFSET(base_de_datos[[#This Row],[No clase]],-1,0),0,1)</f>
        <v>0</v>
      </c>
      <c r="AB71" s="93">
        <f ca="1">IF(NOT(OR(base_de_datos[[#This Row],[Horas totales]]=base_de_datos[[#This Row],[HT Plan]],base_de_datos[[#This Row],[Horas totales]]="N/A")),1,0)</f>
        <v>0</v>
      </c>
      <c r="AC71" s="93" t="e">
        <f>_xlfn.XLOOKUP(base_de_datos[[#This Row],[Profesor]],Nombre,Grado)</f>
        <v>#REF!</v>
      </c>
      <c r="AD71" s="94" t="e">
        <f>_xlfn.XLOOKUP(base_de_datos[[#This Row],[Profesor]],Nombre,Tipo)</f>
        <v>#REF!</v>
      </c>
      <c r="AE71" s="93" t="str">
        <f>IF(IFERROR(VLOOKUP($C71,Planes_de_estudio[],MATCH($AE$2,Carreras,0)+2,0),"")&gt;0,IFERROR(VLOOKUP($C71,Planes_de_estudio[],MATCH($AE$2,Carreras,0)+2,0),""),"")</f>
        <v/>
      </c>
      <c r="AF71" s="93" t="str">
        <f>IF(IFERROR(VLOOKUP($C71,Planes_de_estudio[],MATCH($AF$2,Carreras,0)+2,0),"")&gt;0,IFERROR(VLOOKUP($C71,Planes_de_estudio[],MATCH($AF$2,Carreras,0)+2,0),""),"")</f>
        <v/>
      </c>
      <c r="AG71" s="93">
        <f>IF(IFERROR(VLOOKUP($C71,Planes_de_estudio[],MATCH($AG$2,Carreras,0)+2,0),"")&gt;0,IFERROR(VLOOKUP($C71,Planes_de_estudio[],MATCH($AG$2,Carreras,0)+2,0),""),"")</f>
        <v>3</v>
      </c>
      <c r="AH71" s="93" t="str">
        <f>IF(IFERROR(VLOOKUP($C71,Planes_de_estudio[],MATCH($AH$2,Carreras,0)+2,0),"")&gt;0,IFERROR(VLOOKUP($C71,Planes_de_estudio[],MATCH($AH$2,Carreras,0)+2,0),""),"")</f>
        <v/>
      </c>
      <c r="AI71" s="93" t="str">
        <f>IF(IFERROR(VLOOKUP($C71,Planes_de_estudio[],MATCH($AI$2,Carreras,0)+2,0),"")&gt;0,IFERROR(VLOOKUP($C71,Planes_de_estudio[],MATCH($AI$2,Carreras,0)+2,0),""),"")</f>
        <v/>
      </c>
      <c r="AJ71" s="93" t="str">
        <f>IF(IFERROR(VLOOKUP($C71,Planes_de_estudio[],MATCH($AJ$2,Carreras,0)+2,0),"")&gt;0,IFERROR(VLOOKUP($C71,Planes_de_estudio[],MATCH($AJ$2,Carreras,0)+2,0),""),"")</f>
        <v/>
      </c>
      <c r="AK71" s="93" t="str">
        <f>IF(IFERROR(VLOOKUP($C71,Planes_de_estudio[],MATCH($AK$2,Carreras,0)+2,0),"")&gt;0,IFERROR(VLOOKUP($C71,Planes_de_estudio[],MATCH($AK$2,Carreras,0)+2,0),""),"")</f>
        <v/>
      </c>
      <c r="AL7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7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71" s="93">
        <f>base_de_datos[[#This Row],[Pronóstico]]/25</f>
        <v>0.56000000000000005</v>
      </c>
      <c r="AO71" s="93" t="str">
        <f>VLOOKUP($C71,Planes_de_estudio[],2)</f>
        <v>IID</v>
      </c>
      <c r="AP71" s="196"/>
      <c r="AQ71" s="196"/>
      <c r="AR71" s="196"/>
      <c r="AS71" s="196"/>
      <c r="AT71" s="196"/>
      <c r="AU71" s="196"/>
      <c r="AV71" s="196"/>
      <c r="AW71" s="91"/>
      <c r="AX71" s="73"/>
    </row>
    <row r="72" spans="1:50" s="5" customFormat="1" ht="16">
      <c r="B72" s="95" t="s">
        <v>211</v>
      </c>
      <c r="C72" s="96" t="s">
        <v>213</v>
      </c>
      <c r="D72" s="92">
        <v>1</v>
      </c>
      <c r="E72" s="97">
        <v>0.5</v>
      </c>
      <c r="F72" s="97">
        <v>0.624999999999995</v>
      </c>
      <c r="G72" s="92" t="s">
        <v>72</v>
      </c>
      <c r="H72" s="175" t="s">
        <v>119</v>
      </c>
      <c r="I72" s="92" t="e">
        <f>INDEX(Aulas_capacidad,MATCH(base_de_datos[[#This Row],[Aula]],Aulas,0),2)</f>
        <v>#REF!</v>
      </c>
      <c r="J72" s="90">
        <v>21</v>
      </c>
      <c r="K72" s="92" t="e">
        <f>INDEX(Aulas_capacidad,MATCH(base_de_datos[[#This Row],[Aula]],Aulas,0),4)</f>
        <v>#REF!</v>
      </c>
      <c r="L72" s="98" t="e">
        <f>base_de_datos[[#This Row],[Cap 1.5]]-base_de_datos[[#This Row],[Inscritos]]</f>
        <v>#REF!</v>
      </c>
      <c r="M72" s="98" t="e">
        <f>INDEX(Aulas_capacidad,MATCH(base_de_datos[[#This Row],[Aula]],Aulas,0),5)</f>
        <v>#REF!</v>
      </c>
      <c r="N72" s="98" t="e">
        <f>base_de_datos[[#This Row],[Cap .90]]-base_de_datos[[#This Row],[Inscritos]]</f>
        <v>#REF!</v>
      </c>
      <c r="O72" s="92">
        <v>1631</v>
      </c>
      <c r="P72" s="99"/>
      <c r="Q72" s="100"/>
      <c r="R72" s="99"/>
      <c r="S72" s="100"/>
      <c r="T72" s="100" t="s">
        <v>68</v>
      </c>
      <c r="U72" s="99"/>
      <c r="V72" s="99"/>
      <c r="W72" s="99" t="s">
        <v>135</v>
      </c>
      <c r="X72" s="93">
        <f>_xlfn.XLOOKUP(base_de_datos[[#This Row],[Materia]],Materias,Horas)/16</f>
        <v>3</v>
      </c>
      <c r="Y72" s="93">
        <f>ROUND(((base_de_datos[[#This Row],[Hora fin]]-base_de_datos[[#This Row],[Hora inicio]])*24)*(COUNTA(base_de_datos[[#This Row],[Lunes]:[Sábado]])),1)</f>
        <v>3</v>
      </c>
      <c r="Z72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72" s="93">
        <f ca="1">IF(base_de_datos[[#This Row],[No clase]]=OFFSET(base_de_datos[[#This Row],[No clase]],-1,0),0,1)</f>
        <v>1</v>
      </c>
      <c r="AB72" s="93">
        <f ca="1">IF(NOT(OR(base_de_datos[[#This Row],[Horas totales]]=base_de_datos[[#This Row],[HT Plan]],base_de_datos[[#This Row],[Horas totales]]="N/A")),1,0)</f>
        <v>0</v>
      </c>
      <c r="AC72" s="93" t="e">
        <f>_xlfn.XLOOKUP(base_de_datos[[#This Row],[Profesor]],Nombre,Grado)</f>
        <v>#REF!</v>
      </c>
      <c r="AD72" s="94" t="e">
        <f>_xlfn.XLOOKUP(base_de_datos[[#This Row],[Profesor]],Nombre,Tipo)</f>
        <v>#REF!</v>
      </c>
      <c r="AE72" s="93" t="str">
        <f>IF(IFERROR(VLOOKUP($C72,Planes_de_estudio[],MATCH($AE$2,Carreras,0)+2,0),"")&gt;0,IFERROR(VLOOKUP($C72,Planes_de_estudio[],MATCH($AE$2,Carreras,0)+2,0),""),"")</f>
        <v/>
      </c>
      <c r="AF72" s="93" t="str">
        <f>IF(IFERROR(VLOOKUP($C72,Planes_de_estudio[],MATCH($AF$2,Carreras,0)+2,0),"")&gt;0,IFERROR(VLOOKUP($C72,Planes_de_estudio[],MATCH($AF$2,Carreras,0)+2,0),""),"")</f>
        <v/>
      </c>
      <c r="AG72" s="93">
        <f>IF(IFERROR(VLOOKUP($C72,Planes_de_estudio[],MATCH($AG$2,Carreras,0)+2,0),"")&gt;0,IFERROR(VLOOKUP($C72,Planes_de_estudio[],MATCH($AG$2,Carreras,0)+2,0),""),"")</f>
        <v>1</v>
      </c>
      <c r="AH72" s="93" t="str">
        <f>IF(IFERROR(VLOOKUP($C72,Planes_de_estudio[],MATCH($AH$2,Carreras,0)+2,0),"")&gt;0,IFERROR(VLOOKUP($C72,Planes_de_estudio[],MATCH($AH$2,Carreras,0)+2,0),""),"")</f>
        <v/>
      </c>
      <c r="AI72" s="93" t="str">
        <f>IF(IFERROR(VLOOKUP($C72,Planes_de_estudio[],MATCH($AI$2,Carreras,0)+2,0),"")&gt;0,IFERROR(VLOOKUP($C72,Planes_de_estudio[],MATCH($AI$2,Carreras,0)+2,0),""),"")</f>
        <v/>
      </c>
      <c r="AJ72" s="93" t="str">
        <f>IF(IFERROR(VLOOKUP($C72,Planes_de_estudio[],MATCH($AJ$2,Carreras,0)+2,0),"")&gt;0,IFERROR(VLOOKUP($C72,Planes_de_estudio[],MATCH($AJ$2,Carreras,0)+2,0),""),"")</f>
        <v/>
      </c>
      <c r="AK72" s="93" t="str">
        <f>IF(IFERROR(VLOOKUP($C72,Planes_de_estudio[],MATCH($AK$2,Carreras,0)+2,0),"")&gt;0,IFERROR(VLOOKUP($C72,Planes_de_estudio[],MATCH($AK$2,Carreras,0)+2,0),""),"")</f>
        <v/>
      </c>
      <c r="AL7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7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23.000000000000004</v>
      </c>
      <c r="AN72" s="93">
        <f>base_de_datos[[#This Row],[Pronóstico]]/25</f>
        <v>0.92000000000000015</v>
      </c>
      <c r="AO72" s="93" t="str">
        <f>VLOOKUP($C72,Planes_de_estudio[],2)</f>
        <v>IID</v>
      </c>
      <c r="AP72" s="196"/>
      <c r="AQ72" s="196"/>
      <c r="AR72" s="195">
        <v>6</v>
      </c>
      <c r="AS72" s="196"/>
      <c r="AT72" s="196"/>
      <c r="AU72" s="196"/>
      <c r="AV72" s="196"/>
      <c r="AW72" s="91"/>
      <c r="AX72" s="73"/>
    </row>
    <row r="73" spans="1:50" s="5" customFormat="1" ht="15">
      <c r="B73" s="95" t="s">
        <v>214</v>
      </c>
      <c r="C73" s="96" t="s">
        <v>94</v>
      </c>
      <c r="D73" s="92">
        <v>2</v>
      </c>
      <c r="E73" s="97">
        <v>0.29166666666666669</v>
      </c>
      <c r="F73" s="97">
        <v>0.45833333333333098</v>
      </c>
      <c r="G73" s="92"/>
      <c r="H73" s="175" t="s">
        <v>119</v>
      </c>
      <c r="I73" s="92" t="e">
        <f>INDEX(Aulas_capacidad,MATCH(base_de_datos[[#This Row],[Aula]],Aulas,0),2)</f>
        <v>#REF!</v>
      </c>
      <c r="J73" s="90">
        <v>29</v>
      </c>
      <c r="K73" s="92" t="e">
        <f>INDEX(Aulas_capacidad,MATCH(base_de_datos[[#This Row],[Aula]],Aulas,0),4)</f>
        <v>#REF!</v>
      </c>
      <c r="L73" s="98" t="e">
        <f>base_de_datos[[#This Row],[Cap 1.5]]-base_de_datos[[#This Row],[Inscritos]]</f>
        <v>#REF!</v>
      </c>
      <c r="M73" s="98" t="e">
        <f>INDEX(Aulas_capacidad,MATCH(base_de_datos[[#This Row],[Aula]],Aulas,0),5)</f>
        <v>#REF!</v>
      </c>
      <c r="N73" s="98" t="e">
        <f>base_de_datos[[#This Row],[Cap .90]]-base_de_datos[[#This Row],[Inscritos]]</f>
        <v>#REF!</v>
      </c>
      <c r="O73" s="92" t="s">
        <v>215</v>
      </c>
      <c r="P73" s="99"/>
      <c r="Q73" s="100" t="s">
        <v>68</v>
      </c>
      <c r="R73" s="99"/>
      <c r="S73" s="100" t="s">
        <v>68</v>
      </c>
      <c r="T73" s="100"/>
      <c r="U73" s="99"/>
      <c r="V73" s="99"/>
      <c r="W73" s="99" t="s">
        <v>79</v>
      </c>
      <c r="X73" s="93">
        <f>_xlfn.XLOOKUP(base_de_datos[[#This Row],[Materia]],Materias,Horas)/16</f>
        <v>4</v>
      </c>
      <c r="Y73" s="93">
        <f>ROUND(((base_de_datos[[#This Row],[Hora fin]]-base_de_datos[[#This Row],[Hora inicio]])*24)*(COUNTA(base_de_datos[[#This Row],[Lunes]:[Sábado]])),1)</f>
        <v>8</v>
      </c>
      <c r="Z73" s="93">
        <f ca="1">IF(base_de_datos[[#This Row],[Misma o no]]=0,"N/A",IF((OFFSET(base_de_datos[[#This Row],[Misma o no]],1,0))=0,base_de_datos[[#This Row],[Horas]]+(OFFSET(base_de_datos[[#This Row],[Horas]],1,0)),base_de_datos[[#This Row],[Horas]]))</f>
        <v>8</v>
      </c>
      <c r="AA73" s="93">
        <f ca="1">IF(base_de_datos[[#This Row],[No clase]]=OFFSET(base_de_datos[[#This Row],[No clase]],-1,0),0,1)</f>
        <v>1</v>
      </c>
      <c r="AB73" s="93">
        <f ca="1">IF(NOT(OR(base_de_datos[[#This Row],[Horas totales]]=base_de_datos[[#This Row],[HT Plan]],base_de_datos[[#This Row],[Horas totales]]="N/A")),1,0)</f>
        <v>1</v>
      </c>
      <c r="AC73" s="93" t="e">
        <f>_xlfn.XLOOKUP(base_de_datos[[#This Row],[Profesor]],Nombre,Grado)</f>
        <v>#REF!</v>
      </c>
      <c r="AD73" s="94" t="e">
        <f>_xlfn.XLOOKUP(base_de_datos[[#This Row],[Profesor]],Nombre,Tipo)</f>
        <v>#REF!</v>
      </c>
      <c r="AE73" s="93">
        <f>IF(IFERROR(VLOOKUP($C73,Planes_de_estudio[],MATCH($AE$2,Carreras,0)+2,0),"")&gt;0,IFERROR(VLOOKUP($C73,Planes_de_estudio[],MATCH($AE$2,Carreras,0)+2,0),""),"")</f>
        <v>1</v>
      </c>
      <c r="AF73" s="93">
        <f>IF(IFERROR(VLOOKUP($C73,Planes_de_estudio[],MATCH($AF$2,Carreras,0)+2,0),"")&gt;0,IFERROR(VLOOKUP($C73,Planes_de_estudio[],MATCH($AF$2,Carreras,0)+2,0),""),"")</f>
        <v>1</v>
      </c>
      <c r="AG73" s="93">
        <f>IF(IFERROR(VLOOKUP($C73,Planes_de_estudio[],MATCH($AG$2,Carreras,0)+2,0),"")&gt;0,IFERROR(VLOOKUP($C73,Planes_de_estudio[],MATCH($AG$2,Carreras,0)+2,0),""),"")</f>
        <v>1</v>
      </c>
      <c r="AH73" s="93">
        <f>IF(IFERROR(VLOOKUP($C73,Planes_de_estudio[],MATCH($AH$2,Carreras,0)+2,0),"")&gt;0,IFERROR(VLOOKUP($C73,Planes_de_estudio[],MATCH($AH$2,Carreras,0)+2,0),""),"")</f>
        <v>1</v>
      </c>
      <c r="AI73" s="93">
        <f>IF(IFERROR(VLOOKUP($C73,Planes_de_estudio[],MATCH($AI$2,Carreras,0)+2,0),"")&gt;0,IFERROR(VLOOKUP($C73,Planes_de_estudio[],MATCH($AI$2,Carreras,0)+2,0),""),"")</f>
        <v>1</v>
      </c>
      <c r="AJ73" s="93">
        <f>IF(IFERROR(VLOOKUP($C73,Planes_de_estudio[],MATCH($AJ$2,Carreras,0)+2,0),"")&gt;0,IFERROR(VLOOKUP($C73,Planes_de_estudio[],MATCH($AJ$2,Carreras,0)+2,0),""),"")</f>
        <v>1</v>
      </c>
      <c r="AK73" s="93">
        <f>IF(IFERROR(VLOOKUP($C73,Planes_de_estudio[],MATCH($AK$2,Carreras,0)+2,0),"")&gt;0,IFERROR(VLOOKUP($C73,Planes_de_estudio[],MATCH($AK$2,Carreras,0)+2,0),""),"")</f>
        <v>1</v>
      </c>
      <c r="AL7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7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73" s="93">
        <f>base_de_datos[[#This Row],[Pronóstico]]/25</f>
        <v>5.2</v>
      </c>
      <c r="AO73" s="93" t="str">
        <f>VLOOKUP($C73,Planes_de_estudio[],2)</f>
        <v>MAT</v>
      </c>
      <c r="AP73" s="195">
        <v>6</v>
      </c>
      <c r="AQ73" s="195">
        <v>6</v>
      </c>
      <c r="AR73" s="195">
        <v>6</v>
      </c>
      <c r="AS73" s="195">
        <v>6</v>
      </c>
      <c r="AT73" s="195">
        <v>6</v>
      </c>
      <c r="AU73" s="195">
        <v>6</v>
      </c>
      <c r="AV73" s="195">
        <v>6</v>
      </c>
      <c r="AW73" s="91"/>
      <c r="AX73" s="73"/>
    </row>
    <row r="74" spans="1:50" s="5" customFormat="1" ht="16">
      <c r="B74" s="95" t="s">
        <v>216</v>
      </c>
      <c r="C74" s="96" t="s">
        <v>83</v>
      </c>
      <c r="D74" s="92">
        <v>2</v>
      </c>
      <c r="E74" s="97">
        <v>0.375</v>
      </c>
      <c r="F74" s="97">
        <v>0.45833333333333098</v>
      </c>
      <c r="G74" s="92" t="s">
        <v>72</v>
      </c>
      <c r="H74" s="92" t="s">
        <v>80</v>
      </c>
      <c r="I74" s="92" t="e">
        <f>INDEX(Aulas_capacidad,MATCH(base_de_datos[[#This Row],[Aula]],Aulas,0),2)</f>
        <v>#REF!</v>
      </c>
      <c r="J74" s="90">
        <v>15</v>
      </c>
      <c r="K74" s="92" t="e">
        <f>INDEX(Aulas_capacidad,MATCH(base_de_datos[[#This Row],[Aula]],Aulas,0),4)</f>
        <v>#REF!</v>
      </c>
      <c r="L74" s="98" t="e">
        <f>base_de_datos[[#This Row],[Cap 1.5]]-base_de_datos[[#This Row],[Inscritos]]</f>
        <v>#REF!</v>
      </c>
      <c r="M74" s="98" t="e">
        <f>INDEX(Aulas_capacidad,MATCH(base_de_datos[[#This Row],[Aula]],Aulas,0),5)</f>
        <v>#REF!</v>
      </c>
      <c r="N74" s="98" t="e">
        <f>base_de_datos[[#This Row],[Cap .90]]-base_de_datos[[#This Row],[Inscritos]]</f>
        <v>#REF!</v>
      </c>
      <c r="O74" s="92" t="s">
        <v>217</v>
      </c>
      <c r="P74" s="99"/>
      <c r="Q74" s="100" t="s">
        <v>68</v>
      </c>
      <c r="R74" s="99"/>
      <c r="S74" s="100" t="s">
        <v>68</v>
      </c>
      <c r="T74" s="100"/>
      <c r="U74" s="99"/>
      <c r="V74" s="99"/>
      <c r="W74" s="99" t="s">
        <v>79</v>
      </c>
      <c r="X74" s="93">
        <f>_xlfn.XLOOKUP(base_de_datos[[#This Row],[Materia]],Materias,Horas)/16</f>
        <v>4</v>
      </c>
      <c r="Y74" s="93">
        <f>ROUND(((base_de_datos[[#This Row],[Hora fin]]-base_de_datos[[#This Row],[Hora inicio]])*24)*(COUNTA(base_de_datos[[#This Row],[Lunes]:[Sábado]])),1)</f>
        <v>4</v>
      </c>
      <c r="Z74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4" s="93">
        <f ca="1">IF(base_de_datos[[#This Row],[No clase]]=OFFSET(base_de_datos[[#This Row],[No clase]],-1,0),0,1)</f>
        <v>1</v>
      </c>
      <c r="AB74" s="93">
        <f ca="1">IF(NOT(OR(base_de_datos[[#This Row],[Horas totales]]=base_de_datos[[#This Row],[HT Plan]],base_de_datos[[#This Row],[Horas totales]]="N/A")),1,0)</f>
        <v>0</v>
      </c>
      <c r="AC74" s="93" t="e">
        <f>_xlfn.XLOOKUP(base_de_datos[[#This Row],[Profesor]],Nombre,Grado)</f>
        <v>#REF!</v>
      </c>
      <c r="AD74" s="94" t="e">
        <f>_xlfn.XLOOKUP(base_de_datos[[#This Row],[Profesor]],Nombre,Tipo)</f>
        <v>#REF!</v>
      </c>
      <c r="AE74" s="93">
        <f>IF(IFERROR(VLOOKUP($C74,Planes_de_estudio[],MATCH($AE$2,Carreras,0)+2,0),"")&gt;0,IFERROR(VLOOKUP($C74,Planes_de_estudio[],MATCH($AE$2,Carreras,0)+2,0),""),"")</f>
        <v>5</v>
      </c>
      <c r="AF74" s="93">
        <f>IF(IFERROR(VLOOKUP($C74,Planes_de_estudio[],MATCH($AF$2,Carreras,0)+2,0),"")&gt;0,IFERROR(VLOOKUP($C74,Planes_de_estudio[],MATCH($AF$2,Carreras,0)+2,0),""),"")</f>
        <v>3</v>
      </c>
      <c r="AG74" s="93" t="str">
        <f>IF(IFERROR(VLOOKUP($C74,Planes_de_estudio[],MATCH($AG$2,Carreras,0)+2,0),"")&gt;0,IFERROR(VLOOKUP($C74,Planes_de_estudio[],MATCH($AG$2,Carreras,0)+2,0),""),"")</f>
        <v/>
      </c>
      <c r="AH74" s="93" t="str">
        <f>IF(IFERROR(VLOOKUP($C74,Planes_de_estudio[],MATCH($AH$2,Carreras,0)+2,0),"")&gt;0,IFERROR(VLOOKUP($C74,Planes_de_estudio[],MATCH($AH$2,Carreras,0)+2,0),""),"")</f>
        <v/>
      </c>
      <c r="AI74" s="93">
        <f>IF(IFERROR(VLOOKUP($C74,Planes_de_estudio[],MATCH($AI$2,Carreras,0)+2,0),"")&gt;0,IFERROR(VLOOKUP($C74,Planes_de_estudio[],MATCH($AI$2,Carreras,0)+2,0),""),"")</f>
        <v>3</v>
      </c>
      <c r="AJ74" s="93" t="str">
        <f>IF(IFERROR(VLOOKUP($C74,Planes_de_estudio[],MATCH($AJ$2,Carreras,0)+2,0),"")&gt;0,IFERROR(VLOOKUP($C74,Planes_de_estudio[],MATCH($AJ$2,Carreras,0)+2,0),""),"")</f>
        <v/>
      </c>
      <c r="AK74" s="93">
        <f>IF(IFERROR(VLOOKUP($C74,Planes_de_estudio[],MATCH($AK$2,Carreras,0)+2,0),"")&gt;0,IFERROR(VLOOKUP($C74,Planes_de_estudio[],MATCH($AK$2,Carreras,0)+2,0),""),"")</f>
        <v>3</v>
      </c>
      <c r="AL7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7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54</v>
      </c>
      <c r="AN74" s="93">
        <f>base_de_datos[[#This Row],[Pronóstico]]/25</f>
        <v>2.16</v>
      </c>
      <c r="AO74" s="93" t="str">
        <f>VLOOKUP($C74,Planes_de_estudio[],2)</f>
        <v>EEC</v>
      </c>
      <c r="AP74" s="195">
        <v>6</v>
      </c>
      <c r="AQ74" s="195">
        <v>6</v>
      </c>
      <c r="AR74" s="196"/>
      <c r="AS74" s="196"/>
      <c r="AT74" s="195">
        <v>6</v>
      </c>
      <c r="AU74" s="196"/>
      <c r="AV74" s="195">
        <v>6</v>
      </c>
      <c r="AW74" s="91"/>
      <c r="AX74" s="73"/>
    </row>
    <row r="75" spans="1:50" s="5" customFormat="1" ht="16">
      <c r="B75" s="95" t="s">
        <v>216</v>
      </c>
      <c r="C75" s="96" t="s">
        <v>83</v>
      </c>
      <c r="D75" s="92">
        <v>3</v>
      </c>
      <c r="E75" s="97">
        <v>0.79166666666666696</v>
      </c>
      <c r="F75" s="97">
        <v>0.87499999999999001</v>
      </c>
      <c r="G75" s="177"/>
      <c r="H75" s="92" t="s">
        <v>218</v>
      </c>
      <c r="I75" s="92" t="e">
        <f>INDEX(Aulas_capacidad,MATCH(base_de_datos[[#This Row],[Aula]],Aulas,0),2)</f>
        <v>#REF!</v>
      </c>
      <c r="J75" s="90">
        <v>9</v>
      </c>
      <c r="K75" s="92" t="e">
        <f>INDEX(Aulas_capacidad,MATCH(base_de_datos[[#This Row],[Aula]],Aulas,0),4)</f>
        <v>#REF!</v>
      </c>
      <c r="L75" s="98" t="e">
        <f>base_de_datos[[#This Row],[Cap 1.5]]-base_de_datos[[#This Row],[Inscritos]]</f>
        <v>#REF!</v>
      </c>
      <c r="M75" s="98" t="e">
        <f>INDEX(Aulas_capacidad,MATCH(base_de_datos[[#This Row],[Aula]],Aulas,0),5)</f>
        <v>#REF!</v>
      </c>
      <c r="N75" s="98" t="e">
        <f>base_de_datos[[#This Row],[Cap .90]]-base_de_datos[[#This Row],[Inscritos]]</f>
        <v>#REF!</v>
      </c>
      <c r="O75" s="92" t="s">
        <v>219</v>
      </c>
      <c r="P75" s="99" t="s">
        <v>68</v>
      </c>
      <c r="Q75" s="100"/>
      <c r="R75" s="99"/>
      <c r="S75" s="100"/>
      <c r="T75" s="100"/>
      <c r="U75" s="99"/>
      <c r="V75" s="99"/>
      <c r="W75" s="99" t="s">
        <v>101</v>
      </c>
      <c r="X75" s="93">
        <f>_xlfn.XLOOKUP(base_de_datos[[#This Row],[Materia]],Materias,Horas)/16</f>
        <v>4</v>
      </c>
      <c r="Y75" s="93">
        <f>ROUND(((base_de_datos[[#This Row],[Hora fin]]-base_de_datos[[#This Row],[Hora inicio]])*24)*(COUNTA(base_de_datos[[#This Row],[Lunes]:[Sábado]])),1)</f>
        <v>2</v>
      </c>
      <c r="Z75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5" s="93">
        <f ca="1">IF(base_de_datos[[#This Row],[No clase]]=OFFSET(base_de_datos[[#This Row],[No clase]],-1,0),0,1)</f>
        <v>1</v>
      </c>
      <c r="AB75" s="93">
        <f ca="1">IF(NOT(OR(base_de_datos[[#This Row],[Horas totales]]=base_de_datos[[#This Row],[HT Plan]],base_de_datos[[#This Row],[Horas totales]]="N/A")),1,0)</f>
        <v>0</v>
      </c>
      <c r="AC75" s="93" t="e">
        <f>_xlfn.XLOOKUP(base_de_datos[[#This Row],[Profesor]],Nombre,Grado)</f>
        <v>#REF!</v>
      </c>
      <c r="AD75" s="94" t="e">
        <f>_xlfn.XLOOKUP(base_de_datos[[#This Row],[Profesor]],Nombre,Tipo)</f>
        <v>#REF!</v>
      </c>
      <c r="AE75" s="93">
        <f>IF(IFERROR(VLOOKUP($C75,Planes_de_estudio[],MATCH($AE$2,Carreras,0)+2,0),"")&gt;0,IFERROR(VLOOKUP($C75,Planes_de_estudio[],MATCH($AE$2,Carreras,0)+2,0),""),"")</f>
        <v>5</v>
      </c>
      <c r="AF75" s="93">
        <f>IF(IFERROR(VLOOKUP($C75,Planes_de_estudio[],MATCH($AF$2,Carreras,0)+2,0),"")&gt;0,IFERROR(VLOOKUP($C75,Planes_de_estudio[],MATCH($AF$2,Carreras,0)+2,0),""),"")</f>
        <v>3</v>
      </c>
      <c r="AG75" s="93" t="str">
        <f>IF(IFERROR(VLOOKUP($C75,Planes_de_estudio[],MATCH($AG$2,Carreras,0)+2,0),"")&gt;0,IFERROR(VLOOKUP($C75,Planes_de_estudio[],MATCH($AG$2,Carreras,0)+2,0),""),"")</f>
        <v/>
      </c>
      <c r="AH75" s="93" t="str">
        <f>IF(IFERROR(VLOOKUP($C75,Planes_de_estudio[],MATCH($AH$2,Carreras,0)+2,0),"")&gt;0,IFERROR(VLOOKUP($C75,Planes_de_estudio[],MATCH($AH$2,Carreras,0)+2,0),""),"")</f>
        <v/>
      </c>
      <c r="AI75" s="93">
        <f>IF(IFERROR(VLOOKUP($C75,Planes_de_estudio[],MATCH($AI$2,Carreras,0)+2,0),"")&gt;0,IFERROR(VLOOKUP($C75,Planes_de_estudio[],MATCH($AI$2,Carreras,0)+2,0),""),"")</f>
        <v>3</v>
      </c>
      <c r="AJ75" s="93" t="str">
        <f>IF(IFERROR(VLOOKUP($C75,Planes_de_estudio[],MATCH($AJ$2,Carreras,0)+2,0),"")&gt;0,IFERROR(VLOOKUP($C75,Planes_de_estudio[],MATCH($AJ$2,Carreras,0)+2,0),""),"")</f>
        <v/>
      </c>
      <c r="AK75" s="93">
        <f>IF(IFERROR(VLOOKUP($C75,Planes_de_estudio[],MATCH($AK$2,Carreras,0)+2,0),"")&gt;0,IFERROR(VLOOKUP($C75,Planes_de_estudio[],MATCH($AK$2,Carreras,0)+2,0),""),"")</f>
        <v>3</v>
      </c>
      <c r="AL7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7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54</v>
      </c>
      <c r="AN75" s="93">
        <f>base_de_datos[[#This Row],[Pronóstico]]/25</f>
        <v>2.16</v>
      </c>
      <c r="AO75" s="93" t="str">
        <f>VLOOKUP($C75,Planes_de_estudio[],2)</f>
        <v>EEC</v>
      </c>
      <c r="AP75" s="195">
        <v>6</v>
      </c>
      <c r="AQ75" s="195">
        <v>6</v>
      </c>
      <c r="AR75" s="196"/>
      <c r="AS75" s="196"/>
      <c r="AT75" s="195">
        <v>6</v>
      </c>
      <c r="AU75" s="196"/>
      <c r="AV75" s="195">
        <v>6</v>
      </c>
      <c r="AW75" s="91"/>
      <c r="AX75" s="73"/>
    </row>
    <row r="76" spans="1:50" s="5" customFormat="1" ht="16">
      <c r="B76" s="95" t="s">
        <v>216</v>
      </c>
      <c r="C76" s="96" t="s">
        <v>83</v>
      </c>
      <c r="D76" s="92">
        <v>3</v>
      </c>
      <c r="E76" s="97">
        <v>0.79166666666666696</v>
      </c>
      <c r="F76" s="97">
        <v>0.87499999999999001</v>
      </c>
      <c r="G76" s="92"/>
      <c r="H76" s="92" t="s">
        <v>128</v>
      </c>
      <c r="I76" s="92" t="e">
        <f>INDEX(Aulas_capacidad,MATCH(base_de_datos[[#This Row],[Aula]],Aulas,0),2)</f>
        <v>#REF!</v>
      </c>
      <c r="J76" s="90">
        <v>9</v>
      </c>
      <c r="K76" s="92" t="e">
        <f>INDEX(Aulas_capacidad,MATCH(base_de_datos[[#This Row],[Aula]],Aulas,0),4)</f>
        <v>#REF!</v>
      </c>
      <c r="L76" s="98" t="e">
        <f>base_de_datos[[#This Row],[Cap 1.5]]-base_de_datos[[#This Row],[Inscritos]]</f>
        <v>#REF!</v>
      </c>
      <c r="M76" s="98" t="e">
        <f>INDEX(Aulas_capacidad,MATCH(base_de_datos[[#This Row],[Aula]],Aulas,0),5)</f>
        <v>#REF!</v>
      </c>
      <c r="N76" s="98" t="e">
        <f>base_de_datos[[#This Row],[Cap .90]]-base_de_datos[[#This Row],[Inscritos]]</f>
        <v>#REF!</v>
      </c>
      <c r="O76" s="92" t="s">
        <v>219</v>
      </c>
      <c r="P76" s="99"/>
      <c r="Q76" s="100"/>
      <c r="R76" s="99" t="s">
        <v>68</v>
      </c>
      <c r="S76" s="100"/>
      <c r="T76" s="100"/>
      <c r="U76" s="99"/>
      <c r="V76" s="99"/>
      <c r="W76" s="99" t="s">
        <v>101</v>
      </c>
      <c r="X76" s="93">
        <f>_xlfn.XLOOKUP(base_de_datos[[#This Row],[Materia]],Materias,Horas)/16</f>
        <v>4</v>
      </c>
      <c r="Y76" s="93">
        <f>ROUND(((base_de_datos[[#This Row],[Hora fin]]-base_de_datos[[#This Row],[Hora inicio]])*24)*(COUNTA(base_de_datos[[#This Row],[Lunes]:[Sábado]])),1)</f>
        <v>2</v>
      </c>
      <c r="Z76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6" s="93">
        <f ca="1">IF(base_de_datos[[#This Row],[No clase]]=OFFSET(base_de_datos[[#This Row],[No clase]],-1,0),0,1)</f>
        <v>0</v>
      </c>
      <c r="AB76" s="93">
        <f ca="1">IF(NOT(OR(base_de_datos[[#This Row],[Horas totales]]=base_de_datos[[#This Row],[HT Plan]],base_de_datos[[#This Row],[Horas totales]]="N/A")),1,0)</f>
        <v>0</v>
      </c>
      <c r="AC76" s="93" t="e">
        <f>_xlfn.XLOOKUP(base_de_datos[[#This Row],[Profesor]],Nombre,Grado)</f>
        <v>#REF!</v>
      </c>
      <c r="AD76" s="94" t="e">
        <f>_xlfn.XLOOKUP(base_de_datos[[#This Row],[Profesor]],Nombre,Tipo)</f>
        <v>#REF!</v>
      </c>
      <c r="AE76" s="93">
        <f>IF(IFERROR(VLOOKUP($C76,Planes_de_estudio[],MATCH($AE$2,Carreras,0)+2,0),"")&gt;0,IFERROR(VLOOKUP($C76,Planes_de_estudio[],MATCH($AE$2,Carreras,0)+2,0),""),"")</f>
        <v>5</v>
      </c>
      <c r="AF76" s="93">
        <f>IF(IFERROR(VLOOKUP($C76,Planes_de_estudio[],MATCH($AF$2,Carreras,0)+2,0),"")&gt;0,IFERROR(VLOOKUP($C76,Planes_de_estudio[],MATCH($AF$2,Carreras,0)+2,0),""),"")</f>
        <v>3</v>
      </c>
      <c r="AG76" s="93" t="str">
        <f>IF(IFERROR(VLOOKUP($C76,Planes_de_estudio[],MATCH($AG$2,Carreras,0)+2,0),"")&gt;0,IFERROR(VLOOKUP($C76,Planes_de_estudio[],MATCH($AG$2,Carreras,0)+2,0),""),"")</f>
        <v/>
      </c>
      <c r="AH76" s="93" t="str">
        <f>IF(IFERROR(VLOOKUP($C76,Planes_de_estudio[],MATCH($AH$2,Carreras,0)+2,0),"")&gt;0,IFERROR(VLOOKUP($C76,Planes_de_estudio[],MATCH($AH$2,Carreras,0)+2,0),""),"")</f>
        <v/>
      </c>
      <c r="AI76" s="93">
        <f>IF(IFERROR(VLOOKUP($C76,Planes_de_estudio[],MATCH($AI$2,Carreras,0)+2,0),"")&gt;0,IFERROR(VLOOKUP($C76,Planes_de_estudio[],MATCH($AI$2,Carreras,0)+2,0),""),"")</f>
        <v>3</v>
      </c>
      <c r="AJ76" s="93" t="str">
        <f>IF(IFERROR(VLOOKUP($C76,Planes_de_estudio[],MATCH($AJ$2,Carreras,0)+2,0),"")&gt;0,IFERROR(VLOOKUP($C76,Planes_de_estudio[],MATCH($AJ$2,Carreras,0)+2,0),""),"")</f>
        <v/>
      </c>
      <c r="AK76" s="93">
        <f>IF(IFERROR(VLOOKUP($C76,Planes_de_estudio[],MATCH($AK$2,Carreras,0)+2,0),"")&gt;0,IFERROR(VLOOKUP($C76,Planes_de_estudio[],MATCH($AK$2,Carreras,0)+2,0),""),"")</f>
        <v>3</v>
      </c>
      <c r="AL7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7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54</v>
      </c>
      <c r="AN76" s="93">
        <f>base_de_datos[[#This Row],[Pronóstico]]/25</f>
        <v>2.16</v>
      </c>
      <c r="AO76" s="93" t="str">
        <f>VLOOKUP($C76,Planes_de_estudio[],2)</f>
        <v>EEC</v>
      </c>
      <c r="AP76" s="196"/>
      <c r="AQ76" s="196"/>
      <c r="AR76" s="196"/>
      <c r="AS76" s="196"/>
      <c r="AT76" s="196"/>
      <c r="AU76" s="196"/>
      <c r="AV76" s="196"/>
      <c r="AW76" s="91"/>
      <c r="AX76" s="73"/>
    </row>
    <row r="77" spans="1:50" s="5" customFormat="1" ht="15">
      <c r="B77" s="95" t="s">
        <v>220</v>
      </c>
      <c r="C77" s="96" t="s">
        <v>221</v>
      </c>
      <c r="D77" s="92">
        <v>2</v>
      </c>
      <c r="E77" s="97">
        <v>0.375</v>
      </c>
      <c r="F77" s="97">
        <v>0.45833333333333098</v>
      </c>
      <c r="G77" s="92" t="s">
        <v>72</v>
      </c>
      <c r="H77" s="92" t="s">
        <v>162</v>
      </c>
      <c r="I77" s="92" t="e">
        <f>INDEX(Aulas_capacidad,MATCH(base_de_datos[[#This Row],[Aula]],Aulas,0),2)</f>
        <v>#REF!</v>
      </c>
      <c r="J77" s="90">
        <v>25</v>
      </c>
      <c r="K77" s="92" t="e">
        <f>INDEX(Aulas_capacidad,MATCH(base_de_datos[[#This Row],[Aula]],Aulas,0),4)</f>
        <v>#REF!</v>
      </c>
      <c r="L77" s="98" t="e">
        <f>base_de_datos[[#This Row],[Cap 1.5]]-base_de_datos[[#This Row],[Inscritos]]</f>
        <v>#REF!</v>
      </c>
      <c r="M77" s="98" t="e">
        <f>INDEX(Aulas_capacidad,MATCH(base_de_datos[[#This Row],[Aula]],Aulas,0),5)</f>
        <v>#REF!</v>
      </c>
      <c r="N77" s="98" t="e">
        <f>base_de_datos[[#This Row],[Cap .90]]-base_de_datos[[#This Row],[Inscritos]]</f>
        <v>#REF!</v>
      </c>
      <c r="O77" s="92" t="s">
        <v>222</v>
      </c>
      <c r="P77" s="99"/>
      <c r="Q77" s="100" t="s">
        <v>68</v>
      </c>
      <c r="R77" s="99"/>
      <c r="S77" s="100" t="s">
        <v>68</v>
      </c>
      <c r="T77" s="100"/>
      <c r="U77" s="99"/>
      <c r="V77" s="99"/>
      <c r="W77" s="99" t="s">
        <v>92</v>
      </c>
      <c r="X77" s="93">
        <f>_xlfn.XLOOKUP(base_de_datos[[#This Row],[Materia]],Materias,Horas)/16</f>
        <v>4</v>
      </c>
      <c r="Y77" s="93">
        <f>ROUND(((base_de_datos[[#This Row],[Hora fin]]-base_de_datos[[#This Row],[Hora inicio]])*24)*(COUNTA(base_de_datos[[#This Row],[Lunes]:[Sábado]])),1)</f>
        <v>4</v>
      </c>
      <c r="Z77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7" s="93">
        <f ca="1">IF(base_de_datos[[#This Row],[No clase]]=OFFSET(base_de_datos[[#This Row],[No clase]],-1,0),0,1)</f>
        <v>1</v>
      </c>
      <c r="AB77" s="93">
        <f ca="1">IF(NOT(OR(base_de_datos[[#This Row],[Horas totales]]=base_de_datos[[#This Row],[HT Plan]],base_de_datos[[#This Row],[Horas totales]]="N/A")),1,0)</f>
        <v>0</v>
      </c>
      <c r="AC77" s="93" t="e">
        <f>_xlfn.XLOOKUP(base_de_datos[[#This Row],[Profesor]],Nombre,Grado)</f>
        <v>#REF!</v>
      </c>
      <c r="AD77" s="94" t="e">
        <f>_xlfn.XLOOKUP(base_de_datos[[#This Row],[Profesor]],Nombre,Tipo)</f>
        <v>#REF!</v>
      </c>
      <c r="AE77" s="93">
        <f>IF(IFERROR(VLOOKUP($C77,Planes_de_estudio[],MATCH($AE$2,Carreras,0)+2,0),"")&gt;0,IFERROR(VLOOKUP($C77,Planes_de_estudio[],MATCH($AE$2,Carreras,0)+2,0),""),"")</f>
        <v>1</v>
      </c>
      <c r="AF77" s="93">
        <f>IF(IFERROR(VLOOKUP($C77,Planes_de_estudio[],MATCH($AF$2,Carreras,0)+2,0),"")&gt;0,IFERROR(VLOOKUP($C77,Planes_de_estudio[],MATCH($AF$2,Carreras,0)+2,0),""),"")</f>
        <v>1</v>
      </c>
      <c r="AG77" s="93">
        <f>IF(IFERROR(VLOOKUP($C77,Planes_de_estudio[],MATCH($AG$2,Carreras,0)+2,0),"")&gt;0,IFERROR(VLOOKUP($C77,Planes_de_estudio[],MATCH($AG$2,Carreras,0)+2,0),""),"")</f>
        <v>3</v>
      </c>
      <c r="AH77" s="93">
        <f>IF(IFERROR(VLOOKUP($C77,Planes_de_estudio[],MATCH($AH$2,Carreras,0)+2,0),"")&gt;0,IFERROR(VLOOKUP($C77,Planes_de_estudio[],MATCH($AH$2,Carreras,0)+2,0),""),"")</f>
        <v>1</v>
      </c>
      <c r="AI77" s="93">
        <f>IF(IFERROR(VLOOKUP($C77,Planes_de_estudio[],MATCH($AI$2,Carreras,0)+2,0),"")&gt;0,IFERROR(VLOOKUP($C77,Planes_de_estudio[],MATCH($AI$2,Carreras,0)+2,0),""),"")</f>
        <v>1</v>
      </c>
      <c r="AJ77" s="93">
        <f>IF(IFERROR(VLOOKUP($C77,Planes_de_estudio[],MATCH($AJ$2,Carreras,0)+2,0),"")&gt;0,IFERROR(VLOOKUP($C77,Planes_de_estudio[],MATCH($AJ$2,Carreras,0)+2,0),""),"")</f>
        <v>1</v>
      </c>
      <c r="AK77" s="93">
        <f>IF(IFERROR(VLOOKUP($C77,Planes_de_estudio[],MATCH($AK$2,Carreras,0)+2,0),"")&gt;0,IFERROR(VLOOKUP($C77,Planes_de_estudio[],MATCH($AK$2,Carreras,0)+2,0),""),"")</f>
        <v>1</v>
      </c>
      <c r="AL7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7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121</v>
      </c>
      <c r="AN77" s="93">
        <f>base_de_datos[[#This Row],[Pronóstico]]/25</f>
        <v>4.84</v>
      </c>
      <c r="AO77" s="93" t="str">
        <f>VLOOKUP($C77,Planes_de_estudio[],2)</f>
        <v>MAT</v>
      </c>
      <c r="AP77" s="195">
        <v>6</v>
      </c>
      <c r="AQ77" s="195">
        <v>6</v>
      </c>
      <c r="AR77" s="195">
        <v>6</v>
      </c>
      <c r="AS77" s="195">
        <v>6</v>
      </c>
      <c r="AT77" s="195">
        <v>6</v>
      </c>
      <c r="AU77" s="195">
        <v>6</v>
      </c>
      <c r="AV77" s="195">
        <v>6</v>
      </c>
      <c r="AW77" s="91"/>
      <c r="AX77" s="73"/>
    </row>
    <row r="78" spans="1:50" s="5" customFormat="1" ht="15">
      <c r="B78" s="95" t="s">
        <v>220</v>
      </c>
      <c r="C78" s="96" t="s">
        <v>223</v>
      </c>
      <c r="D78" s="92">
        <v>1</v>
      </c>
      <c r="E78" s="97">
        <v>0.29166666666666669</v>
      </c>
      <c r="F78" s="97">
        <v>0.374999999999999</v>
      </c>
      <c r="G78" s="92" t="s">
        <v>72</v>
      </c>
      <c r="H78" s="92" t="s">
        <v>162</v>
      </c>
      <c r="I78" s="92" t="e">
        <f>INDEX(Aulas_capacidad,MATCH(base_de_datos[[#This Row],[Aula]],Aulas,0),2)</f>
        <v>#REF!</v>
      </c>
      <c r="J78" s="90">
        <v>11</v>
      </c>
      <c r="K78" s="92" t="e">
        <f>INDEX(Aulas_capacidad,MATCH(base_de_datos[[#This Row],[Aula]],Aulas,0),4)</f>
        <v>#REF!</v>
      </c>
      <c r="L78" s="98" t="e">
        <f>base_de_datos[[#This Row],[Cap 1.5]]-base_de_datos[[#This Row],[Inscritos]]</f>
        <v>#REF!</v>
      </c>
      <c r="M78" s="98" t="e">
        <f>INDEX(Aulas_capacidad,MATCH(base_de_datos[[#This Row],[Aula]],Aulas,0),5)</f>
        <v>#REF!</v>
      </c>
      <c r="N78" s="98" t="e">
        <f>base_de_datos[[#This Row],[Cap .90]]-base_de_datos[[#This Row],[Inscritos]]</f>
        <v>#REF!</v>
      </c>
      <c r="O78" s="92" t="s">
        <v>224</v>
      </c>
      <c r="P78" s="99"/>
      <c r="Q78" s="100"/>
      <c r="R78" s="99" t="s">
        <v>68</v>
      </c>
      <c r="S78" s="100"/>
      <c r="T78" s="100" t="s">
        <v>68</v>
      </c>
      <c r="U78" s="99"/>
      <c r="V78" s="99"/>
      <c r="W78" s="99" t="s">
        <v>148</v>
      </c>
      <c r="X78" s="93">
        <f>_xlfn.XLOOKUP(base_de_datos[[#This Row],[Materia]],Materias,Horas)/16</f>
        <v>4</v>
      </c>
      <c r="Y78" s="93">
        <f>ROUND(((base_de_datos[[#This Row],[Hora fin]]-base_de_datos[[#This Row],[Hora inicio]])*24)*(COUNTA(base_de_datos[[#This Row],[Lunes]:[Sábado]])),1)</f>
        <v>4</v>
      </c>
      <c r="Z78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8" s="93">
        <f ca="1">IF(base_de_datos[[#This Row],[No clase]]=OFFSET(base_de_datos[[#This Row],[No clase]],-1,0),0,1)</f>
        <v>1</v>
      </c>
      <c r="AB78" s="93">
        <f ca="1">IF(NOT(OR(base_de_datos[[#This Row],[Horas totales]]=base_de_datos[[#This Row],[HT Plan]],base_de_datos[[#This Row],[Horas totales]]="N/A")),1,0)</f>
        <v>0</v>
      </c>
      <c r="AC78" s="93" t="e">
        <f>_xlfn.XLOOKUP(base_de_datos[[#This Row],[Profesor]],Nombre,Grado)</f>
        <v>#REF!</v>
      </c>
      <c r="AD78" s="94" t="e">
        <f>_xlfn.XLOOKUP(base_de_datos[[#This Row],[Profesor]],Nombre,Tipo)</f>
        <v>#REF!</v>
      </c>
      <c r="AE78" s="93">
        <f>IF(IFERROR(VLOOKUP($C78,Planes_de_estudio[],MATCH($AE$2,Carreras,0)+2,0),"")&gt;0,IFERROR(VLOOKUP($C78,Planes_de_estudio[],MATCH($AE$2,Carreras,0)+2,0),""),"")</f>
        <v>3</v>
      </c>
      <c r="AF78" s="93">
        <f>IF(IFERROR(VLOOKUP($C78,Planes_de_estudio[],MATCH($AF$2,Carreras,0)+2,0),"")&gt;0,IFERROR(VLOOKUP($C78,Planes_de_estudio[],MATCH($AF$2,Carreras,0)+2,0),""),"")</f>
        <v>3</v>
      </c>
      <c r="AG78" s="93">
        <f>IF(IFERROR(VLOOKUP($C78,Planes_de_estudio[],MATCH($AG$2,Carreras,0)+2,0),"")&gt;0,IFERROR(VLOOKUP($C78,Planes_de_estudio[],MATCH($AG$2,Carreras,0)+2,0),""),"")</f>
        <v>5</v>
      </c>
      <c r="AH78" s="93">
        <f>IF(IFERROR(VLOOKUP($C78,Planes_de_estudio[],MATCH($AH$2,Carreras,0)+2,0),"")&gt;0,IFERROR(VLOOKUP($C78,Planes_de_estudio[],MATCH($AH$2,Carreras,0)+2,0),""),"")</f>
        <v>3</v>
      </c>
      <c r="AI78" s="93">
        <f>IF(IFERROR(VLOOKUP($C78,Planes_de_estudio[],MATCH($AI$2,Carreras,0)+2,0),"")&gt;0,IFERROR(VLOOKUP($C78,Planes_de_estudio[],MATCH($AI$2,Carreras,0)+2,0),""),"")</f>
        <v>3</v>
      </c>
      <c r="AJ78" s="93">
        <f>IF(IFERROR(VLOOKUP($C78,Planes_de_estudio[],MATCH($AJ$2,Carreras,0)+2,0),"")&gt;0,IFERROR(VLOOKUP($C78,Planes_de_estudio[],MATCH($AJ$2,Carreras,0)+2,0),""),"")</f>
        <v>3</v>
      </c>
      <c r="AK78" s="93">
        <f>IF(IFERROR(VLOOKUP($C78,Planes_de_estudio[],MATCH($AK$2,Carreras,0)+2,0),"")&gt;0,IFERROR(VLOOKUP($C78,Planes_de_estudio[],MATCH($AK$2,Carreras,0)+2,0),""),"")</f>
        <v>3</v>
      </c>
      <c r="AL7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7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121</v>
      </c>
      <c r="AN78" s="93">
        <f>base_de_datos[[#This Row],[Pronóstico]]/25</f>
        <v>4.84</v>
      </c>
      <c r="AO78" s="93" t="str">
        <f>VLOOKUP($C78,Planes_de_estudio[],2)</f>
        <v>MAT</v>
      </c>
      <c r="AP78" s="195">
        <v>6</v>
      </c>
      <c r="AQ78" s="195">
        <v>6</v>
      </c>
      <c r="AR78" s="195">
        <v>6</v>
      </c>
      <c r="AS78" s="195">
        <v>6</v>
      </c>
      <c r="AT78" s="195">
        <v>6</v>
      </c>
      <c r="AU78" s="195">
        <v>6</v>
      </c>
      <c r="AV78" s="195">
        <v>6</v>
      </c>
      <c r="AW78" s="91"/>
      <c r="AX78" s="73"/>
    </row>
    <row r="79" spans="1:50" s="5" customFormat="1" ht="15">
      <c r="B79" s="95" t="s">
        <v>225</v>
      </c>
      <c r="C79" s="96" t="s">
        <v>201</v>
      </c>
      <c r="D79" s="92">
        <v>3</v>
      </c>
      <c r="E79" s="97">
        <v>0.5</v>
      </c>
      <c r="F79" s="97">
        <v>0.58333333333332904</v>
      </c>
      <c r="G79" s="92"/>
      <c r="H79" s="175" t="s">
        <v>84</v>
      </c>
      <c r="I79" s="92" t="e">
        <f>INDEX(Aulas_capacidad,MATCH(base_de_datos[[#This Row],[Aula]],Aulas,0),2)</f>
        <v>#REF!</v>
      </c>
      <c r="J79" s="90">
        <v>27</v>
      </c>
      <c r="K79" s="92" t="e">
        <f>INDEX(Aulas_capacidad,MATCH(base_de_datos[[#This Row],[Aula]],Aulas,0),4)</f>
        <v>#REF!</v>
      </c>
      <c r="L79" s="98" t="e">
        <f>base_de_datos[[#This Row],[Cap 1.5]]-base_de_datos[[#This Row],[Inscritos]]</f>
        <v>#REF!</v>
      </c>
      <c r="M79" s="98" t="e">
        <f>INDEX(Aulas_capacidad,MATCH(base_de_datos[[#This Row],[Aula]],Aulas,0),5)</f>
        <v>#REF!</v>
      </c>
      <c r="N79" s="98" t="e">
        <f>base_de_datos[[#This Row],[Cap .90]]-base_de_datos[[#This Row],[Inscritos]]</f>
        <v>#REF!</v>
      </c>
      <c r="O79" s="92" t="s">
        <v>226</v>
      </c>
      <c r="P79" s="99" t="s">
        <v>68</v>
      </c>
      <c r="Q79" s="100"/>
      <c r="R79" s="99" t="s">
        <v>68</v>
      </c>
      <c r="S79" s="100"/>
      <c r="T79" s="100"/>
      <c r="U79" s="99"/>
      <c r="V79" s="99"/>
      <c r="W79" s="99" t="s">
        <v>74</v>
      </c>
      <c r="X79" s="93">
        <f>_xlfn.XLOOKUP(base_de_datos[[#This Row],[Materia]],Materias,Horas)/16</f>
        <v>4</v>
      </c>
      <c r="Y79" s="93">
        <f>ROUND(((base_de_datos[[#This Row],[Hora fin]]-base_de_datos[[#This Row],[Hora inicio]])*24)*(COUNTA(base_de_datos[[#This Row],[Lunes]:[Sábado]])),1)</f>
        <v>4</v>
      </c>
      <c r="Z79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9" s="93">
        <f ca="1">IF(base_de_datos[[#This Row],[No clase]]=OFFSET(base_de_datos[[#This Row],[No clase]],-1,0),0,1)</f>
        <v>1</v>
      </c>
      <c r="AB79" s="93">
        <f ca="1">IF(NOT(OR(base_de_datos[[#This Row],[Horas totales]]=base_de_datos[[#This Row],[HT Plan]],base_de_datos[[#This Row],[Horas totales]]="N/A")),1,0)</f>
        <v>0</v>
      </c>
      <c r="AC79" s="93" t="e">
        <f>_xlfn.XLOOKUP(base_de_datos[[#This Row],[Profesor]],Nombre,Grado)</f>
        <v>#REF!</v>
      </c>
      <c r="AD79" s="94" t="e">
        <f>_xlfn.XLOOKUP(base_de_datos[[#This Row],[Profesor]],Nombre,Tipo)</f>
        <v>#REF!</v>
      </c>
      <c r="AE79" s="93">
        <f>IF(IFERROR(VLOOKUP($C79,Planes_de_estudio[],MATCH($AE$2,Carreras,0)+2,0),"")&gt;0,IFERROR(VLOOKUP($C79,Planes_de_estudio[],MATCH($AE$2,Carreras,0)+2,0),""),"")</f>
        <v>1</v>
      </c>
      <c r="AF79" s="93">
        <f>IF(IFERROR(VLOOKUP($C79,Planes_de_estudio[],MATCH($AF$2,Carreras,0)+2,0),"")&gt;0,IFERROR(VLOOKUP($C79,Planes_de_estudio[],MATCH($AF$2,Carreras,0)+2,0),""),"")</f>
        <v>1</v>
      </c>
      <c r="AG79" s="93">
        <f>IF(IFERROR(VLOOKUP($C79,Planes_de_estudio[],MATCH($AG$2,Carreras,0)+2,0),"")&gt;0,IFERROR(VLOOKUP($C79,Planes_de_estudio[],MATCH($AG$2,Carreras,0)+2,0),""),"")</f>
        <v>1</v>
      </c>
      <c r="AH79" s="93">
        <f>IF(IFERROR(VLOOKUP($C79,Planes_de_estudio[],MATCH($AH$2,Carreras,0)+2,0),"")&gt;0,IFERROR(VLOOKUP($C79,Planes_de_estudio[],MATCH($AH$2,Carreras,0)+2,0),""),"")</f>
        <v>1</v>
      </c>
      <c r="AI79" s="93">
        <f>IF(IFERROR(VLOOKUP($C79,Planes_de_estudio[],MATCH($AI$2,Carreras,0)+2,0),"")&gt;0,IFERROR(VLOOKUP($C79,Planes_de_estudio[],MATCH($AI$2,Carreras,0)+2,0),""),"")</f>
        <v>2</v>
      </c>
      <c r="AJ79" s="93">
        <f>IF(IFERROR(VLOOKUP($C79,Planes_de_estudio[],MATCH($AJ$2,Carreras,0)+2,0),"")&gt;0,IFERROR(VLOOKUP($C79,Planes_de_estudio[],MATCH($AJ$2,Carreras,0)+2,0),""),"")</f>
        <v>1</v>
      </c>
      <c r="AK79" s="93">
        <f>IF(IFERROR(VLOOKUP($C79,Planes_de_estudio[],MATCH($AK$2,Carreras,0)+2,0),"")&gt;0,IFERROR(VLOOKUP($C79,Planes_de_estudio[],MATCH($AK$2,Carreras,0)+2,0),""),"")</f>
        <v>1</v>
      </c>
      <c r="AL7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7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120</v>
      </c>
      <c r="AN79" s="93">
        <f>base_de_datos[[#This Row],[Pronóstico]]/25</f>
        <v>4.8</v>
      </c>
      <c r="AO79" s="93" t="str">
        <f>VLOOKUP($C79,Planes_de_estudio[],2)</f>
        <v>MEC</v>
      </c>
      <c r="AP79" s="195">
        <v>6</v>
      </c>
      <c r="AQ79" s="195">
        <v>6</v>
      </c>
      <c r="AR79" s="195">
        <v>6</v>
      </c>
      <c r="AS79" s="195">
        <v>6</v>
      </c>
      <c r="AT79" s="195">
        <v>6</v>
      </c>
      <c r="AU79" s="195">
        <v>6</v>
      </c>
      <c r="AV79" s="195">
        <v>6</v>
      </c>
      <c r="AW79" s="91"/>
      <c r="AX79" s="73"/>
    </row>
    <row r="80" spans="1:50" s="5" customFormat="1" ht="15">
      <c r="A80" s="5" t="s">
        <v>63</v>
      </c>
      <c r="B80" s="95" t="s">
        <v>227</v>
      </c>
      <c r="C80" s="96" t="s">
        <v>201</v>
      </c>
      <c r="D80" s="92">
        <v>4</v>
      </c>
      <c r="E80" s="97">
        <v>0.5</v>
      </c>
      <c r="F80" s="97">
        <v>0.58333333333332904</v>
      </c>
      <c r="G80" s="92"/>
      <c r="H80" s="92" t="s">
        <v>228</v>
      </c>
      <c r="I80" s="92" t="e">
        <f>INDEX(Aulas_capacidad,MATCH(base_de_datos[[#This Row],[Aula]],Aulas,0),2)</f>
        <v>#REF!</v>
      </c>
      <c r="J80" s="90">
        <v>25</v>
      </c>
      <c r="K80" s="92" t="e">
        <f>INDEX(Aulas_capacidad,MATCH(base_de_datos[[#This Row],[Aula]],Aulas,0),4)</f>
        <v>#REF!</v>
      </c>
      <c r="L80" s="98" t="e">
        <f>base_de_datos[[#This Row],[Cap 1.5]]-base_de_datos[[#This Row],[Inscritos]]</f>
        <v>#REF!</v>
      </c>
      <c r="M80" s="98" t="e">
        <f>INDEX(Aulas_capacidad,MATCH(base_de_datos[[#This Row],[Aula]],Aulas,0),5)</f>
        <v>#REF!</v>
      </c>
      <c r="N80" s="98" t="e">
        <f>base_de_datos[[#This Row],[Cap .90]]-base_de_datos[[#This Row],[Inscritos]]</f>
        <v>#REF!</v>
      </c>
      <c r="O80" s="92" t="s">
        <v>229</v>
      </c>
      <c r="P80" s="99" t="s">
        <v>68</v>
      </c>
      <c r="Q80" s="100"/>
      <c r="R80" s="99" t="s">
        <v>68</v>
      </c>
      <c r="S80" s="100"/>
      <c r="T80" s="100"/>
      <c r="U80" s="99"/>
      <c r="V80" s="99"/>
      <c r="W80" s="99" t="s">
        <v>74</v>
      </c>
      <c r="X80" s="93">
        <f>_xlfn.XLOOKUP(base_de_datos[[#This Row],[Materia]],Materias,Horas)/16</f>
        <v>4</v>
      </c>
      <c r="Y80" s="93">
        <f>ROUND(((base_de_datos[[#This Row],[Hora fin]]-base_de_datos[[#This Row],[Hora inicio]])*24)*(COUNTA(base_de_datos[[#This Row],[Lunes]:[Sábado]])),1)</f>
        <v>4</v>
      </c>
      <c r="Z80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0" s="93">
        <f ca="1">IF(base_de_datos[[#This Row],[No clase]]=OFFSET(base_de_datos[[#This Row],[No clase]],-1,0),0,1)</f>
        <v>1</v>
      </c>
      <c r="AB80" s="93">
        <f ca="1">IF(NOT(OR(base_de_datos[[#This Row],[Horas totales]]=base_de_datos[[#This Row],[HT Plan]],base_de_datos[[#This Row],[Horas totales]]="N/A")),1,0)</f>
        <v>0</v>
      </c>
      <c r="AC80" s="93" t="e">
        <f>_xlfn.XLOOKUP(base_de_datos[[#This Row],[Profesor]],Nombre,Grado)</f>
        <v>#REF!</v>
      </c>
      <c r="AD80" s="94" t="e">
        <f>_xlfn.XLOOKUP(base_de_datos[[#This Row],[Profesor]],Nombre,Tipo)</f>
        <v>#REF!</v>
      </c>
      <c r="AE80" s="93">
        <f>IF(IFERROR(VLOOKUP($C80,Planes_de_estudio[],MATCH($AE$2,Carreras,0)+2,0),"")&gt;0,IFERROR(VLOOKUP($C80,Planes_de_estudio[],MATCH($AE$2,Carreras,0)+2,0),""),"")</f>
        <v>1</v>
      </c>
      <c r="AF80" s="93">
        <f>IF(IFERROR(VLOOKUP($C80,Planes_de_estudio[],MATCH($AF$2,Carreras,0)+2,0),"")&gt;0,IFERROR(VLOOKUP($C80,Planes_de_estudio[],MATCH($AF$2,Carreras,0)+2,0),""),"")</f>
        <v>1</v>
      </c>
      <c r="AG80" s="93">
        <f>IF(IFERROR(VLOOKUP($C80,Planes_de_estudio[],MATCH($AG$2,Carreras,0)+2,0),"")&gt;0,IFERROR(VLOOKUP($C80,Planes_de_estudio[],MATCH($AG$2,Carreras,0)+2,0),""),"")</f>
        <v>1</v>
      </c>
      <c r="AH80" s="93">
        <f>IF(IFERROR(VLOOKUP($C80,Planes_de_estudio[],MATCH($AH$2,Carreras,0)+2,0),"")&gt;0,IFERROR(VLOOKUP($C80,Planes_de_estudio[],MATCH($AH$2,Carreras,0)+2,0),""),"")</f>
        <v>1</v>
      </c>
      <c r="AI80" s="93">
        <f>IF(IFERROR(VLOOKUP($C80,Planes_de_estudio[],MATCH($AI$2,Carreras,0)+2,0),"")&gt;0,IFERROR(VLOOKUP($C80,Planes_de_estudio[],MATCH($AI$2,Carreras,0)+2,0),""),"")</f>
        <v>2</v>
      </c>
      <c r="AJ80" s="93">
        <f>IF(IFERROR(VLOOKUP($C80,Planes_de_estudio[],MATCH($AJ$2,Carreras,0)+2,0),"")&gt;0,IFERROR(VLOOKUP($C80,Planes_de_estudio[],MATCH($AJ$2,Carreras,0)+2,0),""),"")</f>
        <v>1</v>
      </c>
      <c r="AK80" s="93">
        <f>IF(IFERROR(VLOOKUP($C80,Planes_de_estudio[],MATCH($AK$2,Carreras,0)+2,0),"")&gt;0,IFERROR(VLOOKUP($C80,Planes_de_estudio[],MATCH($AK$2,Carreras,0)+2,0),""),"")</f>
        <v>1</v>
      </c>
      <c r="AL8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8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120</v>
      </c>
      <c r="AN80" s="93">
        <f>base_de_datos[[#This Row],[Pronóstico]]/25</f>
        <v>4.8</v>
      </c>
      <c r="AO80" s="93" t="str">
        <f>VLOOKUP($C80,Planes_de_estudio[],2)</f>
        <v>MEC</v>
      </c>
      <c r="AP80" s="195">
        <v>6</v>
      </c>
      <c r="AQ80" s="195">
        <v>6</v>
      </c>
      <c r="AR80" s="195">
        <v>6</v>
      </c>
      <c r="AS80" s="195">
        <v>6</v>
      </c>
      <c r="AT80" s="195">
        <v>6</v>
      </c>
      <c r="AU80" s="195">
        <v>6</v>
      </c>
      <c r="AV80" s="195">
        <v>6</v>
      </c>
      <c r="AW80" s="91"/>
      <c r="AX80" s="73"/>
    </row>
    <row r="81" spans="1:50" s="5" customFormat="1" ht="16">
      <c r="B81" s="95" t="s">
        <v>230</v>
      </c>
      <c r="C81" s="96" t="s">
        <v>202</v>
      </c>
      <c r="D81" s="92">
        <v>1</v>
      </c>
      <c r="E81" s="97">
        <v>0.5</v>
      </c>
      <c r="F81" s="97">
        <v>0.58333333333332904</v>
      </c>
      <c r="G81" s="92" t="s">
        <v>72</v>
      </c>
      <c r="H81" s="92" t="s">
        <v>128</v>
      </c>
      <c r="I81" s="92" t="e">
        <f>INDEX(Aulas_capacidad,MATCH(base_de_datos[[#This Row],[Aula]],Aulas,0),2)</f>
        <v>#REF!</v>
      </c>
      <c r="J81" s="90">
        <v>26</v>
      </c>
      <c r="K81" s="92" t="e">
        <f>INDEX(Aulas_capacidad,MATCH(base_de_datos[[#This Row],[Aula]],Aulas,0),4)</f>
        <v>#REF!</v>
      </c>
      <c r="L81" s="98" t="e">
        <f>base_de_datos[[#This Row],[Cap 1.5]]-base_de_datos[[#This Row],[Inscritos]]</f>
        <v>#REF!</v>
      </c>
      <c r="M81" s="98" t="e">
        <f>INDEX(Aulas_capacidad,MATCH(base_de_datos[[#This Row],[Aula]],Aulas,0),5)</f>
        <v>#REF!</v>
      </c>
      <c r="N81" s="98" t="e">
        <f>base_de_datos[[#This Row],[Cap .90]]-base_de_datos[[#This Row],[Inscritos]]</f>
        <v>#REF!</v>
      </c>
      <c r="O81" s="92" t="s">
        <v>231</v>
      </c>
      <c r="P81" s="99"/>
      <c r="Q81" s="100" t="s">
        <v>68</v>
      </c>
      <c r="R81" s="99"/>
      <c r="S81" s="100"/>
      <c r="T81" s="100"/>
      <c r="U81" s="99"/>
      <c r="V81" s="99"/>
      <c r="W81" s="99" t="s">
        <v>122</v>
      </c>
      <c r="X81" s="93">
        <f>_xlfn.XLOOKUP(base_de_datos[[#This Row],[Materia]],Materias,Horas)/16</f>
        <v>4</v>
      </c>
      <c r="Y81" s="93">
        <f>ROUND(((base_de_datos[[#This Row],[Hora fin]]-base_de_datos[[#This Row],[Hora inicio]])*24)*(COUNTA(base_de_datos[[#This Row],[Lunes]:[Sábado]])),1)</f>
        <v>2</v>
      </c>
      <c r="Z81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1" s="93">
        <f ca="1">IF(base_de_datos[[#This Row],[No clase]]=OFFSET(base_de_datos[[#This Row],[No clase]],-1,0),0,1)</f>
        <v>1</v>
      </c>
      <c r="AB81" s="93">
        <f ca="1">IF(NOT(OR(base_de_datos[[#This Row],[Horas totales]]=base_de_datos[[#This Row],[HT Plan]],base_de_datos[[#This Row],[Horas totales]]="N/A")),1,0)</f>
        <v>0</v>
      </c>
      <c r="AC81" s="93" t="e">
        <f>_xlfn.XLOOKUP(base_de_datos[[#This Row],[Profesor]],Nombre,Grado)</f>
        <v>#REF!</v>
      </c>
      <c r="AD81" s="94" t="e">
        <f>_xlfn.XLOOKUP(base_de_datos[[#This Row],[Profesor]],Nombre,Tipo)</f>
        <v>#REF!</v>
      </c>
      <c r="AE81" s="93">
        <f>IF(IFERROR(VLOOKUP($C81,Planes_de_estudio[],MATCH($AE$2,Carreras,0)+2,0),"")&gt;0,IFERROR(VLOOKUP($C81,Planes_de_estudio[],MATCH($AE$2,Carreras,0)+2,0),""),"")</f>
        <v>1</v>
      </c>
      <c r="AF81" s="93">
        <f>IF(IFERROR(VLOOKUP($C81,Planes_de_estudio[],MATCH($AF$2,Carreras,0)+2,0),"")&gt;0,IFERROR(VLOOKUP($C81,Planes_de_estudio[],MATCH($AF$2,Carreras,0)+2,0),""),"")</f>
        <v>1</v>
      </c>
      <c r="AG81" s="93">
        <f>IF(IFERROR(VLOOKUP($C81,Planes_de_estudio[],MATCH($AG$2,Carreras,0)+2,0),"")&gt;0,IFERROR(VLOOKUP($C81,Planes_de_estudio[],MATCH($AG$2,Carreras,0)+2,0),""),"")</f>
        <v>2</v>
      </c>
      <c r="AH81" s="93">
        <f>IF(IFERROR(VLOOKUP($C81,Planes_de_estudio[],MATCH($AH$2,Carreras,0)+2,0),"")&gt;0,IFERROR(VLOOKUP($C81,Planes_de_estudio[],MATCH($AH$2,Carreras,0)+2,0),""),"")</f>
        <v>1</v>
      </c>
      <c r="AI81" s="93">
        <f>IF(IFERROR(VLOOKUP($C81,Planes_de_estudio[],MATCH($AI$2,Carreras,0)+2,0),"")&gt;0,IFERROR(VLOOKUP($C81,Planes_de_estudio[],MATCH($AI$2,Carreras,0)+2,0),""),"")</f>
        <v>1</v>
      </c>
      <c r="AJ81" s="93" t="str">
        <f>IF(IFERROR(VLOOKUP($C81,Planes_de_estudio[],MATCH($AJ$2,Carreras,0)+2,0),"")&gt;0,IFERROR(VLOOKUP($C81,Planes_de_estudio[],MATCH($AJ$2,Carreras,0)+2,0),""),"")</f>
        <v/>
      </c>
      <c r="AK81" s="93">
        <f>IF(IFERROR(VLOOKUP($C81,Planes_de_estudio[],MATCH($AK$2,Carreras,0)+2,0),"")&gt;0,IFERROR(VLOOKUP($C81,Planes_de_estudio[],MATCH($AK$2,Carreras,0)+2,0),""),"")</f>
        <v>1</v>
      </c>
      <c r="AL8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8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95</v>
      </c>
      <c r="AN81" s="93">
        <f>base_de_datos[[#This Row],[Pronóstico]]/25</f>
        <v>3.8</v>
      </c>
      <c r="AO81" s="93" t="str">
        <f>VLOOKUP($C81,Planes_de_estudio[],2)</f>
        <v>ETF</v>
      </c>
      <c r="AP81" s="195">
        <v>6</v>
      </c>
      <c r="AQ81" s="195">
        <v>6</v>
      </c>
      <c r="AR81" s="195">
        <v>6</v>
      </c>
      <c r="AS81" s="195">
        <v>6</v>
      </c>
      <c r="AT81" s="195">
        <v>6</v>
      </c>
      <c r="AU81" s="196"/>
      <c r="AV81" s="195">
        <v>6</v>
      </c>
      <c r="AW81" s="91"/>
      <c r="AX81" s="73"/>
    </row>
    <row r="82" spans="1:50" s="5" customFormat="1" ht="16">
      <c r="B82" s="95" t="s">
        <v>230</v>
      </c>
      <c r="C82" s="96" t="s">
        <v>202</v>
      </c>
      <c r="D82" s="92">
        <v>1</v>
      </c>
      <c r="E82" s="97">
        <v>0.5</v>
      </c>
      <c r="F82" s="97">
        <v>0.58333333333332904</v>
      </c>
      <c r="G82" s="92" t="s">
        <v>72</v>
      </c>
      <c r="H82" s="92" t="s">
        <v>121</v>
      </c>
      <c r="I82" s="92" t="e">
        <f>INDEX(Aulas_capacidad,MATCH(base_de_datos[[#This Row],[Aula]],Aulas,0),2)</f>
        <v>#REF!</v>
      </c>
      <c r="J82" s="90">
        <v>26</v>
      </c>
      <c r="K82" s="92" t="e">
        <f>INDEX(Aulas_capacidad,MATCH(base_de_datos[[#This Row],[Aula]],Aulas,0),4)</f>
        <v>#REF!</v>
      </c>
      <c r="L82" s="98" t="e">
        <f>base_de_datos[[#This Row],[Cap 1.5]]-base_de_datos[[#This Row],[Inscritos]]</f>
        <v>#REF!</v>
      </c>
      <c r="M82" s="98" t="e">
        <f>INDEX(Aulas_capacidad,MATCH(base_de_datos[[#This Row],[Aula]],Aulas,0),5)</f>
        <v>#REF!</v>
      </c>
      <c r="N82" s="98" t="e">
        <f>base_de_datos[[#This Row],[Cap .90]]-base_de_datos[[#This Row],[Inscritos]]</f>
        <v>#REF!</v>
      </c>
      <c r="O82" s="92" t="s">
        <v>231</v>
      </c>
      <c r="P82" s="99"/>
      <c r="Q82" s="100"/>
      <c r="R82" s="99"/>
      <c r="S82" s="100"/>
      <c r="T82" s="100" t="s">
        <v>68</v>
      </c>
      <c r="U82" s="99"/>
      <c r="V82" s="99"/>
      <c r="W82" s="99" t="s">
        <v>122</v>
      </c>
      <c r="X82" s="93">
        <f>_xlfn.XLOOKUP(base_de_datos[[#This Row],[Materia]],Materias,Horas)/16</f>
        <v>4</v>
      </c>
      <c r="Y82" s="93">
        <f>ROUND(((base_de_datos[[#This Row],[Hora fin]]-base_de_datos[[#This Row],[Hora inicio]])*24)*(COUNTA(base_de_datos[[#This Row],[Lunes]:[Sábado]])),1)</f>
        <v>2</v>
      </c>
      <c r="Z82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2" s="93">
        <f ca="1">IF(base_de_datos[[#This Row],[No clase]]=OFFSET(base_de_datos[[#This Row],[No clase]],-1,0),0,1)</f>
        <v>0</v>
      </c>
      <c r="AB82" s="93">
        <f ca="1">IF(NOT(OR(base_de_datos[[#This Row],[Horas totales]]=base_de_datos[[#This Row],[HT Plan]],base_de_datos[[#This Row],[Horas totales]]="N/A")),1,0)</f>
        <v>0</v>
      </c>
      <c r="AC82" s="93" t="e">
        <f>_xlfn.XLOOKUP(base_de_datos[[#This Row],[Profesor]],Nombre,Grado)</f>
        <v>#REF!</v>
      </c>
      <c r="AD82" s="94" t="e">
        <f>_xlfn.XLOOKUP(base_de_datos[[#This Row],[Profesor]],Nombre,Tipo)</f>
        <v>#REF!</v>
      </c>
      <c r="AE82" s="93">
        <f>IF(IFERROR(VLOOKUP($C82,Planes_de_estudio[],MATCH($AE$2,Carreras,0)+2,0),"")&gt;0,IFERROR(VLOOKUP($C82,Planes_de_estudio[],MATCH($AE$2,Carreras,0)+2,0),""),"")</f>
        <v>1</v>
      </c>
      <c r="AF82" s="93">
        <f>IF(IFERROR(VLOOKUP($C82,Planes_de_estudio[],MATCH($AF$2,Carreras,0)+2,0),"")&gt;0,IFERROR(VLOOKUP($C82,Planes_de_estudio[],MATCH($AF$2,Carreras,0)+2,0),""),"")</f>
        <v>1</v>
      </c>
      <c r="AG82" s="93">
        <f>IF(IFERROR(VLOOKUP($C82,Planes_de_estudio[],MATCH($AG$2,Carreras,0)+2,0),"")&gt;0,IFERROR(VLOOKUP($C82,Planes_de_estudio[],MATCH($AG$2,Carreras,0)+2,0),""),"")</f>
        <v>2</v>
      </c>
      <c r="AH82" s="93">
        <f>IF(IFERROR(VLOOKUP($C82,Planes_de_estudio[],MATCH($AH$2,Carreras,0)+2,0),"")&gt;0,IFERROR(VLOOKUP($C82,Planes_de_estudio[],MATCH($AH$2,Carreras,0)+2,0),""),"")</f>
        <v>1</v>
      </c>
      <c r="AI82" s="93">
        <f>IF(IFERROR(VLOOKUP($C82,Planes_de_estudio[],MATCH($AI$2,Carreras,0)+2,0),"")&gt;0,IFERROR(VLOOKUP($C82,Planes_de_estudio[],MATCH($AI$2,Carreras,0)+2,0),""),"")</f>
        <v>1</v>
      </c>
      <c r="AJ82" s="93" t="str">
        <f>IF(IFERROR(VLOOKUP($C82,Planes_de_estudio[],MATCH($AJ$2,Carreras,0)+2,0),"")&gt;0,IFERROR(VLOOKUP($C82,Planes_de_estudio[],MATCH($AJ$2,Carreras,0)+2,0),""),"")</f>
        <v/>
      </c>
      <c r="AK82" s="93">
        <f>IF(IFERROR(VLOOKUP($C82,Planes_de_estudio[],MATCH($AK$2,Carreras,0)+2,0),"")&gt;0,IFERROR(VLOOKUP($C82,Planes_de_estudio[],MATCH($AK$2,Carreras,0)+2,0),""),"")</f>
        <v>1</v>
      </c>
      <c r="AL8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8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95</v>
      </c>
      <c r="AN82" s="93">
        <f>base_de_datos[[#This Row],[Pronóstico]]/25</f>
        <v>3.8</v>
      </c>
      <c r="AO82" s="93" t="str">
        <f>VLOOKUP($C82,Planes_de_estudio[],2)</f>
        <v>ETF</v>
      </c>
      <c r="AP82" s="196"/>
      <c r="AQ82" s="196"/>
      <c r="AR82" s="196"/>
      <c r="AS82" s="196"/>
      <c r="AT82" s="196"/>
      <c r="AU82" s="196"/>
      <c r="AV82" s="196"/>
      <c r="AW82" s="91"/>
      <c r="AX82" s="73"/>
    </row>
    <row r="83" spans="1:50" s="5" customFormat="1" ht="16">
      <c r="B83" s="95" t="s">
        <v>204</v>
      </c>
      <c r="C83" s="96" t="s">
        <v>202</v>
      </c>
      <c r="D83" s="92">
        <v>2</v>
      </c>
      <c r="E83" s="97">
        <v>0.5</v>
      </c>
      <c r="F83" s="97">
        <v>0.58333333333332904</v>
      </c>
      <c r="G83" s="92"/>
      <c r="H83" s="92" t="s">
        <v>90</v>
      </c>
      <c r="I83" s="92" t="e">
        <f>INDEX(Aulas_capacidad,MATCH(base_de_datos[[#This Row],[Aula]],Aulas,0),2)</f>
        <v>#REF!</v>
      </c>
      <c r="J83" s="90">
        <v>22</v>
      </c>
      <c r="K83" s="92" t="e">
        <f>INDEX(Aulas_capacidad,MATCH(base_de_datos[[#This Row],[Aula]],Aulas,0),4)</f>
        <v>#REF!</v>
      </c>
      <c r="L83" s="98" t="e">
        <f>base_de_datos[[#This Row],[Cap 1.5]]-base_de_datos[[#This Row],[Inscritos]]</f>
        <v>#REF!</v>
      </c>
      <c r="M83" s="98" t="e">
        <f>INDEX(Aulas_capacidad,MATCH(base_de_datos[[#This Row],[Aula]],Aulas,0),5)</f>
        <v>#REF!</v>
      </c>
      <c r="N83" s="98" t="e">
        <f>base_de_datos[[#This Row],[Cap .90]]-base_de_datos[[#This Row],[Inscritos]]</f>
        <v>#REF!</v>
      </c>
      <c r="O83" s="92" t="s">
        <v>232</v>
      </c>
      <c r="P83" s="99"/>
      <c r="Q83" s="100" t="s">
        <v>68</v>
      </c>
      <c r="R83" s="99"/>
      <c r="S83" s="100"/>
      <c r="T83" s="100"/>
      <c r="U83" s="99"/>
      <c r="V83" s="99"/>
      <c r="W83" s="99" t="s">
        <v>122</v>
      </c>
      <c r="X83" s="93">
        <f>_xlfn.XLOOKUP(base_de_datos[[#This Row],[Materia]],Materias,Horas)/16</f>
        <v>4</v>
      </c>
      <c r="Y83" s="93">
        <f>ROUND(((base_de_datos[[#This Row],[Hora fin]]-base_de_datos[[#This Row],[Hora inicio]])*24)*(COUNTA(base_de_datos[[#This Row],[Lunes]:[Sábado]])),1)</f>
        <v>2</v>
      </c>
      <c r="Z83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83" s="93">
        <f ca="1">IF(base_de_datos[[#This Row],[No clase]]=OFFSET(base_de_datos[[#This Row],[No clase]],-1,0),0,1)</f>
        <v>1</v>
      </c>
      <c r="AB83" s="93">
        <f ca="1">IF(NOT(OR(base_de_datos[[#This Row],[Horas totales]]=base_de_datos[[#This Row],[HT Plan]],base_de_datos[[#This Row],[Horas totales]]="N/A")),1,0)</f>
        <v>1</v>
      </c>
      <c r="AC83" s="93" t="e">
        <f>_xlfn.XLOOKUP(base_de_datos[[#This Row],[Profesor]],Nombre,Grado)</f>
        <v>#REF!</v>
      </c>
      <c r="AD83" s="94" t="e">
        <f>_xlfn.XLOOKUP(base_de_datos[[#This Row],[Profesor]],Nombre,Tipo)</f>
        <v>#REF!</v>
      </c>
      <c r="AE83" s="93">
        <f>IF(IFERROR(VLOOKUP($C83,Planes_de_estudio[],MATCH($AE$2,Carreras,0)+2,0),"")&gt;0,IFERROR(VLOOKUP($C83,Planes_de_estudio[],MATCH($AE$2,Carreras,0)+2,0),""),"")</f>
        <v>1</v>
      </c>
      <c r="AF83" s="93">
        <f>IF(IFERROR(VLOOKUP($C83,Planes_de_estudio[],MATCH($AF$2,Carreras,0)+2,0),"")&gt;0,IFERROR(VLOOKUP($C83,Planes_de_estudio[],MATCH($AF$2,Carreras,0)+2,0),""),"")</f>
        <v>1</v>
      </c>
      <c r="AG83" s="93">
        <f>IF(IFERROR(VLOOKUP($C83,Planes_de_estudio[],MATCH($AG$2,Carreras,0)+2,0),"")&gt;0,IFERROR(VLOOKUP($C83,Planes_de_estudio[],MATCH($AG$2,Carreras,0)+2,0),""),"")</f>
        <v>2</v>
      </c>
      <c r="AH83" s="93">
        <f>IF(IFERROR(VLOOKUP($C83,Planes_de_estudio[],MATCH($AH$2,Carreras,0)+2,0),"")&gt;0,IFERROR(VLOOKUP($C83,Planes_de_estudio[],MATCH($AH$2,Carreras,0)+2,0),""),"")</f>
        <v>1</v>
      </c>
      <c r="AI83" s="93">
        <f>IF(IFERROR(VLOOKUP($C83,Planes_de_estudio[],MATCH($AI$2,Carreras,0)+2,0),"")&gt;0,IFERROR(VLOOKUP($C83,Planes_de_estudio[],MATCH($AI$2,Carreras,0)+2,0),""),"")</f>
        <v>1</v>
      </c>
      <c r="AJ83" s="93" t="str">
        <f>IF(IFERROR(VLOOKUP($C83,Planes_de_estudio[],MATCH($AJ$2,Carreras,0)+2,0),"")&gt;0,IFERROR(VLOOKUP($C83,Planes_de_estudio[],MATCH($AJ$2,Carreras,0)+2,0),""),"")</f>
        <v/>
      </c>
      <c r="AK83" s="93">
        <f>IF(IFERROR(VLOOKUP($C83,Planes_de_estudio[],MATCH($AK$2,Carreras,0)+2,0),"")&gt;0,IFERROR(VLOOKUP($C83,Planes_de_estudio[],MATCH($AK$2,Carreras,0)+2,0),""),"")</f>
        <v>1</v>
      </c>
      <c r="AL8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8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95</v>
      </c>
      <c r="AN83" s="93">
        <f>base_de_datos[[#This Row],[Pronóstico]]/25</f>
        <v>3.8</v>
      </c>
      <c r="AO83" s="93" t="str">
        <f>VLOOKUP($C83,Planes_de_estudio[],2)</f>
        <v>ETF</v>
      </c>
      <c r="AP83" s="195">
        <v>6</v>
      </c>
      <c r="AQ83" s="195">
        <v>6</v>
      </c>
      <c r="AR83" s="195">
        <v>6</v>
      </c>
      <c r="AS83" s="195">
        <v>6</v>
      </c>
      <c r="AT83" s="195">
        <v>6</v>
      </c>
      <c r="AU83" s="196"/>
      <c r="AV83" s="195">
        <v>6</v>
      </c>
      <c r="AW83" s="91"/>
      <c r="AX83" s="73"/>
    </row>
    <row r="84" spans="1:50" s="5" customFormat="1" ht="16">
      <c r="B84" s="95" t="s">
        <v>233</v>
      </c>
      <c r="C84" s="96" t="s">
        <v>234</v>
      </c>
      <c r="D84" s="92">
        <v>1</v>
      </c>
      <c r="E84" s="97">
        <v>0.70833333333333304</v>
      </c>
      <c r="F84" s="97">
        <v>0.79166666666665897</v>
      </c>
      <c r="G84" s="92" t="s">
        <v>72</v>
      </c>
      <c r="H84" s="92" t="s">
        <v>121</v>
      </c>
      <c r="I84" s="92" t="e">
        <f>INDEX(Aulas_capacidad,MATCH(base_de_datos[[#This Row],[Aula]],Aulas,0),2)</f>
        <v>#REF!</v>
      </c>
      <c r="J84" s="90">
        <v>23</v>
      </c>
      <c r="K84" s="92" t="e">
        <f>INDEX(Aulas_capacidad,MATCH(base_de_datos[[#This Row],[Aula]],Aulas,0),4)</f>
        <v>#REF!</v>
      </c>
      <c r="L84" s="98" t="e">
        <f>base_de_datos[[#This Row],[Cap 1.5]]-base_de_datos[[#This Row],[Inscritos]]</f>
        <v>#REF!</v>
      </c>
      <c r="M84" s="98" t="e">
        <f>INDEX(Aulas_capacidad,MATCH(base_de_datos[[#This Row],[Aula]],Aulas,0),5)</f>
        <v>#REF!</v>
      </c>
      <c r="N84" s="98" t="e">
        <f>base_de_datos[[#This Row],[Cap .90]]-base_de_datos[[#This Row],[Inscritos]]</f>
        <v>#REF!</v>
      </c>
      <c r="O84" s="92" t="s">
        <v>235</v>
      </c>
      <c r="P84" s="99" t="s">
        <v>68</v>
      </c>
      <c r="Q84" s="100"/>
      <c r="R84" s="99"/>
      <c r="S84" s="100"/>
      <c r="T84" s="100"/>
      <c r="U84" s="99"/>
      <c r="V84" s="99"/>
      <c r="W84" s="99" t="s">
        <v>101</v>
      </c>
      <c r="X84" s="93">
        <f>_xlfn.XLOOKUP(base_de_datos[[#This Row],[Materia]],Materias,Horas)/16</f>
        <v>4</v>
      </c>
      <c r="Y84" s="93">
        <f>ROUND(((base_de_datos[[#This Row],[Hora fin]]-base_de_datos[[#This Row],[Hora inicio]])*24)*(COUNTA(base_de_datos[[#This Row],[Lunes]:[Sábado]])),1)</f>
        <v>2</v>
      </c>
      <c r="Z84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4" s="93">
        <f ca="1">IF(base_de_datos[[#This Row],[No clase]]=OFFSET(base_de_datos[[#This Row],[No clase]],-1,0),0,1)</f>
        <v>1</v>
      </c>
      <c r="AB84" s="93">
        <f ca="1">IF(NOT(OR(base_de_datos[[#This Row],[Horas totales]]=base_de_datos[[#This Row],[HT Plan]],base_de_datos[[#This Row],[Horas totales]]="N/A")),1,0)</f>
        <v>0</v>
      </c>
      <c r="AC84" s="93" t="e">
        <f>_xlfn.XLOOKUP(base_de_datos[[#This Row],[Profesor]],Nombre,Grado)</f>
        <v>#REF!</v>
      </c>
      <c r="AD84" s="94" t="e">
        <f>_xlfn.XLOOKUP(base_de_datos[[#This Row],[Profesor]],Nombre,Tipo)</f>
        <v>#REF!</v>
      </c>
      <c r="AE84" s="93" t="str">
        <f>IF(IFERROR(VLOOKUP($C84,Planes_de_estudio[],MATCH($AE$2,Carreras,0)+2,0),"")&gt;0,IFERROR(VLOOKUP($C84,Planes_de_estudio[],MATCH($AE$2,Carreras,0)+2,0),""),"")</f>
        <v/>
      </c>
      <c r="AF84" s="93">
        <f>IF(IFERROR(VLOOKUP($C84,Planes_de_estudio[],MATCH($AF$2,Carreras,0)+2,0),"")&gt;0,IFERROR(VLOOKUP($C84,Planes_de_estudio[],MATCH($AF$2,Carreras,0)+2,0),""),"")</f>
        <v>7</v>
      </c>
      <c r="AG84" s="93" t="str">
        <f>IF(IFERROR(VLOOKUP($C84,Planes_de_estudio[],MATCH($AG$2,Carreras,0)+2,0),"")&gt;0,IFERROR(VLOOKUP($C84,Planes_de_estudio[],MATCH($AG$2,Carreras,0)+2,0),""),"")</f>
        <v/>
      </c>
      <c r="AH84" s="93" t="str">
        <f>IF(IFERROR(VLOOKUP($C84,Planes_de_estudio[],MATCH($AH$2,Carreras,0)+2,0),"")&gt;0,IFERROR(VLOOKUP($C84,Planes_de_estudio[],MATCH($AH$2,Carreras,0)+2,0),""),"")</f>
        <v/>
      </c>
      <c r="AI84" s="93" t="str">
        <f>IF(IFERROR(VLOOKUP($C84,Planes_de_estudio[],MATCH($AI$2,Carreras,0)+2,0),"")&gt;0,IFERROR(VLOOKUP($C84,Planes_de_estudio[],MATCH($AI$2,Carreras,0)+2,0),""),"")</f>
        <v/>
      </c>
      <c r="AJ84" s="93" t="str">
        <f>IF(IFERROR(VLOOKUP($C84,Planes_de_estudio[],MATCH($AJ$2,Carreras,0)+2,0),"")&gt;0,IFERROR(VLOOKUP($C84,Planes_de_estudio[],MATCH($AJ$2,Carreras,0)+2,0),""),"")</f>
        <v/>
      </c>
      <c r="AK84" s="93">
        <f>IF(IFERROR(VLOOKUP($C84,Planes_de_estudio[],MATCH($AK$2,Carreras,0)+2,0),"")&gt;0,IFERROR(VLOOKUP($C84,Planes_de_estudio[],MATCH($AK$2,Carreras,0)+2,0),""),"")</f>
        <v>7</v>
      </c>
      <c r="AL8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8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27</v>
      </c>
      <c r="AN84" s="93">
        <f>base_de_datos[[#This Row],[Pronóstico]]/25</f>
        <v>1.08</v>
      </c>
      <c r="AO84" s="93" t="str">
        <f>VLOOKUP($C84,Planes_de_estudio[],2)</f>
        <v>EEC</v>
      </c>
      <c r="AP84" s="196"/>
      <c r="AQ84" s="195">
        <v>6</v>
      </c>
      <c r="AR84" s="196"/>
      <c r="AS84" s="196"/>
      <c r="AT84" s="196"/>
      <c r="AU84" s="196"/>
      <c r="AV84" s="195">
        <v>6</v>
      </c>
      <c r="AW84" s="91"/>
      <c r="AX84" s="73"/>
    </row>
    <row r="85" spans="1:50" s="5" customFormat="1" ht="16">
      <c r="B85" s="95" t="s">
        <v>233</v>
      </c>
      <c r="C85" s="96" t="s">
        <v>234</v>
      </c>
      <c r="D85" s="92">
        <v>1</v>
      </c>
      <c r="E85" s="97">
        <v>0.70833333333333304</v>
      </c>
      <c r="F85" s="97">
        <v>0.79166666666665897</v>
      </c>
      <c r="G85" s="92" t="s">
        <v>72</v>
      </c>
      <c r="H85" s="92" t="s">
        <v>236</v>
      </c>
      <c r="I85" s="92" t="e">
        <f>INDEX(Aulas_capacidad,MATCH(base_de_datos[[#This Row],[Aula]],Aulas,0),2)</f>
        <v>#REF!</v>
      </c>
      <c r="J85" s="90">
        <v>23</v>
      </c>
      <c r="K85" s="92" t="e">
        <f>INDEX(Aulas_capacidad,MATCH(base_de_datos[[#This Row],[Aula]],Aulas,0),4)</f>
        <v>#REF!</v>
      </c>
      <c r="L85" s="98" t="e">
        <f>base_de_datos[[#This Row],[Cap 1.5]]-base_de_datos[[#This Row],[Inscritos]]</f>
        <v>#REF!</v>
      </c>
      <c r="M85" s="98" t="e">
        <f>INDEX(Aulas_capacidad,MATCH(base_de_datos[[#This Row],[Aula]],Aulas,0),5)</f>
        <v>#REF!</v>
      </c>
      <c r="N85" s="98" t="e">
        <f>base_de_datos[[#This Row],[Cap .90]]-base_de_datos[[#This Row],[Inscritos]]</f>
        <v>#REF!</v>
      </c>
      <c r="O85" s="92" t="s">
        <v>235</v>
      </c>
      <c r="P85" s="99"/>
      <c r="Q85" s="100"/>
      <c r="R85" s="99"/>
      <c r="S85" s="100"/>
      <c r="T85" s="100" t="s">
        <v>68</v>
      </c>
      <c r="U85" s="99"/>
      <c r="V85" s="99"/>
      <c r="W85" s="99" t="s">
        <v>101</v>
      </c>
      <c r="X85" s="93">
        <f>_xlfn.XLOOKUP(base_de_datos[[#This Row],[Materia]],Materias,Horas)/16</f>
        <v>4</v>
      </c>
      <c r="Y85" s="93">
        <f>ROUND(((base_de_datos[[#This Row],[Hora fin]]-base_de_datos[[#This Row],[Hora inicio]])*24)*(COUNTA(base_de_datos[[#This Row],[Lunes]:[Sábado]])),1)</f>
        <v>2</v>
      </c>
      <c r="Z85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5" s="93">
        <f ca="1">IF(base_de_datos[[#This Row],[No clase]]=OFFSET(base_de_datos[[#This Row],[No clase]],-1,0),0,1)</f>
        <v>0</v>
      </c>
      <c r="AB85" s="93">
        <f ca="1">IF(NOT(OR(base_de_datos[[#This Row],[Horas totales]]=base_de_datos[[#This Row],[HT Plan]],base_de_datos[[#This Row],[Horas totales]]="N/A")),1,0)</f>
        <v>0</v>
      </c>
      <c r="AC85" s="93" t="e">
        <f>_xlfn.XLOOKUP(base_de_datos[[#This Row],[Profesor]],Nombre,Grado)</f>
        <v>#REF!</v>
      </c>
      <c r="AD85" s="94" t="e">
        <f>_xlfn.XLOOKUP(base_de_datos[[#This Row],[Profesor]],Nombre,Tipo)</f>
        <v>#REF!</v>
      </c>
      <c r="AE85" s="93" t="str">
        <f>IF(IFERROR(VLOOKUP($C85,Planes_de_estudio[],MATCH($AE$2,Carreras,0)+2,0),"")&gt;0,IFERROR(VLOOKUP($C85,Planes_de_estudio[],MATCH($AE$2,Carreras,0)+2,0),""),"")</f>
        <v/>
      </c>
      <c r="AF85" s="93">
        <f>IF(IFERROR(VLOOKUP($C85,Planes_de_estudio[],MATCH($AF$2,Carreras,0)+2,0),"")&gt;0,IFERROR(VLOOKUP($C85,Planes_de_estudio[],MATCH($AF$2,Carreras,0)+2,0),""),"")</f>
        <v>7</v>
      </c>
      <c r="AG85" s="93" t="str">
        <f>IF(IFERROR(VLOOKUP($C85,Planes_de_estudio[],MATCH($AG$2,Carreras,0)+2,0),"")&gt;0,IFERROR(VLOOKUP($C85,Planes_de_estudio[],MATCH($AG$2,Carreras,0)+2,0),""),"")</f>
        <v/>
      </c>
      <c r="AH85" s="93" t="str">
        <f>IF(IFERROR(VLOOKUP($C85,Planes_de_estudio[],MATCH($AH$2,Carreras,0)+2,0),"")&gt;0,IFERROR(VLOOKUP($C85,Planes_de_estudio[],MATCH($AH$2,Carreras,0)+2,0),""),"")</f>
        <v/>
      </c>
      <c r="AI85" s="93" t="str">
        <f>IF(IFERROR(VLOOKUP($C85,Planes_de_estudio[],MATCH($AI$2,Carreras,0)+2,0),"")&gt;0,IFERROR(VLOOKUP($C85,Planes_de_estudio[],MATCH($AI$2,Carreras,0)+2,0),""),"")</f>
        <v/>
      </c>
      <c r="AJ85" s="93" t="str">
        <f>IF(IFERROR(VLOOKUP($C85,Planes_de_estudio[],MATCH($AJ$2,Carreras,0)+2,0),"")&gt;0,IFERROR(VLOOKUP($C85,Planes_de_estudio[],MATCH($AJ$2,Carreras,0)+2,0),""),"")</f>
        <v/>
      </c>
      <c r="AK85" s="93">
        <f>IF(IFERROR(VLOOKUP($C85,Planes_de_estudio[],MATCH($AK$2,Carreras,0)+2,0),"")&gt;0,IFERROR(VLOOKUP($C85,Planes_de_estudio[],MATCH($AK$2,Carreras,0)+2,0),""),"")</f>
        <v>7</v>
      </c>
      <c r="AL8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8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27</v>
      </c>
      <c r="AN85" s="93">
        <f>base_de_datos[[#This Row],[Pronóstico]]/25</f>
        <v>1.08</v>
      </c>
      <c r="AO85" s="93" t="str">
        <f>VLOOKUP($C85,Planes_de_estudio[],2)</f>
        <v>EEC</v>
      </c>
      <c r="AP85" s="196"/>
      <c r="AQ85" s="196"/>
      <c r="AR85" s="196"/>
      <c r="AS85" s="196"/>
      <c r="AT85" s="196"/>
      <c r="AU85" s="196"/>
      <c r="AV85" s="196"/>
      <c r="AW85" s="91"/>
      <c r="AX85" s="73"/>
    </row>
    <row r="86" spans="1:50" s="5" customFormat="1" ht="15">
      <c r="A86" s="5" t="s">
        <v>63</v>
      </c>
      <c r="B86" s="95" t="s">
        <v>237</v>
      </c>
      <c r="C86" s="96" t="s">
        <v>94</v>
      </c>
      <c r="D86" s="92">
        <v>4</v>
      </c>
      <c r="E86" s="97">
        <v>0.29166666666666669</v>
      </c>
      <c r="F86" s="97">
        <v>0.374999999999999</v>
      </c>
      <c r="G86" s="92"/>
      <c r="H86" s="92" t="s">
        <v>90</v>
      </c>
      <c r="I86" s="92" t="e">
        <f>INDEX(Aulas_capacidad,MATCH(base_de_datos[[#This Row],[Aula]],Aulas,0),2)</f>
        <v>#REF!</v>
      </c>
      <c r="J86" s="90">
        <v>26</v>
      </c>
      <c r="K86" s="92" t="e">
        <f>INDEX(Aulas_capacidad,MATCH(base_de_datos[[#This Row],[Aula]],Aulas,0),4)</f>
        <v>#REF!</v>
      </c>
      <c r="L86" s="98" t="e">
        <f>base_de_datos[[#This Row],[Cap 1.5]]-base_de_datos[[#This Row],[Inscritos]]</f>
        <v>#REF!</v>
      </c>
      <c r="M86" s="98" t="e">
        <f>INDEX(Aulas_capacidad,MATCH(base_de_datos[[#This Row],[Aula]],Aulas,0),5)</f>
        <v>#REF!</v>
      </c>
      <c r="N86" s="98" t="e">
        <f>base_de_datos[[#This Row],[Cap .90]]-base_de_datos[[#This Row],[Inscritos]]</f>
        <v>#REF!</v>
      </c>
      <c r="O86" s="92" t="s">
        <v>238</v>
      </c>
      <c r="P86" s="99"/>
      <c r="Q86" s="100" t="s">
        <v>68</v>
      </c>
      <c r="R86" s="99"/>
      <c r="S86" s="100"/>
      <c r="T86" s="100"/>
      <c r="U86" s="99"/>
      <c r="V86" s="99"/>
      <c r="W86" s="99" t="s">
        <v>79</v>
      </c>
      <c r="X86" s="93">
        <f>_xlfn.XLOOKUP(base_de_datos[[#This Row],[Materia]],Materias,Horas)/16</f>
        <v>4</v>
      </c>
      <c r="Y86" s="93">
        <f>ROUND(((base_de_datos[[#This Row],[Hora fin]]-base_de_datos[[#This Row],[Hora inicio]])*24)*(COUNTA(base_de_datos[[#This Row],[Lunes]:[Sábado]])),1)</f>
        <v>2</v>
      </c>
      <c r="Z86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6" s="93">
        <f ca="1">IF(base_de_datos[[#This Row],[No clase]]=OFFSET(base_de_datos[[#This Row],[No clase]],-1,0),0,1)</f>
        <v>1</v>
      </c>
      <c r="AB86" s="93">
        <f ca="1">IF(NOT(OR(base_de_datos[[#This Row],[Horas totales]]=base_de_datos[[#This Row],[HT Plan]],base_de_datos[[#This Row],[Horas totales]]="N/A")),1,0)</f>
        <v>0</v>
      </c>
      <c r="AC86" s="93" t="e">
        <f>_xlfn.XLOOKUP(base_de_datos[[#This Row],[Profesor]],Nombre,Grado)</f>
        <v>#REF!</v>
      </c>
      <c r="AD86" s="94" t="e">
        <f>_xlfn.XLOOKUP(base_de_datos[[#This Row],[Profesor]],Nombre,Tipo)</f>
        <v>#REF!</v>
      </c>
      <c r="AE86" s="93">
        <f>IF(IFERROR(VLOOKUP($C86,Planes_de_estudio[],MATCH($AE$2,Carreras,0)+2,0),"")&gt;0,IFERROR(VLOOKUP($C86,Planes_de_estudio[],MATCH($AE$2,Carreras,0)+2,0),""),"")</f>
        <v>1</v>
      </c>
      <c r="AF86" s="93">
        <f>IF(IFERROR(VLOOKUP($C86,Planes_de_estudio[],MATCH($AF$2,Carreras,0)+2,0),"")&gt;0,IFERROR(VLOOKUP($C86,Planes_de_estudio[],MATCH($AF$2,Carreras,0)+2,0),""),"")</f>
        <v>1</v>
      </c>
      <c r="AG86" s="93">
        <f>IF(IFERROR(VLOOKUP($C86,Planes_de_estudio[],MATCH($AG$2,Carreras,0)+2,0),"")&gt;0,IFERROR(VLOOKUP($C86,Planes_de_estudio[],MATCH($AG$2,Carreras,0)+2,0),""),"")</f>
        <v>1</v>
      </c>
      <c r="AH86" s="93">
        <f>IF(IFERROR(VLOOKUP($C86,Planes_de_estudio[],MATCH($AH$2,Carreras,0)+2,0),"")&gt;0,IFERROR(VLOOKUP($C86,Planes_de_estudio[],MATCH($AH$2,Carreras,0)+2,0),""),"")</f>
        <v>1</v>
      </c>
      <c r="AI86" s="93">
        <f>IF(IFERROR(VLOOKUP($C86,Planes_de_estudio[],MATCH($AI$2,Carreras,0)+2,0),"")&gt;0,IFERROR(VLOOKUP($C86,Planes_de_estudio[],MATCH($AI$2,Carreras,0)+2,0),""),"")</f>
        <v>1</v>
      </c>
      <c r="AJ86" s="93">
        <f>IF(IFERROR(VLOOKUP($C86,Planes_de_estudio[],MATCH($AJ$2,Carreras,0)+2,0),"")&gt;0,IFERROR(VLOOKUP($C86,Planes_de_estudio[],MATCH($AJ$2,Carreras,0)+2,0),""),"")</f>
        <v>1</v>
      </c>
      <c r="AK86" s="93">
        <f>IF(IFERROR(VLOOKUP($C86,Planes_de_estudio[],MATCH($AK$2,Carreras,0)+2,0),"")&gt;0,IFERROR(VLOOKUP($C86,Planes_de_estudio[],MATCH($AK$2,Carreras,0)+2,0),""),"")</f>
        <v>1</v>
      </c>
      <c r="AL8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8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86" s="93">
        <f>base_de_datos[[#This Row],[Pronóstico]]/25</f>
        <v>5.2</v>
      </c>
      <c r="AO86" s="93" t="str">
        <f>VLOOKUP($C86,Planes_de_estudio[],2)</f>
        <v>MAT</v>
      </c>
      <c r="AP86" s="195">
        <v>6</v>
      </c>
      <c r="AQ86" s="195">
        <v>6</v>
      </c>
      <c r="AR86" s="195">
        <v>6</v>
      </c>
      <c r="AS86" s="195">
        <v>6</v>
      </c>
      <c r="AT86" s="195">
        <v>6</v>
      </c>
      <c r="AU86" s="195">
        <v>6</v>
      </c>
      <c r="AV86" s="195">
        <v>6</v>
      </c>
      <c r="AW86" s="91"/>
      <c r="AX86" s="73"/>
    </row>
    <row r="87" spans="1:50" s="5" customFormat="1" ht="16">
      <c r="B87" s="95" t="s">
        <v>237</v>
      </c>
      <c r="C87" s="96" t="s">
        <v>94</v>
      </c>
      <c r="D87" s="92">
        <v>4</v>
      </c>
      <c r="E87" s="97">
        <v>0.29166666666666669</v>
      </c>
      <c r="F87" s="97">
        <v>0.374999999999999</v>
      </c>
      <c r="G87" s="92"/>
      <c r="H87" s="92" t="s">
        <v>195</v>
      </c>
      <c r="I87" s="92" t="e">
        <f>INDEX(Aulas_capacidad,MATCH(base_de_datos[[#This Row],[Aula]],Aulas,0),2)</f>
        <v>#REF!</v>
      </c>
      <c r="J87" s="90">
        <v>26</v>
      </c>
      <c r="K87" s="92" t="e">
        <f>INDEX(Aulas_capacidad,MATCH(base_de_datos[[#This Row],[Aula]],Aulas,0),4)</f>
        <v>#REF!</v>
      </c>
      <c r="L87" s="98" t="e">
        <f>base_de_datos[[#This Row],[Cap 1.5]]-base_de_datos[[#This Row],[Inscritos]]</f>
        <v>#REF!</v>
      </c>
      <c r="M87" s="98" t="e">
        <f>INDEX(Aulas_capacidad,MATCH(base_de_datos[[#This Row],[Aula]],Aulas,0),5)</f>
        <v>#REF!</v>
      </c>
      <c r="N87" s="98" t="e">
        <f>base_de_datos[[#This Row],[Cap .90]]-base_de_datos[[#This Row],[Inscritos]]</f>
        <v>#REF!</v>
      </c>
      <c r="O87" s="92" t="s">
        <v>238</v>
      </c>
      <c r="P87" s="99"/>
      <c r="Q87" s="100"/>
      <c r="R87" s="99"/>
      <c r="S87" s="100" t="s">
        <v>68</v>
      </c>
      <c r="T87" s="100"/>
      <c r="U87" s="99"/>
      <c r="V87" s="99"/>
      <c r="W87" s="99" t="s">
        <v>79</v>
      </c>
      <c r="X87" s="93">
        <f>_xlfn.XLOOKUP(base_de_datos[[#This Row],[Materia]],Materias,Horas)/16</f>
        <v>4</v>
      </c>
      <c r="Y87" s="93">
        <f>ROUND(((base_de_datos[[#This Row],[Hora fin]]-base_de_datos[[#This Row],[Hora inicio]])*24)*(COUNTA(base_de_datos[[#This Row],[Lunes]:[Sábado]])),1)</f>
        <v>2</v>
      </c>
      <c r="Z87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7" s="93">
        <f ca="1">IF(base_de_datos[[#This Row],[No clase]]=OFFSET(base_de_datos[[#This Row],[No clase]],-1,0),0,1)</f>
        <v>0</v>
      </c>
      <c r="AB87" s="93">
        <f ca="1">IF(NOT(OR(base_de_datos[[#This Row],[Horas totales]]=base_de_datos[[#This Row],[HT Plan]],base_de_datos[[#This Row],[Horas totales]]="N/A")),1,0)</f>
        <v>0</v>
      </c>
      <c r="AC87" s="93" t="e">
        <f>_xlfn.XLOOKUP(base_de_datos[[#This Row],[Profesor]],Nombre,Grado)</f>
        <v>#REF!</v>
      </c>
      <c r="AD87" s="94" t="e">
        <f>_xlfn.XLOOKUP(base_de_datos[[#This Row],[Profesor]],Nombre,Tipo)</f>
        <v>#REF!</v>
      </c>
      <c r="AE87" s="93">
        <f>IF(IFERROR(VLOOKUP($C87,Planes_de_estudio[],MATCH($AE$2,Carreras,0)+2,0),"")&gt;0,IFERROR(VLOOKUP($C87,Planes_de_estudio[],MATCH($AE$2,Carreras,0)+2,0),""),"")</f>
        <v>1</v>
      </c>
      <c r="AF87" s="93">
        <f>IF(IFERROR(VLOOKUP($C87,Planes_de_estudio[],MATCH($AF$2,Carreras,0)+2,0),"")&gt;0,IFERROR(VLOOKUP($C87,Planes_de_estudio[],MATCH($AF$2,Carreras,0)+2,0),""),"")</f>
        <v>1</v>
      </c>
      <c r="AG87" s="93">
        <f>IF(IFERROR(VLOOKUP($C87,Planes_de_estudio[],MATCH($AG$2,Carreras,0)+2,0),"")&gt;0,IFERROR(VLOOKUP($C87,Planes_de_estudio[],MATCH($AG$2,Carreras,0)+2,0),""),"")</f>
        <v>1</v>
      </c>
      <c r="AH87" s="93">
        <f>IF(IFERROR(VLOOKUP($C87,Planes_de_estudio[],MATCH($AH$2,Carreras,0)+2,0),"")&gt;0,IFERROR(VLOOKUP($C87,Planes_de_estudio[],MATCH($AH$2,Carreras,0)+2,0),""),"")</f>
        <v>1</v>
      </c>
      <c r="AI87" s="93">
        <f>IF(IFERROR(VLOOKUP($C87,Planes_de_estudio[],MATCH($AI$2,Carreras,0)+2,0),"")&gt;0,IFERROR(VLOOKUP($C87,Planes_de_estudio[],MATCH($AI$2,Carreras,0)+2,0),""),"")</f>
        <v>1</v>
      </c>
      <c r="AJ87" s="93">
        <f>IF(IFERROR(VLOOKUP($C87,Planes_de_estudio[],MATCH($AJ$2,Carreras,0)+2,0),"")&gt;0,IFERROR(VLOOKUP($C87,Planes_de_estudio[],MATCH($AJ$2,Carreras,0)+2,0),""),"")</f>
        <v>1</v>
      </c>
      <c r="AK87" s="93">
        <f>IF(IFERROR(VLOOKUP($C87,Planes_de_estudio[],MATCH($AK$2,Carreras,0)+2,0),"")&gt;0,IFERROR(VLOOKUP($C87,Planes_de_estudio[],MATCH($AK$2,Carreras,0)+2,0),""),"")</f>
        <v>1</v>
      </c>
      <c r="AL8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8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87" s="93">
        <f>base_de_datos[[#This Row],[Pronóstico]]/25</f>
        <v>5.2</v>
      </c>
      <c r="AO87" s="93" t="str">
        <f>VLOOKUP($C87,Planes_de_estudio[],2)</f>
        <v>MAT</v>
      </c>
      <c r="AP87" s="196"/>
      <c r="AQ87" s="196"/>
      <c r="AR87" s="196"/>
      <c r="AS87" s="196"/>
      <c r="AT87" s="196"/>
      <c r="AU87" s="196"/>
      <c r="AV87" s="196"/>
      <c r="AW87" s="91"/>
      <c r="AX87" s="73"/>
    </row>
    <row r="88" spans="1:50" s="5" customFormat="1" ht="15">
      <c r="A88" s="5" t="s">
        <v>63</v>
      </c>
      <c r="B88" s="95" t="s">
        <v>239</v>
      </c>
      <c r="C88" s="96" t="s">
        <v>94</v>
      </c>
      <c r="D88" s="92">
        <v>5</v>
      </c>
      <c r="E88" s="97">
        <v>0.29166666666666669</v>
      </c>
      <c r="F88" s="97">
        <v>0.374999999999999</v>
      </c>
      <c r="G88" s="92"/>
      <c r="H88" s="92" t="s">
        <v>205</v>
      </c>
      <c r="I88" s="92" t="e">
        <f>INDEX(Aulas_capacidad,MATCH(base_de_datos[[#This Row],[Aula]],Aulas,0),2)</f>
        <v>#REF!</v>
      </c>
      <c r="J88" s="90">
        <v>19</v>
      </c>
      <c r="K88" s="92" t="e">
        <f>INDEX(Aulas_capacidad,MATCH(base_de_datos[[#This Row],[Aula]],Aulas,0),4)</f>
        <v>#REF!</v>
      </c>
      <c r="L88" s="98" t="e">
        <f>base_de_datos[[#This Row],[Cap 1.5]]-base_de_datos[[#This Row],[Inscritos]]</f>
        <v>#REF!</v>
      </c>
      <c r="M88" s="98" t="e">
        <f>INDEX(Aulas_capacidad,MATCH(base_de_datos[[#This Row],[Aula]],Aulas,0),5)</f>
        <v>#REF!</v>
      </c>
      <c r="N88" s="98" t="e">
        <f>base_de_datos[[#This Row],[Cap .90]]-base_de_datos[[#This Row],[Inscritos]]</f>
        <v>#REF!</v>
      </c>
      <c r="O88" s="92" t="s">
        <v>240</v>
      </c>
      <c r="P88" s="99"/>
      <c r="Q88" s="100" t="s">
        <v>68</v>
      </c>
      <c r="R88" s="99"/>
      <c r="S88" s="100"/>
      <c r="T88" s="100"/>
      <c r="U88" s="99"/>
      <c r="V88" s="99"/>
      <c r="W88" s="99" t="s">
        <v>79</v>
      </c>
      <c r="X88" s="93">
        <f>_xlfn.XLOOKUP(base_de_datos[[#This Row],[Materia]],Materias,Horas)/16</f>
        <v>4</v>
      </c>
      <c r="Y88" s="93">
        <f>ROUND(((base_de_datos[[#This Row],[Hora fin]]-base_de_datos[[#This Row],[Hora inicio]])*24)*(COUNTA(base_de_datos[[#This Row],[Lunes]:[Sábado]])),1)</f>
        <v>2</v>
      </c>
      <c r="Z88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8" s="93">
        <f ca="1">IF(base_de_datos[[#This Row],[No clase]]=OFFSET(base_de_datos[[#This Row],[No clase]],-1,0),0,1)</f>
        <v>1</v>
      </c>
      <c r="AB88" s="93">
        <f ca="1">IF(NOT(OR(base_de_datos[[#This Row],[Horas totales]]=base_de_datos[[#This Row],[HT Plan]],base_de_datos[[#This Row],[Horas totales]]="N/A")),1,0)</f>
        <v>0</v>
      </c>
      <c r="AC88" s="93" t="e">
        <f>_xlfn.XLOOKUP(base_de_datos[[#This Row],[Profesor]],Nombre,Grado)</f>
        <v>#REF!</v>
      </c>
      <c r="AD88" s="94" t="e">
        <f>_xlfn.XLOOKUP(base_de_datos[[#This Row],[Profesor]],Nombre,Tipo)</f>
        <v>#REF!</v>
      </c>
      <c r="AE88" s="93">
        <f>IF(IFERROR(VLOOKUP($C88,Planes_de_estudio[],MATCH($AE$2,Carreras,0)+2,0),"")&gt;0,IFERROR(VLOOKUP($C88,Planes_de_estudio[],MATCH($AE$2,Carreras,0)+2,0),""),"")</f>
        <v>1</v>
      </c>
      <c r="AF88" s="93">
        <f>IF(IFERROR(VLOOKUP($C88,Planes_de_estudio[],MATCH($AF$2,Carreras,0)+2,0),"")&gt;0,IFERROR(VLOOKUP($C88,Planes_de_estudio[],MATCH($AF$2,Carreras,0)+2,0),""),"")</f>
        <v>1</v>
      </c>
      <c r="AG88" s="93">
        <f>IF(IFERROR(VLOOKUP($C88,Planes_de_estudio[],MATCH($AG$2,Carreras,0)+2,0),"")&gt;0,IFERROR(VLOOKUP($C88,Planes_de_estudio[],MATCH($AG$2,Carreras,0)+2,0),""),"")</f>
        <v>1</v>
      </c>
      <c r="AH88" s="93">
        <f>IF(IFERROR(VLOOKUP($C88,Planes_de_estudio[],MATCH($AH$2,Carreras,0)+2,0),"")&gt;0,IFERROR(VLOOKUP($C88,Planes_de_estudio[],MATCH($AH$2,Carreras,0)+2,0),""),"")</f>
        <v>1</v>
      </c>
      <c r="AI88" s="93">
        <f>IF(IFERROR(VLOOKUP($C88,Planes_de_estudio[],MATCH($AI$2,Carreras,0)+2,0),"")&gt;0,IFERROR(VLOOKUP($C88,Planes_de_estudio[],MATCH($AI$2,Carreras,0)+2,0),""),"")</f>
        <v>1</v>
      </c>
      <c r="AJ88" s="93">
        <f>IF(IFERROR(VLOOKUP($C88,Planes_de_estudio[],MATCH($AJ$2,Carreras,0)+2,0),"")&gt;0,IFERROR(VLOOKUP($C88,Planes_de_estudio[],MATCH($AJ$2,Carreras,0)+2,0),""),"")</f>
        <v>1</v>
      </c>
      <c r="AK88" s="93">
        <f>IF(IFERROR(VLOOKUP($C88,Planes_de_estudio[],MATCH($AK$2,Carreras,0)+2,0),"")&gt;0,IFERROR(VLOOKUP($C88,Planes_de_estudio[],MATCH($AK$2,Carreras,0)+2,0),""),"")</f>
        <v>1</v>
      </c>
      <c r="AL8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8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88" s="93">
        <f>base_de_datos[[#This Row],[Pronóstico]]/25</f>
        <v>5.2</v>
      </c>
      <c r="AO88" s="93" t="str">
        <f>VLOOKUP($C88,Planes_de_estudio[],2)</f>
        <v>MAT</v>
      </c>
      <c r="AP88" s="195">
        <v>6</v>
      </c>
      <c r="AQ88" s="195">
        <v>6</v>
      </c>
      <c r="AR88" s="195">
        <v>6</v>
      </c>
      <c r="AS88" s="195">
        <v>6</v>
      </c>
      <c r="AT88" s="195">
        <v>6</v>
      </c>
      <c r="AU88" s="195">
        <v>6</v>
      </c>
      <c r="AV88" s="195">
        <v>6</v>
      </c>
      <c r="AW88" s="91"/>
      <c r="AX88" s="73"/>
    </row>
    <row r="89" spans="1:50" s="5" customFormat="1" ht="16">
      <c r="B89" s="95" t="s">
        <v>239</v>
      </c>
      <c r="C89" s="96" t="s">
        <v>94</v>
      </c>
      <c r="D89" s="92">
        <v>5</v>
      </c>
      <c r="E89" s="97">
        <v>0.29166666666666669</v>
      </c>
      <c r="F89" s="97">
        <v>0.374999999999999</v>
      </c>
      <c r="G89" s="92"/>
      <c r="H89" s="92" t="s">
        <v>90</v>
      </c>
      <c r="I89" s="92" t="e">
        <f>INDEX(Aulas_capacidad,MATCH(base_de_datos[[#This Row],[Aula]],Aulas,0),2)</f>
        <v>#REF!</v>
      </c>
      <c r="J89" s="90">
        <v>19</v>
      </c>
      <c r="K89" s="92" t="e">
        <f>INDEX(Aulas_capacidad,MATCH(base_de_datos[[#This Row],[Aula]],Aulas,0),4)</f>
        <v>#REF!</v>
      </c>
      <c r="L89" s="98" t="e">
        <f>base_de_datos[[#This Row],[Cap 1.5]]-base_de_datos[[#This Row],[Inscritos]]</f>
        <v>#REF!</v>
      </c>
      <c r="M89" s="98" t="e">
        <f>INDEX(Aulas_capacidad,MATCH(base_de_datos[[#This Row],[Aula]],Aulas,0),5)</f>
        <v>#REF!</v>
      </c>
      <c r="N89" s="98" t="e">
        <f>base_de_datos[[#This Row],[Cap .90]]-base_de_datos[[#This Row],[Inscritos]]</f>
        <v>#REF!</v>
      </c>
      <c r="O89" s="92" t="s">
        <v>240</v>
      </c>
      <c r="P89" s="99"/>
      <c r="Q89" s="100"/>
      <c r="R89" s="99"/>
      <c r="S89" s="100" t="s">
        <v>68</v>
      </c>
      <c r="T89" s="100"/>
      <c r="U89" s="99"/>
      <c r="V89" s="99"/>
      <c r="W89" s="99" t="s">
        <v>79</v>
      </c>
      <c r="X89" s="93">
        <f>_xlfn.XLOOKUP(base_de_datos[[#This Row],[Materia]],Materias,Horas)/16</f>
        <v>4</v>
      </c>
      <c r="Y89" s="93">
        <f>ROUND(((base_de_datos[[#This Row],[Hora fin]]-base_de_datos[[#This Row],[Hora inicio]])*24)*(COUNTA(base_de_datos[[#This Row],[Lunes]:[Sábado]])),1)</f>
        <v>2</v>
      </c>
      <c r="Z89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9" s="93">
        <f ca="1">IF(base_de_datos[[#This Row],[No clase]]=OFFSET(base_de_datos[[#This Row],[No clase]],-1,0),0,1)</f>
        <v>0</v>
      </c>
      <c r="AB89" s="93">
        <f ca="1">IF(NOT(OR(base_de_datos[[#This Row],[Horas totales]]=base_de_datos[[#This Row],[HT Plan]],base_de_datos[[#This Row],[Horas totales]]="N/A")),1,0)</f>
        <v>0</v>
      </c>
      <c r="AC89" s="93" t="e">
        <f>_xlfn.XLOOKUP(base_de_datos[[#This Row],[Profesor]],Nombre,Grado)</f>
        <v>#REF!</v>
      </c>
      <c r="AD89" s="94" t="e">
        <f>_xlfn.XLOOKUP(base_de_datos[[#This Row],[Profesor]],Nombre,Tipo)</f>
        <v>#REF!</v>
      </c>
      <c r="AE89" s="93">
        <f>IF(IFERROR(VLOOKUP($C89,Planes_de_estudio[],MATCH($AE$2,Carreras,0)+2,0),"")&gt;0,IFERROR(VLOOKUP($C89,Planes_de_estudio[],MATCH($AE$2,Carreras,0)+2,0),""),"")</f>
        <v>1</v>
      </c>
      <c r="AF89" s="93">
        <f>IF(IFERROR(VLOOKUP($C89,Planes_de_estudio[],MATCH($AF$2,Carreras,0)+2,0),"")&gt;0,IFERROR(VLOOKUP($C89,Planes_de_estudio[],MATCH($AF$2,Carreras,0)+2,0),""),"")</f>
        <v>1</v>
      </c>
      <c r="AG89" s="93">
        <f>IF(IFERROR(VLOOKUP($C89,Planes_de_estudio[],MATCH($AG$2,Carreras,0)+2,0),"")&gt;0,IFERROR(VLOOKUP($C89,Planes_de_estudio[],MATCH($AG$2,Carreras,0)+2,0),""),"")</f>
        <v>1</v>
      </c>
      <c r="AH89" s="93">
        <f>IF(IFERROR(VLOOKUP($C89,Planes_de_estudio[],MATCH($AH$2,Carreras,0)+2,0),"")&gt;0,IFERROR(VLOOKUP($C89,Planes_de_estudio[],MATCH($AH$2,Carreras,0)+2,0),""),"")</f>
        <v>1</v>
      </c>
      <c r="AI89" s="93">
        <f>IF(IFERROR(VLOOKUP($C89,Planes_de_estudio[],MATCH($AI$2,Carreras,0)+2,0),"")&gt;0,IFERROR(VLOOKUP($C89,Planes_de_estudio[],MATCH($AI$2,Carreras,0)+2,0),""),"")</f>
        <v>1</v>
      </c>
      <c r="AJ89" s="93">
        <f>IF(IFERROR(VLOOKUP($C89,Planes_de_estudio[],MATCH($AJ$2,Carreras,0)+2,0),"")&gt;0,IFERROR(VLOOKUP($C89,Planes_de_estudio[],MATCH($AJ$2,Carreras,0)+2,0),""),"")</f>
        <v>1</v>
      </c>
      <c r="AK89" s="93">
        <f>IF(IFERROR(VLOOKUP($C89,Planes_de_estudio[],MATCH($AK$2,Carreras,0)+2,0),"")&gt;0,IFERROR(VLOOKUP($C89,Planes_de_estudio[],MATCH($AK$2,Carreras,0)+2,0),""),"")</f>
        <v>1</v>
      </c>
      <c r="AL8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8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89" s="93">
        <f>base_de_datos[[#This Row],[Pronóstico]]/25</f>
        <v>5.2</v>
      </c>
      <c r="AO89" s="93" t="str">
        <f>VLOOKUP($C89,Planes_de_estudio[],2)</f>
        <v>MAT</v>
      </c>
      <c r="AP89" s="196"/>
      <c r="AQ89" s="196"/>
      <c r="AR89" s="196"/>
      <c r="AS89" s="196"/>
      <c r="AT89" s="196"/>
      <c r="AU89" s="196"/>
      <c r="AV89" s="196"/>
      <c r="AW89" s="91"/>
      <c r="AX89" s="73"/>
    </row>
    <row r="90" spans="1:50" s="5" customFormat="1" ht="15">
      <c r="B90" s="95" t="s">
        <v>241</v>
      </c>
      <c r="C90" s="96" t="s">
        <v>94</v>
      </c>
      <c r="D90" s="92">
        <v>1</v>
      </c>
      <c r="E90" s="97">
        <v>0.29166666666666669</v>
      </c>
      <c r="F90" s="97">
        <v>0.45833333333333098</v>
      </c>
      <c r="G90" s="92"/>
      <c r="H90" s="92" t="s">
        <v>195</v>
      </c>
      <c r="I90" s="92" t="e">
        <f>INDEX(Aulas_capacidad,MATCH(base_de_datos[[#This Row],[Aula]],Aulas,0),2)</f>
        <v>#REF!</v>
      </c>
      <c r="J90" s="90">
        <v>29</v>
      </c>
      <c r="K90" s="92" t="e">
        <f>INDEX(Aulas_capacidad,MATCH(base_de_datos[[#This Row],[Aula]],Aulas,0),4)</f>
        <v>#REF!</v>
      </c>
      <c r="L90" s="98" t="e">
        <f>base_de_datos[[#This Row],[Cap 1.5]]-base_de_datos[[#This Row],[Inscritos]]</f>
        <v>#REF!</v>
      </c>
      <c r="M90" s="98" t="e">
        <f>INDEX(Aulas_capacidad,MATCH(base_de_datos[[#This Row],[Aula]],Aulas,0),5)</f>
        <v>#REF!</v>
      </c>
      <c r="N90" s="98" t="e">
        <f>base_de_datos[[#This Row],[Cap .90]]-base_de_datos[[#This Row],[Inscritos]]</f>
        <v>#REF!</v>
      </c>
      <c r="O90" s="92" t="s">
        <v>242</v>
      </c>
      <c r="P90" s="99"/>
      <c r="Q90" s="100" t="s">
        <v>68</v>
      </c>
      <c r="R90" s="99"/>
      <c r="S90" s="100"/>
      <c r="T90" s="100"/>
      <c r="U90" s="99"/>
      <c r="V90" s="99"/>
      <c r="W90" s="99" t="s">
        <v>79</v>
      </c>
      <c r="X90" s="93">
        <f>_xlfn.XLOOKUP(base_de_datos[[#This Row],[Materia]],Materias,Horas)/16</f>
        <v>4</v>
      </c>
      <c r="Y90" s="93">
        <f>ROUND(((base_de_datos[[#This Row],[Hora fin]]-base_de_datos[[#This Row],[Hora inicio]])*24)*(COUNTA(base_de_datos[[#This Row],[Lunes]:[Sábado]])),1)</f>
        <v>4</v>
      </c>
      <c r="Z90" s="93">
        <f ca="1">IF(base_de_datos[[#This Row],[Misma o no]]=0,"N/A",IF((OFFSET(base_de_datos[[#This Row],[Misma o no]],1,0))=0,base_de_datos[[#This Row],[Horas]]+(OFFSET(base_de_datos[[#This Row],[Horas]],1,0)),base_de_datos[[#This Row],[Horas]]))</f>
        <v>8</v>
      </c>
      <c r="AA90" s="93">
        <f ca="1">IF(base_de_datos[[#This Row],[No clase]]=OFFSET(base_de_datos[[#This Row],[No clase]],-1,0),0,1)</f>
        <v>1</v>
      </c>
      <c r="AB90" s="93">
        <f ca="1">IF(NOT(OR(base_de_datos[[#This Row],[Horas totales]]=base_de_datos[[#This Row],[HT Plan]],base_de_datos[[#This Row],[Horas totales]]="N/A")),1,0)</f>
        <v>1</v>
      </c>
      <c r="AC90" s="93" t="e">
        <f>_xlfn.XLOOKUP(base_de_datos[[#This Row],[Profesor]],Nombre,Grado)</f>
        <v>#REF!</v>
      </c>
      <c r="AD90" s="94" t="e">
        <f>_xlfn.XLOOKUP(base_de_datos[[#This Row],[Profesor]],Nombre,Tipo)</f>
        <v>#REF!</v>
      </c>
      <c r="AE90" s="93">
        <f>IF(IFERROR(VLOOKUP($C90,Planes_de_estudio[],MATCH($AE$2,Carreras,0)+2,0),"")&gt;0,IFERROR(VLOOKUP($C90,Planes_de_estudio[],MATCH($AE$2,Carreras,0)+2,0),""),"")</f>
        <v>1</v>
      </c>
      <c r="AF90" s="93">
        <f>IF(IFERROR(VLOOKUP($C90,Planes_de_estudio[],MATCH($AF$2,Carreras,0)+2,0),"")&gt;0,IFERROR(VLOOKUP($C90,Planes_de_estudio[],MATCH($AF$2,Carreras,0)+2,0),""),"")</f>
        <v>1</v>
      </c>
      <c r="AG90" s="93">
        <f>IF(IFERROR(VLOOKUP($C90,Planes_de_estudio[],MATCH($AG$2,Carreras,0)+2,0),"")&gt;0,IFERROR(VLOOKUP($C90,Planes_de_estudio[],MATCH($AG$2,Carreras,0)+2,0),""),"")</f>
        <v>1</v>
      </c>
      <c r="AH90" s="93">
        <f>IF(IFERROR(VLOOKUP($C90,Planes_de_estudio[],MATCH($AH$2,Carreras,0)+2,0),"")&gt;0,IFERROR(VLOOKUP($C90,Planes_de_estudio[],MATCH($AH$2,Carreras,0)+2,0),""),"")</f>
        <v>1</v>
      </c>
      <c r="AI90" s="93">
        <f>IF(IFERROR(VLOOKUP($C90,Planes_de_estudio[],MATCH($AI$2,Carreras,0)+2,0),"")&gt;0,IFERROR(VLOOKUP($C90,Planes_de_estudio[],MATCH($AI$2,Carreras,0)+2,0),""),"")</f>
        <v>1</v>
      </c>
      <c r="AJ90" s="93">
        <f>IF(IFERROR(VLOOKUP($C90,Planes_de_estudio[],MATCH($AJ$2,Carreras,0)+2,0),"")&gt;0,IFERROR(VLOOKUP($C90,Planes_de_estudio[],MATCH($AJ$2,Carreras,0)+2,0),""),"")</f>
        <v>1</v>
      </c>
      <c r="AK90" s="93">
        <f>IF(IFERROR(VLOOKUP($C90,Planes_de_estudio[],MATCH($AK$2,Carreras,0)+2,0),"")&gt;0,IFERROR(VLOOKUP($C90,Planes_de_estudio[],MATCH($AK$2,Carreras,0)+2,0),""),"")</f>
        <v>1</v>
      </c>
      <c r="AL9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9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90" s="93">
        <f>base_de_datos[[#This Row],[Pronóstico]]/25</f>
        <v>5.2</v>
      </c>
      <c r="AO90" s="93" t="str">
        <f>VLOOKUP($C90,Planes_de_estudio[],2)</f>
        <v>MAT</v>
      </c>
      <c r="AP90" s="195">
        <v>6</v>
      </c>
      <c r="AQ90" s="195">
        <v>6</v>
      </c>
      <c r="AR90" s="195">
        <v>6</v>
      </c>
      <c r="AS90" s="195">
        <v>6</v>
      </c>
      <c r="AT90" s="195">
        <v>6</v>
      </c>
      <c r="AU90" s="195">
        <v>6</v>
      </c>
      <c r="AV90" s="195">
        <v>6</v>
      </c>
      <c r="AW90" s="91"/>
      <c r="AX90" s="73"/>
    </row>
    <row r="91" spans="1:50" s="5" customFormat="1" ht="16">
      <c r="A91" s="5" t="s">
        <v>63</v>
      </c>
      <c r="B91" s="95" t="s">
        <v>241</v>
      </c>
      <c r="C91" s="96" t="s">
        <v>94</v>
      </c>
      <c r="D91" s="92">
        <v>1</v>
      </c>
      <c r="E91" s="97">
        <v>0.29166666666666669</v>
      </c>
      <c r="F91" s="97">
        <v>0.45833333333333098</v>
      </c>
      <c r="G91" s="92"/>
      <c r="H91" s="92" t="s">
        <v>128</v>
      </c>
      <c r="I91" s="92" t="e">
        <f>INDEX(Aulas_capacidad,MATCH(base_de_datos[[#This Row],[Aula]],Aulas,0),2)</f>
        <v>#REF!</v>
      </c>
      <c r="J91" s="90">
        <v>29</v>
      </c>
      <c r="K91" s="92" t="e">
        <f>INDEX(Aulas_capacidad,MATCH(base_de_datos[[#This Row],[Aula]],Aulas,0),4)</f>
        <v>#REF!</v>
      </c>
      <c r="L91" s="98" t="e">
        <f>base_de_datos[[#This Row],[Cap 1.5]]-base_de_datos[[#This Row],[Inscritos]]</f>
        <v>#REF!</v>
      </c>
      <c r="M91" s="98" t="e">
        <f>INDEX(Aulas_capacidad,MATCH(base_de_datos[[#This Row],[Aula]],Aulas,0),5)</f>
        <v>#REF!</v>
      </c>
      <c r="N91" s="98" t="e">
        <f>base_de_datos[[#This Row],[Cap .90]]-base_de_datos[[#This Row],[Inscritos]]</f>
        <v>#REF!</v>
      </c>
      <c r="O91" s="92" t="s">
        <v>242</v>
      </c>
      <c r="P91" s="99"/>
      <c r="Q91" s="100"/>
      <c r="R91" s="99"/>
      <c r="S91" s="100" t="s">
        <v>68</v>
      </c>
      <c r="T91" s="100"/>
      <c r="U91" s="99"/>
      <c r="V91" s="99"/>
      <c r="W91" s="99" t="s">
        <v>79</v>
      </c>
      <c r="X91" s="93">
        <f>_xlfn.XLOOKUP(base_de_datos[[#This Row],[Materia]],Materias,Horas)/16</f>
        <v>4</v>
      </c>
      <c r="Y91" s="93">
        <f>ROUND(((base_de_datos[[#This Row],[Hora fin]]-base_de_datos[[#This Row],[Hora inicio]])*24)*(COUNTA(base_de_datos[[#This Row],[Lunes]:[Sábado]])),1)</f>
        <v>4</v>
      </c>
      <c r="Z91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1" s="93">
        <f ca="1">IF(base_de_datos[[#This Row],[No clase]]=OFFSET(base_de_datos[[#This Row],[No clase]],-1,0),0,1)</f>
        <v>0</v>
      </c>
      <c r="AB91" s="93">
        <f ca="1">IF(NOT(OR(base_de_datos[[#This Row],[Horas totales]]=base_de_datos[[#This Row],[HT Plan]],base_de_datos[[#This Row],[Horas totales]]="N/A")),1,0)</f>
        <v>0</v>
      </c>
      <c r="AC91" s="93" t="e">
        <f>_xlfn.XLOOKUP(base_de_datos[[#This Row],[Profesor]],Nombre,Grado)</f>
        <v>#REF!</v>
      </c>
      <c r="AD91" s="94" t="e">
        <f>_xlfn.XLOOKUP(base_de_datos[[#This Row],[Profesor]],Nombre,Tipo)</f>
        <v>#REF!</v>
      </c>
      <c r="AE91" s="93">
        <f>IF(IFERROR(VLOOKUP($C91,Planes_de_estudio[],MATCH($AE$2,Carreras,0)+2,0),"")&gt;0,IFERROR(VLOOKUP($C91,Planes_de_estudio[],MATCH($AE$2,Carreras,0)+2,0),""),"")</f>
        <v>1</v>
      </c>
      <c r="AF91" s="93">
        <f>IF(IFERROR(VLOOKUP($C91,Planes_de_estudio[],MATCH($AF$2,Carreras,0)+2,0),"")&gt;0,IFERROR(VLOOKUP($C91,Planes_de_estudio[],MATCH($AF$2,Carreras,0)+2,0),""),"")</f>
        <v>1</v>
      </c>
      <c r="AG91" s="93">
        <f>IF(IFERROR(VLOOKUP($C91,Planes_de_estudio[],MATCH($AG$2,Carreras,0)+2,0),"")&gt;0,IFERROR(VLOOKUP($C91,Planes_de_estudio[],MATCH($AG$2,Carreras,0)+2,0),""),"")</f>
        <v>1</v>
      </c>
      <c r="AH91" s="93">
        <f>IF(IFERROR(VLOOKUP($C91,Planes_de_estudio[],MATCH($AH$2,Carreras,0)+2,0),"")&gt;0,IFERROR(VLOOKUP($C91,Planes_de_estudio[],MATCH($AH$2,Carreras,0)+2,0),""),"")</f>
        <v>1</v>
      </c>
      <c r="AI91" s="93">
        <f>IF(IFERROR(VLOOKUP($C91,Planes_de_estudio[],MATCH($AI$2,Carreras,0)+2,0),"")&gt;0,IFERROR(VLOOKUP($C91,Planes_de_estudio[],MATCH($AI$2,Carreras,0)+2,0),""),"")</f>
        <v>1</v>
      </c>
      <c r="AJ91" s="93">
        <f>IF(IFERROR(VLOOKUP($C91,Planes_de_estudio[],MATCH($AJ$2,Carreras,0)+2,0),"")&gt;0,IFERROR(VLOOKUP($C91,Planes_de_estudio[],MATCH($AJ$2,Carreras,0)+2,0),""),"")</f>
        <v>1</v>
      </c>
      <c r="AK91" s="93">
        <f>IF(IFERROR(VLOOKUP($C91,Planes_de_estudio[],MATCH($AK$2,Carreras,0)+2,0),"")&gt;0,IFERROR(VLOOKUP($C91,Planes_de_estudio[],MATCH($AK$2,Carreras,0)+2,0),""),"")</f>
        <v>1</v>
      </c>
      <c r="AL9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9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130</v>
      </c>
      <c r="AN91" s="93">
        <f>base_de_datos[[#This Row],[Pronóstico]]/25</f>
        <v>5.2</v>
      </c>
      <c r="AO91" s="93" t="str">
        <f>VLOOKUP($C91,Planes_de_estudio[],2)</f>
        <v>MAT</v>
      </c>
      <c r="AP91" s="196"/>
      <c r="AQ91" s="196"/>
      <c r="AR91" s="196"/>
      <c r="AS91" s="196"/>
      <c r="AT91" s="196"/>
      <c r="AU91" s="196"/>
      <c r="AV91" s="196"/>
      <c r="AW91" s="91"/>
      <c r="AX91" s="73"/>
    </row>
    <row r="92" spans="1:50" s="5" customFormat="1" ht="16">
      <c r="B92" s="95" t="s">
        <v>243</v>
      </c>
      <c r="C92" s="96" t="s">
        <v>244</v>
      </c>
      <c r="D92" s="92">
        <v>1</v>
      </c>
      <c r="E92" s="97">
        <v>0.70833333333333304</v>
      </c>
      <c r="F92" s="97">
        <v>0.79166666666665897</v>
      </c>
      <c r="G92" s="92" t="s">
        <v>72</v>
      </c>
      <c r="H92" s="92" t="s">
        <v>149</v>
      </c>
      <c r="I92" s="92" t="e">
        <f>INDEX(Aulas_capacidad,MATCH(base_de_datos[[#This Row],[Aula]],Aulas,0),2)</f>
        <v>#REF!</v>
      </c>
      <c r="J92" s="90">
        <v>15</v>
      </c>
      <c r="K92" s="92" t="e">
        <f>INDEX(Aulas_capacidad,MATCH(base_de_datos[[#This Row],[Aula]],Aulas,0),4)</f>
        <v>#REF!</v>
      </c>
      <c r="L92" s="98" t="e">
        <f>base_de_datos[[#This Row],[Cap 1.5]]-base_de_datos[[#This Row],[Inscritos]]</f>
        <v>#REF!</v>
      </c>
      <c r="M92" s="98" t="e">
        <f>INDEX(Aulas_capacidad,MATCH(base_de_datos[[#This Row],[Aula]],Aulas,0),5)</f>
        <v>#REF!</v>
      </c>
      <c r="N92" s="98" t="e">
        <f>base_de_datos[[#This Row],[Cap .90]]-base_de_datos[[#This Row],[Inscritos]]</f>
        <v>#REF!</v>
      </c>
      <c r="O92" s="92" t="s">
        <v>245</v>
      </c>
      <c r="P92" s="99"/>
      <c r="Q92" s="100" t="s">
        <v>68</v>
      </c>
      <c r="R92" s="99"/>
      <c r="S92" s="100"/>
      <c r="T92" s="100"/>
      <c r="U92" s="99"/>
      <c r="V92" s="99"/>
      <c r="W92" s="99" t="s">
        <v>92</v>
      </c>
      <c r="X92" s="93">
        <f>_xlfn.XLOOKUP(base_de_datos[[#This Row],[Materia]],Materias,Horas)/16</f>
        <v>4</v>
      </c>
      <c r="Y92" s="93">
        <f>ROUND(((base_de_datos[[#This Row],[Hora fin]]-base_de_datos[[#This Row],[Hora inicio]])*24)*(COUNTA(base_de_datos[[#This Row],[Lunes]:[Sábado]])),1)</f>
        <v>2</v>
      </c>
      <c r="Z92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2" s="93">
        <f ca="1">IF(base_de_datos[[#This Row],[No clase]]=OFFSET(base_de_datos[[#This Row],[No clase]],-1,0),0,1)</f>
        <v>1</v>
      </c>
      <c r="AB92" s="93">
        <f ca="1">IF(NOT(OR(base_de_datos[[#This Row],[Horas totales]]=base_de_datos[[#This Row],[HT Plan]],base_de_datos[[#This Row],[Horas totales]]="N/A")),1,0)</f>
        <v>0</v>
      </c>
      <c r="AC92" s="93" t="e">
        <f>_xlfn.XLOOKUP(base_de_datos[[#This Row],[Profesor]],Nombre,Grado)</f>
        <v>#REF!</v>
      </c>
      <c r="AD92" s="94" t="e">
        <f>_xlfn.XLOOKUP(base_de_datos[[#This Row],[Profesor]],Nombre,Tipo)</f>
        <v>#REF!</v>
      </c>
      <c r="AE92" s="93" t="str">
        <f>IF(IFERROR(VLOOKUP($C92,Planes_de_estudio[],MATCH($AE$2,Carreras,0)+2,0),"")&gt;0,IFERROR(VLOOKUP($C92,Planes_de_estudio[],MATCH($AE$2,Carreras,0)+2,0),""),"")</f>
        <v/>
      </c>
      <c r="AF92" s="93">
        <f>IF(IFERROR(VLOOKUP($C92,Planes_de_estudio[],MATCH($AF$2,Carreras,0)+2,0),"")&gt;0,IFERROR(VLOOKUP($C92,Planes_de_estudio[],MATCH($AF$2,Carreras,0)+2,0),""),"")</f>
        <v>7</v>
      </c>
      <c r="AG92" s="93" t="str">
        <f>IF(IFERROR(VLOOKUP($C92,Planes_de_estudio[],MATCH($AG$2,Carreras,0)+2,0),"")&gt;0,IFERROR(VLOOKUP($C92,Planes_de_estudio[],MATCH($AG$2,Carreras,0)+2,0),""),"")</f>
        <v/>
      </c>
      <c r="AH92" s="93" t="str">
        <f>IF(IFERROR(VLOOKUP($C92,Planes_de_estudio[],MATCH($AH$2,Carreras,0)+2,0),"")&gt;0,IFERROR(VLOOKUP($C92,Planes_de_estudio[],MATCH($AH$2,Carreras,0)+2,0),""),"")</f>
        <v/>
      </c>
      <c r="AI92" s="93" t="str">
        <f>IF(IFERROR(VLOOKUP($C92,Planes_de_estudio[],MATCH($AI$2,Carreras,0)+2,0),"")&gt;0,IFERROR(VLOOKUP($C92,Planes_de_estudio[],MATCH($AI$2,Carreras,0)+2,0),""),"")</f>
        <v/>
      </c>
      <c r="AJ92" s="93" t="str">
        <f>IF(IFERROR(VLOOKUP($C92,Planes_de_estudio[],MATCH($AJ$2,Carreras,0)+2,0),"")&gt;0,IFERROR(VLOOKUP($C92,Planes_de_estudio[],MATCH($AJ$2,Carreras,0)+2,0),""),"")</f>
        <v/>
      </c>
      <c r="AK92" s="93">
        <f>IF(IFERROR(VLOOKUP($C92,Planes_de_estudio[],MATCH($AK$2,Carreras,0)+2,0),"")&gt;0,IFERROR(VLOOKUP($C92,Planes_de_estudio[],MATCH($AK$2,Carreras,0)+2,0),""),"")</f>
        <v>7</v>
      </c>
      <c r="AL9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9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27</v>
      </c>
      <c r="AN92" s="93">
        <f>base_de_datos[[#This Row],[Pronóstico]]/25</f>
        <v>1.08</v>
      </c>
      <c r="AO92" s="93" t="str">
        <f>VLOOKUP($C92,Planes_de_estudio[],2)</f>
        <v>EEC</v>
      </c>
      <c r="AP92" s="196"/>
      <c r="AQ92" s="195">
        <v>6</v>
      </c>
      <c r="AR92" s="196"/>
      <c r="AS92" s="196"/>
      <c r="AT92" s="196"/>
      <c r="AU92" s="196"/>
      <c r="AV92" s="195">
        <v>6</v>
      </c>
      <c r="AW92" s="91"/>
      <c r="AX92" s="73"/>
    </row>
    <row r="93" spans="1:50" s="5" customFormat="1" ht="16">
      <c r="A93" s="5" t="s">
        <v>63</v>
      </c>
      <c r="B93" s="95" t="s">
        <v>243</v>
      </c>
      <c r="C93" s="96" t="s">
        <v>244</v>
      </c>
      <c r="D93" s="92">
        <v>1</v>
      </c>
      <c r="E93" s="97">
        <v>0.70833333333333304</v>
      </c>
      <c r="F93" s="97">
        <v>0.79166666666665897</v>
      </c>
      <c r="G93" s="92" t="s">
        <v>72</v>
      </c>
      <c r="H93" s="92" t="s">
        <v>95</v>
      </c>
      <c r="I93" s="92" t="e">
        <f>INDEX(Aulas_capacidad,MATCH(base_de_datos[[#This Row],[Aula]],Aulas,0),2)</f>
        <v>#REF!</v>
      </c>
      <c r="J93" s="90">
        <v>15</v>
      </c>
      <c r="K93" s="92" t="e">
        <f>INDEX(Aulas_capacidad,MATCH(base_de_datos[[#This Row],[Aula]],Aulas,0),4)</f>
        <v>#REF!</v>
      </c>
      <c r="L93" s="98" t="e">
        <f>base_de_datos[[#This Row],[Cap 1.5]]-base_de_datos[[#This Row],[Inscritos]]</f>
        <v>#REF!</v>
      </c>
      <c r="M93" s="98" t="e">
        <f>INDEX(Aulas_capacidad,MATCH(base_de_datos[[#This Row],[Aula]],Aulas,0),5)</f>
        <v>#REF!</v>
      </c>
      <c r="N93" s="98" t="e">
        <f>base_de_datos[[#This Row],[Cap .90]]-base_de_datos[[#This Row],[Inscritos]]</f>
        <v>#REF!</v>
      </c>
      <c r="O93" s="92" t="s">
        <v>245</v>
      </c>
      <c r="P93" s="99"/>
      <c r="Q93" s="100"/>
      <c r="R93" s="99"/>
      <c r="S93" s="100" t="s">
        <v>68</v>
      </c>
      <c r="T93" s="100"/>
      <c r="U93" s="99"/>
      <c r="V93" s="99"/>
      <c r="W93" s="99" t="s">
        <v>92</v>
      </c>
      <c r="X93" s="93">
        <f>_xlfn.XLOOKUP(base_de_datos[[#This Row],[Materia]],Materias,Horas)/16</f>
        <v>4</v>
      </c>
      <c r="Y93" s="93">
        <f>ROUND(((base_de_datos[[#This Row],[Hora fin]]-base_de_datos[[#This Row],[Hora inicio]])*24)*(COUNTA(base_de_datos[[#This Row],[Lunes]:[Sábado]])),1)</f>
        <v>2</v>
      </c>
      <c r="Z93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3" s="93">
        <f ca="1">IF(base_de_datos[[#This Row],[No clase]]=OFFSET(base_de_datos[[#This Row],[No clase]],-1,0),0,1)</f>
        <v>0</v>
      </c>
      <c r="AB93" s="93">
        <f ca="1">IF(NOT(OR(base_de_datos[[#This Row],[Horas totales]]=base_de_datos[[#This Row],[HT Plan]],base_de_datos[[#This Row],[Horas totales]]="N/A")),1,0)</f>
        <v>0</v>
      </c>
      <c r="AC93" s="93" t="e">
        <f>_xlfn.XLOOKUP(base_de_datos[[#This Row],[Profesor]],Nombre,Grado)</f>
        <v>#REF!</v>
      </c>
      <c r="AD93" s="94" t="e">
        <f>_xlfn.XLOOKUP(base_de_datos[[#This Row],[Profesor]],Nombre,Tipo)</f>
        <v>#REF!</v>
      </c>
      <c r="AE93" s="93" t="str">
        <f>IF(IFERROR(VLOOKUP($C93,Planes_de_estudio[],MATCH($AE$2,Carreras,0)+2,0),"")&gt;0,IFERROR(VLOOKUP($C93,Planes_de_estudio[],MATCH($AE$2,Carreras,0)+2,0),""),"")</f>
        <v/>
      </c>
      <c r="AF93" s="93">
        <f>IF(IFERROR(VLOOKUP($C93,Planes_de_estudio[],MATCH($AF$2,Carreras,0)+2,0),"")&gt;0,IFERROR(VLOOKUP($C93,Planes_de_estudio[],MATCH($AF$2,Carreras,0)+2,0),""),"")</f>
        <v>7</v>
      </c>
      <c r="AG93" s="93" t="str">
        <f>IF(IFERROR(VLOOKUP($C93,Planes_de_estudio[],MATCH($AG$2,Carreras,0)+2,0),"")&gt;0,IFERROR(VLOOKUP($C93,Planes_de_estudio[],MATCH($AG$2,Carreras,0)+2,0),""),"")</f>
        <v/>
      </c>
      <c r="AH93" s="93" t="str">
        <f>IF(IFERROR(VLOOKUP($C93,Planes_de_estudio[],MATCH($AH$2,Carreras,0)+2,0),"")&gt;0,IFERROR(VLOOKUP($C93,Planes_de_estudio[],MATCH($AH$2,Carreras,0)+2,0),""),"")</f>
        <v/>
      </c>
      <c r="AI93" s="93" t="str">
        <f>IF(IFERROR(VLOOKUP($C93,Planes_de_estudio[],MATCH($AI$2,Carreras,0)+2,0),"")&gt;0,IFERROR(VLOOKUP($C93,Planes_de_estudio[],MATCH($AI$2,Carreras,0)+2,0),""),"")</f>
        <v/>
      </c>
      <c r="AJ93" s="93" t="str">
        <f>IF(IFERROR(VLOOKUP($C93,Planes_de_estudio[],MATCH($AJ$2,Carreras,0)+2,0),"")&gt;0,IFERROR(VLOOKUP($C93,Planes_de_estudio[],MATCH($AJ$2,Carreras,0)+2,0),""),"")</f>
        <v/>
      </c>
      <c r="AK93" s="93">
        <f>IF(IFERROR(VLOOKUP($C93,Planes_de_estudio[],MATCH($AK$2,Carreras,0)+2,0),"")&gt;0,IFERROR(VLOOKUP($C93,Planes_de_estudio[],MATCH($AK$2,Carreras,0)+2,0),""),"")</f>
        <v>7</v>
      </c>
      <c r="AL9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9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27</v>
      </c>
      <c r="AN93" s="93">
        <f>base_de_datos[[#This Row],[Pronóstico]]/25</f>
        <v>1.08</v>
      </c>
      <c r="AO93" s="93" t="str">
        <f>VLOOKUP($C93,Planes_de_estudio[],2)</f>
        <v>EEC</v>
      </c>
      <c r="AP93" s="196"/>
      <c r="AQ93" s="196"/>
      <c r="AR93" s="196"/>
      <c r="AS93" s="196"/>
      <c r="AT93" s="196"/>
      <c r="AU93" s="196"/>
      <c r="AV93" s="196"/>
      <c r="AW93" s="91"/>
      <c r="AX93" s="73"/>
    </row>
    <row r="94" spans="1:50" s="5" customFormat="1" ht="16">
      <c r="B94" s="95" t="s">
        <v>246</v>
      </c>
      <c r="C94" s="96" t="s">
        <v>247</v>
      </c>
      <c r="D94" s="92">
        <v>1</v>
      </c>
      <c r="E94" s="97">
        <v>0.66666666666666696</v>
      </c>
      <c r="F94" s="97">
        <v>0.79166666666665897</v>
      </c>
      <c r="G94" s="92" t="s">
        <v>66</v>
      </c>
      <c r="H94" s="92" t="s">
        <v>119</v>
      </c>
      <c r="I94" s="92" t="e">
        <f>INDEX(Aulas_capacidad,MATCH(base_de_datos[[#This Row],[Aula]],Aulas,0),2)</f>
        <v>#REF!</v>
      </c>
      <c r="J94" s="90">
        <v>26</v>
      </c>
      <c r="K94" s="92" t="e">
        <f>INDEX(Aulas_capacidad,MATCH(base_de_datos[[#This Row],[Aula]],Aulas,0),4)</f>
        <v>#REF!</v>
      </c>
      <c r="L94" s="98" t="e">
        <f>base_de_datos[[#This Row],[Cap 1.5]]-base_de_datos[[#This Row],[Inscritos]]</f>
        <v>#REF!</v>
      </c>
      <c r="M94" s="98" t="e">
        <f>INDEX(Aulas_capacidad,MATCH(base_de_datos[[#This Row],[Aula]],Aulas,0),5)</f>
        <v>#REF!</v>
      </c>
      <c r="N94" s="98" t="e">
        <f>base_de_datos[[#This Row],[Cap .90]]-base_de_datos[[#This Row],[Inscritos]]</f>
        <v>#REF!</v>
      </c>
      <c r="O94" s="92" t="s">
        <v>248</v>
      </c>
      <c r="P94" s="99"/>
      <c r="Q94" s="100"/>
      <c r="R94" s="99"/>
      <c r="S94" s="100"/>
      <c r="T94" s="100" t="s">
        <v>68</v>
      </c>
      <c r="U94" s="99"/>
      <c r="V94" s="99"/>
      <c r="W94" s="99" t="s">
        <v>135</v>
      </c>
      <c r="X94" s="101">
        <f>_xlfn.XLOOKUP(base_de_datos[[#This Row],[Materia]],Materias,Horas)/16</f>
        <v>3</v>
      </c>
      <c r="Y94" s="101">
        <f>ROUND(((base_de_datos[[#This Row],[Hora fin]]-base_de_datos[[#This Row],[Hora inicio]])*24)*(COUNTA(base_de_datos[[#This Row],[Lunes]:[Sábado]])),1)</f>
        <v>3</v>
      </c>
      <c r="Z94" s="101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4" s="93">
        <f ca="1">IF(base_de_datos[[#This Row],[No clase]]=OFFSET(base_de_datos[[#This Row],[No clase]],-1,0),0,1)</f>
        <v>1</v>
      </c>
      <c r="AB94" s="93">
        <f ca="1">IF(NOT(OR(base_de_datos[[#This Row],[Horas totales]]=base_de_datos[[#This Row],[HT Plan]],base_de_datos[[#This Row],[Horas totales]]="N/A")),1,0)</f>
        <v>0</v>
      </c>
      <c r="AC94" s="93" t="e">
        <f>_xlfn.XLOOKUP(base_de_datos[[#This Row],[Profesor]],Nombre,Grado)</f>
        <v>#REF!</v>
      </c>
      <c r="AD94" s="94" t="e">
        <f>_xlfn.XLOOKUP(base_de_datos[[#This Row],[Profesor]],Nombre,Tipo)</f>
        <v>#REF!</v>
      </c>
      <c r="AE94" s="93">
        <f>IF(IFERROR(VLOOKUP($C94,Planes_de_estudio[],MATCH($AE$2,Carreras,0)+2,0),"")&gt;0,IFERROR(VLOOKUP($C94,Planes_de_estudio[],MATCH($AE$2,Carreras,0)+2,0),""),"")</f>
        <v>5</v>
      </c>
      <c r="AF94" s="93" t="str">
        <f>IF(IFERROR(VLOOKUP($C94,Planes_de_estudio[],MATCH($AF$2,Carreras,0)+2,0),"")&gt;0,IFERROR(VLOOKUP($C94,Planes_de_estudio[],MATCH($AF$2,Carreras,0)+2,0),""),"")</f>
        <v/>
      </c>
      <c r="AG94" s="93" t="str">
        <f>IF(IFERROR(VLOOKUP($C94,Planes_de_estudio[],MATCH($AG$2,Carreras,0)+2,0),"")&gt;0,IFERROR(VLOOKUP($C94,Planes_de_estudio[],MATCH($AG$2,Carreras,0)+2,0),""),"")</f>
        <v/>
      </c>
      <c r="AH94" s="93" t="str">
        <f>IF(IFERROR(VLOOKUP($C94,Planes_de_estudio[],MATCH($AH$2,Carreras,0)+2,0),"")&gt;0,IFERROR(VLOOKUP($C94,Planes_de_estudio[],MATCH($AH$2,Carreras,0)+2,0),""),"")</f>
        <v/>
      </c>
      <c r="AI94" s="93" t="str">
        <f>IF(IFERROR(VLOOKUP($C94,Planes_de_estudio[],MATCH($AI$2,Carreras,0)+2,0),"")&gt;0,IFERROR(VLOOKUP($C94,Planes_de_estudio[],MATCH($AI$2,Carreras,0)+2,0),""),"")</f>
        <v/>
      </c>
      <c r="AJ94" s="93" t="str">
        <f>IF(IFERROR(VLOOKUP($C94,Planes_de_estudio[],MATCH($AJ$2,Carreras,0)+2,0),"")&gt;0,IFERROR(VLOOKUP($C94,Planes_de_estudio[],MATCH($AJ$2,Carreras,0)+2,0),""),"")</f>
        <v/>
      </c>
      <c r="AK94" s="93" t="str">
        <f>IF(IFERROR(VLOOKUP($C94,Planes_de_estudio[],MATCH($AK$2,Carreras,0)+2,0),"")&gt;0,IFERROR(VLOOKUP($C94,Planes_de_estudio[],MATCH($AK$2,Carreras,0)+2,0),""),"")</f>
        <v/>
      </c>
      <c r="AL9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9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23</v>
      </c>
      <c r="AN94" s="93">
        <f>base_de_datos[[#This Row],[Pronóstico]]/25</f>
        <v>0.92</v>
      </c>
      <c r="AO94" s="93" t="str">
        <f>VLOOKUP($C94,Planes_de_estudio[],2)</f>
        <v>EMP</v>
      </c>
      <c r="AP94" s="195">
        <v>6</v>
      </c>
      <c r="AQ94" s="196"/>
      <c r="AR94" s="196"/>
      <c r="AS94" s="196"/>
      <c r="AT94" s="196"/>
      <c r="AU94" s="196"/>
      <c r="AV94" s="196"/>
      <c r="AW94" s="91"/>
      <c r="AX94" s="73"/>
    </row>
    <row r="95" spans="1:50" s="5" customFormat="1" ht="16">
      <c r="B95" s="95" t="s">
        <v>249</v>
      </c>
      <c r="C95" s="96" t="s">
        <v>250</v>
      </c>
      <c r="D95" s="92">
        <v>1</v>
      </c>
      <c r="E95" s="97">
        <v>0.5</v>
      </c>
      <c r="F95" s="97">
        <v>0.58333333333332904</v>
      </c>
      <c r="G95" s="92"/>
      <c r="H95" s="175" t="s">
        <v>18</v>
      </c>
      <c r="I95" s="92" t="e">
        <f>INDEX(Aulas_capacidad,MATCH(base_de_datos[[#This Row],[Aula]],Aulas,0),2)</f>
        <v>#REF!</v>
      </c>
      <c r="J95" s="90">
        <v>18</v>
      </c>
      <c r="K95" s="92" t="e">
        <f>INDEX(Aulas_capacidad,MATCH(base_de_datos[[#This Row],[Aula]],Aulas,0),4)</f>
        <v>#REF!</v>
      </c>
      <c r="L95" s="98" t="e">
        <f>base_de_datos[[#This Row],[Cap 1.5]]-base_de_datos[[#This Row],[Inscritos]]</f>
        <v>#REF!</v>
      </c>
      <c r="M95" s="98" t="e">
        <f>INDEX(Aulas_capacidad,MATCH(base_de_datos[[#This Row],[Aula]],Aulas,0),5)</f>
        <v>#REF!</v>
      </c>
      <c r="N95" s="98" t="e">
        <f>base_de_datos[[#This Row],[Cap .90]]-base_de_datos[[#This Row],[Inscritos]]</f>
        <v>#REF!</v>
      </c>
      <c r="O95" s="92">
        <v>1467</v>
      </c>
      <c r="P95" s="99" t="s">
        <v>68</v>
      </c>
      <c r="Q95" s="100"/>
      <c r="R95" s="99"/>
      <c r="S95" s="100"/>
      <c r="T95" s="100"/>
      <c r="U95" s="99"/>
      <c r="V95" s="99"/>
      <c r="W95" s="99" t="s">
        <v>74</v>
      </c>
      <c r="X95" s="101">
        <f>_xlfn.XLOOKUP(base_de_datos[[#This Row],[Materia]],Materias,Horas)/16</f>
        <v>4</v>
      </c>
      <c r="Y95" s="101">
        <f>ROUND(((base_de_datos[[#This Row],[Hora fin]]-base_de_datos[[#This Row],[Hora inicio]])*24)*(COUNTA(base_de_datos[[#This Row],[Lunes]:[Sábado]])),1)</f>
        <v>2</v>
      </c>
      <c r="Z95" s="101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5" s="93">
        <f ca="1">IF(base_de_datos[[#This Row],[No clase]]=OFFSET(base_de_datos[[#This Row],[No clase]],-1,0),0,1)</f>
        <v>1</v>
      </c>
      <c r="AB95" s="93">
        <f ca="1">IF(NOT(OR(base_de_datos[[#This Row],[Horas totales]]=base_de_datos[[#This Row],[HT Plan]],base_de_datos[[#This Row],[Horas totales]]="N/A")),1,0)</f>
        <v>0</v>
      </c>
      <c r="AC95" s="93" t="e">
        <f>_xlfn.XLOOKUP(base_de_datos[[#This Row],[Profesor]],Nombre,Grado)</f>
        <v>#REF!</v>
      </c>
      <c r="AD95" s="94" t="e">
        <f>_xlfn.XLOOKUP(base_de_datos[[#This Row],[Profesor]],Nombre,Tipo)</f>
        <v>#REF!</v>
      </c>
      <c r="AE95" s="93" t="str">
        <f>IF(IFERROR(VLOOKUP($C95,Planes_de_estudio[],MATCH($AE$2,Carreras,0)+2,0),"")&gt;0,IFERROR(VLOOKUP($C95,Planes_de_estudio[],MATCH($AE$2,Carreras,0)+2,0),""),"")</f>
        <v/>
      </c>
      <c r="AF95" s="93" t="str">
        <f>IF(IFERROR(VLOOKUP($C95,Planes_de_estudio[],MATCH($AF$2,Carreras,0)+2,0),"")&gt;0,IFERROR(VLOOKUP($C95,Planes_de_estudio[],MATCH($AF$2,Carreras,0)+2,0),""),"")</f>
        <v/>
      </c>
      <c r="AG95" s="93" t="str">
        <f>IF(IFERROR(VLOOKUP($C95,Planes_de_estudio[],MATCH($AG$2,Carreras,0)+2,0),"")&gt;0,IFERROR(VLOOKUP($C95,Planes_de_estudio[],MATCH($AG$2,Carreras,0)+2,0),""),"")</f>
        <v/>
      </c>
      <c r="AH95" s="93" t="str">
        <f>IF(IFERROR(VLOOKUP($C95,Planes_de_estudio[],MATCH($AH$2,Carreras,0)+2,0),"")&gt;0,IFERROR(VLOOKUP($C95,Planes_de_estudio[],MATCH($AH$2,Carreras,0)+2,0),""),"")</f>
        <v/>
      </c>
      <c r="AI95" s="93" t="str">
        <f>IF(IFERROR(VLOOKUP($C95,Planes_de_estudio[],MATCH($AI$2,Carreras,0)+2,0),"")&gt;0,IFERROR(VLOOKUP($C95,Planes_de_estudio[],MATCH($AI$2,Carreras,0)+2,0),""),"")</f>
        <v/>
      </c>
      <c r="AJ95" s="93">
        <f>IF(IFERROR(VLOOKUP($C95,Planes_de_estudio[],MATCH($AJ$2,Carreras,0)+2,0),"")&gt;0,IFERROR(VLOOKUP($C95,Planes_de_estudio[],MATCH($AJ$2,Carreras,0)+2,0),""),"")</f>
        <v>5</v>
      </c>
      <c r="AK95" s="93" t="str">
        <f>IF(IFERROR(VLOOKUP($C95,Planes_de_estudio[],MATCH($AK$2,Carreras,0)+2,0),"")&gt;0,IFERROR(VLOOKUP($C95,Planes_de_estudio[],MATCH($AK$2,Carreras,0)+2,0),""),"")</f>
        <v/>
      </c>
      <c r="AL9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9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11</v>
      </c>
      <c r="AN95" s="93">
        <f>base_de_datos[[#This Row],[Pronóstico]]/25</f>
        <v>0.44</v>
      </c>
      <c r="AO95" s="93" t="str">
        <f>VLOOKUP($C95,Planes_de_estudio[],2)</f>
        <v>COM</v>
      </c>
      <c r="AP95" s="196"/>
      <c r="AQ95" s="196"/>
      <c r="AR95" s="196"/>
      <c r="AS95" s="196"/>
      <c r="AT95" s="196"/>
      <c r="AU95" s="195">
        <v>6</v>
      </c>
      <c r="AV95" s="196"/>
      <c r="AW95" s="91"/>
      <c r="AX95" s="73"/>
    </row>
    <row r="96" spans="1:50" s="5" customFormat="1" ht="16">
      <c r="B96" s="95" t="s">
        <v>249</v>
      </c>
      <c r="C96" s="96" t="s">
        <v>250</v>
      </c>
      <c r="D96" s="92">
        <v>1</v>
      </c>
      <c r="E96" s="97">
        <v>0.5</v>
      </c>
      <c r="F96" s="97">
        <v>0.58333333333332904</v>
      </c>
      <c r="G96" s="92" t="s">
        <v>66</v>
      </c>
      <c r="H96" s="175" t="s">
        <v>18</v>
      </c>
      <c r="I96" s="92" t="e">
        <f>INDEX(Aulas_capacidad,MATCH(base_de_datos[[#This Row],[Aula]],Aulas,0),2)</f>
        <v>#REF!</v>
      </c>
      <c r="J96" s="90">
        <v>18</v>
      </c>
      <c r="K96" s="92" t="e">
        <f>INDEX(Aulas_capacidad,MATCH(base_de_datos[[#This Row],[Aula]],Aulas,0),4)</f>
        <v>#REF!</v>
      </c>
      <c r="L96" s="98" t="e">
        <f>base_de_datos[[#This Row],[Cap 1.5]]-base_de_datos[[#This Row],[Inscritos]]</f>
        <v>#REF!</v>
      </c>
      <c r="M96" s="98" t="e">
        <f>INDEX(Aulas_capacidad,MATCH(base_de_datos[[#This Row],[Aula]],Aulas,0),5)</f>
        <v>#REF!</v>
      </c>
      <c r="N96" s="98" t="e">
        <f>base_de_datos[[#This Row],[Cap .90]]-base_de_datos[[#This Row],[Inscritos]]</f>
        <v>#REF!</v>
      </c>
      <c r="O96" s="92">
        <v>1467</v>
      </c>
      <c r="P96" s="99"/>
      <c r="Q96" s="100" t="s">
        <v>68</v>
      </c>
      <c r="R96" s="99"/>
      <c r="S96" s="100"/>
      <c r="T96" s="100"/>
      <c r="U96" s="99"/>
      <c r="V96" s="99"/>
      <c r="W96" s="99" t="s">
        <v>74</v>
      </c>
      <c r="X96" s="93">
        <f>_xlfn.XLOOKUP(base_de_datos[[#This Row],[Materia]],Materias,Horas)/16</f>
        <v>4</v>
      </c>
      <c r="Y96" s="93">
        <f>ROUND(((base_de_datos[[#This Row],[Hora fin]]-base_de_datos[[#This Row],[Hora inicio]])*24)*(COUNTA(base_de_datos[[#This Row],[Lunes]:[Sábado]])),1)</f>
        <v>2</v>
      </c>
      <c r="Z96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6" s="93">
        <f ca="1">IF(base_de_datos[[#This Row],[No clase]]=OFFSET(base_de_datos[[#This Row],[No clase]],-1,0),0,1)</f>
        <v>0</v>
      </c>
      <c r="AB96" s="93">
        <f ca="1">IF(NOT(OR(base_de_datos[[#This Row],[Horas totales]]=base_de_datos[[#This Row],[HT Plan]],base_de_datos[[#This Row],[Horas totales]]="N/A")),1,0)</f>
        <v>0</v>
      </c>
      <c r="AC96" s="93" t="e">
        <f>_xlfn.XLOOKUP(base_de_datos[[#This Row],[Profesor]],Nombre,Grado)</f>
        <v>#REF!</v>
      </c>
      <c r="AD96" s="94" t="e">
        <f>_xlfn.XLOOKUP(base_de_datos[[#This Row],[Profesor]],Nombre,Tipo)</f>
        <v>#REF!</v>
      </c>
      <c r="AE96" s="93" t="str">
        <f>IF(IFERROR(VLOOKUP($C96,Planes_de_estudio[],MATCH($AE$2,Carreras,0)+2,0),"")&gt;0,IFERROR(VLOOKUP($C96,Planes_de_estudio[],MATCH($AE$2,Carreras,0)+2,0),""),"")</f>
        <v/>
      </c>
      <c r="AF96" s="93" t="str">
        <f>IF(IFERROR(VLOOKUP($C96,Planes_de_estudio[],MATCH($AF$2,Carreras,0)+2,0),"")&gt;0,IFERROR(VLOOKUP($C96,Planes_de_estudio[],MATCH($AF$2,Carreras,0)+2,0),""),"")</f>
        <v/>
      </c>
      <c r="AG96" s="93" t="str">
        <f>IF(IFERROR(VLOOKUP($C96,Planes_de_estudio[],MATCH($AG$2,Carreras,0)+2,0),"")&gt;0,IFERROR(VLOOKUP($C96,Planes_de_estudio[],MATCH($AG$2,Carreras,0)+2,0),""),"")</f>
        <v/>
      </c>
      <c r="AH96" s="93" t="str">
        <f>IF(IFERROR(VLOOKUP($C96,Planes_de_estudio[],MATCH($AH$2,Carreras,0)+2,0),"")&gt;0,IFERROR(VLOOKUP($C96,Planes_de_estudio[],MATCH($AH$2,Carreras,0)+2,0),""),"")</f>
        <v/>
      </c>
      <c r="AI96" s="93" t="str">
        <f>IF(IFERROR(VLOOKUP($C96,Planes_de_estudio[],MATCH($AI$2,Carreras,0)+2,0),"")&gt;0,IFERROR(VLOOKUP($C96,Planes_de_estudio[],MATCH($AI$2,Carreras,0)+2,0),""),"")</f>
        <v/>
      </c>
      <c r="AJ96" s="93">
        <f>IF(IFERROR(VLOOKUP($C96,Planes_de_estudio[],MATCH($AJ$2,Carreras,0)+2,0),"")&gt;0,IFERROR(VLOOKUP($C96,Planes_de_estudio[],MATCH($AJ$2,Carreras,0)+2,0),""),"")</f>
        <v>5</v>
      </c>
      <c r="AK96" s="93" t="str">
        <f>IF(IFERROR(VLOOKUP($C96,Planes_de_estudio[],MATCH($AK$2,Carreras,0)+2,0),"")&gt;0,IFERROR(VLOOKUP($C96,Planes_de_estudio[],MATCH($AK$2,Carreras,0)+2,0),""),"")</f>
        <v/>
      </c>
      <c r="AL9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9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11</v>
      </c>
      <c r="AN96" s="93">
        <f>base_de_datos[[#This Row],[Pronóstico]]/25</f>
        <v>0.44</v>
      </c>
      <c r="AO96" s="93" t="str">
        <f>VLOOKUP($C96,Planes_de_estudio[],2)</f>
        <v>COM</v>
      </c>
      <c r="AP96" s="196"/>
      <c r="AQ96" s="196"/>
      <c r="AR96" s="196"/>
      <c r="AS96" s="196"/>
      <c r="AT96" s="196"/>
      <c r="AU96" s="196"/>
      <c r="AV96" s="196"/>
      <c r="AW96" s="91"/>
      <c r="AX96" s="73"/>
    </row>
    <row r="97" spans="1:50" s="5" customFormat="1" ht="16">
      <c r="B97" s="95" t="s">
        <v>251</v>
      </c>
      <c r="C97" s="96" t="s">
        <v>252</v>
      </c>
      <c r="D97" s="92">
        <v>1</v>
      </c>
      <c r="E97" s="97">
        <v>0.5</v>
      </c>
      <c r="F97" s="97">
        <v>0.58333333333332904</v>
      </c>
      <c r="G97" s="92" t="s">
        <v>72</v>
      </c>
      <c r="H97" s="92" t="s">
        <v>149</v>
      </c>
      <c r="I97" s="92" t="e">
        <f>INDEX(Aulas_capacidad,MATCH(base_de_datos[[#This Row],[Aula]],Aulas,0),2)</f>
        <v>#REF!</v>
      </c>
      <c r="J97" s="90">
        <v>24</v>
      </c>
      <c r="K97" s="92" t="e">
        <f>INDEX(Aulas_capacidad,MATCH(base_de_datos[[#This Row],[Aula]],Aulas,0),4)</f>
        <v>#REF!</v>
      </c>
      <c r="L97" s="98" t="e">
        <f>base_de_datos[[#This Row],[Cap 1.5]]-base_de_datos[[#This Row],[Inscritos]]</f>
        <v>#REF!</v>
      </c>
      <c r="M97" s="98" t="e">
        <f>INDEX(Aulas_capacidad,MATCH(base_de_datos[[#This Row],[Aula]],Aulas,0),5)</f>
        <v>#REF!</v>
      </c>
      <c r="N97" s="98" t="e">
        <f>base_de_datos[[#This Row],[Cap .90]]-base_de_datos[[#This Row],[Inscritos]]</f>
        <v>#REF!</v>
      </c>
      <c r="O97" s="92" t="s">
        <v>253</v>
      </c>
      <c r="P97" s="99"/>
      <c r="Q97" s="100" t="s">
        <v>68</v>
      </c>
      <c r="R97" s="99"/>
      <c r="S97" s="100" t="s">
        <v>68</v>
      </c>
      <c r="T97" s="100"/>
      <c r="U97" s="99"/>
      <c r="V97" s="99"/>
      <c r="W97" s="99" t="s">
        <v>122</v>
      </c>
      <c r="X97" s="93">
        <f>_xlfn.XLOOKUP(base_de_datos[[#This Row],[Materia]],Materias,Horas)/16</f>
        <v>4</v>
      </c>
      <c r="Y97" s="93">
        <f>ROUND(((base_de_datos[[#This Row],[Hora fin]]-base_de_datos[[#This Row],[Hora inicio]])*24)*(COUNTA(base_de_datos[[#This Row],[Lunes]:[Sábado]])),1)</f>
        <v>4</v>
      </c>
      <c r="Z97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7" s="93">
        <f ca="1">IF(base_de_datos[[#This Row],[No clase]]=OFFSET(base_de_datos[[#This Row],[No clase]],-1,0),0,1)</f>
        <v>1</v>
      </c>
      <c r="AB97" s="93">
        <f ca="1">IF(NOT(OR(base_de_datos[[#This Row],[Horas totales]]=base_de_datos[[#This Row],[HT Plan]],base_de_datos[[#This Row],[Horas totales]]="N/A")),1,0)</f>
        <v>0</v>
      </c>
      <c r="AC97" s="93" t="e">
        <f>_xlfn.XLOOKUP(base_de_datos[[#This Row],[Profesor]],Nombre,Grado)</f>
        <v>#REF!</v>
      </c>
      <c r="AD97" s="94" t="e">
        <f>_xlfn.XLOOKUP(base_de_datos[[#This Row],[Profesor]],Nombre,Tipo)</f>
        <v>#REF!</v>
      </c>
      <c r="AE97" s="93" t="str">
        <f>IF(IFERROR(VLOOKUP($C97,Planes_de_estudio[],MATCH($AE$2,Carreras,0)+2,0),"")&gt;0,IFERROR(VLOOKUP($C97,Planes_de_estudio[],MATCH($AE$2,Carreras,0)+2,0),""),"")</f>
        <v/>
      </c>
      <c r="AF97" s="93">
        <f>IF(IFERROR(VLOOKUP($C97,Planes_de_estudio[],MATCH($AF$2,Carreras,0)+2,0),"")&gt;0,IFERROR(VLOOKUP($C97,Planes_de_estudio[],MATCH($AF$2,Carreras,0)+2,0),""),"")</f>
        <v>3</v>
      </c>
      <c r="AG97" s="93" t="str">
        <f>IF(IFERROR(VLOOKUP($C97,Planes_de_estudio[],MATCH($AG$2,Carreras,0)+2,0),"")&gt;0,IFERROR(VLOOKUP($C97,Planes_de_estudio[],MATCH($AG$2,Carreras,0)+2,0),""),"")</f>
        <v/>
      </c>
      <c r="AH97" s="93">
        <f>IF(IFERROR(VLOOKUP($C97,Planes_de_estudio[],MATCH($AH$2,Carreras,0)+2,0),"")&gt;0,IFERROR(VLOOKUP($C97,Planes_de_estudio[],MATCH($AH$2,Carreras,0)+2,0),""),"")</f>
        <v>3</v>
      </c>
      <c r="AI97" s="93" t="str">
        <f>IF(IFERROR(VLOOKUP($C97,Planes_de_estudio[],MATCH($AI$2,Carreras,0)+2,0),"")&gt;0,IFERROR(VLOOKUP($C97,Planes_de_estudio[],MATCH($AI$2,Carreras,0)+2,0),""),"")</f>
        <v/>
      </c>
      <c r="AJ97" s="93" t="str">
        <f>IF(IFERROR(VLOOKUP($C97,Planes_de_estudio[],MATCH($AJ$2,Carreras,0)+2,0),"")&gt;0,IFERROR(VLOOKUP($C97,Planes_de_estudio[],MATCH($AJ$2,Carreras,0)+2,0),""),"")</f>
        <v/>
      </c>
      <c r="AK97" s="93">
        <f>IF(IFERROR(VLOOKUP($C97,Planes_de_estudio[],MATCH($AK$2,Carreras,0)+2,0),"")&gt;0,IFERROR(VLOOKUP($C97,Planes_de_estudio[],MATCH($AK$2,Carreras,0)+2,0),""),"")</f>
        <v>3</v>
      </c>
      <c r="AL9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9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58</v>
      </c>
      <c r="AN97" s="93">
        <f>base_de_datos[[#This Row],[Pronóstico]]/25</f>
        <v>2.3199999999999998</v>
      </c>
      <c r="AO97" s="93" t="str">
        <f>VLOOKUP($C97,Planes_de_estudio[],2)</f>
        <v>COM</v>
      </c>
      <c r="AP97" s="196"/>
      <c r="AQ97" s="195">
        <v>6</v>
      </c>
      <c r="AR97" s="196"/>
      <c r="AS97" s="195">
        <v>6</v>
      </c>
      <c r="AT97" s="196"/>
      <c r="AU97" s="196"/>
      <c r="AV97" s="195">
        <v>6</v>
      </c>
      <c r="AW97" s="91"/>
      <c r="AX97" s="73"/>
    </row>
    <row r="98" spans="1:50" s="5" customFormat="1" ht="16">
      <c r="B98" s="95" t="s">
        <v>254</v>
      </c>
      <c r="C98" s="96" t="s">
        <v>255</v>
      </c>
      <c r="D98" s="92">
        <v>1</v>
      </c>
      <c r="E98" s="97">
        <v>0.5</v>
      </c>
      <c r="F98" s="97">
        <v>0.54166666666666297</v>
      </c>
      <c r="G98" s="92" t="s">
        <v>72</v>
      </c>
      <c r="H98" s="92" t="s">
        <v>149</v>
      </c>
      <c r="I98" s="92" t="e">
        <f>INDEX(Aulas_capacidad,MATCH(base_de_datos[[#This Row],[Aula]],Aulas,0),2)</f>
        <v>#REF!</v>
      </c>
      <c r="J98" s="176">
        <v>35</v>
      </c>
      <c r="K98" s="92" t="e">
        <f>INDEX(Aulas_capacidad,MATCH(base_de_datos[[#This Row],[Aula]],Aulas,0),4)</f>
        <v>#REF!</v>
      </c>
      <c r="L98" s="98" t="e">
        <f>base_de_datos[[#This Row],[Cap 1.5]]-base_de_datos[[#This Row],[Inscritos]]</f>
        <v>#REF!</v>
      </c>
      <c r="M98" s="98" t="e">
        <f>INDEX(Aulas_capacidad,MATCH(base_de_datos[[#This Row],[Aula]],Aulas,0),5)</f>
        <v>#REF!</v>
      </c>
      <c r="N98" s="98" t="e">
        <f>base_de_datos[[#This Row],[Cap .90]]-base_de_datos[[#This Row],[Inscritos]]</f>
        <v>#REF!</v>
      </c>
      <c r="O98" s="92" t="s">
        <v>256</v>
      </c>
      <c r="P98" s="99"/>
      <c r="Q98" s="100"/>
      <c r="R98" s="99" t="s">
        <v>68</v>
      </c>
      <c r="S98" s="100"/>
      <c r="T98" s="100"/>
      <c r="U98" s="99"/>
      <c r="V98" s="99"/>
      <c r="W98" s="99" t="s">
        <v>77</v>
      </c>
      <c r="X98" s="101">
        <f>_xlfn.XLOOKUP(base_de_datos[[#This Row],[Materia]],Materias,Horas)/16</f>
        <v>3</v>
      </c>
      <c r="Y98" s="101">
        <f>ROUND(((base_de_datos[[#This Row],[Hora fin]]-base_de_datos[[#This Row],[Hora inicio]])*24)*(COUNTA(base_de_datos[[#This Row],[Lunes]:[Sábado]])),1)</f>
        <v>1</v>
      </c>
      <c r="Z98" s="101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8" s="93">
        <f ca="1">IF(base_de_datos[[#This Row],[No clase]]=OFFSET(base_de_datos[[#This Row],[No clase]],-1,0),0,1)</f>
        <v>1</v>
      </c>
      <c r="AB98" s="93">
        <f ca="1">IF(NOT(OR(base_de_datos[[#This Row],[Horas totales]]=base_de_datos[[#This Row],[HT Plan]],base_de_datos[[#This Row],[Horas totales]]="N/A")),1,0)</f>
        <v>0</v>
      </c>
      <c r="AC98" s="93" t="e">
        <f>_xlfn.XLOOKUP(base_de_datos[[#This Row],[Profesor]],Nombre,Grado)</f>
        <v>#REF!</v>
      </c>
      <c r="AD98" s="94" t="e">
        <f>_xlfn.XLOOKUP(base_de_datos[[#This Row],[Profesor]],Nombre,Tipo)</f>
        <v>#REF!</v>
      </c>
      <c r="AE98" s="93">
        <f>IF(IFERROR(VLOOKUP($C98,Planes_de_estudio[],MATCH($AE$2,Carreras,0)+2,0),"")&gt;0,IFERROR(VLOOKUP($C98,Planes_de_estudio[],MATCH($AE$2,Carreras,0)+2,0),""),"")</f>
        <v>3</v>
      </c>
      <c r="AF98" s="93" t="str">
        <f>IF(IFERROR(VLOOKUP($C98,Planes_de_estudio[],MATCH($AF$2,Carreras,0)+2,0),"")&gt;0,IFERROR(VLOOKUP($C98,Planes_de_estudio[],MATCH($AF$2,Carreras,0)+2,0),""),"")</f>
        <v/>
      </c>
      <c r="AG98" s="93" t="str">
        <f>IF(IFERROR(VLOOKUP($C98,Planes_de_estudio[],MATCH($AG$2,Carreras,0)+2,0),"")&gt;0,IFERROR(VLOOKUP($C98,Planes_de_estudio[],MATCH($AG$2,Carreras,0)+2,0),""),"")</f>
        <v/>
      </c>
      <c r="AH98" s="93" t="str">
        <f>IF(IFERROR(VLOOKUP($C98,Planes_de_estudio[],MATCH($AH$2,Carreras,0)+2,0),"")&gt;0,IFERROR(VLOOKUP($C98,Planes_de_estudio[],MATCH($AH$2,Carreras,0)+2,0),""),"")</f>
        <v/>
      </c>
      <c r="AI98" s="93" t="str">
        <f>IF(IFERROR(VLOOKUP($C98,Planes_de_estudio[],MATCH($AI$2,Carreras,0)+2,0),"")&gt;0,IFERROR(VLOOKUP($C98,Planes_de_estudio[],MATCH($AI$2,Carreras,0)+2,0),""),"")</f>
        <v/>
      </c>
      <c r="AJ98" s="93">
        <f>IF(IFERROR(VLOOKUP($C98,Planes_de_estudio[],MATCH($AJ$2,Carreras,0)+2,0),"")&gt;0,IFERROR(VLOOKUP($C98,Planes_de_estudio[],MATCH($AJ$2,Carreras,0)+2,0),""),"")</f>
        <v>3</v>
      </c>
      <c r="AK98" s="93" t="str">
        <f>IF(IFERROR(VLOOKUP($C98,Planes_de_estudio[],MATCH($AK$2,Carreras,0)+2,0),"")&gt;0,IFERROR(VLOOKUP($C98,Planes_de_estudio[],MATCH($AK$2,Carreras,0)+2,0),""),"")</f>
        <v/>
      </c>
      <c r="AL9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9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29</v>
      </c>
      <c r="AN98" s="93">
        <f>base_de_datos[[#This Row],[Pronóstico]]/25</f>
        <v>1.1599999999999999</v>
      </c>
      <c r="AO98" s="93" t="str">
        <f>VLOOKUP($C98,Planes_de_estudio[],2)</f>
        <v>COM</v>
      </c>
      <c r="AP98" s="195">
        <v>6</v>
      </c>
      <c r="AQ98" s="196"/>
      <c r="AR98" s="196"/>
      <c r="AS98" s="196"/>
      <c r="AT98" s="196"/>
      <c r="AU98" s="195">
        <v>6</v>
      </c>
      <c r="AV98" s="196"/>
      <c r="AW98" s="91"/>
      <c r="AX98" s="73"/>
    </row>
    <row r="99" spans="1:50" s="5" customFormat="1" ht="16">
      <c r="B99" s="95" t="s">
        <v>254</v>
      </c>
      <c r="C99" s="96" t="s">
        <v>255</v>
      </c>
      <c r="D99" s="92">
        <v>1</v>
      </c>
      <c r="E99" s="97">
        <v>0.375</v>
      </c>
      <c r="F99" s="97">
        <v>0.45833333333333098</v>
      </c>
      <c r="G99" s="92" t="s">
        <v>72</v>
      </c>
      <c r="H99" s="92" t="s">
        <v>149</v>
      </c>
      <c r="I99" s="92" t="e">
        <f>INDEX(Aulas_capacidad,MATCH(base_de_datos[[#This Row],[Aula]],Aulas,0),2)</f>
        <v>#REF!</v>
      </c>
      <c r="J99" s="176">
        <v>35</v>
      </c>
      <c r="K99" s="92" t="e">
        <f>INDEX(Aulas_capacidad,MATCH(base_de_datos[[#This Row],[Aula]],Aulas,0),4)</f>
        <v>#REF!</v>
      </c>
      <c r="L99" s="98" t="e">
        <f>base_de_datos[[#This Row],[Cap 1.5]]-base_de_datos[[#This Row],[Inscritos]]</f>
        <v>#REF!</v>
      </c>
      <c r="M99" s="98" t="e">
        <f>INDEX(Aulas_capacidad,MATCH(base_de_datos[[#This Row],[Aula]],Aulas,0),5)</f>
        <v>#REF!</v>
      </c>
      <c r="N99" s="98" t="e">
        <f>base_de_datos[[#This Row],[Cap .90]]-base_de_datos[[#This Row],[Inscritos]]</f>
        <v>#REF!</v>
      </c>
      <c r="O99" s="92" t="s">
        <v>256</v>
      </c>
      <c r="P99" s="99"/>
      <c r="Q99" s="100"/>
      <c r="R99" s="99" t="s">
        <v>68</v>
      </c>
      <c r="S99" s="100"/>
      <c r="T99" s="100"/>
      <c r="U99" s="99"/>
      <c r="V99" s="99"/>
      <c r="W99" s="99" t="s">
        <v>77</v>
      </c>
      <c r="X99" s="93">
        <f>_xlfn.XLOOKUP(base_de_datos[[#This Row],[Materia]],Materias,Horas)/16</f>
        <v>3</v>
      </c>
      <c r="Y99" s="93">
        <f>ROUND(((base_de_datos[[#This Row],[Hora fin]]-base_de_datos[[#This Row],[Hora inicio]])*24)*(COUNTA(base_de_datos[[#This Row],[Lunes]:[Sábado]])),1)</f>
        <v>2</v>
      </c>
      <c r="Z99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9" s="93">
        <f ca="1">IF(base_de_datos[[#This Row],[No clase]]=OFFSET(base_de_datos[[#This Row],[No clase]],-1,0),0,1)</f>
        <v>0</v>
      </c>
      <c r="AB99" s="93">
        <f ca="1">IF(NOT(OR(base_de_datos[[#This Row],[Horas totales]]=base_de_datos[[#This Row],[HT Plan]],base_de_datos[[#This Row],[Horas totales]]="N/A")),1,0)</f>
        <v>0</v>
      </c>
      <c r="AC99" s="93" t="e">
        <f>_xlfn.XLOOKUP(base_de_datos[[#This Row],[Profesor]],Nombre,Grado)</f>
        <v>#REF!</v>
      </c>
      <c r="AD99" s="94" t="e">
        <f>_xlfn.XLOOKUP(base_de_datos[[#This Row],[Profesor]],Nombre,Tipo)</f>
        <v>#REF!</v>
      </c>
      <c r="AE99" s="93">
        <f>IF(IFERROR(VLOOKUP($C99,Planes_de_estudio[],MATCH($AE$2,Carreras,0)+2,0),"")&gt;0,IFERROR(VLOOKUP($C99,Planes_de_estudio[],MATCH($AE$2,Carreras,0)+2,0),""),"")</f>
        <v>3</v>
      </c>
      <c r="AF99" s="93" t="str">
        <f>IF(IFERROR(VLOOKUP($C99,Planes_de_estudio[],MATCH($AF$2,Carreras,0)+2,0),"")&gt;0,IFERROR(VLOOKUP($C99,Planes_de_estudio[],MATCH($AF$2,Carreras,0)+2,0),""),"")</f>
        <v/>
      </c>
      <c r="AG99" s="93" t="str">
        <f>IF(IFERROR(VLOOKUP($C99,Planes_de_estudio[],MATCH($AG$2,Carreras,0)+2,0),"")&gt;0,IFERROR(VLOOKUP($C99,Planes_de_estudio[],MATCH($AG$2,Carreras,0)+2,0),""),"")</f>
        <v/>
      </c>
      <c r="AH99" s="93" t="str">
        <f>IF(IFERROR(VLOOKUP($C99,Planes_de_estudio[],MATCH($AH$2,Carreras,0)+2,0),"")&gt;0,IFERROR(VLOOKUP($C99,Planes_de_estudio[],MATCH($AH$2,Carreras,0)+2,0),""),"")</f>
        <v/>
      </c>
      <c r="AI99" s="93" t="str">
        <f>IF(IFERROR(VLOOKUP($C99,Planes_de_estudio[],MATCH($AI$2,Carreras,0)+2,0),"")&gt;0,IFERROR(VLOOKUP($C99,Planes_de_estudio[],MATCH($AI$2,Carreras,0)+2,0),""),"")</f>
        <v/>
      </c>
      <c r="AJ99" s="93">
        <f>IF(IFERROR(VLOOKUP($C99,Planes_de_estudio[],MATCH($AJ$2,Carreras,0)+2,0),"")&gt;0,IFERROR(VLOOKUP($C99,Planes_de_estudio[],MATCH($AJ$2,Carreras,0)+2,0),""),"")</f>
        <v>3</v>
      </c>
      <c r="AK99" s="93" t="str">
        <f>IF(IFERROR(VLOOKUP($C99,Planes_de_estudio[],MATCH($AK$2,Carreras,0)+2,0),"")&gt;0,IFERROR(VLOOKUP($C99,Planes_de_estudio[],MATCH($AK$2,Carreras,0)+2,0),""),"")</f>
        <v/>
      </c>
      <c r="AL9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9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29</v>
      </c>
      <c r="AN99" s="93">
        <f>base_de_datos[[#This Row],[Pronóstico]]/25</f>
        <v>1.1599999999999999</v>
      </c>
      <c r="AO99" s="93" t="str">
        <f>VLOOKUP($C99,Planes_de_estudio[],2)</f>
        <v>COM</v>
      </c>
      <c r="AP99" s="196"/>
      <c r="AQ99" s="196"/>
      <c r="AR99" s="196"/>
      <c r="AS99" s="196"/>
      <c r="AT99" s="196"/>
      <c r="AU99" s="196"/>
      <c r="AV99" s="196"/>
      <c r="AW99" s="91"/>
      <c r="AX99" s="73"/>
    </row>
    <row r="100" spans="1:50" s="5" customFormat="1" ht="16">
      <c r="B100" s="95" t="s">
        <v>257</v>
      </c>
      <c r="C100" s="96" t="s">
        <v>258</v>
      </c>
      <c r="D100" s="92">
        <v>1</v>
      </c>
      <c r="E100" s="97">
        <v>0.8125</v>
      </c>
      <c r="F100" s="97">
        <v>0.87499999999999001</v>
      </c>
      <c r="G100" s="92"/>
      <c r="H100" s="92" t="s">
        <v>103</v>
      </c>
      <c r="I100" s="92" t="e">
        <f>INDEX(Aulas_capacidad,MATCH(base_de_datos[[#This Row],[Aula]],Aulas,0),2)</f>
        <v>#REF!</v>
      </c>
      <c r="J100" s="90">
        <v>15</v>
      </c>
      <c r="K100" s="92" t="e">
        <f>INDEX(Aulas_capacidad,MATCH(base_de_datos[[#This Row],[Aula]],Aulas,0),4)</f>
        <v>#REF!</v>
      </c>
      <c r="L100" s="98" t="e">
        <f>base_de_datos[[#This Row],[Cap 1.5]]-base_de_datos[[#This Row],[Inscritos]]</f>
        <v>#REF!</v>
      </c>
      <c r="M100" s="98" t="e">
        <f>INDEX(Aulas_capacidad,MATCH(base_de_datos[[#This Row],[Aula]],Aulas,0),5)</f>
        <v>#REF!</v>
      </c>
      <c r="N100" s="98" t="e">
        <f>base_de_datos[[#This Row],[Cap .90]]-base_de_datos[[#This Row],[Inscritos]]</f>
        <v>#REF!</v>
      </c>
      <c r="O100" s="92">
        <v>6399</v>
      </c>
      <c r="P100" s="99"/>
      <c r="Q100" s="100" t="s">
        <v>68</v>
      </c>
      <c r="R100" s="99"/>
      <c r="S100" s="100" t="s">
        <v>68</v>
      </c>
      <c r="T100" s="100"/>
      <c r="U100" s="99"/>
      <c r="V100" s="99"/>
      <c r="W100" s="99" t="s">
        <v>79</v>
      </c>
      <c r="X100" s="93">
        <f>_xlfn.XLOOKUP(base_de_datos[[#This Row],[Materia]],Materias,Horas)/16</f>
        <v>3</v>
      </c>
      <c r="Y100" s="93">
        <f>ROUND(((base_de_datos[[#This Row],[Hora fin]]-base_de_datos[[#This Row],[Hora inicio]])*24)*(COUNTA(base_de_datos[[#This Row],[Lunes]:[Sábado]])),1)</f>
        <v>3</v>
      </c>
      <c r="Z100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0" s="93">
        <f ca="1">IF(base_de_datos[[#This Row],[No clase]]=OFFSET(base_de_datos[[#This Row],[No clase]],-1,0),0,1)</f>
        <v>1</v>
      </c>
      <c r="AB100" s="93">
        <f ca="1">IF(NOT(OR(base_de_datos[[#This Row],[Horas totales]]=base_de_datos[[#This Row],[HT Plan]],base_de_datos[[#This Row],[Horas totales]]="N/A")),1,0)</f>
        <v>0</v>
      </c>
      <c r="AC100" s="93" t="e">
        <f>_xlfn.XLOOKUP(base_de_datos[[#This Row],[Profesor]],Nombre,Grado)</f>
        <v>#REF!</v>
      </c>
      <c r="AD100" s="94" t="e">
        <f>_xlfn.XLOOKUP(base_de_datos[[#This Row],[Profesor]],Nombre,Tipo)</f>
        <v>#REF!</v>
      </c>
      <c r="AE100" s="93" t="str">
        <f>IF(IFERROR(VLOOKUP($C100,Planes_de_estudio[],MATCH($AE$2,Carreras,0)+2,0),"")&gt;0,IFERROR(VLOOKUP($C100,Planes_de_estudio[],MATCH($AE$2,Carreras,0)+2,0),""),"")</f>
        <v/>
      </c>
      <c r="AF100" s="93" t="str">
        <f>IF(IFERROR(VLOOKUP($C100,Planes_de_estudio[],MATCH($AF$2,Carreras,0)+2,0),"")&gt;0,IFERROR(VLOOKUP($C100,Planes_de_estudio[],MATCH($AF$2,Carreras,0)+2,0),""),"")</f>
        <v/>
      </c>
      <c r="AG100" s="93" t="str">
        <f>IF(IFERROR(VLOOKUP($C100,Planes_de_estudio[],MATCH($AG$2,Carreras,0)+2,0),"")&gt;0,IFERROR(VLOOKUP($C100,Planes_de_estudio[],MATCH($AG$2,Carreras,0)+2,0),""),"")</f>
        <v/>
      </c>
      <c r="AH100" s="93" t="str">
        <f>IF(IFERROR(VLOOKUP($C100,Planes_de_estudio[],MATCH($AH$2,Carreras,0)+2,0),"")&gt;0,IFERROR(VLOOKUP($C100,Planes_de_estudio[],MATCH($AH$2,Carreras,0)+2,0),""),"")</f>
        <v/>
      </c>
      <c r="AI100" s="93" t="str">
        <f>IF(IFERROR(VLOOKUP($C100,Planes_de_estudio[],MATCH($AI$2,Carreras,0)+2,0),"")&gt;0,IFERROR(VLOOKUP($C100,Planes_de_estudio[],MATCH($AI$2,Carreras,0)+2,0),""),"")</f>
        <v/>
      </c>
      <c r="AJ100" s="93">
        <f>IF(IFERROR(VLOOKUP($C100,Planes_de_estudio[],MATCH($AJ$2,Carreras,0)+2,0),"")&gt;0,IFERROR(VLOOKUP($C100,Planes_de_estudio[],MATCH($AJ$2,Carreras,0)+2,0),""),"")</f>
        <v>9</v>
      </c>
      <c r="AK100" s="93" t="str">
        <f>IF(IFERROR(VLOOKUP($C100,Planes_de_estudio[],MATCH($AK$2,Carreras,0)+2,0),"")&gt;0,IFERROR(VLOOKUP($C100,Planes_de_estudio[],MATCH($AK$2,Carreras,0)+2,0),""),"")</f>
        <v/>
      </c>
      <c r="AL10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0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16</v>
      </c>
      <c r="AN100" s="93">
        <f>base_de_datos[[#This Row],[Pronóstico]]/25</f>
        <v>0.64</v>
      </c>
      <c r="AO100" s="93" t="str">
        <f>VLOOKUP($C100,Planes_de_estudio[],2)</f>
        <v>ESC</v>
      </c>
      <c r="AP100" s="196"/>
      <c r="AQ100" s="196"/>
      <c r="AR100" s="196"/>
      <c r="AS100" s="196"/>
      <c r="AT100" s="196"/>
      <c r="AU100" s="195">
        <v>6</v>
      </c>
      <c r="AV100" s="196"/>
      <c r="AW100" s="91"/>
      <c r="AX100" s="73"/>
    </row>
    <row r="101" spans="1:50" s="5" customFormat="1" ht="15">
      <c r="B101" s="95" t="s">
        <v>237</v>
      </c>
      <c r="C101" s="96" t="s">
        <v>223</v>
      </c>
      <c r="D101" s="92">
        <v>2</v>
      </c>
      <c r="E101" s="97">
        <v>0.29166666666666669</v>
      </c>
      <c r="F101" s="97">
        <v>0.374999999999999</v>
      </c>
      <c r="G101" s="92"/>
      <c r="H101" s="92" t="s">
        <v>121</v>
      </c>
      <c r="I101" s="92" t="e">
        <f>INDEX(Aulas_capacidad,MATCH(base_de_datos[[#This Row],[Aula]],Aulas,0),2)</f>
        <v>#REF!</v>
      </c>
      <c r="J101" s="90">
        <v>21</v>
      </c>
      <c r="K101" s="92" t="e">
        <f>INDEX(Aulas_capacidad,MATCH(base_de_datos[[#This Row],[Aula]],Aulas,0),4)</f>
        <v>#REF!</v>
      </c>
      <c r="L101" s="98" t="e">
        <f>base_de_datos[[#This Row],[Cap 1.5]]-base_de_datos[[#This Row],[Inscritos]]</f>
        <v>#REF!</v>
      </c>
      <c r="M101" s="98" t="e">
        <f>INDEX(Aulas_capacidad,MATCH(base_de_datos[[#This Row],[Aula]],Aulas,0),5)</f>
        <v>#REF!</v>
      </c>
      <c r="N101" s="98" t="e">
        <f>base_de_datos[[#This Row],[Cap .90]]-base_de_datos[[#This Row],[Inscritos]]</f>
        <v>#REF!</v>
      </c>
      <c r="O101" s="92" t="s">
        <v>259</v>
      </c>
      <c r="P101" s="99"/>
      <c r="Q101" s="100"/>
      <c r="R101" s="99" t="s">
        <v>68</v>
      </c>
      <c r="S101" s="100"/>
      <c r="T101" s="100" t="s">
        <v>68</v>
      </c>
      <c r="U101" s="99"/>
      <c r="V101" s="99"/>
      <c r="W101" s="99" t="s">
        <v>148</v>
      </c>
      <c r="X101" s="93">
        <f>_xlfn.XLOOKUP(base_de_datos[[#This Row],[Materia]],Materias,Horas)/16</f>
        <v>4</v>
      </c>
      <c r="Y101" s="93">
        <f>ROUND(((base_de_datos[[#This Row],[Hora fin]]-base_de_datos[[#This Row],[Hora inicio]])*24)*(COUNTA(base_de_datos[[#This Row],[Lunes]:[Sábado]])),1)</f>
        <v>4</v>
      </c>
      <c r="Z101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1" s="93">
        <f ca="1">IF(base_de_datos[[#This Row],[No clase]]=OFFSET(base_de_datos[[#This Row],[No clase]],-1,0),0,1)</f>
        <v>1</v>
      </c>
      <c r="AB101" s="93">
        <f ca="1">IF(NOT(OR(base_de_datos[[#This Row],[Horas totales]]=base_de_datos[[#This Row],[HT Plan]],base_de_datos[[#This Row],[Horas totales]]="N/A")),1,0)</f>
        <v>0</v>
      </c>
      <c r="AC101" s="93" t="e">
        <f>_xlfn.XLOOKUP(base_de_datos[[#This Row],[Profesor]],Nombre,Grado)</f>
        <v>#REF!</v>
      </c>
      <c r="AD101" s="94" t="e">
        <f>_xlfn.XLOOKUP(base_de_datos[[#This Row],[Profesor]],Nombre,Tipo)</f>
        <v>#REF!</v>
      </c>
      <c r="AE101" s="93">
        <f>IF(IFERROR(VLOOKUP($C101,Planes_de_estudio[],MATCH($AE$2,Carreras,0)+2,0),"")&gt;0,IFERROR(VLOOKUP($C101,Planes_de_estudio[],MATCH($AE$2,Carreras,0)+2,0),""),"")</f>
        <v>3</v>
      </c>
      <c r="AF101" s="93">
        <f>IF(IFERROR(VLOOKUP($C101,Planes_de_estudio[],MATCH($AF$2,Carreras,0)+2,0),"")&gt;0,IFERROR(VLOOKUP($C101,Planes_de_estudio[],MATCH($AF$2,Carreras,0)+2,0),""),"")</f>
        <v>3</v>
      </c>
      <c r="AG101" s="93">
        <f>IF(IFERROR(VLOOKUP($C101,Planes_de_estudio[],MATCH($AG$2,Carreras,0)+2,0),"")&gt;0,IFERROR(VLOOKUP($C101,Planes_de_estudio[],MATCH($AG$2,Carreras,0)+2,0),""),"")</f>
        <v>5</v>
      </c>
      <c r="AH101" s="93">
        <f>IF(IFERROR(VLOOKUP($C101,Planes_de_estudio[],MATCH($AH$2,Carreras,0)+2,0),"")&gt;0,IFERROR(VLOOKUP($C101,Planes_de_estudio[],MATCH($AH$2,Carreras,0)+2,0),""),"")</f>
        <v>3</v>
      </c>
      <c r="AI101" s="93">
        <f>IF(IFERROR(VLOOKUP($C101,Planes_de_estudio[],MATCH($AI$2,Carreras,0)+2,0),"")&gt;0,IFERROR(VLOOKUP($C101,Planes_de_estudio[],MATCH($AI$2,Carreras,0)+2,0),""),"")</f>
        <v>3</v>
      </c>
      <c r="AJ101" s="93">
        <f>IF(IFERROR(VLOOKUP($C101,Planes_de_estudio[],MATCH($AJ$2,Carreras,0)+2,0),"")&gt;0,IFERROR(VLOOKUP($C101,Planes_de_estudio[],MATCH($AJ$2,Carreras,0)+2,0),""),"")</f>
        <v>3</v>
      </c>
      <c r="AK101" s="93">
        <f>IF(IFERROR(VLOOKUP($C101,Planes_de_estudio[],MATCH($AK$2,Carreras,0)+2,0),"")&gt;0,IFERROR(VLOOKUP($C101,Planes_de_estudio[],MATCH($AK$2,Carreras,0)+2,0),""),"")</f>
        <v>3</v>
      </c>
      <c r="AL10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0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121</v>
      </c>
      <c r="AN101" s="93">
        <f>base_de_datos[[#This Row],[Pronóstico]]/25</f>
        <v>4.84</v>
      </c>
      <c r="AO101" s="93" t="str">
        <f>VLOOKUP($C101,Planes_de_estudio[],2)</f>
        <v>MAT</v>
      </c>
      <c r="AP101" s="195">
        <v>6</v>
      </c>
      <c r="AQ101" s="195">
        <v>6</v>
      </c>
      <c r="AR101" s="195">
        <v>6</v>
      </c>
      <c r="AS101" s="195">
        <v>6</v>
      </c>
      <c r="AT101" s="195">
        <v>6</v>
      </c>
      <c r="AU101" s="195">
        <v>6</v>
      </c>
      <c r="AV101" s="195">
        <v>6</v>
      </c>
      <c r="AW101" s="91"/>
      <c r="AX101" s="73"/>
    </row>
    <row r="102" spans="1:50" s="5" customFormat="1" ht="16">
      <c r="B102" s="95" t="s">
        <v>260</v>
      </c>
      <c r="C102" s="96" t="s">
        <v>261</v>
      </c>
      <c r="D102" s="92"/>
      <c r="E102" s="97">
        <v>0.29166666666666669</v>
      </c>
      <c r="F102" s="97">
        <v>0.374999999999999</v>
      </c>
      <c r="G102" s="92"/>
      <c r="H102" s="92" t="s">
        <v>133</v>
      </c>
      <c r="I102" s="92" t="e">
        <f>INDEX(Aulas_capacidad,MATCH(base_de_datos[[#This Row],[Aula]],Aulas,0),2)</f>
        <v>#REF!</v>
      </c>
      <c r="J102" s="90">
        <v>12</v>
      </c>
      <c r="K102" s="92" t="e">
        <f>INDEX(Aulas_capacidad,MATCH(base_de_datos[[#This Row],[Aula]],Aulas,0),4)</f>
        <v>#REF!</v>
      </c>
      <c r="L102" s="98" t="e">
        <f>base_de_datos[[#This Row],[Cap 1.5]]-base_de_datos[[#This Row],[Inscritos]]</f>
        <v>#REF!</v>
      </c>
      <c r="M102" s="98" t="e">
        <f>INDEX(Aulas_capacidad,MATCH(base_de_datos[[#This Row],[Aula]],Aulas,0),5)</f>
        <v>#REF!</v>
      </c>
      <c r="N102" s="98" t="e">
        <f>base_de_datos[[#This Row],[Cap .90]]-base_de_datos[[#This Row],[Inscritos]]</f>
        <v>#REF!</v>
      </c>
      <c r="O102" s="92" t="s">
        <v>262</v>
      </c>
      <c r="P102" s="99"/>
      <c r="Q102" s="100" t="s">
        <v>68</v>
      </c>
      <c r="R102" s="99"/>
      <c r="S102" s="100"/>
      <c r="T102" s="100"/>
      <c r="U102" s="99"/>
      <c r="V102" s="99"/>
      <c r="W102" s="99" t="s">
        <v>79</v>
      </c>
      <c r="X102" s="93">
        <f>_xlfn.XLOOKUP(base_de_datos[[#This Row],[Materia]],Materias,Horas)/16</f>
        <v>4</v>
      </c>
      <c r="Y102" s="93">
        <f>ROUND(((base_de_datos[[#This Row],[Hora fin]]-base_de_datos[[#This Row],[Hora inicio]])*24)*(COUNTA(base_de_datos[[#This Row],[Lunes]:[Sábado]])),1)</f>
        <v>2</v>
      </c>
      <c r="Z102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2" s="93">
        <f ca="1">IF(base_de_datos[[#This Row],[No clase]]=OFFSET(base_de_datos[[#This Row],[No clase]],-1,0),0,1)</f>
        <v>1</v>
      </c>
      <c r="AB102" s="93">
        <f ca="1">IF(NOT(OR(base_de_datos[[#This Row],[Horas totales]]=base_de_datos[[#This Row],[HT Plan]],base_de_datos[[#This Row],[Horas totales]]="N/A")),1,0)</f>
        <v>0</v>
      </c>
      <c r="AC102" s="93" t="e">
        <f>_xlfn.XLOOKUP(base_de_datos[[#This Row],[Profesor]],Nombre,Grado)</f>
        <v>#REF!</v>
      </c>
      <c r="AD102" s="94" t="e">
        <f>_xlfn.XLOOKUP(base_de_datos[[#This Row],[Profesor]],Nombre,Tipo)</f>
        <v>#REF!</v>
      </c>
      <c r="AE102" s="93">
        <f>IF(IFERROR(VLOOKUP($C102,Planes_de_estudio[],MATCH($AE$2,Carreras,0)+2,0),"")&gt;0,IFERROR(VLOOKUP($C102,Planes_de_estudio[],MATCH($AE$2,Carreras,0)+2,0),""),"")</f>
        <v>2</v>
      </c>
      <c r="AF102" s="93">
        <f>IF(IFERROR(VLOOKUP($C102,Planes_de_estudio[],MATCH($AF$2,Carreras,0)+2,0),"")&gt;0,IFERROR(VLOOKUP($C102,Planes_de_estudio[],MATCH($AF$2,Carreras,0)+2,0),""),"")</f>
        <v>2</v>
      </c>
      <c r="AG102" s="93" t="str">
        <f>IF(IFERROR(VLOOKUP($C102,Planes_de_estudio[],MATCH($AG$2,Carreras,0)+2,0),"")&gt;0,IFERROR(VLOOKUP($C102,Planes_de_estudio[],MATCH($AG$2,Carreras,0)+2,0),""),"")</f>
        <v/>
      </c>
      <c r="AH102" s="93">
        <f>IF(IFERROR(VLOOKUP($C102,Planes_de_estudio[],MATCH($AH$2,Carreras,0)+2,0),"")&gt;0,IFERROR(VLOOKUP($C102,Planes_de_estudio[],MATCH($AH$2,Carreras,0)+2,0),""),"")</f>
        <v>2</v>
      </c>
      <c r="AI102" s="93">
        <f>IF(IFERROR(VLOOKUP($C102,Planes_de_estudio[],MATCH($AI$2,Carreras,0)+2,0),"")&gt;0,IFERROR(VLOOKUP($C102,Planes_de_estudio[],MATCH($AI$2,Carreras,0)+2,0),""),"")</f>
        <v>2</v>
      </c>
      <c r="AJ102" s="93">
        <f>IF(IFERROR(VLOOKUP($C102,Planes_de_estudio[],MATCH($AJ$2,Carreras,0)+2,0),"")&gt;0,IFERROR(VLOOKUP($C102,Planes_de_estudio[],MATCH($AJ$2,Carreras,0)+2,0),""),"")</f>
        <v>2</v>
      </c>
      <c r="AK102" s="93">
        <f>IF(IFERROR(VLOOKUP($C102,Planes_de_estudio[],MATCH($AK$2,Carreras,0)+2,0),"")&gt;0,IFERROR(VLOOKUP($C102,Planes_de_estudio[],MATCH($AK$2,Carreras,0)+2,0),""),"")</f>
        <v>2</v>
      </c>
      <c r="AL10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0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02" s="93">
        <f>base_de_datos[[#This Row],[Pronóstico]]/25</f>
        <v>0.56000000000000005</v>
      </c>
      <c r="AO102" s="93" t="str">
        <f>VLOOKUP($C102,Planes_de_estudio[],2)</f>
        <v>MAT</v>
      </c>
      <c r="AP102" s="195">
        <v>6</v>
      </c>
      <c r="AQ102" s="195">
        <v>6</v>
      </c>
      <c r="AR102" s="196"/>
      <c r="AS102" s="195">
        <v>6</v>
      </c>
      <c r="AT102" s="195">
        <v>6</v>
      </c>
      <c r="AU102" s="195">
        <v>6</v>
      </c>
      <c r="AV102" s="195">
        <v>6</v>
      </c>
      <c r="AW102" s="91"/>
      <c r="AX102" s="73"/>
    </row>
    <row r="103" spans="1:50" s="5" customFormat="1" ht="16">
      <c r="B103" s="95" t="s">
        <v>260</v>
      </c>
      <c r="C103" s="96" t="s">
        <v>261</v>
      </c>
      <c r="D103" s="92">
        <v>1</v>
      </c>
      <c r="E103" s="97">
        <v>0.29166666666666669</v>
      </c>
      <c r="F103" s="97">
        <v>0.374999999999999</v>
      </c>
      <c r="G103" s="92"/>
      <c r="H103" s="92" t="s">
        <v>205</v>
      </c>
      <c r="I103" s="92" t="e">
        <f>INDEX(Aulas_capacidad,MATCH(base_de_datos[[#This Row],[Aula]],Aulas,0),2)</f>
        <v>#REF!</v>
      </c>
      <c r="J103" s="90">
        <v>12</v>
      </c>
      <c r="K103" s="92" t="e">
        <f>INDEX(Aulas_capacidad,MATCH(base_de_datos[[#This Row],[Aula]],Aulas,0),4)</f>
        <v>#REF!</v>
      </c>
      <c r="L103" s="98" t="e">
        <f>base_de_datos[[#This Row],[Cap 1.5]]-base_de_datos[[#This Row],[Inscritos]]</f>
        <v>#REF!</v>
      </c>
      <c r="M103" s="98" t="e">
        <f>INDEX(Aulas_capacidad,MATCH(base_de_datos[[#This Row],[Aula]],Aulas,0),5)</f>
        <v>#REF!</v>
      </c>
      <c r="N103" s="98" t="e">
        <f>base_de_datos[[#This Row],[Cap .90]]-base_de_datos[[#This Row],[Inscritos]]</f>
        <v>#REF!</v>
      </c>
      <c r="O103" s="92" t="s">
        <v>262</v>
      </c>
      <c r="P103" s="99"/>
      <c r="Q103" s="100"/>
      <c r="R103" s="99"/>
      <c r="S103" s="100" t="s">
        <v>68</v>
      </c>
      <c r="T103" s="100"/>
      <c r="U103" s="99"/>
      <c r="V103" s="99"/>
      <c r="W103" s="99" t="s">
        <v>79</v>
      </c>
      <c r="X103" s="93">
        <f>_xlfn.XLOOKUP(base_de_datos[[#This Row],[Materia]],Materias,Horas)/16</f>
        <v>4</v>
      </c>
      <c r="Y103" s="93">
        <f>ROUND(((base_de_datos[[#This Row],[Hora fin]]-base_de_datos[[#This Row],[Hora inicio]])*24)*(COUNTA(base_de_datos[[#This Row],[Lunes]:[Sábado]])),1)</f>
        <v>2</v>
      </c>
      <c r="Z103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3" s="93">
        <f ca="1">IF(base_de_datos[[#This Row],[No clase]]=OFFSET(base_de_datos[[#This Row],[No clase]],-1,0),0,1)</f>
        <v>0</v>
      </c>
      <c r="AB103" s="93">
        <f ca="1">IF(NOT(OR(base_de_datos[[#This Row],[Horas totales]]=base_de_datos[[#This Row],[HT Plan]],base_de_datos[[#This Row],[Horas totales]]="N/A")),1,0)</f>
        <v>0</v>
      </c>
      <c r="AC103" s="93" t="e">
        <f>_xlfn.XLOOKUP(base_de_datos[[#This Row],[Profesor]],Nombre,Grado)</f>
        <v>#REF!</v>
      </c>
      <c r="AD103" s="94" t="e">
        <f>_xlfn.XLOOKUP(base_de_datos[[#This Row],[Profesor]],Nombre,Tipo)</f>
        <v>#REF!</v>
      </c>
      <c r="AE103" s="93">
        <f>IF(IFERROR(VLOOKUP($C103,Planes_de_estudio[],MATCH($AE$2,Carreras,0)+2,0),"")&gt;0,IFERROR(VLOOKUP($C103,Planes_de_estudio[],MATCH($AE$2,Carreras,0)+2,0),""),"")</f>
        <v>2</v>
      </c>
      <c r="AF103" s="93">
        <f>IF(IFERROR(VLOOKUP($C103,Planes_de_estudio[],MATCH($AF$2,Carreras,0)+2,0),"")&gt;0,IFERROR(VLOOKUP($C103,Planes_de_estudio[],MATCH($AF$2,Carreras,0)+2,0),""),"")</f>
        <v>2</v>
      </c>
      <c r="AG103" s="93" t="str">
        <f>IF(IFERROR(VLOOKUP($C103,Planes_de_estudio[],MATCH($AG$2,Carreras,0)+2,0),"")&gt;0,IFERROR(VLOOKUP($C103,Planes_de_estudio[],MATCH($AG$2,Carreras,0)+2,0),""),"")</f>
        <v/>
      </c>
      <c r="AH103" s="93">
        <f>IF(IFERROR(VLOOKUP($C103,Planes_de_estudio[],MATCH($AH$2,Carreras,0)+2,0),"")&gt;0,IFERROR(VLOOKUP($C103,Planes_de_estudio[],MATCH($AH$2,Carreras,0)+2,0),""),"")</f>
        <v>2</v>
      </c>
      <c r="AI103" s="93">
        <f>IF(IFERROR(VLOOKUP($C103,Planes_de_estudio[],MATCH($AI$2,Carreras,0)+2,0),"")&gt;0,IFERROR(VLOOKUP($C103,Planes_de_estudio[],MATCH($AI$2,Carreras,0)+2,0),""),"")</f>
        <v>2</v>
      </c>
      <c r="AJ103" s="93">
        <f>IF(IFERROR(VLOOKUP($C103,Planes_de_estudio[],MATCH($AJ$2,Carreras,0)+2,0),"")&gt;0,IFERROR(VLOOKUP($C103,Planes_de_estudio[],MATCH($AJ$2,Carreras,0)+2,0),""),"")</f>
        <v>2</v>
      </c>
      <c r="AK103" s="93">
        <f>IF(IFERROR(VLOOKUP($C103,Planes_de_estudio[],MATCH($AK$2,Carreras,0)+2,0),"")&gt;0,IFERROR(VLOOKUP($C103,Planes_de_estudio[],MATCH($AK$2,Carreras,0)+2,0),""),"")</f>
        <v>2</v>
      </c>
      <c r="AL10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0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03" s="93">
        <f>base_de_datos[[#This Row],[Pronóstico]]/25</f>
        <v>0.56000000000000005</v>
      </c>
      <c r="AO103" s="93" t="str">
        <f>VLOOKUP($C103,Planes_de_estudio[],2)</f>
        <v>MAT</v>
      </c>
      <c r="AP103" s="196"/>
      <c r="AQ103" s="196"/>
      <c r="AR103" s="196"/>
      <c r="AS103" s="196"/>
      <c r="AT103" s="196"/>
      <c r="AU103" s="196"/>
      <c r="AV103" s="196"/>
      <c r="AW103" s="91"/>
      <c r="AX103" s="73"/>
    </row>
    <row r="104" spans="1:50" s="5" customFormat="1" ht="15">
      <c r="B104" s="95" t="s">
        <v>93</v>
      </c>
      <c r="C104" s="96" t="s">
        <v>263</v>
      </c>
      <c r="D104" s="92">
        <v>1</v>
      </c>
      <c r="E104" s="97">
        <v>0.375</v>
      </c>
      <c r="F104" s="97">
        <v>0.45833333333333098</v>
      </c>
      <c r="G104" s="92"/>
      <c r="H104" s="92" t="s">
        <v>205</v>
      </c>
      <c r="I104" s="92" t="e">
        <f>INDEX(Aulas_capacidad,MATCH(base_de_datos[[#This Row],[Aula]],Aulas,0),2)</f>
        <v>#REF!</v>
      </c>
      <c r="J104" s="90">
        <v>11</v>
      </c>
      <c r="K104" s="92" t="e">
        <f>INDEX(Aulas_capacidad,MATCH(base_de_datos[[#This Row],[Aula]],Aulas,0),4)</f>
        <v>#REF!</v>
      </c>
      <c r="L104" s="98" t="e">
        <f>base_de_datos[[#This Row],[Cap 1.5]]-base_de_datos[[#This Row],[Inscritos]]</f>
        <v>#REF!</v>
      </c>
      <c r="M104" s="98" t="e">
        <f>INDEX(Aulas_capacidad,MATCH(base_de_datos[[#This Row],[Aula]],Aulas,0),5)</f>
        <v>#REF!</v>
      </c>
      <c r="N104" s="98" t="e">
        <f>base_de_datos[[#This Row],[Cap .90]]-base_de_datos[[#This Row],[Inscritos]]</f>
        <v>#REF!</v>
      </c>
      <c r="O104" s="92" t="s">
        <v>264</v>
      </c>
      <c r="P104" s="99"/>
      <c r="Q104" s="100" t="s">
        <v>68</v>
      </c>
      <c r="R104" s="99"/>
      <c r="S104" s="100" t="s">
        <v>68</v>
      </c>
      <c r="T104" s="100"/>
      <c r="U104" s="99"/>
      <c r="V104" s="99"/>
      <c r="W104" s="99" t="s">
        <v>92</v>
      </c>
      <c r="X104" s="93">
        <f>_xlfn.XLOOKUP(base_de_datos[[#This Row],[Materia]],Materias,Horas)/16</f>
        <v>4</v>
      </c>
      <c r="Y104" s="93">
        <f>ROUND(((base_de_datos[[#This Row],[Hora fin]]-base_de_datos[[#This Row],[Hora inicio]])*24)*(COUNTA(base_de_datos[[#This Row],[Lunes]:[Sábado]])),1)</f>
        <v>4</v>
      </c>
      <c r="Z104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4" s="93">
        <f ca="1">IF(base_de_datos[[#This Row],[No clase]]=OFFSET(base_de_datos[[#This Row],[No clase]],-1,0),0,1)</f>
        <v>1</v>
      </c>
      <c r="AB104" s="93">
        <f ca="1">IF(NOT(OR(base_de_datos[[#This Row],[Horas totales]]=base_de_datos[[#This Row],[HT Plan]],base_de_datos[[#This Row],[Horas totales]]="N/A")),1,0)</f>
        <v>0</v>
      </c>
      <c r="AC104" s="93" t="e">
        <f>_xlfn.XLOOKUP(base_de_datos[[#This Row],[Profesor]],Nombre,Grado)</f>
        <v>#REF!</v>
      </c>
      <c r="AD104" s="94" t="e">
        <f>_xlfn.XLOOKUP(base_de_datos[[#This Row],[Profesor]],Nombre,Tipo)</f>
        <v>#REF!</v>
      </c>
      <c r="AE104" s="93">
        <f>IF(IFERROR(VLOOKUP($C104,Planes_de_estudio[],MATCH($AE$2,Carreras,0)+2,0),"")&gt;0,IFERROR(VLOOKUP($C104,Planes_de_estudio[],MATCH($AE$2,Carreras,0)+2,0),""),"")</f>
        <v>2</v>
      </c>
      <c r="AF104" s="93">
        <f>IF(IFERROR(VLOOKUP($C104,Planes_de_estudio[],MATCH($AF$2,Carreras,0)+2,0),"")&gt;0,IFERROR(VLOOKUP($C104,Planes_de_estudio[],MATCH($AF$2,Carreras,0)+2,0),""),"")</f>
        <v>2</v>
      </c>
      <c r="AG104" s="93">
        <f>IF(IFERROR(VLOOKUP($C104,Planes_de_estudio[],MATCH($AG$2,Carreras,0)+2,0),"")&gt;0,IFERROR(VLOOKUP($C104,Planes_de_estudio[],MATCH($AG$2,Carreras,0)+2,0),""),"")</f>
        <v>4</v>
      </c>
      <c r="AH104" s="93">
        <f>IF(IFERROR(VLOOKUP($C104,Planes_de_estudio[],MATCH($AH$2,Carreras,0)+2,0),"")&gt;0,IFERROR(VLOOKUP($C104,Planes_de_estudio[],MATCH($AH$2,Carreras,0)+2,0),""),"")</f>
        <v>2</v>
      </c>
      <c r="AI104" s="93">
        <f>IF(IFERROR(VLOOKUP($C104,Planes_de_estudio[],MATCH($AI$2,Carreras,0)+2,0),"")&gt;0,IFERROR(VLOOKUP($C104,Planes_de_estudio[],MATCH($AI$2,Carreras,0)+2,0),""),"")</f>
        <v>2</v>
      </c>
      <c r="AJ104" s="93">
        <f>IF(IFERROR(VLOOKUP($C104,Planes_de_estudio[],MATCH($AJ$2,Carreras,0)+2,0),"")&gt;0,IFERROR(VLOOKUP($C104,Planes_de_estudio[],MATCH($AJ$2,Carreras,0)+2,0),""),"")</f>
        <v>2</v>
      </c>
      <c r="AK104" s="93">
        <f>IF(IFERROR(VLOOKUP($C104,Planes_de_estudio[],MATCH($AK$2,Carreras,0)+2,0),"")&gt;0,IFERROR(VLOOKUP($C104,Planes_de_estudio[],MATCH($AK$2,Carreras,0)+2,0),""),"")</f>
        <v>2</v>
      </c>
      <c r="AL10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0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16</v>
      </c>
      <c r="AN104" s="93">
        <f>base_de_datos[[#This Row],[Pronóstico]]/25</f>
        <v>0.64</v>
      </c>
      <c r="AO104" s="93" t="str">
        <f>VLOOKUP($C104,Planes_de_estudio[],2)</f>
        <v>MAT</v>
      </c>
      <c r="AP104" s="195">
        <v>6</v>
      </c>
      <c r="AQ104" s="195">
        <v>6</v>
      </c>
      <c r="AR104" s="195">
        <v>6</v>
      </c>
      <c r="AS104" s="195">
        <v>6</v>
      </c>
      <c r="AT104" s="195">
        <v>6</v>
      </c>
      <c r="AU104" s="195">
        <v>6</v>
      </c>
      <c r="AV104" s="195">
        <v>6</v>
      </c>
      <c r="AW104" s="91"/>
      <c r="AX104" s="73"/>
    </row>
    <row r="105" spans="1:50" s="5" customFormat="1" ht="30">
      <c r="B105" s="95" t="s">
        <v>105</v>
      </c>
      <c r="C105" s="96" t="s">
        <v>98</v>
      </c>
      <c r="D105" s="92">
        <v>3</v>
      </c>
      <c r="E105" s="97">
        <v>0.29166666666666669</v>
      </c>
      <c r="F105" s="97">
        <v>0.374999999999999</v>
      </c>
      <c r="G105" s="92"/>
      <c r="H105" s="92" t="s">
        <v>84</v>
      </c>
      <c r="I105" s="92" t="e">
        <f>INDEX(Aulas_capacidad,MATCH(base_de_datos[[#This Row],[Aula]],Aulas,0),2)</f>
        <v>#REF!</v>
      </c>
      <c r="J105" s="90">
        <v>26</v>
      </c>
      <c r="K105" s="92" t="e">
        <f>INDEX(Aulas_capacidad,MATCH(base_de_datos[[#This Row],[Aula]],Aulas,0),4)</f>
        <v>#REF!</v>
      </c>
      <c r="L105" s="98" t="e">
        <f>base_de_datos[[#This Row],[Cap 1.5]]-base_de_datos[[#This Row],[Inscritos]]</f>
        <v>#REF!</v>
      </c>
      <c r="M105" s="98" t="e">
        <f>INDEX(Aulas_capacidad,MATCH(base_de_datos[[#This Row],[Aula]],Aulas,0),5)</f>
        <v>#REF!</v>
      </c>
      <c r="N105" s="98" t="e">
        <f>base_de_datos[[#This Row],[Cap .90]]-base_de_datos[[#This Row],[Inscritos]]</f>
        <v>#REF!</v>
      </c>
      <c r="O105" s="92" t="s">
        <v>265</v>
      </c>
      <c r="P105" s="99" t="s">
        <v>68</v>
      </c>
      <c r="Q105" s="100"/>
      <c r="R105" s="99" t="s">
        <v>68</v>
      </c>
      <c r="S105" s="100"/>
      <c r="T105" s="100"/>
      <c r="U105" s="99"/>
      <c r="V105" s="99"/>
      <c r="W105" s="99" t="s">
        <v>101</v>
      </c>
      <c r="X105" s="93">
        <f>_xlfn.XLOOKUP(base_de_datos[[#This Row],[Materia]],Materias,Horas)/16</f>
        <v>4</v>
      </c>
      <c r="Y105" s="93">
        <f>ROUND(((base_de_datos[[#This Row],[Hora fin]]-base_de_datos[[#This Row],[Hora inicio]])*24)*(COUNTA(base_de_datos[[#This Row],[Lunes]:[Sábado]])),1)</f>
        <v>4</v>
      </c>
      <c r="Z105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5" s="93">
        <f ca="1">IF(base_de_datos[[#This Row],[No clase]]=OFFSET(base_de_datos[[#This Row],[No clase]],-1,0),0,1)</f>
        <v>1</v>
      </c>
      <c r="AB105" s="93">
        <f ca="1">IF(NOT(OR(base_de_datos[[#This Row],[Horas totales]]=base_de_datos[[#This Row],[HT Plan]],base_de_datos[[#This Row],[Horas totales]]="N/A")),1,0)</f>
        <v>0</v>
      </c>
      <c r="AC105" s="93" t="e">
        <f>_xlfn.XLOOKUP(base_de_datos[[#This Row],[Profesor]],Nombre,Grado)</f>
        <v>#REF!</v>
      </c>
      <c r="AD105" s="94" t="e">
        <f>_xlfn.XLOOKUP(base_de_datos[[#This Row],[Profesor]],Nombre,Tipo)</f>
        <v>#REF!</v>
      </c>
      <c r="AE105" s="93">
        <f>IF(IFERROR(VLOOKUP($C105,Planes_de_estudio[],MATCH($AE$2,Carreras,0)+2,0),"")&gt;0,IFERROR(VLOOKUP($C105,Planes_de_estudio[],MATCH($AE$2,Carreras,0)+2,0),""),"")</f>
        <v>1</v>
      </c>
      <c r="AF105" s="93">
        <f>IF(IFERROR(VLOOKUP($C105,Planes_de_estudio[],MATCH($AF$2,Carreras,0)+2,0),"")&gt;0,IFERROR(VLOOKUP($C105,Planes_de_estudio[],MATCH($AF$2,Carreras,0)+2,0),""),"")</f>
        <v>1</v>
      </c>
      <c r="AG105" s="93">
        <f>IF(IFERROR(VLOOKUP($C105,Planes_de_estudio[],MATCH($AG$2,Carreras,0)+2,0),"")&gt;0,IFERROR(VLOOKUP($C105,Planes_de_estudio[],MATCH($AG$2,Carreras,0)+2,0),""),"")</f>
        <v>3</v>
      </c>
      <c r="AH105" s="93">
        <f>IF(IFERROR(VLOOKUP($C105,Planes_de_estudio[],MATCH($AH$2,Carreras,0)+2,0),"")&gt;0,IFERROR(VLOOKUP($C105,Planes_de_estudio[],MATCH($AH$2,Carreras,0)+2,0),""),"")</f>
        <v>1</v>
      </c>
      <c r="AI105" s="93">
        <f>IF(IFERROR(VLOOKUP($C105,Planes_de_estudio[],MATCH($AI$2,Carreras,0)+2,0),"")&gt;0,IFERROR(VLOOKUP($C105,Planes_de_estudio[],MATCH($AI$2,Carreras,0)+2,0),""),"")</f>
        <v>1</v>
      </c>
      <c r="AJ105" s="93">
        <f>IF(IFERROR(VLOOKUP($C105,Planes_de_estudio[],MATCH($AJ$2,Carreras,0)+2,0),"")&gt;0,IFERROR(VLOOKUP($C105,Planes_de_estudio[],MATCH($AJ$2,Carreras,0)+2,0),""),"")</f>
        <v>1</v>
      </c>
      <c r="AK105" s="93">
        <f>IF(IFERROR(VLOOKUP($C105,Planes_de_estudio[],MATCH($AK$2,Carreras,0)+2,0),"")&gt;0,IFERROR(VLOOKUP($C105,Planes_de_estudio[],MATCH($AK$2,Carreras,0)+2,0),""),"")</f>
        <v>1</v>
      </c>
      <c r="AL10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0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121</v>
      </c>
      <c r="AN105" s="93">
        <f>base_de_datos[[#This Row],[Pronóstico]]/25</f>
        <v>4.84</v>
      </c>
      <c r="AO105" s="93" t="str">
        <f>VLOOKUP($C105,Planes_de_estudio[],2)</f>
        <v>COM</v>
      </c>
      <c r="AP105" s="195">
        <v>6</v>
      </c>
      <c r="AQ105" s="195">
        <v>6</v>
      </c>
      <c r="AR105" s="195">
        <v>6</v>
      </c>
      <c r="AS105" s="195">
        <v>6</v>
      </c>
      <c r="AT105" s="195">
        <v>6</v>
      </c>
      <c r="AU105" s="195">
        <v>6</v>
      </c>
      <c r="AV105" s="195">
        <v>6</v>
      </c>
      <c r="AW105" s="91"/>
      <c r="AX105" s="73"/>
    </row>
    <row r="106" spans="1:50" s="5" customFormat="1" ht="30">
      <c r="B106" s="95" t="s">
        <v>266</v>
      </c>
      <c r="C106" s="96" t="s">
        <v>98</v>
      </c>
      <c r="D106" s="92">
        <v>4</v>
      </c>
      <c r="E106" s="97">
        <v>0.29166666666666669</v>
      </c>
      <c r="F106" s="97">
        <v>0.374999999999999</v>
      </c>
      <c r="G106" s="92"/>
      <c r="H106" s="92" t="s">
        <v>121</v>
      </c>
      <c r="I106" s="92" t="e">
        <f>INDEX(Aulas_capacidad,MATCH(base_de_datos[[#This Row],[Aula]],Aulas,0),2)</f>
        <v>#REF!</v>
      </c>
      <c r="J106" s="90">
        <v>26</v>
      </c>
      <c r="K106" s="92" t="e">
        <f>INDEX(Aulas_capacidad,MATCH(base_de_datos[[#This Row],[Aula]],Aulas,0),4)</f>
        <v>#REF!</v>
      </c>
      <c r="L106" s="98" t="e">
        <f>base_de_datos[[#This Row],[Cap 1.5]]-base_de_datos[[#This Row],[Inscritos]]</f>
        <v>#REF!</v>
      </c>
      <c r="M106" s="98" t="e">
        <f>INDEX(Aulas_capacidad,MATCH(base_de_datos[[#This Row],[Aula]],Aulas,0),5)</f>
        <v>#REF!</v>
      </c>
      <c r="N106" s="98" t="e">
        <f>base_de_datos[[#This Row],[Cap .90]]-base_de_datos[[#This Row],[Inscritos]]</f>
        <v>#REF!</v>
      </c>
      <c r="O106" s="92" t="s">
        <v>267</v>
      </c>
      <c r="P106" s="99" t="s">
        <v>68</v>
      </c>
      <c r="Q106" s="100"/>
      <c r="R106" s="99"/>
      <c r="S106" s="100"/>
      <c r="T106" s="100"/>
      <c r="U106" s="99"/>
      <c r="V106" s="99"/>
      <c r="W106" s="99" t="s">
        <v>101</v>
      </c>
      <c r="X106" s="93">
        <f>_xlfn.XLOOKUP(base_de_datos[[#This Row],[Materia]],Materias,Horas)/16</f>
        <v>4</v>
      </c>
      <c r="Y106" s="93">
        <f>ROUND(((base_de_datos[[#This Row],[Hora fin]]-base_de_datos[[#This Row],[Hora inicio]])*24)*(COUNTA(base_de_datos[[#This Row],[Lunes]:[Sábado]])),1)</f>
        <v>2</v>
      </c>
      <c r="Z106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6" s="93">
        <f ca="1">IF(base_de_datos[[#This Row],[No clase]]=OFFSET(base_de_datos[[#This Row],[No clase]],-1,0),0,1)</f>
        <v>1</v>
      </c>
      <c r="AB106" s="93">
        <f ca="1">IF(NOT(OR(base_de_datos[[#This Row],[Horas totales]]=base_de_datos[[#This Row],[HT Plan]],base_de_datos[[#This Row],[Horas totales]]="N/A")),1,0)</f>
        <v>0</v>
      </c>
      <c r="AC106" s="93" t="e">
        <f>_xlfn.XLOOKUP(base_de_datos[[#This Row],[Profesor]],Nombre,Grado)</f>
        <v>#REF!</v>
      </c>
      <c r="AD106" s="94" t="e">
        <f>_xlfn.XLOOKUP(base_de_datos[[#This Row],[Profesor]],Nombre,Tipo)</f>
        <v>#REF!</v>
      </c>
      <c r="AE106" s="93">
        <f>IF(IFERROR(VLOOKUP($C106,Planes_de_estudio[],MATCH($AE$2,Carreras,0)+2,0),"")&gt;0,IFERROR(VLOOKUP($C106,Planes_de_estudio[],MATCH($AE$2,Carreras,0)+2,0),""),"")</f>
        <v>1</v>
      </c>
      <c r="AF106" s="93">
        <f>IF(IFERROR(VLOOKUP($C106,Planes_de_estudio[],MATCH($AF$2,Carreras,0)+2,0),"")&gt;0,IFERROR(VLOOKUP($C106,Planes_de_estudio[],MATCH($AF$2,Carreras,0)+2,0),""),"")</f>
        <v>1</v>
      </c>
      <c r="AG106" s="93">
        <f>IF(IFERROR(VLOOKUP($C106,Planes_de_estudio[],MATCH($AG$2,Carreras,0)+2,0),"")&gt;0,IFERROR(VLOOKUP($C106,Planes_de_estudio[],MATCH($AG$2,Carreras,0)+2,0),""),"")</f>
        <v>3</v>
      </c>
      <c r="AH106" s="93">
        <f>IF(IFERROR(VLOOKUP($C106,Planes_de_estudio[],MATCH($AH$2,Carreras,0)+2,0),"")&gt;0,IFERROR(VLOOKUP($C106,Planes_de_estudio[],MATCH($AH$2,Carreras,0)+2,0),""),"")</f>
        <v>1</v>
      </c>
      <c r="AI106" s="93">
        <f>IF(IFERROR(VLOOKUP($C106,Planes_de_estudio[],MATCH($AI$2,Carreras,0)+2,0),"")&gt;0,IFERROR(VLOOKUP($C106,Planes_de_estudio[],MATCH($AI$2,Carreras,0)+2,0),""),"")</f>
        <v>1</v>
      </c>
      <c r="AJ106" s="93">
        <f>IF(IFERROR(VLOOKUP($C106,Planes_de_estudio[],MATCH($AJ$2,Carreras,0)+2,0),"")&gt;0,IFERROR(VLOOKUP($C106,Planes_de_estudio[],MATCH($AJ$2,Carreras,0)+2,0),""),"")</f>
        <v>1</v>
      </c>
      <c r="AK106" s="93">
        <f>IF(IFERROR(VLOOKUP($C106,Planes_de_estudio[],MATCH($AK$2,Carreras,0)+2,0),"")&gt;0,IFERROR(VLOOKUP($C106,Planes_de_estudio[],MATCH($AK$2,Carreras,0)+2,0),""),"")</f>
        <v>1</v>
      </c>
      <c r="AL10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0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121</v>
      </c>
      <c r="AN106" s="93">
        <f>base_de_datos[[#This Row],[Pronóstico]]/25</f>
        <v>4.84</v>
      </c>
      <c r="AO106" s="93" t="str">
        <f>VLOOKUP($C106,Planes_de_estudio[],2)</f>
        <v>COM</v>
      </c>
      <c r="AP106" s="195">
        <v>6</v>
      </c>
      <c r="AQ106" s="195">
        <v>6</v>
      </c>
      <c r="AR106" s="195">
        <v>6</v>
      </c>
      <c r="AS106" s="195">
        <v>6</v>
      </c>
      <c r="AT106" s="195">
        <v>6</v>
      </c>
      <c r="AU106" s="195">
        <v>6</v>
      </c>
      <c r="AV106" s="195">
        <v>6</v>
      </c>
      <c r="AW106" s="91"/>
      <c r="AX106" s="73"/>
    </row>
    <row r="107" spans="1:50" s="5" customFormat="1" ht="30">
      <c r="B107" s="95" t="s">
        <v>266</v>
      </c>
      <c r="C107" s="96" t="s">
        <v>98</v>
      </c>
      <c r="D107" s="92">
        <v>4</v>
      </c>
      <c r="E107" s="97">
        <v>0.29166666666666669</v>
      </c>
      <c r="F107" s="97">
        <v>0.374999999999999</v>
      </c>
      <c r="G107" s="92"/>
      <c r="H107" s="92" t="s">
        <v>90</v>
      </c>
      <c r="I107" s="92" t="e">
        <f>INDEX(Aulas_capacidad,MATCH(base_de_datos[[#This Row],[Aula]],Aulas,0),2)</f>
        <v>#REF!</v>
      </c>
      <c r="J107" s="90">
        <v>26</v>
      </c>
      <c r="K107" s="92" t="e">
        <f>INDEX(Aulas_capacidad,MATCH(base_de_datos[[#This Row],[Aula]],Aulas,0),4)</f>
        <v>#REF!</v>
      </c>
      <c r="L107" s="98" t="e">
        <f>base_de_datos[[#This Row],[Cap 1.5]]-base_de_datos[[#This Row],[Inscritos]]</f>
        <v>#REF!</v>
      </c>
      <c r="M107" s="98" t="e">
        <f>INDEX(Aulas_capacidad,MATCH(base_de_datos[[#This Row],[Aula]],Aulas,0),5)</f>
        <v>#REF!</v>
      </c>
      <c r="N107" s="98" t="e">
        <f>base_de_datos[[#This Row],[Cap .90]]-base_de_datos[[#This Row],[Inscritos]]</f>
        <v>#REF!</v>
      </c>
      <c r="O107" s="92" t="s">
        <v>267</v>
      </c>
      <c r="P107" s="99"/>
      <c r="Q107" s="100"/>
      <c r="R107" s="99" t="s">
        <v>68</v>
      </c>
      <c r="S107" s="100"/>
      <c r="T107" s="100"/>
      <c r="U107" s="99"/>
      <c r="V107" s="99"/>
      <c r="W107" s="99" t="s">
        <v>101</v>
      </c>
      <c r="X107" s="93">
        <f>_xlfn.XLOOKUP(base_de_datos[[#This Row],[Materia]],Materias,Horas)/16</f>
        <v>4</v>
      </c>
      <c r="Y107" s="93">
        <f>ROUND(((base_de_datos[[#This Row],[Hora fin]]-base_de_datos[[#This Row],[Hora inicio]])*24)*(COUNTA(base_de_datos[[#This Row],[Lunes]:[Sábado]])),1)</f>
        <v>2</v>
      </c>
      <c r="Z107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7" s="93">
        <f ca="1">IF(base_de_datos[[#This Row],[No clase]]=OFFSET(base_de_datos[[#This Row],[No clase]],-1,0),0,1)</f>
        <v>0</v>
      </c>
      <c r="AB107" s="93">
        <f ca="1">IF(NOT(OR(base_de_datos[[#This Row],[Horas totales]]=base_de_datos[[#This Row],[HT Plan]],base_de_datos[[#This Row],[Horas totales]]="N/A")),1,0)</f>
        <v>0</v>
      </c>
      <c r="AC107" s="93" t="e">
        <f>_xlfn.XLOOKUP(base_de_datos[[#This Row],[Profesor]],Nombre,Grado)</f>
        <v>#REF!</v>
      </c>
      <c r="AD107" s="94" t="e">
        <f>_xlfn.XLOOKUP(base_de_datos[[#This Row],[Profesor]],Nombre,Tipo)</f>
        <v>#REF!</v>
      </c>
      <c r="AE107" s="93">
        <f>IF(IFERROR(VLOOKUP($C107,Planes_de_estudio[],MATCH($AE$2,Carreras,0)+2,0),"")&gt;0,IFERROR(VLOOKUP($C107,Planes_de_estudio[],MATCH($AE$2,Carreras,0)+2,0),""),"")</f>
        <v>1</v>
      </c>
      <c r="AF107" s="93">
        <f>IF(IFERROR(VLOOKUP($C107,Planes_de_estudio[],MATCH($AF$2,Carreras,0)+2,0),"")&gt;0,IFERROR(VLOOKUP($C107,Planes_de_estudio[],MATCH($AF$2,Carreras,0)+2,0),""),"")</f>
        <v>1</v>
      </c>
      <c r="AG107" s="93">
        <f>IF(IFERROR(VLOOKUP($C107,Planes_de_estudio[],MATCH($AG$2,Carreras,0)+2,0),"")&gt;0,IFERROR(VLOOKUP($C107,Planes_de_estudio[],MATCH($AG$2,Carreras,0)+2,0),""),"")</f>
        <v>3</v>
      </c>
      <c r="AH107" s="93">
        <f>IF(IFERROR(VLOOKUP($C107,Planes_de_estudio[],MATCH($AH$2,Carreras,0)+2,0),"")&gt;0,IFERROR(VLOOKUP($C107,Planes_de_estudio[],MATCH($AH$2,Carreras,0)+2,0),""),"")</f>
        <v>1</v>
      </c>
      <c r="AI107" s="93">
        <f>IF(IFERROR(VLOOKUP($C107,Planes_de_estudio[],MATCH($AI$2,Carreras,0)+2,0),"")&gt;0,IFERROR(VLOOKUP($C107,Planes_de_estudio[],MATCH($AI$2,Carreras,0)+2,0),""),"")</f>
        <v>1</v>
      </c>
      <c r="AJ107" s="93">
        <f>IF(IFERROR(VLOOKUP($C107,Planes_de_estudio[],MATCH($AJ$2,Carreras,0)+2,0),"")&gt;0,IFERROR(VLOOKUP($C107,Planes_de_estudio[],MATCH($AJ$2,Carreras,0)+2,0),""),"")</f>
        <v>1</v>
      </c>
      <c r="AK107" s="93">
        <f>IF(IFERROR(VLOOKUP($C107,Planes_de_estudio[],MATCH($AK$2,Carreras,0)+2,0),"")&gt;0,IFERROR(VLOOKUP($C107,Planes_de_estudio[],MATCH($AK$2,Carreras,0)+2,0),""),"")</f>
        <v>1</v>
      </c>
      <c r="AL10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0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121</v>
      </c>
      <c r="AN107" s="93">
        <f>base_de_datos[[#This Row],[Pronóstico]]/25</f>
        <v>4.84</v>
      </c>
      <c r="AO107" s="93" t="str">
        <f>VLOOKUP($C107,Planes_de_estudio[],2)</f>
        <v>COM</v>
      </c>
      <c r="AP107" s="196"/>
      <c r="AQ107" s="196"/>
      <c r="AR107" s="196"/>
      <c r="AS107" s="196"/>
      <c r="AT107" s="196"/>
      <c r="AU107" s="196"/>
      <c r="AV107" s="196"/>
      <c r="AW107" s="91"/>
      <c r="AX107" s="73"/>
    </row>
    <row r="108" spans="1:50" s="5" customFormat="1" ht="16">
      <c r="B108" s="95" t="s">
        <v>268</v>
      </c>
      <c r="C108" s="96" t="s">
        <v>269</v>
      </c>
      <c r="D108" s="92">
        <v>1</v>
      </c>
      <c r="E108" s="97">
        <v>0.58333333333333304</v>
      </c>
      <c r="F108" s="97">
        <v>0.70833333333332704</v>
      </c>
      <c r="G108" s="92"/>
      <c r="H108" s="92" t="s">
        <v>103</v>
      </c>
      <c r="I108" s="92" t="e">
        <f>INDEX(Aulas_capacidad,MATCH(base_de_datos[[#This Row],[Aula]],Aulas,0),2)</f>
        <v>#REF!</v>
      </c>
      <c r="J108" s="90">
        <v>15</v>
      </c>
      <c r="K108" s="92" t="e">
        <f>INDEX(Aulas_capacidad,MATCH(base_de_datos[[#This Row],[Aula]],Aulas,0),4)</f>
        <v>#REF!</v>
      </c>
      <c r="L108" s="98" t="e">
        <f>base_de_datos[[#This Row],[Cap 1.5]]-base_de_datos[[#This Row],[Inscritos]]</f>
        <v>#REF!</v>
      </c>
      <c r="M108" s="98" t="e">
        <f>INDEX(Aulas_capacidad,MATCH(base_de_datos[[#This Row],[Aula]],Aulas,0),5)</f>
        <v>#REF!</v>
      </c>
      <c r="N108" s="98" t="e">
        <f>base_de_datos[[#This Row],[Cap .90]]-base_de_datos[[#This Row],[Inscritos]]</f>
        <v>#REF!</v>
      </c>
      <c r="O108" s="92">
        <v>1745</v>
      </c>
      <c r="P108" s="99"/>
      <c r="Q108" s="100"/>
      <c r="R108" s="99"/>
      <c r="S108" s="100" t="s">
        <v>68</v>
      </c>
      <c r="T108" s="100"/>
      <c r="U108" s="99"/>
      <c r="V108" s="99"/>
      <c r="W108" s="99" t="s">
        <v>92</v>
      </c>
      <c r="X108" s="93">
        <f>_xlfn.XLOOKUP(base_de_datos[[#This Row],[Materia]],Materias,Horas)/16</f>
        <v>3</v>
      </c>
      <c r="Y108" s="93">
        <f>ROUND(((base_de_datos[[#This Row],[Hora fin]]-base_de_datos[[#This Row],[Hora inicio]])*24)*(COUNTA(base_de_datos[[#This Row],[Lunes]:[Sábado]])),1)</f>
        <v>3</v>
      </c>
      <c r="Z108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8" s="93">
        <f ca="1">IF(base_de_datos[[#This Row],[No clase]]=OFFSET(base_de_datos[[#This Row],[No clase]],-1,0),0,1)</f>
        <v>1</v>
      </c>
      <c r="AB108" s="93">
        <f ca="1">IF(NOT(OR(base_de_datos[[#This Row],[Horas totales]]=base_de_datos[[#This Row],[HT Plan]],base_de_datos[[#This Row],[Horas totales]]="N/A")),1,0)</f>
        <v>0</v>
      </c>
      <c r="AC108" s="93" t="e">
        <f>_xlfn.XLOOKUP(base_de_datos[[#This Row],[Profesor]],Nombre,Grado)</f>
        <v>#REF!</v>
      </c>
      <c r="AD108" s="94" t="e">
        <f>_xlfn.XLOOKUP(base_de_datos[[#This Row],[Profesor]],Nombre,Tipo)</f>
        <v>#REF!</v>
      </c>
      <c r="AE108" s="93" t="str">
        <f>IF(IFERROR(VLOOKUP($C108,Planes_de_estudio[],MATCH($AE$2,Carreras,0)+2,0),"")&gt;0,IFERROR(VLOOKUP($C108,Planes_de_estudio[],MATCH($AE$2,Carreras,0)+2,0),""),"")</f>
        <v/>
      </c>
      <c r="AF108" s="93" t="str">
        <f>IF(IFERROR(VLOOKUP($C108,Planes_de_estudio[],MATCH($AF$2,Carreras,0)+2,0),"")&gt;0,IFERROR(VLOOKUP($C108,Planes_de_estudio[],MATCH($AF$2,Carreras,0)+2,0),""),"")</f>
        <v/>
      </c>
      <c r="AG108" s="93" t="str">
        <f>IF(IFERROR(VLOOKUP($C108,Planes_de_estudio[],MATCH($AG$2,Carreras,0)+2,0),"")&gt;0,IFERROR(VLOOKUP($C108,Planes_de_estudio[],MATCH($AG$2,Carreras,0)+2,0),""),"")</f>
        <v/>
      </c>
      <c r="AH108" s="93" t="str">
        <f>IF(IFERROR(VLOOKUP($C108,Planes_de_estudio[],MATCH($AH$2,Carreras,0)+2,0),"")&gt;0,IFERROR(VLOOKUP($C108,Planes_de_estudio[],MATCH($AH$2,Carreras,0)+2,0),""),"")</f>
        <v/>
      </c>
      <c r="AI108" s="93" t="str">
        <f>IF(IFERROR(VLOOKUP($C108,Planes_de_estudio[],MATCH($AI$2,Carreras,0)+2,0),"")&gt;0,IFERROR(VLOOKUP($C108,Planes_de_estudio[],MATCH($AI$2,Carreras,0)+2,0),""),"")</f>
        <v/>
      </c>
      <c r="AJ108" s="93">
        <f>IF(IFERROR(VLOOKUP($C108,Planes_de_estudio[],MATCH($AJ$2,Carreras,0)+2,0),"")&gt;0,IFERROR(VLOOKUP($C108,Planes_de_estudio[],MATCH($AJ$2,Carreras,0)+2,0),""),"")</f>
        <v>7</v>
      </c>
      <c r="AK108" s="93" t="str">
        <f>IF(IFERROR(VLOOKUP($C108,Planes_de_estudio[],MATCH($AK$2,Carreras,0)+2,0),"")&gt;0,IFERROR(VLOOKUP($C108,Planes_de_estudio[],MATCH($AK$2,Carreras,0)+2,0),""),"")</f>
        <v/>
      </c>
      <c r="AL10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0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08" s="93">
        <f>base_de_datos[[#This Row],[Pronóstico]]/25</f>
        <v>0.56000000000000005</v>
      </c>
      <c r="AO108" s="93" t="str">
        <f>VLOOKUP($C108,Planes_de_estudio[],2)</f>
        <v>ESC</v>
      </c>
      <c r="AP108" s="196"/>
      <c r="AQ108" s="196"/>
      <c r="AR108" s="196"/>
      <c r="AS108" s="196"/>
      <c r="AT108" s="196"/>
      <c r="AU108" s="195">
        <v>6</v>
      </c>
      <c r="AV108" s="196"/>
      <c r="AW108" s="91"/>
      <c r="AX108" s="73"/>
    </row>
    <row r="109" spans="1:50" s="5" customFormat="1" ht="16">
      <c r="B109" s="95" t="s">
        <v>268</v>
      </c>
      <c r="C109" s="96" t="s">
        <v>270</v>
      </c>
      <c r="D109" s="92">
        <v>1</v>
      </c>
      <c r="E109" s="97">
        <v>0.5</v>
      </c>
      <c r="F109" s="97">
        <v>0.624999999999995</v>
      </c>
      <c r="G109" s="92"/>
      <c r="H109" s="92" t="s">
        <v>103</v>
      </c>
      <c r="I109" s="92" t="e">
        <f>INDEX(Aulas_capacidad,MATCH(base_de_datos[[#This Row],[Aula]],Aulas,0),2)</f>
        <v>#REF!</v>
      </c>
      <c r="J109" s="90">
        <v>18</v>
      </c>
      <c r="K109" s="92" t="e">
        <f>INDEX(Aulas_capacidad,MATCH(base_de_datos[[#This Row],[Aula]],Aulas,0),4)</f>
        <v>#REF!</v>
      </c>
      <c r="L109" s="98" t="e">
        <f>base_de_datos[[#This Row],[Cap 1.5]]-base_de_datos[[#This Row],[Inscritos]]</f>
        <v>#REF!</v>
      </c>
      <c r="M109" s="98" t="e">
        <f>INDEX(Aulas_capacidad,MATCH(base_de_datos[[#This Row],[Aula]],Aulas,0),5)</f>
        <v>#REF!</v>
      </c>
      <c r="N109" s="98" t="e">
        <f>base_de_datos[[#This Row],[Cap .90]]-base_de_datos[[#This Row],[Inscritos]]</f>
        <v>#REF!</v>
      </c>
      <c r="O109" s="92" t="s">
        <v>271</v>
      </c>
      <c r="P109" s="99"/>
      <c r="Q109" s="100"/>
      <c r="R109" s="99"/>
      <c r="S109" s="100"/>
      <c r="T109" s="100" t="s">
        <v>68</v>
      </c>
      <c r="U109" s="99"/>
      <c r="V109" s="99"/>
      <c r="W109" s="99" t="s">
        <v>135</v>
      </c>
      <c r="X109" s="93">
        <f>_xlfn.XLOOKUP(base_de_datos[[#This Row],[Materia]],Materias,Horas)/16</f>
        <v>3</v>
      </c>
      <c r="Y109" s="93">
        <f>ROUND(((base_de_datos[[#This Row],[Hora fin]]-base_de_datos[[#This Row],[Hora inicio]])*24)*(COUNTA(base_de_datos[[#This Row],[Lunes]:[Sábado]])),1)</f>
        <v>3</v>
      </c>
      <c r="Z109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9" s="93">
        <f ca="1">IF(base_de_datos[[#This Row],[No clase]]=OFFSET(base_de_datos[[#This Row],[No clase]],-1,0),0,1)</f>
        <v>1</v>
      </c>
      <c r="AB109" s="93">
        <f ca="1">IF(NOT(OR(base_de_datos[[#This Row],[Horas totales]]=base_de_datos[[#This Row],[HT Plan]],base_de_datos[[#This Row],[Horas totales]]="N/A")),1,0)</f>
        <v>0</v>
      </c>
      <c r="AC109" s="93" t="e">
        <f>_xlfn.XLOOKUP(base_de_datos[[#This Row],[Profesor]],Nombre,Grado)</f>
        <v>#REF!</v>
      </c>
      <c r="AD109" s="94" t="e">
        <f>_xlfn.XLOOKUP(base_de_datos[[#This Row],[Profesor]],Nombre,Tipo)</f>
        <v>#REF!</v>
      </c>
      <c r="AE109" s="93" t="str">
        <f>IF(IFERROR(VLOOKUP($C109,Planes_de_estudio[],MATCH($AE$2,Carreras,0)+2,0),"")&gt;0,IFERROR(VLOOKUP($C109,Planes_de_estudio[],MATCH($AE$2,Carreras,0)+2,0),""),"")</f>
        <v/>
      </c>
      <c r="AF109" s="93" t="str">
        <f>IF(IFERROR(VLOOKUP($C109,Planes_de_estudio[],MATCH($AF$2,Carreras,0)+2,0),"")&gt;0,IFERROR(VLOOKUP($C109,Planes_de_estudio[],MATCH($AF$2,Carreras,0)+2,0),""),"")</f>
        <v/>
      </c>
      <c r="AG109" s="93" t="str">
        <f>IF(IFERROR(VLOOKUP($C109,Planes_de_estudio[],MATCH($AG$2,Carreras,0)+2,0),"")&gt;0,IFERROR(VLOOKUP($C109,Planes_de_estudio[],MATCH($AG$2,Carreras,0)+2,0),""),"")</f>
        <v/>
      </c>
      <c r="AH109" s="93" t="str">
        <f>IF(IFERROR(VLOOKUP($C109,Planes_de_estudio[],MATCH($AH$2,Carreras,0)+2,0),"")&gt;0,IFERROR(VLOOKUP($C109,Planes_de_estudio[],MATCH($AH$2,Carreras,0)+2,0),""),"")</f>
        <v/>
      </c>
      <c r="AI109" s="93" t="str">
        <f>IF(IFERROR(VLOOKUP($C109,Planes_de_estudio[],MATCH($AI$2,Carreras,0)+2,0),"")&gt;0,IFERROR(VLOOKUP($C109,Planes_de_estudio[],MATCH($AI$2,Carreras,0)+2,0),""),"")</f>
        <v/>
      </c>
      <c r="AJ109" s="93">
        <f>IF(IFERROR(VLOOKUP($C109,Planes_de_estudio[],MATCH($AJ$2,Carreras,0)+2,0),"")&gt;0,IFERROR(VLOOKUP($C109,Planes_de_estudio[],MATCH($AJ$2,Carreras,0)+2,0),""),"")</f>
        <v>1</v>
      </c>
      <c r="AK109" s="93" t="str">
        <f>IF(IFERROR(VLOOKUP($C109,Planes_de_estudio[],MATCH($AK$2,Carreras,0)+2,0),"")&gt;0,IFERROR(VLOOKUP($C109,Planes_de_estudio[],MATCH($AK$2,Carreras,0)+2,0),""),"")</f>
        <v/>
      </c>
      <c r="AL10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0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16</v>
      </c>
      <c r="AN109" s="93">
        <f>base_de_datos[[#This Row],[Pronóstico]]/25</f>
        <v>0.64</v>
      </c>
      <c r="AO109" s="93" t="str">
        <f>VLOOKUP($C109,Planes_de_estudio[],2)</f>
        <v>ESC</v>
      </c>
      <c r="AP109" s="196"/>
      <c r="AQ109" s="196"/>
      <c r="AR109" s="196"/>
      <c r="AS109" s="196"/>
      <c r="AT109" s="196"/>
      <c r="AU109" s="195">
        <v>6</v>
      </c>
      <c r="AV109" s="196"/>
      <c r="AW109" s="91"/>
      <c r="AX109" s="73"/>
    </row>
    <row r="110" spans="1:50" s="5" customFormat="1" ht="16">
      <c r="A110" s="5" t="s">
        <v>63</v>
      </c>
      <c r="B110" s="95" t="s">
        <v>272</v>
      </c>
      <c r="C110" s="96" t="s">
        <v>273</v>
      </c>
      <c r="D110" s="92">
        <v>1</v>
      </c>
      <c r="E110" s="97">
        <v>0.79166666666666696</v>
      </c>
      <c r="F110" s="97">
        <v>0.91666666666665697</v>
      </c>
      <c r="G110" s="92"/>
      <c r="H110" s="92" t="s">
        <v>106</v>
      </c>
      <c r="I110" s="92" t="e">
        <f>INDEX(Aulas_capacidad,MATCH(base_de_datos[[#This Row],[Aula]],Aulas,0),2)</f>
        <v>#REF!</v>
      </c>
      <c r="J110" s="90">
        <v>26</v>
      </c>
      <c r="K110" s="92" t="e">
        <f>INDEX(Aulas_capacidad,MATCH(base_de_datos[[#This Row],[Aula]],Aulas,0),4)</f>
        <v>#REF!</v>
      </c>
      <c r="L110" s="98" t="e">
        <f>base_de_datos[[#This Row],[Cap 1.5]]-base_de_datos[[#This Row],[Inscritos]]</f>
        <v>#REF!</v>
      </c>
      <c r="M110" s="98" t="e">
        <f>INDEX(Aulas_capacidad,MATCH(base_de_datos[[#This Row],[Aula]],Aulas,0),5)</f>
        <v>#REF!</v>
      </c>
      <c r="N110" s="98" t="e">
        <f>base_de_datos[[#This Row],[Cap .90]]-base_de_datos[[#This Row],[Inscritos]]</f>
        <v>#REF!</v>
      </c>
      <c r="O110" s="92">
        <v>1573</v>
      </c>
      <c r="P110" s="99"/>
      <c r="Q110" s="100" t="s">
        <v>68</v>
      </c>
      <c r="R110" s="99"/>
      <c r="S110" s="100"/>
      <c r="T110" s="100"/>
      <c r="U110" s="99"/>
      <c r="V110" s="99"/>
      <c r="W110" s="99" t="s">
        <v>69</v>
      </c>
      <c r="X110" s="93">
        <f>_xlfn.XLOOKUP(base_de_datos[[#This Row],[Materia]],Materias,Horas)/16</f>
        <v>3</v>
      </c>
      <c r="Y110" s="93">
        <f>ROUND(((base_de_datos[[#This Row],[Hora fin]]-base_de_datos[[#This Row],[Hora inicio]])*24)*(COUNTA(base_de_datos[[#This Row],[Lunes]:[Sábado]])),1)</f>
        <v>3</v>
      </c>
      <c r="Z110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0" s="93">
        <f ca="1">IF(base_de_datos[[#This Row],[No clase]]=OFFSET(base_de_datos[[#This Row],[No clase]],-1,0),0,1)</f>
        <v>1</v>
      </c>
      <c r="AB110" s="93">
        <f ca="1">IF(NOT(OR(base_de_datos[[#This Row],[Horas totales]]=base_de_datos[[#This Row],[HT Plan]],base_de_datos[[#This Row],[Horas totales]]="N/A")),1,0)</f>
        <v>0</v>
      </c>
      <c r="AC110" s="93" t="e">
        <f>_xlfn.XLOOKUP(base_de_datos[[#This Row],[Profesor]],Nombre,Grado)</f>
        <v>#REF!</v>
      </c>
      <c r="AD110" s="94" t="e">
        <f>_xlfn.XLOOKUP(base_de_datos[[#This Row],[Profesor]],Nombre,Tipo)</f>
        <v>#REF!</v>
      </c>
      <c r="AE110" s="93" t="str">
        <f>IF(IFERROR(VLOOKUP($C110,Planes_de_estudio[],MATCH($AE$2,Carreras,0)+2,0),"")&gt;0,IFERROR(VLOOKUP($C110,Planes_de_estudio[],MATCH($AE$2,Carreras,0)+2,0),""),"")</f>
        <v/>
      </c>
      <c r="AF110" s="93" t="str">
        <f>IF(IFERROR(VLOOKUP($C110,Planes_de_estudio[],MATCH($AF$2,Carreras,0)+2,0),"")&gt;0,IFERROR(VLOOKUP($C110,Planes_de_estudio[],MATCH($AF$2,Carreras,0)+2,0),""),"")</f>
        <v/>
      </c>
      <c r="AG110" s="93" t="str">
        <f>IF(IFERROR(VLOOKUP($C110,Planes_de_estudio[],MATCH($AG$2,Carreras,0)+2,0),"")&gt;0,IFERROR(VLOOKUP($C110,Planes_de_estudio[],MATCH($AG$2,Carreras,0)+2,0),""),"")</f>
        <v/>
      </c>
      <c r="AH110" s="93">
        <f>IF(IFERROR(VLOOKUP($C110,Planes_de_estudio[],MATCH($AH$2,Carreras,0)+2,0),"")&gt;0,IFERROR(VLOOKUP($C110,Planes_de_estudio[],MATCH($AH$2,Carreras,0)+2,0),""),"")</f>
        <v>5</v>
      </c>
      <c r="AI110" s="93" t="str">
        <f>IF(IFERROR(VLOOKUP($C110,Planes_de_estudio[],MATCH($AI$2,Carreras,0)+2,0),"")&gt;0,IFERROR(VLOOKUP($C110,Planes_de_estudio[],MATCH($AI$2,Carreras,0)+2,0),""),"")</f>
        <v/>
      </c>
      <c r="AJ110" s="93" t="str">
        <f>IF(IFERROR(VLOOKUP($C110,Planes_de_estudio[],MATCH($AJ$2,Carreras,0)+2,0),"")&gt;0,IFERROR(VLOOKUP($C110,Planes_de_estudio[],MATCH($AJ$2,Carreras,0)+2,0),""),"")</f>
        <v/>
      </c>
      <c r="AK110" s="93">
        <f>IF(IFERROR(VLOOKUP($C110,Planes_de_estudio[],MATCH($AK$2,Carreras,0)+2,0),"")&gt;0,IFERROR(VLOOKUP($C110,Planes_de_estudio[],MATCH($AK$2,Carreras,0)+2,0),""),"")</f>
        <v>5</v>
      </c>
      <c r="AL11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1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21</v>
      </c>
      <c r="AN110" s="93">
        <f>base_de_datos[[#This Row],[Pronóstico]]/25</f>
        <v>0.84</v>
      </c>
      <c r="AO110" s="93" t="str">
        <f>VLOOKUP($C110,Planes_de_estudio[],2)</f>
        <v>COM</v>
      </c>
      <c r="AP110" s="196"/>
      <c r="AQ110" s="196"/>
      <c r="AR110" s="196"/>
      <c r="AS110" s="195">
        <v>6</v>
      </c>
      <c r="AT110" s="196"/>
      <c r="AU110" s="196"/>
      <c r="AV110" s="195">
        <v>6</v>
      </c>
      <c r="AW110" s="91"/>
      <c r="AX110" s="73"/>
    </row>
    <row r="111" spans="1:50" s="5" customFormat="1" ht="15">
      <c r="B111" s="95" t="s">
        <v>239</v>
      </c>
      <c r="C111" s="96" t="s">
        <v>263</v>
      </c>
      <c r="D111" s="92">
        <v>2</v>
      </c>
      <c r="E111" s="97">
        <v>0.29166666666666669</v>
      </c>
      <c r="F111" s="97">
        <v>0.374999999999999</v>
      </c>
      <c r="G111" s="92"/>
      <c r="H111" s="92" t="s">
        <v>67</v>
      </c>
      <c r="I111" s="92" t="e">
        <f>INDEX(Aulas_capacidad,MATCH(base_de_datos[[#This Row],[Aula]],Aulas,0),2)</f>
        <v>#REF!</v>
      </c>
      <c r="J111" s="90">
        <v>15</v>
      </c>
      <c r="K111" s="92" t="e">
        <f>INDEX(Aulas_capacidad,MATCH(base_de_datos[[#This Row],[Aula]],Aulas,0),4)</f>
        <v>#REF!</v>
      </c>
      <c r="L111" s="98" t="e">
        <f>base_de_datos[[#This Row],[Cap 1.5]]-base_de_datos[[#This Row],[Inscritos]]</f>
        <v>#REF!</v>
      </c>
      <c r="M111" s="98" t="e">
        <f>INDEX(Aulas_capacidad,MATCH(base_de_datos[[#This Row],[Aula]],Aulas,0),5)</f>
        <v>#REF!</v>
      </c>
      <c r="N111" s="98" t="e">
        <f>base_de_datos[[#This Row],[Cap .90]]-base_de_datos[[#This Row],[Inscritos]]</f>
        <v>#REF!</v>
      </c>
      <c r="O111" s="92" t="s">
        <v>274</v>
      </c>
      <c r="P111" s="99"/>
      <c r="Q111" s="100"/>
      <c r="R111" s="99" t="s">
        <v>68</v>
      </c>
      <c r="S111" s="100"/>
      <c r="T111" s="100" t="s">
        <v>68</v>
      </c>
      <c r="U111" s="99"/>
      <c r="V111" s="99"/>
      <c r="W111" s="99" t="s">
        <v>77</v>
      </c>
      <c r="X111" s="93">
        <f>_xlfn.XLOOKUP(base_de_datos[[#This Row],[Materia]],Materias,Horas)/16</f>
        <v>4</v>
      </c>
      <c r="Y111" s="93">
        <f>ROUND(((base_de_datos[[#This Row],[Hora fin]]-base_de_datos[[#This Row],[Hora inicio]])*24)*(COUNTA(base_de_datos[[#This Row],[Lunes]:[Sábado]])),1)</f>
        <v>4</v>
      </c>
      <c r="Z111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1" s="93">
        <f ca="1">IF(base_de_datos[[#This Row],[No clase]]=OFFSET(base_de_datos[[#This Row],[No clase]],-1,0),0,1)</f>
        <v>1</v>
      </c>
      <c r="AB111" s="93">
        <f ca="1">IF(NOT(OR(base_de_datos[[#This Row],[Horas totales]]=base_de_datos[[#This Row],[HT Plan]],base_de_datos[[#This Row],[Horas totales]]="N/A")),1,0)</f>
        <v>0</v>
      </c>
      <c r="AC111" s="93" t="e">
        <f>_xlfn.XLOOKUP(base_de_datos[[#This Row],[Profesor]],Nombre,Grado)</f>
        <v>#REF!</v>
      </c>
      <c r="AD111" s="94" t="e">
        <f>_xlfn.XLOOKUP(base_de_datos[[#This Row],[Profesor]],Nombre,Tipo)</f>
        <v>#REF!</v>
      </c>
      <c r="AE111" s="93">
        <f>IF(IFERROR(VLOOKUP($C111,Planes_de_estudio[],MATCH($AE$2,Carreras,0)+2,0),"")&gt;0,IFERROR(VLOOKUP($C111,Planes_de_estudio[],MATCH($AE$2,Carreras,0)+2,0),""),"")</f>
        <v>2</v>
      </c>
      <c r="AF111" s="93">
        <f>IF(IFERROR(VLOOKUP($C111,Planes_de_estudio[],MATCH($AF$2,Carreras,0)+2,0),"")&gt;0,IFERROR(VLOOKUP($C111,Planes_de_estudio[],MATCH($AF$2,Carreras,0)+2,0),""),"")</f>
        <v>2</v>
      </c>
      <c r="AG111" s="93">
        <f>IF(IFERROR(VLOOKUP($C111,Planes_de_estudio[],MATCH($AG$2,Carreras,0)+2,0),"")&gt;0,IFERROR(VLOOKUP($C111,Planes_de_estudio[],MATCH($AG$2,Carreras,0)+2,0),""),"")</f>
        <v>4</v>
      </c>
      <c r="AH111" s="93">
        <f>IF(IFERROR(VLOOKUP($C111,Planes_de_estudio[],MATCH($AH$2,Carreras,0)+2,0),"")&gt;0,IFERROR(VLOOKUP($C111,Planes_de_estudio[],MATCH($AH$2,Carreras,0)+2,0),""),"")</f>
        <v>2</v>
      </c>
      <c r="AI111" s="93">
        <f>IF(IFERROR(VLOOKUP($C111,Planes_de_estudio[],MATCH($AI$2,Carreras,0)+2,0),"")&gt;0,IFERROR(VLOOKUP($C111,Planes_de_estudio[],MATCH($AI$2,Carreras,0)+2,0),""),"")</f>
        <v>2</v>
      </c>
      <c r="AJ111" s="93">
        <f>IF(IFERROR(VLOOKUP($C111,Planes_de_estudio[],MATCH($AJ$2,Carreras,0)+2,0),"")&gt;0,IFERROR(VLOOKUP($C111,Planes_de_estudio[],MATCH($AJ$2,Carreras,0)+2,0),""),"")</f>
        <v>2</v>
      </c>
      <c r="AK111" s="93">
        <f>IF(IFERROR(VLOOKUP($C111,Planes_de_estudio[],MATCH($AK$2,Carreras,0)+2,0),"")&gt;0,IFERROR(VLOOKUP($C111,Planes_de_estudio[],MATCH($AK$2,Carreras,0)+2,0),""),"")</f>
        <v>2</v>
      </c>
      <c r="AL11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1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16</v>
      </c>
      <c r="AN111" s="93">
        <f>base_de_datos[[#This Row],[Pronóstico]]/25</f>
        <v>0.64</v>
      </c>
      <c r="AO111" s="93" t="str">
        <f>VLOOKUP($C111,Planes_de_estudio[],2)</f>
        <v>MAT</v>
      </c>
      <c r="AP111" s="195">
        <v>6</v>
      </c>
      <c r="AQ111" s="195">
        <v>6</v>
      </c>
      <c r="AR111" s="195">
        <v>6</v>
      </c>
      <c r="AS111" s="195">
        <v>6</v>
      </c>
      <c r="AT111" s="195">
        <v>6</v>
      </c>
      <c r="AU111" s="195">
        <v>6</v>
      </c>
      <c r="AV111" s="195">
        <v>6</v>
      </c>
      <c r="AW111" s="91"/>
      <c r="AX111" s="73"/>
    </row>
    <row r="112" spans="1:50" s="5" customFormat="1" ht="15">
      <c r="B112" s="95" t="s">
        <v>137</v>
      </c>
      <c r="C112" s="96" t="s">
        <v>223</v>
      </c>
      <c r="D112" s="92">
        <v>3</v>
      </c>
      <c r="E112" s="97">
        <v>0.29166666666666669</v>
      </c>
      <c r="F112" s="97">
        <v>0.374999999999999</v>
      </c>
      <c r="G112" s="92"/>
      <c r="H112" s="92" t="s">
        <v>195</v>
      </c>
      <c r="I112" s="92" t="e">
        <f>INDEX(Aulas_capacidad,MATCH(base_de_datos[[#This Row],[Aula]],Aulas,0),2)</f>
        <v>#REF!</v>
      </c>
      <c r="J112" s="90">
        <v>17</v>
      </c>
      <c r="K112" s="92" t="e">
        <f>INDEX(Aulas_capacidad,MATCH(base_de_datos[[#This Row],[Aula]],Aulas,0),4)</f>
        <v>#REF!</v>
      </c>
      <c r="L112" s="98" t="e">
        <f>base_de_datos[[#This Row],[Cap 1.5]]-base_de_datos[[#This Row],[Inscritos]]</f>
        <v>#REF!</v>
      </c>
      <c r="M112" s="98" t="e">
        <f>INDEX(Aulas_capacidad,MATCH(base_de_datos[[#This Row],[Aula]],Aulas,0),5)</f>
        <v>#REF!</v>
      </c>
      <c r="N112" s="98" t="e">
        <f>base_de_datos[[#This Row],[Cap .90]]-base_de_datos[[#This Row],[Inscritos]]</f>
        <v>#REF!</v>
      </c>
      <c r="O112" s="92" t="s">
        <v>275</v>
      </c>
      <c r="P112" s="99"/>
      <c r="Q112" s="100"/>
      <c r="R112" s="99" t="s">
        <v>68</v>
      </c>
      <c r="S112" s="100"/>
      <c r="T112" s="100" t="s">
        <v>68</v>
      </c>
      <c r="U112" s="99"/>
      <c r="V112" s="99"/>
      <c r="W112" s="99" t="s">
        <v>148</v>
      </c>
      <c r="X112" s="101">
        <f>_xlfn.XLOOKUP(base_de_datos[[#This Row],[Materia]],Materias,Horas)/16</f>
        <v>4</v>
      </c>
      <c r="Y112" s="101">
        <f>ROUND(((base_de_datos[[#This Row],[Hora fin]]-base_de_datos[[#This Row],[Hora inicio]])*24)*(COUNTA(base_de_datos[[#This Row],[Lunes]:[Sábado]])),1)</f>
        <v>4</v>
      </c>
      <c r="Z112" s="101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2" s="93">
        <f ca="1">IF(base_de_datos[[#This Row],[No clase]]=OFFSET(base_de_datos[[#This Row],[No clase]],-1,0),0,1)</f>
        <v>1</v>
      </c>
      <c r="AB112" s="93">
        <f ca="1">IF(NOT(OR(base_de_datos[[#This Row],[Horas totales]]=base_de_datos[[#This Row],[HT Plan]],base_de_datos[[#This Row],[Horas totales]]="N/A")),1,0)</f>
        <v>0</v>
      </c>
      <c r="AC112" s="93" t="e">
        <f>_xlfn.XLOOKUP(base_de_datos[[#This Row],[Profesor]],Nombre,Grado)</f>
        <v>#REF!</v>
      </c>
      <c r="AD112" s="94" t="e">
        <f>_xlfn.XLOOKUP(base_de_datos[[#This Row],[Profesor]],Nombre,Tipo)</f>
        <v>#REF!</v>
      </c>
      <c r="AE112" s="93">
        <f>IF(IFERROR(VLOOKUP($C112,Planes_de_estudio[],MATCH($AE$2,Carreras,0)+2,0),"")&gt;0,IFERROR(VLOOKUP($C112,Planes_de_estudio[],MATCH($AE$2,Carreras,0)+2,0),""),"")</f>
        <v>3</v>
      </c>
      <c r="AF112" s="93">
        <f>IF(IFERROR(VLOOKUP($C112,Planes_de_estudio[],MATCH($AF$2,Carreras,0)+2,0),"")&gt;0,IFERROR(VLOOKUP($C112,Planes_de_estudio[],MATCH($AF$2,Carreras,0)+2,0),""),"")</f>
        <v>3</v>
      </c>
      <c r="AG112" s="93">
        <f>IF(IFERROR(VLOOKUP($C112,Planes_de_estudio[],MATCH($AG$2,Carreras,0)+2,0),"")&gt;0,IFERROR(VLOOKUP($C112,Planes_de_estudio[],MATCH($AG$2,Carreras,0)+2,0),""),"")</f>
        <v>5</v>
      </c>
      <c r="AH112" s="93">
        <f>IF(IFERROR(VLOOKUP($C112,Planes_de_estudio[],MATCH($AH$2,Carreras,0)+2,0),"")&gt;0,IFERROR(VLOOKUP($C112,Planes_de_estudio[],MATCH($AH$2,Carreras,0)+2,0),""),"")</f>
        <v>3</v>
      </c>
      <c r="AI112" s="93">
        <f>IF(IFERROR(VLOOKUP($C112,Planes_de_estudio[],MATCH($AI$2,Carreras,0)+2,0),"")&gt;0,IFERROR(VLOOKUP($C112,Planes_de_estudio[],MATCH($AI$2,Carreras,0)+2,0),""),"")</f>
        <v>3</v>
      </c>
      <c r="AJ112" s="93">
        <f>IF(IFERROR(VLOOKUP($C112,Planes_de_estudio[],MATCH($AJ$2,Carreras,0)+2,0),"")&gt;0,IFERROR(VLOOKUP($C112,Planes_de_estudio[],MATCH($AJ$2,Carreras,0)+2,0),""),"")</f>
        <v>3</v>
      </c>
      <c r="AK112" s="93">
        <f>IF(IFERROR(VLOOKUP($C112,Planes_de_estudio[],MATCH($AK$2,Carreras,0)+2,0),"")&gt;0,IFERROR(VLOOKUP($C112,Planes_de_estudio[],MATCH($AK$2,Carreras,0)+2,0),""),"")</f>
        <v>3</v>
      </c>
      <c r="AL11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1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121</v>
      </c>
      <c r="AN112" s="93">
        <f>base_de_datos[[#This Row],[Pronóstico]]/25</f>
        <v>4.84</v>
      </c>
      <c r="AO112" s="93" t="str">
        <f>VLOOKUP($C112,Planes_de_estudio[],2)</f>
        <v>MAT</v>
      </c>
      <c r="AP112" s="195">
        <v>6</v>
      </c>
      <c r="AQ112" s="195">
        <v>6</v>
      </c>
      <c r="AR112" s="195">
        <v>6</v>
      </c>
      <c r="AS112" s="195">
        <v>6</v>
      </c>
      <c r="AT112" s="195">
        <v>6</v>
      </c>
      <c r="AU112" s="195">
        <v>6</v>
      </c>
      <c r="AV112" s="195">
        <v>6</v>
      </c>
      <c r="AW112" s="91"/>
      <c r="AX112" s="73"/>
    </row>
    <row r="113" spans="2:50" s="5" customFormat="1" ht="15">
      <c r="B113" s="95" t="s">
        <v>227</v>
      </c>
      <c r="C113" s="96" t="s">
        <v>223</v>
      </c>
      <c r="D113" s="92">
        <v>4</v>
      </c>
      <c r="E113" s="97">
        <v>0.625</v>
      </c>
      <c r="F113" s="97">
        <v>0.70833333333332704</v>
      </c>
      <c r="G113" s="92"/>
      <c r="H113" s="92" t="s">
        <v>67</v>
      </c>
      <c r="I113" s="92" t="e">
        <f>INDEX(Aulas_capacidad,MATCH(base_de_datos[[#This Row],[Aula]],Aulas,0),2)</f>
        <v>#REF!</v>
      </c>
      <c r="J113" s="90">
        <v>19</v>
      </c>
      <c r="K113" s="92" t="e">
        <f>INDEX(Aulas_capacidad,MATCH(base_de_datos[[#This Row],[Aula]],Aulas,0),4)</f>
        <v>#REF!</v>
      </c>
      <c r="L113" s="98" t="e">
        <f>base_de_datos[[#This Row],[Cap 1.5]]-base_de_datos[[#This Row],[Inscritos]]</f>
        <v>#REF!</v>
      </c>
      <c r="M113" s="98" t="e">
        <f>INDEX(Aulas_capacidad,MATCH(base_de_datos[[#This Row],[Aula]],Aulas,0),5)</f>
        <v>#REF!</v>
      </c>
      <c r="N113" s="98" t="e">
        <f>base_de_datos[[#This Row],[Cap .90]]-base_de_datos[[#This Row],[Inscritos]]</f>
        <v>#REF!</v>
      </c>
      <c r="O113" s="92" t="s">
        <v>276</v>
      </c>
      <c r="P113" s="99"/>
      <c r="Q113" s="100" t="s">
        <v>68</v>
      </c>
      <c r="R113" s="99"/>
      <c r="S113" s="100" t="s">
        <v>68</v>
      </c>
      <c r="T113" s="100"/>
      <c r="U113" s="99"/>
      <c r="V113" s="99"/>
      <c r="W113" s="99" t="s">
        <v>69</v>
      </c>
      <c r="X113" s="93">
        <f>_xlfn.XLOOKUP(base_de_datos[[#This Row],[Materia]],Materias,Horas)/16</f>
        <v>4</v>
      </c>
      <c r="Y113" s="93">
        <f>ROUND(((base_de_datos[[#This Row],[Hora fin]]-base_de_datos[[#This Row],[Hora inicio]])*24)*(COUNTA(base_de_datos[[#This Row],[Lunes]:[Sábado]])),1)</f>
        <v>4</v>
      </c>
      <c r="Z113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3" s="93">
        <f ca="1">IF(base_de_datos[[#This Row],[No clase]]=OFFSET(base_de_datos[[#This Row],[No clase]],-1,0),0,1)</f>
        <v>1</v>
      </c>
      <c r="AB113" s="93">
        <f ca="1">IF(NOT(OR(base_de_datos[[#This Row],[Horas totales]]=base_de_datos[[#This Row],[HT Plan]],base_de_datos[[#This Row],[Horas totales]]="N/A")),1,0)</f>
        <v>0</v>
      </c>
      <c r="AC113" s="93" t="e">
        <f>_xlfn.XLOOKUP(base_de_datos[[#This Row],[Profesor]],Nombre,Grado)</f>
        <v>#REF!</v>
      </c>
      <c r="AD113" s="94" t="e">
        <f>_xlfn.XLOOKUP(base_de_datos[[#This Row],[Profesor]],Nombre,Tipo)</f>
        <v>#REF!</v>
      </c>
      <c r="AE113" s="93">
        <f>IF(IFERROR(VLOOKUP($C113,Planes_de_estudio[],MATCH($AE$2,Carreras,0)+2,0),"")&gt;0,IFERROR(VLOOKUP($C113,Planes_de_estudio[],MATCH($AE$2,Carreras,0)+2,0),""),"")</f>
        <v>3</v>
      </c>
      <c r="AF113" s="93">
        <f>IF(IFERROR(VLOOKUP($C113,Planes_de_estudio[],MATCH($AF$2,Carreras,0)+2,0),"")&gt;0,IFERROR(VLOOKUP($C113,Planes_de_estudio[],MATCH($AF$2,Carreras,0)+2,0),""),"")</f>
        <v>3</v>
      </c>
      <c r="AG113" s="93">
        <f>IF(IFERROR(VLOOKUP($C113,Planes_de_estudio[],MATCH($AG$2,Carreras,0)+2,0),"")&gt;0,IFERROR(VLOOKUP($C113,Planes_de_estudio[],MATCH($AG$2,Carreras,0)+2,0),""),"")</f>
        <v>5</v>
      </c>
      <c r="AH113" s="93">
        <f>IF(IFERROR(VLOOKUP($C113,Planes_de_estudio[],MATCH($AH$2,Carreras,0)+2,0),"")&gt;0,IFERROR(VLOOKUP($C113,Planes_de_estudio[],MATCH($AH$2,Carreras,0)+2,0),""),"")</f>
        <v>3</v>
      </c>
      <c r="AI113" s="93">
        <f>IF(IFERROR(VLOOKUP($C113,Planes_de_estudio[],MATCH($AI$2,Carreras,0)+2,0),"")&gt;0,IFERROR(VLOOKUP($C113,Planes_de_estudio[],MATCH($AI$2,Carreras,0)+2,0),""),"")</f>
        <v>3</v>
      </c>
      <c r="AJ113" s="93">
        <f>IF(IFERROR(VLOOKUP($C113,Planes_de_estudio[],MATCH($AJ$2,Carreras,0)+2,0),"")&gt;0,IFERROR(VLOOKUP($C113,Planes_de_estudio[],MATCH($AJ$2,Carreras,0)+2,0),""),"")</f>
        <v>3</v>
      </c>
      <c r="AK113" s="93">
        <f>IF(IFERROR(VLOOKUP($C113,Planes_de_estudio[],MATCH($AK$2,Carreras,0)+2,0),"")&gt;0,IFERROR(VLOOKUP($C113,Planes_de_estudio[],MATCH($AK$2,Carreras,0)+2,0),""),"")</f>
        <v>3</v>
      </c>
      <c r="AL11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1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121</v>
      </c>
      <c r="AN113" s="93">
        <f>base_de_datos[[#This Row],[Pronóstico]]/25</f>
        <v>4.84</v>
      </c>
      <c r="AO113" s="93" t="str">
        <f>VLOOKUP($C113,Planes_de_estudio[],2)</f>
        <v>MAT</v>
      </c>
      <c r="AP113" s="195">
        <v>6</v>
      </c>
      <c r="AQ113" s="195">
        <v>6</v>
      </c>
      <c r="AR113" s="195">
        <v>6</v>
      </c>
      <c r="AS113" s="195">
        <v>6</v>
      </c>
      <c r="AT113" s="195">
        <v>6</v>
      </c>
      <c r="AU113" s="195">
        <v>6</v>
      </c>
      <c r="AV113" s="195">
        <v>6</v>
      </c>
      <c r="AW113" s="91"/>
      <c r="AX113" s="73"/>
    </row>
    <row r="114" spans="2:50" s="5" customFormat="1" ht="16">
      <c r="B114" s="95" t="s">
        <v>220</v>
      </c>
      <c r="C114" s="96" t="s">
        <v>277</v>
      </c>
      <c r="D114" s="92">
        <v>1</v>
      </c>
      <c r="E114" s="97">
        <v>0.29166666666666669</v>
      </c>
      <c r="F114" s="97">
        <v>0.374999999999999</v>
      </c>
      <c r="G114" s="92"/>
      <c r="H114" s="92" t="s">
        <v>162</v>
      </c>
      <c r="I114" s="92" t="e">
        <f>INDEX(Aulas_capacidad,MATCH(base_de_datos[[#This Row],[Aula]],Aulas,0),2)</f>
        <v>#REF!</v>
      </c>
      <c r="J114" s="90">
        <v>26</v>
      </c>
      <c r="K114" s="92" t="e">
        <f>INDEX(Aulas_capacidad,MATCH(base_de_datos[[#This Row],[Aula]],Aulas,0),4)</f>
        <v>#REF!</v>
      </c>
      <c r="L114" s="98" t="e">
        <f>base_de_datos[[#This Row],[Cap 1.5]]-base_de_datos[[#This Row],[Inscritos]]</f>
        <v>#REF!</v>
      </c>
      <c r="M114" s="98" t="e">
        <f>INDEX(Aulas_capacidad,MATCH(base_de_datos[[#This Row],[Aula]],Aulas,0),5)</f>
        <v>#REF!</v>
      </c>
      <c r="N114" s="98" t="e">
        <f>base_de_datos[[#This Row],[Cap .90]]-base_de_datos[[#This Row],[Inscritos]]</f>
        <v>#REF!</v>
      </c>
      <c r="O114" s="92">
        <v>1723</v>
      </c>
      <c r="P114" s="99" t="s">
        <v>68</v>
      </c>
      <c r="Q114" s="100"/>
      <c r="R114" s="99"/>
      <c r="S114" s="100" t="s">
        <v>68</v>
      </c>
      <c r="T114" s="100"/>
      <c r="U114" s="99"/>
      <c r="V114" s="99"/>
      <c r="W114" s="99" t="s">
        <v>92</v>
      </c>
      <c r="X114" s="93">
        <f>_xlfn.XLOOKUP(base_de_datos[[#This Row],[Materia]],Materias,Horas)/16</f>
        <v>4</v>
      </c>
      <c r="Y114" s="93">
        <f>ROUND(((base_de_datos[[#This Row],[Hora fin]]-base_de_datos[[#This Row],[Hora inicio]])*24)*(COUNTA(base_de_datos[[#This Row],[Lunes]:[Sábado]])),1)</f>
        <v>4</v>
      </c>
      <c r="Z114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4" s="93">
        <f ca="1">IF(base_de_datos[[#This Row],[No clase]]=OFFSET(base_de_datos[[#This Row],[No clase]],-1,0),0,1)</f>
        <v>1</v>
      </c>
      <c r="AB114" s="93">
        <f ca="1">IF(NOT(OR(base_de_datos[[#This Row],[Horas totales]]=base_de_datos[[#This Row],[HT Plan]],base_de_datos[[#This Row],[Horas totales]]="N/A")),1,0)</f>
        <v>0</v>
      </c>
      <c r="AC114" s="93" t="e">
        <f>_xlfn.XLOOKUP(base_de_datos[[#This Row],[Profesor]],Nombre,Grado)</f>
        <v>#REF!</v>
      </c>
      <c r="AD114" s="94" t="e">
        <f>_xlfn.XLOOKUP(base_de_datos[[#This Row],[Profesor]],Nombre,Tipo)</f>
        <v>#REF!</v>
      </c>
      <c r="AE114" s="93" t="str">
        <f>IF(IFERROR(VLOOKUP($C114,Planes_de_estudio[],MATCH($AE$2,Carreras,0)+2,0),"")&gt;0,IFERROR(VLOOKUP($C114,Planes_de_estudio[],MATCH($AE$2,Carreras,0)+2,0),""),"")</f>
        <v/>
      </c>
      <c r="AF114" s="93" t="str">
        <f>IF(IFERROR(VLOOKUP($C114,Planes_de_estudio[],MATCH($AF$2,Carreras,0)+2,0),"")&gt;0,IFERROR(VLOOKUP($C114,Planes_de_estudio[],MATCH($AF$2,Carreras,0)+2,0),""),"")</f>
        <v/>
      </c>
      <c r="AG114" s="93" t="str">
        <f>IF(IFERROR(VLOOKUP($C114,Planes_de_estudio[],MATCH($AG$2,Carreras,0)+2,0),"")&gt;0,IFERROR(VLOOKUP($C114,Planes_de_estudio[],MATCH($AG$2,Carreras,0)+2,0),""),"")</f>
        <v/>
      </c>
      <c r="AH114" s="93">
        <f>IF(IFERROR(VLOOKUP($C114,Planes_de_estudio[],MATCH($AH$2,Carreras,0)+2,0),"")&gt;0,IFERROR(VLOOKUP($C114,Planes_de_estudio[],MATCH($AH$2,Carreras,0)+2,0),""),"")</f>
        <v>3</v>
      </c>
      <c r="AI114" s="93" t="str">
        <f>IF(IFERROR(VLOOKUP($C114,Planes_de_estudio[],MATCH($AI$2,Carreras,0)+2,0),"")&gt;0,IFERROR(VLOOKUP($C114,Planes_de_estudio[],MATCH($AI$2,Carreras,0)+2,0),""),"")</f>
        <v/>
      </c>
      <c r="AJ114" s="93" t="str">
        <f>IF(IFERROR(VLOOKUP($C114,Planes_de_estudio[],MATCH($AJ$2,Carreras,0)+2,0),"")&gt;0,IFERROR(VLOOKUP($C114,Planes_de_estudio[],MATCH($AJ$2,Carreras,0)+2,0),""),"")</f>
        <v/>
      </c>
      <c r="AK114" s="93" t="str">
        <f>IF(IFERROR(VLOOKUP($C114,Planes_de_estudio[],MATCH($AK$2,Carreras,0)+2,0),"")&gt;0,IFERROR(VLOOKUP($C114,Planes_de_estudio[],MATCH($AK$2,Carreras,0)+2,0),""),"")</f>
        <v/>
      </c>
      <c r="AL11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1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31</v>
      </c>
      <c r="AN114" s="93">
        <f>base_de_datos[[#This Row],[Pronóstico]]/25</f>
        <v>1.24</v>
      </c>
      <c r="AO114" s="93" t="str">
        <f>VLOOKUP($C114,Planes_de_estudio[],2)</f>
        <v>MAT</v>
      </c>
      <c r="AP114" s="196"/>
      <c r="AQ114" s="196"/>
      <c r="AR114" s="196"/>
      <c r="AS114" s="195">
        <v>6</v>
      </c>
      <c r="AT114" s="196"/>
      <c r="AU114" s="196"/>
      <c r="AV114" s="196"/>
      <c r="AW114" s="91"/>
      <c r="AX114" s="73"/>
    </row>
    <row r="115" spans="2:50" s="5" customFormat="1" ht="16">
      <c r="B115" s="95" t="s">
        <v>93</v>
      </c>
      <c r="C115" s="96" t="s">
        <v>278</v>
      </c>
      <c r="D115" s="92">
        <v>1</v>
      </c>
      <c r="E115" s="97">
        <v>0.3125</v>
      </c>
      <c r="F115" s="97">
        <v>0.374999999999999</v>
      </c>
      <c r="G115" s="92" t="s">
        <v>72</v>
      </c>
      <c r="H115" s="92" t="s">
        <v>279</v>
      </c>
      <c r="I115" s="92" t="e">
        <f>INDEX(Aulas_capacidad,MATCH(base_de_datos[[#This Row],[Aula]],Aulas,0),2)</f>
        <v>#REF!</v>
      </c>
      <c r="J115" s="90">
        <v>21</v>
      </c>
      <c r="K115" s="92" t="e">
        <f>INDEX(Aulas_capacidad,MATCH(base_de_datos[[#This Row],[Aula]],Aulas,0),4)</f>
        <v>#REF!</v>
      </c>
      <c r="L115" s="98" t="e">
        <f>base_de_datos[[#This Row],[Cap 1.5]]-base_de_datos[[#This Row],[Inscritos]]</f>
        <v>#REF!</v>
      </c>
      <c r="M115" s="98" t="e">
        <f>INDEX(Aulas_capacidad,MATCH(base_de_datos[[#This Row],[Aula]],Aulas,0),5)</f>
        <v>#REF!</v>
      </c>
      <c r="N115" s="98" t="e">
        <f>base_de_datos[[#This Row],[Cap .90]]-base_de_datos[[#This Row],[Inscritos]]</f>
        <v>#REF!</v>
      </c>
      <c r="O115" s="92">
        <v>1724</v>
      </c>
      <c r="P115" s="99" t="s">
        <v>68</v>
      </c>
      <c r="Q115" s="100"/>
      <c r="R115" s="99"/>
      <c r="S115" s="100"/>
      <c r="T115" s="100"/>
      <c r="U115" s="99"/>
      <c r="V115" s="99"/>
      <c r="W115" s="99" t="s">
        <v>74</v>
      </c>
      <c r="X115" s="93">
        <f>_xlfn.XLOOKUP(base_de_datos[[#This Row],[Materia]],Materias,Horas)/16</f>
        <v>3</v>
      </c>
      <c r="Y115" s="93">
        <f>ROUND(((base_de_datos[[#This Row],[Hora fin]]-base_de_datos[[#This Row],[Hora inicio]])*24)*(COUNTA(base_de_datos[[#This Row],[Lunes]:[Sábado]])),1)</f>
        <v>1.5</v>
      </c>
      <c r="Z115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5" s="93">
        <f ca="1">IF(base_de_datos[[#This Row],[No clase]]=OFFSET(base_de_datos[[#This Row],[No clase]],-1,0),0,1)</f>
        <v>1</v>
      </c>
      <c r="AB115" s="93">
        <f ca="1">IF(NOT(OR(base_de_datos[[#This Row],[Horas totales]]=base_de_datos[[#This Row],[HT Plan]],base_de_datos[[#This Row],[Horas totales]]="N/A")),1,0)</f>
        <v>0</v>
      </c>
      <c r="AC115" s="93" t="e">
        <f>_xlfn.XLOOKUP(base_de_datos[[#This Row],[Profesor]],Nombre,Grado)</f>
        <v>#REF!</v>
      </c>
      <c r="AD115" s="94" t="e">
        <f>_xlfn.XLOOKUP(base_de_datos[[#This Row],[Profesor]],Nombre,Tipo)</f>
        <v>#REF!</v>
      </c>
      <c r="AE115" s="93">
        <f>IF(IFERROR(VLOOKUP($C115,Planes_de_estudio[],MATCH($AE$2,Carreras,0)+2,0),"")&gt;0,IFERROR(VLOOKUP($C115,Planes_de_estudio[],MATCH($AE$2,Carreras,0)+2,0),""),"")</f>
        <v>3</v>
      </c>
      <c r="AF115" s="93" t="str">
        <f>IF(IFERROR(VLOOKUP($C115,Planes_de_estudio[],MATCH($AF$2,Carreras,0)+2,0),"")&gt;0,IFERROR(VLOOKUP($C115,Planes_de_estudio[],MATCH($AF$2,Carreras,0)+2,0),""),"")</f>
        <v/>
      </c>
      <c r="AG115" s="93" t="str">
        <f>IF(IFERROR(VLOOKUP($C115,Planes_de_estudio[],MATCH($AG$2,Carreras,0)+2,0),"")&gt;0,IFERROR(VLOOKUP($C115,Planes_de_estudio[],MATCH($AG$2,Carreras,0)+2,0),""),"")</f>
        <v/>
      </c>
      <c r="AH115" s="93" t="str">
        <f>IF(IFERROR(VLOOKUP($C115,Planes_de_estudio[],MATCH($AH$2,Carreras,0)+2,0),"")&gt;0,IFERROR(VLOOKUP($C115,Planes_de_estudio[],MATCH($AH$2,Carreras,0)+2,0),""),"")</f>
        <v/>
      </c>
      <c r="AI115" s="93" t="str">
        <f>IF(IFERROR(VLOOKUP($C115,Planes_de_estudio[],MATCH($AI$2,Carreras,0)+2,0),"")&gt;0,IFERROR(VLOOKUP($C115,Planes_de_estudio[],MATCH($AI$2,Carreras,0)+2,0),""),"")</f>
        <v/>
      </c>
      <c r="AJ115" s="93" t="str">
        <f>IF(IFERROR(VLOOKUP($C115,Planes_de_estudio[],MATCH($AJ$2,Carreras,0)+2,0),"")&gt;0,IFERROR(VLOOKUP($C115,Planes_de_estudio[],MATCH($AJ$2,Carreras,0)+2,0),""),"")</f>
        <v/>
      </c>
      <c r="AK115" s="93" t="str">
        <f>IF(IFERROR(VLOOKUP($C115,Planes_de_estudio[],MATCH($AK$2,Carreras,0)+2,0),"")&gt;0,IFERROR(VLOOKUP($C115,Planes_de_estudio[],MATCH($AK$2,Carreras,0)+2,0),""),"")</f>
        <v/>
      </c>
      <c r="AL11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1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115" s="93">
        <f>base_de_datos[[#This Row],[Pronóstico]]/25</f>
        <v>0.72</v>
      </c>
      <c r="AO115" s="93" t="str">
        <f>VLOOKUP($C115,Planes_de_estudio[],2)</f>
        <v>MAT</v>
      </c>
      <c r="AP115" s="195">
        <v>6</v>
      </c>
      <c r="AQ115" s="196"/>
      <c r="AR115" s="196"/>
      <c r="AS115" s="196"/>
      <c r="AT115" s="196"/>
      <c r="AU115" s="196"/>
      <c r="AV115" s="196"/>
      <c r="AW115" s="91"/>
      <c r="AX115" s="73"/>
    </row>
    <row r="116" spans="2:50" s="5" customFormat="1" ht="16">
      <c r="B116" s="95" t="s">
        <v>93</v>
      </c>
      <c r="C116" s="96" t="s">
        <v>278</v>
      </c>
      <c r="D116" s="92">
        <v>1</v>
      </c>
      <c r="E116" s="97">
        <v>0.54166666666666696</v>
      </c>
      <c r="F116" s="97">
        <v>0.60416666666666197</v>
      </c>
      <c r="G116" s="92"/>
      <c r="H116" s="92" t="s">
        <v>218</v>
      </c>
      <c r="I116" s="92" t="e">
        <f>INDEX(Aulas_capacidad,MATCH(base_de_datos[[#This Row],[Aula]],Aulas,0),2)</f>
        <v>#REF!</v>
      </c>
      <c r="J116" s="90">
        <v>21</v>
      </c>
      <c r="K116" s="92" t="e">
        <f>INDEX(Aulas_capacidad,MATCH(base_de_datos[[#This Row],[Aula]],Aulas,0),4)</f>
        <v>#REF!</v>
      </c>
      <c r="L116" s="98" t="e">
        <f>base_de_datos[[#This Row],[Cap 1.5]]-base_de_datos[[#This Row],[Inscritos]]</f>
        <v>#REF!</v>
      </c>
      <c r="M116" s="98" t="e">
        <f>INDEX(Aulas_capacidad,MATCH(base_de_datos[[#This Row],[Aula]],Aulas,0),5)</f>
        <v>#REF!</v>
      </c>
      <c r="N116" s="98" t="e">
        <f>base_de_datos[[#This Row],[Cap .90]]-base_de_datos[[#This Row],[Inscritos]]</f>
        <v>#REF!</v>
      </c>
      <c r="O116" s="92">
        <v>1724</v>
      </c>
      <c r="P116" s="99"/>
      <c r="Q116" s="100"/>
      <c r="R116" s="99" t="s">
        <v>68</v>
      </c>
      <c r="S116" s="100"/>
      <c r="T116" s="100"/>
      <c r="U116" s="99"/>
      <c r="V116" s="99"/>
      <c r="W116" s="99" t="s">
        <v>74</v>
      </c>
      <c r="X116" s="93">
        <f>_xlfn.XLOOKUP(base_de_datos[[#This Row],[Materia]],Materias,Horas)/16</f>
        <v>3</v>
      </c>
      <c r="Y116" s="93">
        <f>ROUND(((base_de_datos[[#This Row],[Hora fin]]-base_de_datos[[#This Row],[Hora inicio]])*24)*(COUNTA(base_de_datos[[#This Row],[Lunes]:[Sábado]])),1)</f>
        <v>1.5</v>
      </c>
      <c r="Z116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6" s="93">
        <f ca="1">IF(base_de_datos[[#This Row],[No clase]]=OFFSET(base_de_datos[[#This Row],[No clase]],-1,0),0,1)</f>
        <v>0</v>
      </c>
      <c r="AB116" s="93">
        <f ca="1">IF(NOT(OR(base_de_datos[[#This Row],[Horas totales]]=base_de_datos[[#This Row],[HT Plan]],base_de_datos[[#This Row],[Horas totales]]="N/A")),1,0)</f>
        <v>0</v>
      </c>
      <c r="AC116" s="93" t="e">
        <f>_xlfn.XLOOKUP(base_de_datos[[#This Row],[Profesor]],Nombre,Grado)</f>
        <v>#REF!</v>
      </c>
      <c r="AD116" s="94" t="e">
        <f>_xlfn.XLOOKUP(base_de_datos[[#This Row],[Profesor]],Nombre,Tipo)</f>
        <v>#REF!</v>
      </c>
      <c r="AE116" s="93">
        <f>IF(IFERROR(VLOOKUP($C116,Planes_de_estudio[],MATCH($AE$2,Carreras,0)+2,0),"")&gt;0,IFERROR(VLOOKUP($C116,Planes_de_estudio[],MATCH($AE$2,Carreras,0)+2,0),""),"")</f>
        <v>3</v>
      </c>
      <c r="AF116" s="93" t="str">
        <f>IF(IFERROR(VLOOKUP($C116,Planes_de_estudio[],MATCH($AF$2,Carreras,0)+2,0),"")&gt;0,IFERROR(VLOOKUP($C116,Planes_de_estudio[],MATCH($AF$2,Carreras,0)+2,0),""),"")</f>
        <v/>
      </c>
      <c r="AG116" s="93" t="str">
        <f>IF(IFERROR(VLOOKUP($C116,Planes_de_estudio[],MATCH($AG$2,Carreras,0)+2,0),"")&gt;0,IFERROR(VLOOKUP($C116,Planes_de_estudio[],MATCH($AG$2,Carreras,0)+2,0),""),"")</f>
        <v/>
      </c>
      <c r="AH116" s="93" t="str">
        <f>IF(IFERROR(VLOOKUP($C116,Planes_de_estudio[],MATCH($AH$2,Carreras,0)+2,0),"")&gt;0,IFERROR(VLOOKUP($C116,Planes_de_estudio[],MATCH($AH$2,Carreras,0)+2,0),""),"")</f>
        <v/>
      </c>
      <c r="AI116" s="93" t="str">
        <f>IF(IFERROR(VLOOKUP($C116,Planes_de_estudio[],MATCH($AI$2,Carreras,0)+2,0),"")&gt;0,IFERROR(VLOOKUP($C116,Planes_de_estudio[],MATCH($AI$2,Carreras,0)+2,0),""),"")</f>
        <v/>
      </c>
      <c r="AJ116" s="93" t="str">
        <f>IF(IFERROR(VLOOKUP($C116,Planes_de_estudio[],MATCH($AJ$2,Carreras,0)+2,0),"")&gt;0,IFERROR(VLOOKUP($C116,Planes_de_estudio[],MATCH($AJ$2,Carreras,0)+2,0),""),"")</f>
        <v/>
      </c>
      <c r="AK116" s="93" t="str">
        <f>IF(IFERROR(VLOOKUP($C116,Planes_de_estudio[],MATCH($AK$2,Carreras,0)+2,0),"")&gt;0,IFERROR(VLOOKUP($C116,Planes_de_estudio[],MATCH($AK$2,Carreras,0)+2,0),""),"")</f>
        <v/>
      </c>
      <c r="AL11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1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116" s="93">
        <f>base_de_datos[[#This Row],[Pronóstico]]/25</f>
        <v>0.72</v>
      </c>
      <c r="AO116" s="93" t="str">
        <f>VLOOKUP($C116,Planes_de_estudio[],2)</f>
        <v>MAT</v>
      </c>
      <c r="AP116" s="196"/>
      <c r="AQ116" s="196"/>
      <c r="AR116" s="196"/>
      <c r="AS116" s="196"/>
      <c r="AT116" s="196"/>
      <c r="AU116" s="196"/>
      <c r="AV116" s="196"/>
      <c r="AW116" s="91"/>
      <c r="AX116" s="73"/>
    </row>
    <row r="117" spans="2:50" s="5" customFormat="1" ht="16">
      <c r="B117" s="95" t="s">
        <v>280</v>
      </c>
      <c r="C117" s="96" t="s">
        <v>281</v>
      </c>
      <c r="D117" s="92">
        <v>1</v>
      </c>
      <c r="E117" s="97">
        <v>0.79166666666666696</v>
      </c>
      <c r="F117" s="97">
        <v>0.87499999999999001</v>
      </c>
      <c r="G117" s="92"/>
      <c r="H117" s="92" t="s">
        <v>121</v>
      </c>
      <c r="I117" s="92" t="e">
        <f>INDEX(Aulas_capacidad,MATCH(base_de_datos[[#This Row],[Aula]],Aulas,0),2)</f>
        <v>#REF!</v>
      </c>
      <c r="J117" s="90">
        <v>18</v>
      </c>
      <c r="K117" s="92" t="e">
        <f>INDEX(Aulas_capacidad,MATCH(base_de_datos[[#This Row],[Aula]],Aulas,0),4)</f>
        <v>#REF!</v>
      </c>
      <c r="L117" s="98" t="e">
        <f>base_de_datos[[#This Row],[Cap 1.5]]-base_de_datos[[#This Row],[Inscritos]]</f>
        <v>#REF!</v>
      </c>
      <c r="M117" s="98" t="e">
        <f>INDEX(Aulas_capacidad,MATCH(base_de_datos[[#This Row],[Aula]],Aulas,0),5)</f>
        <v>#REF!</v>
      </c>
      <c r="N117" s="98" t="e">
        <f>base_de_datos[[#This Row],[Cap .90]]-base_de_datos[[#This Row],[Inscritos]]</f>
        <v>#REF!</v>
      </c>
      <c r="O117" s="92" t="s">
        <v>282</v>
      </c>
      <c r="P117" s="99" t="s">
        <v>68</v>
      </c>
      <c r="Q117" s="100"/>
      <c r="R117" s="99"/>
      <c r="S117" s="100"/>
      <c r="T117" s="100"/>
      <c r="U117" s="99"/>
      <c r="V117" s="99"/>
      <c r="W117" s="99" t="s">
        <v>101</v>
      </c>
      <c r="X117" s="93">
        <f>_xlfn.XLOOKUP(base_de_datos[[#This Row],[Materia]],Materias,Horas)/16</f>
        <v>4</v>
      </c>
      <c r="Y117" s="93">
        <f>ROUND(((base_de_datos[[#This Row],[Hora fin]]-base_de_datos[[#This Row],[Hora inicio]])*24)*(COUNTA(base_de_datos[[#This Row],[Lunes]:[Sábado]])),1)</f>
        <v>2</v>
      </c>
      <c r="Z117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7" s="93">
        <f ca="1">IF(base_de_datos[[#This Row],[No clase]]=OFFSET(base_de_datos[[#This Row],[No clase]],-1,0),0,1)</f>
        <v>1</v>
      </c>
      <c r="AB117" s="93">
        <f ca="1">IF(NOT(OR(base_de_datos[[#This Row],[Horas totales]]=base_de_datos[[#This Row],[HT Plan]],base_de_datos[[#This Row],[Horas totales]]="N/A")),1,0)</f>
        <v>0</v>
      </c>
      <c r="AC117" s="93" t="e">
        <f>_xlfn.XLOOKUP(base_de_datos[[#This Row],[Profesor]],Nombre,Grado)</f>
        <v>#REF!</v>
      </c>
      <c r="AD117" s="94" t="e">
        <f>_xlfn.XLOOKUP(base_de_datos[[#This Row],[Profesor]],Nombre,Tipo)</f>
        <v>#REF!</v>
      </c>
      <c r="AE117" s="93" t="str">
        <f>IF(IFERROR(VLOOKUP($C117,Planes_de_estudio[],MATCH($AE$2,Carreras,0)+2,0),"")&gt;0,IFERROR(VLOOKUP($C117,Planes_de_estudio[],MATCH($AE$2,Carreras,0)+2,0),""),"")</f>
        <v/>
      </c>
      <c r="AF117" s="93">
        <f>IF(IFERROR(VLOOKUP($C117,Planes_de_estudio[],MATCH($AF$2,Carreras,0)+2,0),"")&gt;0,IFERROR(VLOOKUP($C117,Planes_de_estudio[],MATCH($AF$2,Carreras,0)+2,0),""),"")</f>
        <v>5</v>
      </c>
      <c r="AG117" s="93">
        <f>IF(IFERROR(VLOOKUP($C117,Planes_de_estudio[],MATCH($AG$2,Carreras,0)+2,0),"")&gt;0,IFERROR(VLOOKUP($C117,Planes_de_estudio[],MATCH($AG$2,Carreras,0)+2,0),""),"")</f>
        <v>6</v>
      </c>
      <c r="AH117" s="93">
        <f>IF(IFERROR(VLOOKUP($C117,Planes_de_estudio[],MATCH($AH$2,Carreras,0)+2,0),"")&gt;0,IFERROR(VLOOKUP($C117,Planes_de_estudio[],MATCH($AH$2,Carreras,0)+2,0),""),"")</f>
        <v>5</v>
      </c>
      <c r="AI117" s="93">
        <f>IF(IFERROR(VLOOKUP($C117,Planes_de_estudio[],MATCH($AI$2,Carreras,0)+2,0),"")&gt;0,IFERROR(VLOOKUP($C117,Planes_de_estudio[],MATCH($AI$2,Carreras,0)+2,0),""),"")</f>
        <v>4</v>
      </c>
      <c r="AJ117" s="93">
        <f>IF(IFERROR(VLOOKUP($C117,Planes_de_estudio[],MATCH($AJ$2,Carreras,0)+2,0),"")&gt;0,IFERROR(VLOOKUP($C117,Planes_de_estudio[],MATCH($AJ$2,Carreras,0)+2,0),""),"")</f>
        <v>4</v>
      </c>
      <c r="AK117" s="93">
        <f>IF(IFERROR(VLOOKUP($C117,Planes_de_estudio[],MATCH($AK$2,Carreras,0)+2,0),"")&gt;0,IFERROR(VLOOKUP($C117,Planes_de_estudio[],MATCH($AK$2,Carreras,0)+2,0),""),"")</f>
        <v>5</v>
      </c>
      <c r="AL11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1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42</v>
      </c>
      <c r="AN117" s="93">
        <f>base_de_datos[[#This Row],[Pronóstico]]/25</f>
        <v>1.68</v>
      </c>
      <c r="AO117" s="93" t="str">
        <f>VLOOKUP($C117,Planes_de_estudio[],2)</f>
        <v>MAT</v>
      </c>
      <c r="AP117" s="196"/>
      <c r="AQ117" s="195">
        <v>6</v>
      </c>
      <c r="AR117" s="195">
        <v>6</v>
      </c>
      <c r="AS117" s="195">
        <v>6</v>
      </c>
      <c r="AT117" s="195">
        <v>6</v>
      </c>
      <c r="AU117" s="195">
        <v>6</v>
      </c>
      <c r="AV117" s="195">
        <v>6</v>
      </c>
      <c r="AW117" s="91"/>
      <c r="AX117" s="73"/>
    </row>
    <row r="118" spans="2:50" s="5" customFormat="1" ht="16">
      <c r="B118" s="95" t="s">
        <v>280</v>
      </c>
      <c r="C118" s="96" t="s">
        <v>281</v>
      </c>
      <c r="D118" s="92">
        <v>1</v>
      </c>
      <c r="E118" s="97">
        <v>0.79166666666666696</v>
      </c>
      <c r="F118" s="97">
        <v>0.87499999999999001</v>
      </c>
      <c r="G118" s="92"/>
      <c r="H118" s="92" t="s">
        <v>195</v>
      </c>
      <c r="I118" s="92" t="e">
        <f>INDEX(Aulas_capacidad,MATCH(base_de_datos[[#This Row],[Aula]],Aulas,0),2)</f>
        <v>#REF!</v>
      </c>
      <c r="J118" s="90">
        <v>18</v>
      </c>
      <c r="K118" s="92" t="e">
        <f>INDEX(Aulas_capacidad,MATCH(base_de_datos[[#This Row],[Aula]],Aulas,0),4)</f>
        <v>#REF!</v>
      </c>
      <c r="L118" s="98" t="e">
        <f>base_de_datos[[#This Row],[Cap 1.5]]-base_de_datos[[#This Row],[Inscritos]]</f>
        <v>#REF!</v>
      </c>
      <c r="M118" s="98" t="e">
        <f>INDEX(Aulas_capacidad,MATCH(base_de_datos[[#This Row],[Aula]],Aulas,0),5)</f>
        <v>#REF!</v>
      </c>
      <c r="N118" s="98" t="e">
        <f>base_de_datos[[#This Row],[Cap .90]]-base_de_datos[[#This Row],[Inscritos]]</f>
        <v>#REF!</v>
      </c>
      <c r="O118" s="92" t="s">
        <v>282</v>
      </c>
      <c r="P118" s="99"/>
      <c r="Q118" s="100"/>
      <c r="R118" s="99"/>
      <c r="S118" s="100" t="s">
        <v>68</v>
      </c>
      <c r="T118" s="100"/>
      <c r="U118" s="99"/>
      <c r="V118" s="99"/>
      <c r="W118" s="99" t="s">
        <v>101</v>
      </c>
      <c r="X118" s="93">
        <f>_xlfn.XLOOKUP(base_de_datos[[#This Row],[Materia]],Materias,Horas)/16</f>
        <v>4</v>
      </c>
      <c r="Y118" s="93">
        <f>ROUND(((base_de_datos[[#This Row],[Hora fin]]-base_de_datos[[#This Row],[Hora inicio]])*24)*(COUNTA(base_de_datos[[#This Row],[Lunes]:[Sábado]])),1)</f>
        <v>2</v>
      </c>
      <c r="Z118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8" s="93">
        <f ca="1">IF(base_de_datos[[#This Row],[No clase]]=OFFSET(base_de_datos[[#This Row],[No clase]],-1,0),0,1)</f>
        <v>0</v>
      </c>
      <c r="AB118" s="93">
        <f ca="1">IF(NOT(OR(base_de_datos[[#This Row],[Horas totales]]=base_de_datos[[#This Row],[HT Plan]],base_de_datos[[#This Row],[Horas totales]]="N/A")),1,0)</f>
        <v>0</v>
      </c>
      <c r="AC118" s="93" t="e">
        <f>_xlfn.XLOOKUP(base_de_datos[[#This Row],[Profesor]],Nombre,Grado)</f>
        <v>#REF!</v>
      </c>
      <c r="AD118" s="94" t="e">
        <f>_xlfn.XLOOKUP(base_de_datos[[#This Row],[Profesor]],Nombre,Tipo)</f>
        <v>#REF!</v>
      </c>
      <c r="AE118" s="93" t="str">
        <f>IF(IFERROR(VLOOKUP($C118,Planes_de_estudio[],MATCH($AE$2,Carreras,0)+2,0),"")&gt;0,IFERROR(VLOOKUP($C118,Planes_de_estudio[],MATCH($AE$2,Carreras,0)+2,0),""),"")</f>
        <v/>
      </c>
      <c r="AF118" s="93">
        <f>IF(IFERROR(VLOOKUP($C118,Planes_de_estudio[],MATCH($AF$2,Carreras,0)+2,0),"")&gt;0,IFERROR(VLOOKUP($C118,Planes_de_estudio[],MATCH($AF$2,Carreras,0)+2,0),""),"")</f>
        <v>5</v>
      </c>
      <c r="AG118" s="93">
        <f>IF(IFERROR(VLOOKUP($C118,Planes_de_estudio[],MATCH($AG$2,Carreras,0)+2,0),"")&gt;0,IFERROR(VLOOKUP($C118,Planes_de_estudio[],MATCH($AG$2,Carreras,0)+2,0),""),"")</f>
        <v>6</v>
      </c>
      <c r="AH118" s="93">
        <f>IF(IFERROR(VLOOKUP($C118,Planes_de_estudio[],MATCH($AH$2,Carreras,0)+2,0),"")&gt;0,IFERROR(VLOOKUP($C118,Planes_de_estudio[],MATCH($AH$2,Carreras,0)+2,0),""),"")</f>
        <v>5</v>
      </c>
      <c r="AI118" s="93">
        <f>IF(IFERROR(VLOOKUP($C118,Planes_de_estudio[],MATCH($AI$2,Carreras,0)+2,0),"")&gt;0,IFERROR(VLOOKUP($C118,Planes_de_estudio[],MATCH($AI$2,Carreras,0)+2,0),""),"")</f>
        <v>4</v>
      </c>
      <c r="AJ118" s="93">
        <f>IF(IFERROR(VLOOKUP($C118,Planes_de_estudio[],MATCH($AJ$2,Carreras,0)+2,0),"")&gt;0,IFERROR(VLOOKUP($C118,Planes_de_estudio[],MATCH($AJ$2,Carreras,0)+2,0),""),"")</f>
        <v>4</v>
      </c>
      <c r="AK118" s="93">
        <f>IF(IFERROR(VLOOKUP($C118,Planes_de_estudio[],MATCH($AK$2,Carreras,0)+2,0),"")&gt;0,IFERROR(VLOOKUP($C118,Planes_de_estudio[],MATCH($AK$2,Carreras,0)+2,0),""),"")</f>
        <v>5</v>
      </c>
      <c r="AL11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1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42</v>
      </c>
      <c r="AN118" s="93">
        <f>base_de_datos[[#This Row],[Pronóstico]]/25</f>
        <v>1.68</v>
      </c>
      <c r="AO118" s="93" t="str">
        <f>VLOOKUP($C118,Planes_de_estudio[],2)</f>
        <v>MAT</v>
      </c>
      <c r="AP118" s="196"/>
      <c r="AQ118" s="196"/>
      <c r="AR118" s="196"/>
      <c r="AS118" s="196"/>
      <c r="AT118" s="196"/>
      <c r="AU118" s="196"/>
      <c r="AV118" s="196"/>
      <c r="AW118" s="91"/>
      <c r="AX118" s="73"/>
    </row>
    <row r="119" spans="2:50" s="5" customFormat="1" ht="16">
      <c r="B119" s="95" t="s">
        <v>200</v>
      </c>
      <c r="C119" s="96" t="s">
        <v>283</v>
      </c>
      <c r="D119" s="92">
        <v>1</v>
      </c>
      <c r="E119" s="97">
        <v>0.5</v>
      </c>
      <c r="F119" s="97">
        <v>0.58333333333332904</v>
      </c>
      <c r="G119" s="92" t="s">
        <v>66</v>
      </c>
      <c r="H119" s="92" t="s">
        <v>84</v>
      </c>
      <c r="I119" s="92" t="e">
        <f>INDEX(Aulas_capacidad,MATCH(base_de_datos[[#This Row],[Aula]],Aulas,0),2)</f>
        <v>#REF!</v>
      </c>
      <c r="J119" s="176">
        <v>32</v>
      </c>
      <c r="K119" s="92" t="e">
        <f>INDEX(Aulas_capacidad,MATCH(base_de_datos[[#This Row],[Aula]],Aulas,0),4)</f>
        <v>#REF!</v>
      </c>
      <c r="L119" s="98" t="e">
        <f>base_de_datos[[#This Row],[Cap 1.5]]-base_de_datos[[#This Row],[Inscritos]]</f>
        <v>#REF!</v>
      </c>
      <c r="M119" s="98" t="e">
        <f>INDEX(Aulas_capacidad,MATCH(base_de_datos[[#This Row],[Aula]],Aulas,0),5)</f>
        <v>#REF!</v>
      </c>
      <c r="N119" s="98" t="e">
        <f>base_de_datos[[#This Row],[Cap .90]]-base_de_datos[[#This Row],[Inscritos]]</f>
        <v>#REF!</v>
      </c>
      <c r="O119" s="92" t="s">
        <v>284</v>
      </c>
      <c r="P119" s="99"/>
      <c r="Q119" s="100" t="s">
        <v>68</v>
      </c>
      <c r="R119" s="99"/>
      <c r="S119" s="100" t="s">
        <v>68</v>
      </c>
      <c r="T119" s="100"/>
      <c r="U119" s="99"/>
      <c r="V119" s="99"/>
      <c r="W119" s="99" t="s">
        <v>69</v>
      </c>
      <c r="X119" s="93">
        <f>_xlfn.XLOOKUP(base_de_datos[[#This Row],[Materia]],Materias,Horas)/16</f>
        <v>4</v>
      </c>
      <c r="Y119" s="93">
        <f>ROUND(((base_de_datos[[#This Row],[Hora fin]]-base_de_datos[[#This Row],[Hora inicio]])*24)*(COUNTA(base_de_datos[[#This Row],[Lunes]:[Sábado]])),1)</f>
        <v>4</v>
      </c>
      <c r="Z119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9" s="93">
        <f ca="1">IF(base_de_datos[[#This Row],[No clase]]=OFFSET(base_de_datos[[#This Row],[No clase]],-1,0),0,1)</f>
        <v>1</v>
      </c>
      <c r="AB119" s="93">
        <f ca="1">IF(NOT(OR(base_de_datos[[#This Row],[Horas totales]]=base_de_datos[[#This Row],[HT Plan]],base_de_datos[[#This Row],[Horas totales]]="N/A")),1,0)</f>
        <v>0</v>
      </c>
      <c r="AC119" s="93" t="e">
        <f>_xlfn.XLOOKUP(base_de_datos[[#This Row],[Profesor]],Nombre,Grado)</f>
        <v>#REF!</v>
      </c>
      <c r="AD119" s="94" t="e">
        <f>_xlfn.XLOOKUP(base_de_datos[[#This Row],[Profesor]],Nombre,Tipo)</f>
        <v>#REF!</v>
      </c>
      <c r="AE119" s="93">
        <f>IF(IFERROR(VLOOKUP($C119,Planes_de_estudio[],MATCH($AE$2,Carreras,0)+2,0),"")&gt;0,IFERROR(VLOOKUP($C119,Planes_de_estudio[],MATCH($AE$2,Carreras,0)+2,0),""),"")</f>
        <v>3</v>
      </c>
      <c r="AF119" s="93">
        <f>IF(IFERROR(VLOOKUP($C119,Planes_de_estudio[],MATCH($AF$2,Carreras,0)+2,0),"")&gt;0,IFERROR(VLOOKUP($C119,Planes_de_estudio[],MATCH($AF$2,Carreras,0)+2,0),""),"")</f>
        <v>4</v>
      </c>
      <c r="AG119" s="93" t="str">
        <f>IF(IFERROR(VLOOKUP($C119,Planes_de_estudio[],MATCH($AG$2,Carreras,0)+2,0),"")&gt;0,IFERROR(VLOOKUP($C119,Planes_de_estudio[],MATCH($AG$2,Carreras,0)+2,0),""),"")</f>
        <v/>
      </c>
      <c r="AH119" s="93" t="str">
        <f>IF(IFERROR(VLOOKUP($C119,Planes_de_estudio[],MATCH($AH$2,Carreras,0)+2,0),"")&gt;0,IFERROR(VLOOKUP($C119,Planes_de_estudio[],MATCH($AH$2,Carreras,0)+2,0),""),"")</f>
        <v/>
      </c>
      <c r="AI119" s="93">
        <f>IF(IFERROR(VLOOKUP($C119,Planes_de_estudio[],MATCH($AI$2,Carreras,0)+2,0),"")&gt;0,IFERROR(VLOOKUP($C119,Planes_de_estudio[],MATCH($AI$2,Carreras,0)+2,0),""),"")</f>
        <v>3</v>
      </c>
      <c r="AJ119" s="93" t="str">
        <f>IF(IFERROR(VLOOKUP($C119,Planes_de_estudio[],MATCH($AJ$2,Carreras,0)+2,0),"")&gt;0,IFERROR(VLOOKUP($C119,Planes_de_estudio[],MATCH($AJ$2,Carreras,0)+2,0),""),"")</f>
        <v/>
      </c>
      <c r="AK119" s="93">
        <f>IF(IFERROR(VLOOKUP($C119,Planes_de_estudio[],MATCH($AK$2,Carreras,0)+2,0),"")&gt;0,IFERROR(VLOOKUP($C119,Planes_de_estudio[],MATCH($AK$2,Carreras,0)+2,0),""),"")</f>
        <v>4</v>
      </c>
      <c r="AL11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1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27</v>
      </c>
      <c r="AN119" s="93">
        <f>base_de_datos[[#This Row],[Pronóstico]]/25</f>
        <v>1.08</v>
      </c>
      <c r="AO119" s="93" t="str">
        <f>VLOOKUP($C119,Planes_de_estudio[],2)</f>
        <v>ETF</v>
      </c>
      <c r="AP119" s="195">
        <v>6</v>
      </c>
      <c r="AQ119" s="195">
        <v>6</v>
      </c>
      <c r="AR119" s="196"/>
      <c r="AS119" s="196"/>
      <c r="AT119" s="195">
        <v>6</v>
      </c>
      <c r="AU119" s="196"/>
      <c r="AV119" s="195">
        <v>6</v>
      </c>
      <c r="AW119" s="91"/>
      <c r="AX119" s="73"/>
    </row>
    <row r="120" spans="2:50" s="5" customFormat="1" ht="16">
      <c r="B120" s="95" t="s">
        <v>285</v>
      </c>
      <c r="C120" s="96" t="s">
        <v>286</v>
      </c>
      <c r="D120" s="92">
        <v>1</v>
      </c>
      <c r="E120" s="97">
        <v>0.79166666666666696</v>
      </c>
      <c r="F120" s="97">
        <v>0.85416666666665797</v>
      </c>
      <c r="G120" s="92" t="s">
        <v>66</v>
      </c>
      <c r="H120" s="175" t="s">
        <v>205</v>
      </c>
      <c r="I120" s="92" t="e">
        <f>INDEX(Aulas_capacidad,MATCH(base_de_datos[[#This Row],[Aula]],Aulas,0),2)</f>
        <v>#REF!</v>
      </c>
      <c r="J120" s="90">
        <v>14</v>
      </c>
      <c r="K120" s="92" t="e">
        <f>INDEX(Aulas_capacidad,MATCH(base_de_datos[[#This Row],[Aula]],Aulas,0),4)</f>
        <v>#REF!</v>
      </c>
      <c r="L120" s="98" t="e">
        <f>base_de_datos[[#This Row],[Cap 1.5]]-base_de_datos[[#This Row],[Inscritos]]</f>
        <v>#REF!</v>
      </c>
      <c r="M120" s="98" t="e">
        <f>INDEX(Aulas_capacidad,MATCH(base_de_datos[[#This Row],[Aula]],Aulas,0),5)</f>
        <v>#REF!</v>
      </c>
      <c r="N120" s="98" t="e">
        <f>base_de_datos[[#This Row],[Cap .90]]-base_de_datos[[#This Row],[Inscritos]]</f>
        <v>#REF!</v>
      </c>
      <c r="O120" s="92">
        <v>1569</v>
      </c>
      <c r="P120" s="99" t="s">
        <v>68</v>
      </c>
      <c r="Q120" s="100"/>
      <c r="R120" s="99"/>
      <c r="S120" s="100" t="s">
        <v>68</v>
      </c>
      <c r="T120" s="100"/>
      <c r="U120" s="99"/>
      <c r="V120" s="99" t="s">
        <v>68</v>
      </c>
      <c r="W120" s="99" t="s">
        <v>74</v>
      </c>
      <c r="X120" s="93">
        <f>_xlfn.XLOOKUP(base_de_datos[[#This Row],[Materia]],Materias,Horas)/16</f>
        <v>3</v>
      </c>
      <c r="Y120" s="93">
        <f>ROUND(((base_de_datos[[#This Row],[Hora fin]]-base_de_datos[[#This Row],[Hora inicio]])*24)*(COUNTA(base_de_datos[[#This Row],[Lunes]:[Sábado]])),1)</f>
        <v>3</v>
      </c>
      <c r="Z120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0" s="93">
        <f ca="1">IF(base_de_datos[[#This Row],[No clase]]=OFFSET(base_de_datos[[#This Row],[No clase]],-1,0),0,1)</f>
        <v>1</v>
      </c>
      <c r="AB120" s="93">
        <f ca="1">IF(NOT(OR(base_de_datos[[#This Row],[Horas totales]]=base_de_datos[[#This Row],[HT Plan]],base_de_datos[[#This Row],[Horas totales]]="N/A")),1,0)</f>
        <v>0</v>
      </c>
      <c r="AC120" s="93" t="e">
        <f>_xlfn.XLOOKUP(base_de_datos[[#This Row],[Profesor]],Nombre,Grado)</f>
        <v>#REF!</v>
      </c>
      <c r="AD120" s="94" t="e">
        <f>_xlfn.XLOOKUP(base_de_datos[[#This Row],[Profesor]],Nombre,Tipo)</f>
        <v>#REF!</v>
      </c>
      <c r="AE120" s="93">
        <f>IF(IFERROR(VLOOKUP($C120,Planes_de_estudio[],MATCH($AE$2,Carreras,0)+2,0),"")&gt;0,IFERROR(VLOOKUP($C120,Planes_de_estudio[],MATCH($AE$2,Carreras,0)+2,0),""),"")</f>
        <v>7</v>
      </c>
      <c r="AF120" s="93" t="str">
        <f>IF(IFERROR(VLOOKUP($C120,Planes_de_estudio[],MATCH($AF$2,Carreras,0)+2,0),"")&gt;0,IFERROR(VLOOKUP($C120,Planes_de_estudio[],MATCH($AF$2,Carreras,0)+2,0),""),"")</f>
        <v/>
      </c>
      <c r="AG120" s="93">
        <f>IF(IFERROR(VLOOKUP($C120,Planes_de_estudio[],MATCH($AG$2,Carreras,0)+2,0),"")&gt;0,IFERROR(VLOOKUP($C120,Planes_de_estudio[],MATCH($AG$2,Carreras,0)+2,0),""),"")</f>
        <v>7</v>
      </c>
      <c r="AH120" s="93" t="str">
        <f>IF(IFERROR(VLOOKUP($C120,Planes_de_estudio[],MATCH($AH$2,Carreras,0)+2,0),"")&gt;0,IFERROR(VLOOKUP($C120,Planes_de_estudio[],MATCH($AH$2,Carreras,0)+2,0),""),"")</f>
        <v/>
      </c>
      <c r="AI120" s="93" t="str">
        <f>IF(IFERROR(VLOOKUP($C120,Planes_de_estudio[],MATCH($AI$2,Carreras,0)+2,0),"")&gt;0,IFERROR(VLOOKUP($C120,Planes_de_estudio[],MATCH($AI$2,Carreras,0)+2,0),""),"")</f>
        <v/>
      </c>
      <c r="AJ120" s="93" t="str">
        <f>IF(IFERROR(VLOOKUP($C120,Planes_de_estudio[],MATCH($AJ$2,Carreras,0)+2,0),"")&gt;0,IFERROR(VLOOKUP($C120,Planes_de_estudio[],MATCH($AJ$2,Carreras,0)+2,0),""),"")</f>
        <v/>
      </c>
      <c r="AK120" s="93" t="str">
        <f>IF(IFERROR(VLOOKUP($C120,Planes_de_estudio[],MATCH($AK$2,Carreras,0)+2,0),"")&gt;0,IFERROR(VLOOKUP($C120,Planes_de_estudio[],MATCH($AK$2,Carreras,0)+2,0),""),"")</f>
        <v/>
      </c>
      <c r="AL12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2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46</v>
      </c>
      <c r="AN120" s="93">
        <f>base_de_datos[[#This Row],[Pronóstico]]/25</f>
        <v>1.84</v>
      </c>
      <c r="AO120" s="93" t="str">
        <f>VLOOKUP($C120,Planes_de_estudio[],2)</f>
        <v>EMP</v>
      </c>
      <c r="AP120" s="195">
        <v>6</v>
      </c>
      <c r="AQ120" s="196"/>
      <c r="AR120" s="195">
        <v>6</v>
      </c>
      <c r="AS120" s="196"/>
      <c r="AT120" s="196"/>
      <c r="AU120" s="196"/>
      <c r="AV120" s="196"/>
      <c r="AW120" s="91"/>
      <c r="AX120" s="73"/>
    </row>
    <row r="121" spans="2:50" s="5" customFormat="1" ht="16">
      <c r="B121" s="95" t="s">
        <v>287</v>
      </c>
      <c r="C121" s="96" t="s">
        <v>286</v>
      </c>
      <c r="D121" s="92">
        <v>2</v>
      </c>
      <c r="E121" s="97">
        <v>0.79166666666666696</v>
      </c>
      <c r="F121" s="97">
        <v>0.85416666666665797</v>
      </c>
      <c r="G121" s="92"/>
      <c r="H121" s="92" t="s">
        <v>133</v>
      </c>
      <c r="I121" s="92" t="e">
        <f>INDEX(Aulas_capacidad,MATCH(base_de_datos[[#This Row],[Aula]],Aulas,0),2)</f>
        <v>#REF!</v>
      </c>
      <c r="J121" s="90">
        <v>15</v>
      </c>
      <c r="K121" s="92" t="e">
        <f>INDEX(Aulas_capacidad,MATCH(base_de_datos[[#This Row],[Aula]],Aulas,0),4)</f>
        <v>#REF!</v>
      </c>
      <c r="L121" s="98" t="e">
        <f>base_de_datos[[#This Row],[Cap 1.5]]-base_de_datos[[#This Row],[Inscritos]]</f>
        <v>#REF!</v>
      </c>
      <c r="M121" s="98" t="e">
        <f>INDEX(Aulas_capacidad,MATCH(base_de_datos[[#This Row],[Aula]],Aulas,0),5)</f>
        <v>#REF!</v>
      </c>
      <c r="N121" s="98" t="e">
        <f>base_de_datos[[#This Row],[Cap .90]]-base_de_datos[[#This Row],[Inscritos]]</f>
        <v>#REF!</v>
      </c>
      <c r="O121" s="92">
        <v>1570</v>
      </c>
      <c r="P121" s="99" t="s">
        <v>68</v>
      </c>
      <c r="Q121" s="100"/>
      <c r="R121" s="99"/>
      <c r="S121" s="100" t="s">
        <v>68</v>
      </c>
      <c r="T121" s="100"/>
      <c r="U121" s="99"/>
      <c r="V121" s="99" t="s">
        <v>68</v>
      </c>
      <c r="W121" s="99" t="s">
        <v>74</v>
      </c>
      <c r="X121" s="93">
        <f>_xlfn.XLOOKUP(base_de_datos[[#This Row],[Materia]],Materias,Horas)/16</f>
        <v>3</v>
      </c>
      <c r="Y121" s="93">
        <f>ROUND(((base_de_datos[[#This Row],[Hora fin]]-base_de_datos[[#This Row],[Hora inicio]])*24)*(COUNTA(base_de_datos[[#This Row],[Lunes]:[Sábado]])),1)</f>
        <v>3</v>
      </c>
      <c r="Z121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1" s="93">
        <f ca="1">IF(base_de_datos[[#This Row],[No clase]]=OFFSET(base_de_datos[[#This Row],[No clase]],-1,0),0,1)</f>
        <v>1</v>
      </c>
      <c r="AB121" s="93">
        <f ca="1">IF(NOT(OR(base_de_datos[[#This Row],[Horas totales]]=base_de_datos[[#This Row],[HT Plan]],base_de_datos[[#This Row],[Horas totales]]="N/A")),1,0)</f>
        <v>0</v>
      </c>
      <c r="AC121" s="93" t="e">
        <f>_xlfn.XLOOKUP(base_de_datos[[#This Row],[Profesor]],Nombre,Grado)</f>
        <v>#REF!</v>
      </c>
      <c r="AD121" s="94" t="e">
        <f>_xlfn.XLOOKUP(base_de_datos[[#This Row],[Profesor]],Nombre,Tipo)</f>
        <v>#REF!</v>
      </c>
      <c r="AE121" s="93">
        <f>IF(IFERROR(VLOOKUP($C121,Planes_de_estudio[],MATCH($AE$2,Carreras,0)+2,0),"")&gt;0,IFERROR(VLOOKUP($C121,Planes_de_estudio[],MATCH($AE$2,Carreras,0)+2,0),""),"")</f>
        <v>7</v>
      </c>
      <c r="AF121" s="93" t="str">
        <f>IF(IFERROR(VLOOKUP($C121,Planes_de_estudio[],MATCH($AF$2,Carreras,0)+2,0),"")&gt;0,IFERROR(VLOOKUP($C121,Planes_de_estudio[],MATCH($AF$2,Carreras,0)+2,0),""),"")</f>
        <v/>
      </c>
      <c r="AG121" s="93">
        <f>IF(IFERROR(VLOOKUP($C121,Planes_de_estudio[],MATCH($AG$2,Carreras,0)+2,0),"")&gt;0,IFERROR(VLOOKUP($C121,Planes_de_estudio[],MATCH($AG$2,Carreras,0)+2,0),""),"")</f>
        <v>7</v>
      </c>
      <c r="AH121" s="93" t="str">
        <f>IF(IFERROR(VLOOKUP($C121,Planes_de_estudio[],MATCH($AH$2,Carreras,0)+2,0),"")&gt;0,IFERROR(VLOOKUP($C121,Planes_de_estudio[],MATCH($AH$2,Carreras,0)+2,0),""),"")</f>
        <v/>
      </c>
      <c r="AI121" s="93" t="str">
        <f>IF(IFERROR(VLOOKUP($C121,Planes_de_estudio[],MATCH($AI$2,Carreras,0)+2,0),"")&gt;0,IFERROR(VLOOKUP($C121,Planes_de_estudio[],MATCH($AI$2,Carreras,0)+2,0),""),"")</f>
        <v/>
      </c>
      <c r="AJ121" s="93" t="str">
        <f>IF(IFERROR(VLOOKUP($C121,Planes_de_estudio[],MATCH($AJ$2,Carreras,0)+2,0),"")&gt;0,IFERROR(VLOOKUP($C121,Planes_de_estudio[],MATCH($AJ$2,Carreras,0)+2,0),""),"")</f>
        <v/>
      </c>
      <c r="AK121" s="93" t="str">
        <f>IF(IFERROR(VLOOKUP($C121,Planes_de_estudio[],MATCH($AK$2,Carreras,0)+2,0),"")&gt;0,IFERROR(VLOOKUP($C121,Planes_de_estudio[],MATCH($AK$2,Carreras,0)+2,0),""),"")</f>
        <v/>
      </c>
      <c r="AL12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2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46</v>
      </c>
      <c r="AN121" s="93">
        <f>base_de_datos[[#This Row],[Pronóstico]]/25</f>
        <v>1.84</v>
      </c>
      <c r="AO121" s="93" t="str">
        <f>VLOOKUP($C121,Planes_de_estudio[],2)</f>
        <v>EMP</v>
      </c>
      <c r="AP121" s="195">
        <v>6</v>
      </c>
      <c r="AQ121" s="196"/>
      <c r="AR121" s="195">
        <v>6</v>
      </c>
      <c r="AS121" s="196"/>
      <c r="AT121" s="196"/>
      <c r="AU121" s="196"/>
      <c r="AV121" s="196"/>
      <c r="AW121" s="91"/>
      <c r="AX121" s="73"/>
    </row>
    <row r="122" spans="2:50" s="5" customFormat="1" ht="16">
      <c r="B122" s="95" t="s">
        <v>288</v>
      </c>
      <c r="C122" s="96" t="s">
        <v>289</v>
      </c>
      <c r="D122" s="92">
        <v>1</v>
      </c>
      <c r="E122" s="97">
        <v>0.29166666666666669</v>
      </c>
      <c r="F122" s="97">
        <v>0.41666666666666502</v>
      </c>
      <c r="G122" s="92"/>
      <c r="H122" s="92" t="s">
        <v>128</v>
      </c>
      <c r="I122" s="92" t="e">
        <f>INDEX(Aulas_capacidad,MATCH(base_de_datos[[#This Row],[Aula]],Aulas,0),2)</f>
        <v>#REF!</v>
      </c>
      <c r="J122" s="90">
        <v>25</v>
      </c>
      <c r="K122" s="92" t="e">
        <f>INDEX(Aulas_capacidad,MATCH(base_de_datos[[#This Row],[Aula]],Aulas,0),4)</f>
        <v>#REF!</v>
      </c>
      <c r="L122" s="98" t="e">
        <f>base_de_datos[[#This Row],[Cap 1.5]]-base_de_datos[[#This Row],[Inscritos]]</f>
        <v>#REF!</v>
      </c>
      <c r="M122" s="98" t="e">
        <f>INDEX(Aulas_capacidad,MATCH(base_de_datos[[#This Row],[Aula]],Aulas,0),5)</f>
        <v>#REF!</v>
      </c>
      <c r="N122" s="98" t="e">
        <f>base_de_datos[[#This Row],[Cap .90]]-base_de_datos[[#This Row],[Inscritos]]</f>
        <v>#REF!</v>
      </c>
      <c r="O122" s="92" t="s">
        <v>290</v>
      </c>
      <c r="P122" s="99"/>
      <c r="Q122" s="100" t="s">
        <v>68</v>
      </c>
      <c r="R122" s="99"/>
      <c r="S122" s="100"/>
      <c r="T122" s="100"/>
      <c r="U122" s="99"/>
      <c r="V122" s="99"/>
      <c r="W122" s="99" t="s">
        <v>122</v>
      </c>
      <c r="X122" s="93">
        <f>_xlfn.XLOOKUP(base_de_datos[[#This Row],[Materia]],Materias,Horas)/16</f>
        <v>3</v>
      </c>
      <c r="Y122" s="93">
        <f>ROUND(((base_de_datos[[#This Row],[Hora fin]]-base_de_datos[[#This Row],[Hora inicio]])*24)*(COUNTA(base_de_datos[[#This Row],[Lunes]:[Sábado]])),1)</f>
        <v>3</v>
      </c>
      <c r="Z122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2" s="93">
        <f ca="1">IF(base_de_datos[[#This Row],[No clase]]=OFFSET(base_de_datos[[#This Row],[No clase]],-1,0),0,1)</f>
        <v>1</v>
      </c>
      <c r="AB122" s="93">
        <f ca="1">IF(NOT(OR(base_de_datos[[#This Row],[Horas totales]]=base_de_datos[[#This Row],[HT Plan]],base_de_datos[[#This Row],[Horas totales]]="N/A")),1,0)</f>
        <v>0</v>
      </c>
      <c r="AC122" s="93" t="e">
        <f>_xlfn.XLOOKUP(base_de_datos[[#This Row],[Profesor]],Nombre,Grado)</f>
        <v>#REF!</v>
      </c>
      <c r="AD122" s="94" t="e">
        <f>_xlfn.XLOOKUP(base_de_datos[[#This Row],[Profesor]],Nombre,Tipo)</f>
        <v>#REF!</v>
      </c>
      <c r="AE122" s="93">
        <f>IF(IFERROR(VLOOKUP($C122,Planes_de_estudio[],MATCH($AE$2,Carreras,0)+2,0),"")&gt;0,IFERROR(VLOOKUP($C122,Planes_de_estudio[],MATCH($AE$2,Carreras,0)+2,0),""),"")</f>
        <v>3</v>
      </c>
      <c r="AF122" s="93">
        <f>IF(IFERROR(VLOOKUP($C122,Planes_de_estudio[],MATCH($AF$2,Carreras,0)+2,0),"")&gt;0,IFERROR(VLOOKUP($C122,Planes_de_estudio[],MATCH($AF$2,Carreras,0)+2,0),""),"")</f>
        <v>4</v>
      </c>
      <c r="AG122" s="93" t="str">
        <f>IF(IFERROR(VLOOKUP($C122,Planes_de_estudio[],MATCH($AG$2,Carreras,0)+2,0),"")&gt;0,IFERROR(VLOOKUP($C122,Planes_de_estudio[],MATCH($AG$2,Carreras,0)+2,0),""),"")</f>
        <v/>
      </c>
      <c r="AH122" s="93">
        <f>IF(IFERROR(VLOOKUP($C122,Planes_de_estudio[],MATCH($AH$2,Carreras,0)+2,0),"")&gt;0,IFERROR(VLOOKUP($C122,Planes_de_estudio[],MATCH($AH$2,Carreras,0)+2,0),""),"")</f>
        <v>4</v>
      </c>
      <c r="AI122" s="93" t="str">
        <f>IF(IFERROR(VLOOKUP($C122,Planes_de_estudio[],MATCH($AI$2,Carreras,0)+2,0),"")&gt;0,IFERROR(VLOOKUP($C122,Planes_de_estudio[],MATCH($AI$2,Carreras,0)+2,0),""),"")</f>
        <v/>
      </c>
      <c r="AJ122" s="93" t="str">
        <f>IF(IFERROR(VLOOKUP($C122,Planes_de_estudio[],MATCH($AJ$2,Carreras,0)+2,0),"")&gt;0,IFERROR(VLOOKUP($C122,Planes_de_estudio[],MATCH($AJ$2,Carreras,0)+2,0),""),"")</f>
        <v/>
      </c>
      <c r="AK122" s="93">
        <f>IF(IFERROR(VLOOKUP($C122,Planes_de_estudio[],MATCH($AK$2,Carreras,0)+2,0),"")&gt;0,IFERROR(VLOOKUP($C122,Planes_de_estudio[],MATCH($AK$2,Carreras,0)+2,0),""),"")</f>
        <v>4</v>
      </c>
      <c r="AL12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2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25</v>
      </c>
      <c r="AN122" s="93">
        <f>base_de_datos[[#This Row],[Pronóstico]]/25</f>
        <v>1</v>
      </c>
      <c r="AO122" s="93" t="str">
        <f>VLOOKUP($C122,Planes_de_estudio[],2)</f>
        <v>EMP</v>
      </c>
      <c r="AP122" s="195">
        <v>6</v>
      </c>
      <c r="AQ122" s="195">
        <v>6</v>
      </c>
      <c r="AR122" s="196"/>
      <c r="AS122" s="195">
        <v>6</v>
      </c>
      <c r="AT122" s="196"/>
      <c r="AU122" s="196"/>
      <c r="AV122" s="195">
        <v>6</v>
      </c>
      <c r="AW122" s="91"/>
      <c r="AX122" s="73"/>
    </row>
    <row r="123" spans="2:50" s="5" customFormat="1" ht="16">
      <c r="B123" s="95" t="s">
        <v>291</v>
      </c>
      <c r="C123" s="96" t="s">
        <v>292</v>
      </c>
      <c r="D123" s="92">
        <v>1</v>
      </c>
      <c r="E123" s="97">
        <v>0.79166666666666696</v>
      </c>
      <c r="F123" s="97">
        <v>0.91666666666665697</v>
      </c>
      <c r="G123" s="92"/>
      <c r="H123" s="92" t="s">
        <v>121</v>
      </c>
      <c r="I123" s="92" t="e">
        <f>INDEX(Aulas_capacidad,MATCH(base_de_datos[[#This Row],[Aula]],Aulas,0),2)</f>
        <v>#REF!</v>
      </c>
      <c r="J123" s="90">
        <v>25</v>
      </c>
      <c r="K123" s="92" t="e">
        <f>INDEX(Aulas_capacidad,MATCH(base_de_datos[[#This Row],[Aula]],Aulas,0),4)</f>
        <v>#REF!</v>
      </c>
      <c r="L123" s="98" t="e">
        <f>base_de_datos[[#This Row],[Cap 1.5]]-base_de_datos[[#This Row],[Inscritos]]</f>
        <v>#REF!</v>
      </c>
      <c r="M123" s="98" t="e">
        <f>INDEX(Aulas_capacidad,MATCH(base_de_datos[[#This Row],[Aula]],Aulas,0),5)</f>
        <v>#REF!</v>
      </c>
      <c r="N123" s="98" t="e">
        <f>base_de_datos[[#This Row],[Cap .90]]-base_de_datos[[#This Row],[Inscritos]]</f>
        <v>#REF!</v>
      </c>
      <c r="O123" s="92">
        <v>1502</v>
      </c>
      <c r="P123" s="99"/>
      <c r="Q123" s="100"/>
      <c r="R123" s="99"/>
      <c r="S123" s="100" t="s">
        <v>68</v>
      </c>
      <c r="T123" s="100"/>
      <c r="U123" s="99"/>
      <c r="V123" s="99" t="s">
        <v>68</v>
      </c>
      <c r="W123" s="99" t="s">
        <v>79</v>
      </c>
      <c r="X123" s="93">
        <f>_xlfn.XLOOKUP(base_de_datos[[#This Row],[Materia]],Materias,Horas)/16</f>
        <v>3</v>
      </c>
      <c r="Y123" s="93">
        <f>ROUND(((base_de_datos[[#This Row],[Hora fin]]-base_de_datos[[#This Row],[Hora inicio]])*24)*(COUNTA(base_de_datos[[#This Row],[Lunes]:[Sábado]])),1)</f>
        <v>3</v>
      </c>
      <c r="Z123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3" s="93">
        <f ca="1">IF(base_de_datos[[#This Row],[No clase]]=OFFSET(base_de_datos[[#This Row],[No clase]],-1,0),0,1)</f>
        <v>1</v>
      </c>
      <c r="AB123" s="93">
        <f ca="1">IF(NOT(OR(base_de_datos[[#This Row],[Horas totales]]=base_de_datos[[#This Row],[HT Plan]],base_de_datos[[#This Row],[Horas totales]]="N/A")),1,0)</f>
        <v>0</v>
      </c>
      <c r="AC123" s="93" t="e">
        <f>_xlfn.XLOOKUP(base_de_datos[[#This Row],[Profesor]],Nombre,Grado)</f>
        <v>#REF!</v>
      </c>
      <c r="AD123" s="94" t="e">
        <f>_xlfn.XLOOKUP(base_de_datos[[#This Row],[Profesor]],Nombre,Tipo)</f>
        <v>#REF!</v>
      </c>
      <c r="AE123" s="93" t="str">
        <f>IF(IFERROR(VLOOKUP($C123,Planes_de_estudio[],MATCH($AE$2,Carreras,0)+2,0),"")&gt;0,IFERROR(VLOOKUP($C123,Planes_de_estudio[],MATCH($AE$2,Carreras,0)+2,0),""),"")</f>
        <v/>
      </c>
      <c r="AF123" s="93" t="str">
        <f>IF(IFERROR(VLOOKUP($C123,Planes_de_estudio[],MATCH($AF$2,Carreras,0)+2,0),"")&gt;0,IFERROR(VLOOKUP($C123,Planes_de_estudio[],MATCH($AF$2,Carreras,0)+2,0),""),"")</f>
        <v/>
      </c>
      <c r="AG123" s="93" t="str">
        <f>IF(IFERROR(VLOOKUP($C123,Planes_de_estudio[],MATCH($AG$2,Carreras,0)+2,0),"")&gt;0,IFERROR(VLOOKUP($C123,Planes_de_estudio[],MATCH($AG$2,Carreras,0)+2,0),""),"")</f>
        <v/>
      </c>
      <c r="AH123" s="93">
        <f>IF(IFERROR(VLOOKUP($C123,Planes_de_estudio[],MATCH($AH$2,Carreras,0)+2,0),"")&gt;0,IFERROR(VLOOKUP($C123,Planes_de_estudio[],MATCH($AH$2,Carreras,0)+2,0),""),"")</f>
        <v>7</v>
      </c>
      <c r="AI123" s="93" t="str">
        <f>IF(IFERROR(VLOOKUP($C123,Planes_de_estudio[],MATCH($AI$2,Carreras,0)+2,0),"")&gt;0,IFERROR(VLOOKUP($C123,Planes_de_estudio[],MATCH($AI$2,Carreras,0)+2,0),""),"")</f>
        <v/>
      </c>
      <c r="AJ123" s="93" t="str">
        <f>IF(IFERROR(VLOOKUP($C123,Planes_de_estudio[],MATCH($AJ$2,Carreras,0)+2,0),"")&gt;0,IFERROR(VLOOKUP($C123,Planes_de_estudio[],MATCH($AJ$2,Carreras,0)+2,0),""),"")</f>
        <v/>
      </c>
      <c r="AK123" s="93" t="str">
        <f>IF(IFERROR(VLOOKUP($C123,Planes_de_estudio[],MATCH($AK$2,Carreras,0)+2,0),"")&gt;0,IFERROR(VLOOKUP($C123,Planes_de_estudio[],MATCH($AK$2,Carreras,0)+2,0),""),"")</f>
        <v/>
      </c>
      <c r="AL12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2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123" s="93">
        <f>base_de_datos[[#This Row],[Pronóstico]]/25</f>
        <v>0.96</v>
      </c>
      <c r="AO123" s="93" t="str">
        <f>VLOOKUP($C123,Planes_de_estudio[],2)</f>
        <v>COM</v>
      </c>
      <c r="AP123" s="196"/>
      <c r="AQ123" s="196"/>
      <c r="AR123" s="196"/>
      <c r="AS123" s="195">
        <v>6</v>
      </c>
      <c r="AT123" s="196"/>
      <c r="AU123" s="196"/>
      <c r="AV123" s="196"/>
      <c r="AW123" s="91"/>
      <c r="AX123" s="73"/>
    </row>
    <row r="124" spans="2:50" s="5" customFormat="1" ht="16">
      <c r="B124" s="95" t="s">
        <v>291</v>
      </c>
      <c r="C124" s="96" t="s">
        <v>293</v>
      </c>
      <c r="D124" s="92">
        <v>1</v>
      </c>
      <c r="E124" s="97">
        <v>0.79166666666666696</v>
      </c>
      <c r="F124" s="97">
        <v>0.91666666666665697</v>
      </c>
      <c r="G124" s="92"/>
      <c r="H124" s="92" t="s">
        <v>73</v>
      </c>
      <c r="I124" s="92" t="e">
        <f>INDEX(Aulas_capacidad,MATCH(base_de_datos[[#This Row],[Aula]],Aulas,0),2)</f>
        <v>#REF!</v>
      </c>
      <c r="J124" s="90">
        <v>12</v>
      </c>
      <c r="K124" s="92" t="e">
        <f>INDEX(Aulas_capacidad,MATCH(base_de_datos[[#This Row],[Aula]],Aulas,0),4)</f>
        <v>#REF!</v>
      </c>
      <c r="L124" s="98" t="e">
        <f>base_de_datos[[#This Row],[Cap 1.5]]-base_de_datos[[#This Row],[Inscritos]]</f>
        <v>#REF!</v>
      </c>
      <c r="M124" s="98" t="e">
        <f>INDEX(Aulas_capacidad,MATCH(base_de_datos[[#This Row],[Aula]],Aulas,0),5)</f>
        <v>#REF!</v>
      </c>
      <c r="N124" s="98" t="e">
        <f>base_de_datos[[#This Row],[Cap .90]]-base_de_datos[[#This Row],[Inscritos]]</f>
        <v>#REF!</v>
      </c>
      <c r="O124" s="92">
        <v>1503</v>
      </c>
      <c r="P124" s="99"/>
      <c r="Q124" s="100"/>
      <c r="R124" s="99" t="s">
        <v>68</v>
      </c>
      <c r="S124" s="100"/>
      <c r="T124" s="100"/>
      <c r="U124" s="99"/>
      <c r="V124" s="99" t="s">
        <v>68</v>
      </c>
      <c r="W124" s="99" t="s">
        <v>148</v>
      </c>
      <c r="X124" s="93">
        <f>_xlfn.XLOOKUP(base_de_datos[[#This Row],[Materia]],Materias,Horas)/16</f>
        <v>3</v>
      </c>
      <c r="Y124" s="93">
        <f>ROUND(((base_de_datos[[#This Row],[Hora fin]]-base_de_datos[[#This Row],[Hora inicio]])*24)*(COUNTA(base_de_datos[[#This Row],[Lunes]:[Sábado]])),1)</f>
        <v>3</v>
      </c>
      <c r="Z124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4" s="93">
        <f ca="1">IF(base_de_datos[[#This Row],[No clase]]=OFFSET(base_de_datos[[#This Row],[No clase]],-1,0),0,1)</f>
        <v>1</v>
      </c>
      <c r="AB124" s="93">
        <f ca="1">IF(NOT(OR(base_de_datos[[#This Row],[Horas totales]]=base_de_datos[[#This Row],[HT Plan]],base_de_datos[[#This Row],[Horas totales]]="N/A")),1,0)</f>
        <v>0</v>
      </c>
      <c r="AC124" s="93" t="e">
        <f>_xlfn.XLOOKUP(base_de_datos[[#This Row],[Profesor]],Nombre,Grado)</f>
        <v>#REF!</v>
      </c>
      <c r="AD124" s="94" t="e">
        <f>_xlfn.XLOOKUP(base_de_datos[[#This Row],[Profesor]],Nombre,Tipo)</f>
        <v>#REF!</v>
      </c>
      <c r="AE124" s="93" t="str">
        <f>IF(IFERROR(VLOOKUP($C124,Planes_de_estudio[],MATCH($AE$2,Carreras,0)+2,0),"")&gt;0,IFERROR(VLOOKUP($C124,Planes_de_estudio[],MATCH($AE$2,Carreras,0)+2,0),""),"")</f>
        <v/>
      </c>
      <c r="AF124" s="93" t="str">
        <f>IF(IFERROR(VLOOKUP($C124,Planes_de_estudio[],MATCH($AF$2,Carreras,0)+2,0),"")&gt;0,IFERROR(VLOOKUP($C124,Planes_de_estudio[],MATCH($AF$2,Carreras,0)+2,0),""),"")</f>
        <v/>
      </c>
      <c r="AG124" s="93" t="str">
        <f>IF(IFERROR(VLOOKUP($C124,Planes_de_estudio[],MATCH($AG$2,Carreras,0)+2,0),"")&gt;0,IFERROR(VLOOKUP($C124,Planes_de_estudio[],MATCH($AG$2,Carreras,0)+2,0),""),"")</f>
        <v/>
      </c>
      <c r="AH124" s="93" t="str">
        <f>IF(IFERROR(VLOOKUP($C124,Planes_de_estudio[],MATCH($AH$2,Carreras,0)+2,0),"")&gt;0,IFERROR(VLOOKUP($C124,Planes_de_estudio[],MATCH($AH$2,Carreras,0)+2,0),""),"")</f>
        <v/>
      </c>
      <c r="AI124" s="93" t="str">
        <f>IF(IFERROR(VLOOKUP($C124,Planes_de_estudio[],MATCH($AI$2,Carreras,0)+2,0),"")&gt;0,IFERROR(VLOOKUP($C124,Planes_de_estudio[],MATCH($AI$2,Carreras,0)+2,0),""),"")</f>
        <v/>
      </c>
      <c r="AJ124" s="93">
        <f>IF(IFERROR(VLOOKUP($C124,Planes_de_estudio[],MATCH($AJ$2,Carreras,0)+2,0),"")&gt;0,IFERROR(VLOOKUP($C124,Planes_de_estudio[],MATCH($AJ$2,Carreras,0)+2,0),""),"")</f>
        <v>7</v>
      </c>
      <c r="AK124" s="93" t="str">
        <f>IF(IFERROR(VLOOKUP($C124,Planes_de_estudio[],MATCH($AK$2,Carreras,0)+2,0),"")&gt;0,IFERROR(VLOOKUP($C124,Planes_de_estudio[],MATCH($AK$2,Carreras,0)+2,0),""),"")</f>
        <v/>
      </c>
      <c r="AL12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2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24" s="93">
        <f>base_de_datos[[#This Row],[Pronóstico]]/25</f>
        <v>0.56000000000000005</v>
      </c>
      <c r="AO124" s="93" t="str">
        <f>VLOOKUP($C124,Planes_de_estudio[],2)</f>
        <v>COM</v>
      </c>
      <c r="AP124" s="196"/>
      <c r="AQ124" s="196"/>
      <c r="AR124" s="196"/>
      <c r="AS124" s="196"/>
      <c r="AT124" s="196"/>
      <c r="AU124" s="195">
        <v>6</v>
      </c>
      <c r="AV124" s="196"/>
      <c r="AW124" s="91"/>
      <c r="AX124" s="73"/>
    </row>
    <row r="125" spans="2:50" s="5" customFormat="1" ht="16">
      <c r="B125" s="95" t="s">
        <v>294</v>
      </c>
      <c r="C125" s="96" t="s">
        <v>295</v>
      </c>
      <c r="D125" s="92">
        <v>1</v>
      </c>
      <c r="E125" s="97">
        <v>0.79166666666666696</v>
      </c>
      <c r="F125" s="97">
        <v>0.91666666666665697</v>
      </c>
      <c r="G125" s="92"/>
      <c r="H125" s="92" t="s">
        <v>67</v>
      </c>
      <c r="I125" s="92" t="e">
        <f>INDEX(Aulas_capacidad,MATCH(base_de_datos[[#This Row],[Aula]],Aulas,0),2)</f>
        <v>#REF!</v>
      </c>
      <c r="J125" s="90">
        <v>27</v>
      </c>
      <c r="K125" s="92" t="e">
        <f>INDEX(Aulas_capacidad,MATCH(base_de_datos[[#This Row],[Aula]],Aulas,0),4)</f>
        <v>#REF!</v>
      </c>
      <c r="L125" s="98" t="e">
        <f>base_de_datos[[#This Row],[Cap 1.5]]-base_de_datos[[#This Row],[Inscritos]]</f>
        <v>#REF!</v>
      </c>
      <c r="M125" s="98" t="e">
        <f>INDEX(Aulas_capacidad,MATCH(base_de_datos[[#This Row],[Aula]],Aulas,0),5)</f>
        <v>#REF!</v>
      </c>
      <c r="N125" s="98" t="e">
        <f>base_de_datos[[#This Row],[Cap .90]]-base_de_datos[[#This Row],[Inscritos]]</f>
        <v>#REF!</v>
      </c>
      <c r="O125" s="92" t="s">
        <v>296</v>
      </c>
      <c r="P125" s="99"/>
      <c r="Q125" s="100"/>
      <c r="R125" s="99"/>
      <c r="S125" s="100"/>
      <c r="T125" s="100" t="s">
        <v>68</v>
      </c>
      <c r="U125" s="99"/>
      <c r="V125" s="99"/>
      <c r="W125" s="99" t="s">
        <v>135</v>
      </c>
      <c r="X125" s="93">
        <f>_xlfn.XLOOKUP(base_de_datos[[#This Row],[Materia]],Materias,Horas)/16</f>
        <v>3</v>
      </c>
      <c r="Y125" s="93">
        <f>ROUND(((base_de_datos[[#This Row],[Hora fin]]-base_de_datos[[#This Row],[Hora inicio]])*24)*(COUNTA(base_de_datos[[#This Row],[Lunes]:[Sábado]])),1)</f>
        <v>3</v>
      </c>
      <c r="Z125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5" s="93">
        <f ca="1">IF(base_de_datos[[#This Row],[No clase]]=OFFSET(base_de_datos[[#This Row],[No clase]],-1,0),0,1)</f>
        <v>1</v>
      </c>
      <c r="AB125" s="93">
        <f ca="1">IF(NOT(OR(base_de_datos[[#This Row],[Horas totales]]=base_de_datos[[#This Row],[HT Plan]],base_de_datos[[#This Row],[Horas totales]]="N/A")),1,0)</f>
        <v>0</v>
      </c>
      <c r="AC125" s="93" t="e">
        <f>_xlfn.XLOOKUP(base_de_datos[[#This Row],[Profesor]],Nombre,Grado)</f>
        <v>#REF!</v>
      </c>
      <c r="AD125" s="94" t="e">
        <f>_xlfn.XLOOKUP(base_de_datos[[#This Row],[Profesor]],Nombre,Tipo)</f>
        <v>#REF!</v>
      </c>
      <c r="AE125" s="93" t="str">
        <f>IF(IFERROR(VLOOKUP($C125,Planes_de_estudio[],MATCH($AE$2,Carreras,0)+2,0),"")&gt;0,IFERROR(VLOOKUP($C125,Planes_de_estudio[],MATCH($AE$2,Carreras,0)+2,0),""),"")</f>
        <v/>
      </c>
      <c r="AF125" s="93" t="str">
        <f>IF(IFERROR(VLOOKUP($C125,Planes_de_estudio[],MATCH($AF$2,Carreras,0)+2,0),"")&gt;0,IFERROR(VLOOKUP($C125,Planes_de_estudio[],MATCH($AF$2,Carreras,0)+2,0),""),"")</f>
        <v/>
      </c>
      <c r="AG125" s="93" t="str">
        <f>IF(IFERROR(VLOOKUP($C125,Planes_de_estudio[],MATCH($AG$2,Carreras,0)+2,0),"")&gt;0,IFERROR(VLOOKUP($C125,Planes_de_estudio[],MATCH($AG$2,Carreras,0)+2,0),""),"")</f>
        <v/>
      </c>
      <c r="AH125" s="93">
        <f>IF(IFERROR(VLOOKUP($C125,Planes_de_estudio[],MATCH($AH$2,Carreras,0)+2,0),"")&gt;0,IFERROR(VLOOKUP($C125,Planes_de_estudio[],MATCH($AH$2,Carreras,0)+2,0),""),"")</f>
        <v>7</v>
      </c>
      <c r="AI125" s="93" t="str">
        <f>IF(IFERROR(VLOOKUP($C125,Planes_de_estudio[],MATCH($AI$2,Carreras,0)+2,0),"")&gt;0,IFERROR(VLOOKUP($C125,Planes_de_estudio[],MATCH($AI$2,Carreras,0)+2,0),""),"")</f>
        <v/>
      </c>
      <c r="AJ125" s="93" t="str">
        <f>IF(IFERROR(VLOOKUP($C125,Planes_de_estudio[],MATCH($AJ$2,Carreras,0)+2,0),"")&gt;0,IFERROR(VLOOKUP($C125,Planes_de_estudio[],MATCH($AJ$2,Carreras,0)+2,0),""),"")</f>
        <v/>
      </c>
      <c r="AK125" s="93">
        <f>IF(IFERROR(VLOOKUP($C125,Planes_de_estudio[],MATCH($AK$2,Carreras,0)+2,0),"")&gt;0,IFERROR(VLOOKUP($C125,Planes_de_estudio[],MATCH($AK$2,Carreras,0)+2,0),""),"")</f>
        <v>7</v>
      </c>
      <c r="AL12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2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33</v>
      </c>
      <c r="AN125" s="93">
        <f>base_de_datos[[#This Row],[Pronóstico]]/25</f>
        <v>1.32</v>
      </c>
      <c r="AO125" s="93" t="str">
        <f>VLOOKUP($C125,Planes_de_estudio[],2)</f>
        <v>COM</v>
      </c>
      <c r="AP125" s="196"/>
      <c r="AQ125" s="196"/>
      <c r="AR125" s="196"/>
      <c r="AS125" s="195">
        <v>6</v>
      </c>
      <c r="AT125" s="196"/>
      <c r="AU125" s="196"/>
      <c r="AV125" s="195">
        <v>6</v>
      </c>
      <c r="AW125" s="91"/>
      <c r="AX125" s="73"/>
    </row>
    <row r="126" spans="2:50" s="5" customFormat="1" ht="16">
      <c r="B126" s="95" t="s">
        <v>297</v>
      </c>
      <c r="C126" s="96" t="s">
        <v>298</v>
      </c>
      <c r="D126" s="92">
        <v>1</v>
      </c>
      <c r="E126" s="97">
        <v>0.66666666666666696</v>
      </c>
      <c r="F126" s="97">
        <v>0.79166666666665897</v>
      </c>
      <c r="G126" s="92"/>
      <c r="H126" s="92" t="s">
        <v>84</v>
      </c>
      <c r="I126" s="92" t="e">
        <f>INDEX(Aulas_capacidad,MATCH(base_de_datos[[#This Row],[Aula]],Aulas,0),2)</f>
        <v>#REF!</v>
      </c>
      <c r="J126" s="90">
        <v>20</v>
      </c>
      <c r="K126" s="92" t="e">
        <f>INDEX(Aulas_capacidad,MATCH(base_de_datos[[#This Row],[Aula]],Aulas,0),4)</f>
        <v>#REF!</v>
      </c>
      <c r="L126" s="98" t="e">
        <f>base_de_datos[[#This Row],[Cap 1.5]]-base_de_datos[[#This Row],[Inscritos]]</f>
        <v>#REF!</v>
      </c>
      <c r="M126" s="98" t="e">
        <f>INDEX(Aulas_capacidad,MATCH(base_de_datos[[#This Row],[Aula]],Aulas,0),5)</f>
        <v>#REF!</v>
      </c>
      <c r="N126" s="98" t="e">
        <f>base_de_datos[[#This Row],[Cap .90]]-base_de_datos[[#This Row],[Inscritos]]</f>
        <v>#REF!</v>
      </c>
      <c r="O126" s="92" t="s">
        <v>299</v>
      </c>
      <c r="P126" s="99"/>
      <c r="Q126" s="100"/>
      <c r="R126" s="99"/>
      <c r="S126" s="100"/>
      <c r="T126" s="100" t="s">
        <v>68</v>
      </c>
      <c r="U126" s="99"/>
      <c r="V126" s="99"/>
      <c r="W126" s="99" t="s">
        <v>135</v>
      </c>
      <c r="X126" s="93">
        <f>_xlfn.XLOOKUP(base_de_datos[[#This Row],[Materia]],Materias,Horas)/16</f>
        <v>3</v>
      </c>
      <c r="Y126" s="93">
        <f>ROUND(((base_de_datos[[#This Row],[Hora fin]]-base_de_datos[[#This Row],[Hora inicio]])*24)*(COUNTA(base_de_datos[[#This Row],[Lunes]:[Sábado]])),1)</f>
        <v>3</v>
      </c>
      <c r="Z126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6" s="93">
        <f ca="1">IF(base_de_datos[[#This Row],[No clase]]=OFFSET(base_de_datos[[#This Row],[No clase]],-1,0),0,1)</f>
        <v>1</v>
      </c>
      <c r="AB126" s="93">
        <f ca="1">IF(NOT(OR(base_de_datos[[#This Row],[Horas totales]]=base_de_datos[[#This Row],[HT Plan]],base_de_datos[[#This Row],[Horas totales]]="N/A")),1,0)</f>
        <v>0</v>
      </c>
      <c r="AC126" s="93" t="e">
        <f>_xlfn.XLOOKUP(base_de_datos[[#This Row],[Profesor]],Nombre,Grado)</f>
        <v>#REF!</v>
      </c>
      <c r="AD126" s="94" t="e">
        <f>_xlfn.XLOOKUP(base_de_datos[[#This Row],[Profesor]],Nombre,Tipo)</f>
        <v>#REF!</v>
      </c>
      <c r="AE126" s="93">
        <f>IF(IFERROR(VLOOKUP($C126,Planes_de_estudio[],MATCH($AE$2,Carreras,0)+2,0),"")&gt;0,IFERROR(VLOOKUP($C126,Planes_de_estudio[],MATCH($AE$2,Carreras,0)+2,0),""),"")</f>
        <v>7</v>
      </c>
      <c r="AF126" s="93" t="str">
        <f>IF(IFERROR(VLOOKUP($C126,Planes_de_estudio[],MATCH($AF$2,Carreras,0)+2,0),"")&gt;0,IFERROR(VLOOKUP($C126,Planes_de_estudio[],MATCH($AF$2,Carreras,0)+2,0),""),"")</f>
        <v/>
      </c>
      <c r="AG126" s="93">
        <f>IF(IFERROR(VLOOKUP($C126,Planes_de_estudio[],MATCH($AG$2,Carreras,0)+2,0),"")&gt;0,IFERROR(VLOOKUP($C126,Planes_de_estudio[],MATCH($AG$2,Carreras,0)+2,0),""),"")</f>
        <v>7</v>
      </c>
      <c r="AH126" s="93">
        <f>IF(IFERROR(VLOOKUP($C126,Planes_de_estudio[],MATCH($AH$2,Carreras,0)+2,0),"")&gt;0,IFERROR(VLOOKUP($C126,Planes_de_estudio[],MATCH($AH$2,Carreras,0)+2,0),""),"")</f>
        <v>8</v>
      </c>
      <c r="AI126" s="93" t="str">
        <f>IF(IFERROR(VLOOKUP($C126,Planes_de_estudio[],MATCH($AI$2,Carreras,0)+2,0),"")&gt;0,IFERROR(VLOOKUP($C126,Planes_de_estudio[],MATCH($AI$2,Carreras,0)+2,0),""),"")</f>
        <v/>
      </c>
      <c r="AJ126" s="93" t="str">
        <f>IF(IFERROR(VLOOKUP($C126,Planes_de_estudio[],MATCH($AJ$2,Carreras,0)+2,0),"")&gt;0,IFERROR(VLOOKUP($C126,Planes_de_estudio[],MATCH($AJ$2,Carreras,0)+2,0),""),"")</f>
        <v/>
      </c>
      <c r="AK126" s="93" t="str">
        <f>IF(IFERROR(VLOOKUP($C126,Planes_de_estudio[],MATCH($AK$2,Carreras,0)+2,0),"")&gt;0,IFERROR(VLOOKUP($C126,Planes_de_estudio[],MATCH($AK$2,Carreras,0)+2,0),""),"")</f>
        <v/>
      </c>
      <c r="AL12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2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47</v>
      </c>
      <c r="AN126" s="93">
        <f>base_de_datos[[#This Row],[Pronóstico]]/25</f>
        <v>1.88</v>
      </c>
      <c r="AO126" s="93" t="str">
        <f>VLOOKUP($C126,Planes_de_estudio[],2)</f>
        <v>EMP</v>
      </c>
      <c r="AP126" s="195">
        <v>6</v>
      </c>
      <c r="AQ126" s="196"/>
      <c r="AR126" s="195">
        <v>6</v>
      </c>
      <c r="AS126" s="195">
        <v>6</v>
      </c>
      <c r="AT126" s="196"/>
      <c r="AU126" s="196"/>
      <c r="AV126" s="196"/>
      <c r="AW126" s="91"/>
      <c r="AX126" s="73"/>
    </row>
    <row r="127" spans="2:50" s="5" customFormat="1" ht="16">
      <c r="B127" s="95" t="s">
        <v>300</v>
      </c>
      <c r="C127" s="96" t="s">
        <v>298</v>
      </c>
      <c r="D127" s="92">
        <v>2</v>
      </c>
      <c r="E127" s="97">
        <v>0.66666666666666696</v>
      </c>
      <c r="F127" s="97">
        <v>0.79166666666665897</v>
      </c>
      <c r="G127" s="92"/>
      <c r="H127" s="175" t="s">
        <v>99</v>
      </c>
      <c r="I127" s="92" t="e">
        <f>INDEX(Aulas_capacidad,MATCH(base_de_datos[[#This Row],[Aula]],Aulas,0),2)</f>
        <v>#REF!</v>
      </c>
      <c r="J127" s="90">
        <v>17</v>
      </c>
      <c r="K127" s="92" t="e">
        <f>INDEX(Aulas_capacidad,MATCH(base_de_datos[[#This Row],[Aula]],Aulas,0),4)</f>
        <v>#REF!</v>
      </c>
      <c r="L127" s="98" t="e">
        <f>base_de_datos[[#This Row],[Cap 1.5]]-base_de_datos[[#This Row],[Inscritos]]</f>
        <v>#REF!</v>
      </c>
      <c r="M127" s="98" t="e">
        <f>INDEX(Aulas_capacidad,MATCH(base_de_datos[[#This Row],[Aula]],Aulas,0),5)</f>
        <v>#REF!</v>
      </c>
      <c r="N127" s="98" t="e">
        <f>base_de_datos[[#This Row],[Cap .90]]-base_de_datos[[#This Row],[Inscritos]]</f>
        <v>#REF!</v>
      </c>
      <c r="O127" s="92" t="s">
        <v>301</v>
      </c>
      <c r="P127" s="99"/>
      <c r="Q127" s="100"/>
      <c r="R127" s="99"/>
      <c r="S127" s="100"/>
      <c r="T127" s="100" t="s">
        <v>68</v>
      </c>
      <c r="U127" s="99"/>
      <c r="V127" s="99"/>
      <c r="W127" s="99" t="s">
        <v>135</v>
      </c>
      <c r="X127" s="93">
        <f>_xlfn.XLOOKUP(base_de_datos[[#This Row],[Materia]],Materias,Horas)/16</f>
        <v>3</v>
      </c>
      <c r="Y127" s="93">
        <f>ROUND(((base_de_datos[[#This Row],[Hora fin]]-base_de_datos[[#This Row],[Hora inicio]])*24)*(COUNTA(base_de_datos[[#This Row],[Lunes]:[Sábado]])),1)</f>
        <v>3</v>
      </c>
      <c r="Z127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7" s="93">
        <f ca="1">IF(base_de_datos[[#This Row],[No clase]]=OFFSET(base_de_datos[[#This Row],[No clase]],-1,0),0,1)</f>
        <v>1</v>
      </c>
      <c r="AB127" s="93">
        <f ca="1">IF(NOT(OR(base_de_datos[[#This Row],[Horas totales]]=base_de_datos[[#This Row],[HT Plan]],base_de_datos[[#This Row],[Horas totales]]="N/A")),1,0)</f>
        <v>0</v>
      </c>
      <c r="AC127" s="93" t="e">
        <f>_xlfn.XLOOKUP(base_de_datos[[#This Row],[Profesor]],Nombre,Grado)</f>
        <v>#REF!</v>
      </c>
      <c r="AD127" s="94" t="e">
        <f>_xlfn.XLOOKUP(base_de_datos[[#This Row],[Profesor]],Nombre,Tipo)</f>
        <v>#REF!</v>
      </c>
      <c r="AE127" s="93">
        <f>IF(IFERROR(VLOOKUP($C127,Planes_de_estudio[],MATCH($AE$2,Carreras,0)+2,0),"")&gt;0,IFERROR(VLOOKUP($C127,Planes_de_estudio[],MATCH($AE$2,Carreras,0)+2,0),""),"")</f>
        <v>7</v>
      </c>
      <c r="AF127" s="93" t="str">
        <f>IF(IFERROR(VLOOKUP($C127,Planes_de_estudio[],MATCH($AF$2,Carreras,0)+2,0),"")&gt;0,IFERROR(VLOOKUP($C127,Planes_de_estudio[],MATCH($AF$2,Carreras,0)+2,0),""),"")</f>
        <v/>
      </c>
      <c r="AG127" s="93">
        <f>IF(IFERROR(VLOOKUP($C127,Planes_de_estudio[],MATCH($AG$2,Carreras,0)+2,0),"")&gt;0,IFERROR(VLOOKUP($C127,Planes_de_estudio[],MATCH($AG$2,Carreras,0)+2,0),""),"")</f>
        <v>7</v>
      </c>
      <c r="AH127" s="93">
        <f>IF(IFERROR(VLOOKUP($C127,Planes_de_estudio[],MATCH($AH$2,Carreras,0)+2,0),"")&gt;0,IFERROR(VLOOKUP($C127,Planes_de_estudio[],MATCH($AH$2,Carreras,0)+2,0),""),"")</f>
        <v>8</v>
      </c>
      <c r="AI127" s="93" t="str">
        <f>IF(IFERROR(VLOOKUP($C127,Planes_de_estudio[],MATCH($AI$2,Carreras,0)+2,0),"")&gt;0,IFERROR(VLOOKUP($C127,Planes_de_estudio[],MATCH($AI$2,Carreras,0)+2,0),""),"")</f>
        <v/>
      </c>
      <c r="AJ127" s="93" t="str">
        <f>IF(IFERROR(VLOOKUP($C127,Planes_de_estudio[],MATCH($AJ$2,Carreras,0)+2,0),"")&gt;0,IFERROR(VLOOKUP($C127,Planes_de_estudio[],MATCH($AJ$2,Carreras,0)+2,0),""),"")</f>
        <v/>
      </c>
      <c r="AK127" s="93" t="str">
        <f>IF(IFERROR(VLOOKUP($C127,Planes_de_estudio[],MATCH($AK$2,Carreras,0)+2,0),"")&gt;0,IFERROR(VLOOKUP($C127,Planes_de_estudio[],MATCH($AK$2,Carreras,0)+2,0),""),"")</f>
        <v/>
      </c>
      <c r="AL12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2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47</v>
      </c>
      <c r="AN127" s="93">
        <f>base_de_datos[[#This Row],[Pronóstico]]/25</f>
        <v>1.88</v>
      </c>
      <c r="AO127" s="93" t="str">
        <f>VLOOKUP($C127,Planes_de_estudio[],2)</f>
        <v>EMP</v>
      </c>
      <c r="AP127" s="195">
        <v>6</v>
      </c>
      <c r="AQ127" s="196"/>
      <c r="AR127" s="195">
        <v>6</v>
      </c>
      <c r="AS127" s="195">
        <v>6</v>
      </c>
      <c r="AT127" s="196"/>
      <c r="AU127" s="196"/>
      <c r="AV127" s="196"/>
      <c r="AW127" s="91"/>
      <c r="AX127" s="73"/>
    </row>
    <row r="128" spans="2:50" s="5" customFormat="1" ht="16">
      <c r="B128" s="95" t="s">
        <v>302</v>
      </c>
      <c r="C128" s="96" t="s">
        <v>252</v>
      </c>
      <c r="D128" s="92">
        <v>2</v>
      </c>
      <c r="E128" s="97">
        <v>0.29166666666666669</v>
      </c>
      <c r="F128" s="97">
        <v>0.374999999999999</v>
      </c>
      <c r="G128" s="92"/>
      <c r="H128" s="92" t="s">
        <v>128</v>
      </c>
      <c r="I128" s="92" t="e">
        <f>INDEX(Aulas_capacidad,MATCH(base_de_datos[[#This Row],[Aula]],Aulas,0),2)</f>
        <v>#REF!</v>
      </c>
      <c r="J128" s="90">
        <v>22</v>
      </c>
      <c r="K128" s="92" t="e">
        <f>INDEX(Aulas_capacidad,MATCH(base_de_datos[[#This Row],[Aula]],Aulas,0),4)</f>
        <v>#REF!</v>
      </c>
      <c r="L128" s="98" t="e">
        <f>base_de_datos[[#This Row],[Cap 1.5]]-base_de_datos[[#This Row],[Inscritos]]</f>
        <v>#REF!</v>
      </c>
      <c r="M128" s="98" t="e">
        <f>INDEX(Aulas_capacidad,MATCH(base_de_datos[[#This Row],[Aula]],Aulas,0),5)</f>
        <v>#REF!</v>
      </c>
      <c r="N128" s="98" t="e">
        <f>base_de_datos[[#This Row],[Cap .90]]-base_de_datos[[#This Row],[Inscritos]]</f>
        <v>#REF!</v>
      </c>
      <c r="O128" s="92" t="s">
        <v>303</v>
      </c>
      <c r="P128" s="99" t="s">
        <v>68</v>
      </c>
      <c r="Q128" s="100"/>
      <c r="R128" s="99"/>
      <c r="S128" s="100"/>
      <c r="T128" s="100"/>
      <c r="U128" s="99"/>
      <c r="V128" s="99"/>
      <c r="W128" s="99" t="s">
        <v>74</v>
      </c>
      <c r="X128" s="93">
        <f>_xlfn.XLOOKUP(base_de_datos[[#This Row],[Materia]],Materias,Horas)/16</f>
        <v>4</v>
      </c>
      <c r="Y128" s="93">
        <f>ROUND(((base_de_datos[[#This Row],[Hora fin]]-base_de_datos[[#This Row],[Hora inicio]])*24)*(COUNTA(base_de_datos[[#This Row],[Lunes]:[Sábado]])),1)</f>
        <v>2</v>
      </c>
      <c r="Z128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8" s="93">
        <f ca="1">IF(base_de_datos[[#This Row],[No clase]]=OFFSET(base_de_datos[[#This Row],[No clase]],-1,0),0,1)</f>
        <v>1</v>
      </c>
      <c r="AB128" s="93">
        <f ca="1">IF(NOT(OR(base_de_datos[[#This Row],[Horas totales]]=base_de_datos[[#This Row],[HT Plan]],base_de_datos[[#This Row],[Horas totales]]="N/A")),1,0)</f>
        <v>0</v>
      </c>
      <c r="AC128" s="93" t="e">
        <f>_xlfn.XLOOKUP(base_de_datos[[#This Row],[Profesor]],Nombre,Grado)</f>
        <v>#REF!</v>
      </c>
      <c r="AD128" s="94" t="e">
        <f>_xlfn.XLOOKUP(base_de_datos[[#This Row],[Profesor]],Nombre,Tipo)</f>
        <v>#REF!</v>
      </c>
      <c r="AE128" s="93" t="str">
        <f>IF(IFERROR(VLOOKUP($C128,Planes_de_estudio[],MATCH($AE$2,Carreras,0)+2,0),"")&gt;0,IFERROR(VLOOKUP($C128,Planes_de_estudio[],MATCH($AE$2,Carreras,0)+2,0),""),"")</f>
        <v/>
      </c>
      <c r="AF128" s="93">
        <f>IF(IFERROR(VLOOKUP($C128,Planes_de_estudio[],MATCH($AF$2,Carreras,0)+2,0),"")&gt;0,IFERROR(VLOOKUP($C128,Planes_de_estudio[],MATCH($AF$2,Carreras,0)+2,0),""),"")</f>
        <v>3</v>
      </c>
      <c r="AG128" s="93" t="str">
        <f>IF(IFERROR(VLOOKUP($C128,Planes_de_estudio[],MATCH($AG$2,Carreras,0)+2,0),"")&gt;0,IFERROR(VLOOKUP($C128,Planes_de_estudio[],MATCH($AG$2,Carreras,0)+2,0),""),"")</f>
        <v/>
      </c>
      <c r="AH128" s="93">
        <f>IF(IFERROR(VLOOKUP($C128,Planes_de_estudio[],MATCH($AH$2,Carreras,0)+2,0),"")&gt;0,IFERROR(VLOOKUP($C128,Planes_de_estudio[],MATCH($AH$2,Carreras,0)+2,0),""),"")</f>
        <v>3</v>
      </c>
      <c r="AI128" s="93" t="str">
        <f>IF(IFERROR(VLOOKUP($C128,Planes_de_estudio[],MATCH($AI$2,Carreras,0)+2,0),"")&gt;0,IFERROR(VLOOKUP($C128,Planes_de_estudio[],MATCH($AI$2,Carreras,0)+2,0),""),"")</f>
        <v/>
      </c>
      <c r="AJ128" s="93" t="str">
        <f>IF(IFERROR(VLOOKUP($C128,Planes_de_estudio[],MATCH($AJ$2,Carreras,0)+2,0),"")&gt;0,IFERROR(VLOOKUP($C128,Planes_de_estudio[],MATCH($AJ$2,Carreras,0)+2,0),""),"")</f>
        <v/>
      </c>
      <c r="AK128" s="93">
        <f>IF(IFERROR(VLOOKUP($C128,Planes_de_estudio[],MATCH($AK$2,Carreras,0)+2,0),"")&gt;0,IFERROR(VLOOKUP($C128,Planes_de_estudio[],MATCH($AK$2,Carreras,0)+2,0),""),"")</f>
        <v>3</v>
      </c>
      <c r="AL12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2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58</v>
      </c>
      <c r="AN128" s="93">
        <f>base_de_datos[[#This Row],[Pronóstico]]/25</f>
        <v>2.3199999999999998</v>
      </c>
      <c r="AO128" s="93" t="str">
        <f>VLOOKUP($C128,Planes_de_estudio[],2)</f>
        <v>COM</v>
      </c>
      <c r="AP128" s="196"/>
      <c r="AQ128" s="195">
        <v>6</v>
      </c>
      <c r="AR128" s="196"/>
      <c r="AS128" s="195">
        <v>6</v>
      </c>
      <c r="AT128" s="196"/>
      <c r="AU128" s="196"/>
      <c r="AV128" s="195">
        <v>6</v>
      </c>
      <c r="AW128" s="91"/>
      <c r="AX128" s="73"/>
    </row>
    <row r="129" spans="2:51" s="5" customFormat="1" ht="16">
      <c r="B129" s="95" t="s">
        <v>302</v>
      </c>
      <c r="C129" s="96" t="s">
        <v>252</v>
      </c>
      <c r="D129" s="92">
        <v>2</v>
      </c>
      <c r="E129" s="97">
        <v>0.375</v>
      </c>
      <c r="F129" s="97">
        <v>0.45833333333333098</v>
      </c>
      <c r="G129" s="92"/>
      <c r="H129" s="92" t="s">
        <v>228</v>
      </c>
      <c r="I129" s="92" t="e">
        <f>INDEX(Aulas_capacidad,MATCH(base_de_datos[[#This Row],[Aula]],Aulas,0),2)</f>
        <v>#REF!</v>
      </c>
      <c r="J129" s="90">
        <v>22</v>
      </c>
      <c r="K129" s="92" t="e">
        <f>INDEX(Aulas_capacidad,MATCH(base_de_datos[[#This Row],[Aula]],Aulas,0),4)</f>
        <v>#REF!</v>
      </c>
      <c r="L129" s="98" t="e">
        <f>base_de_datos[[#This Row],[Cap 1.5]]-base_de_datos[[#This Row],[Inscritos]]</f>
        <v>#REF!</v>
      </c>
      <c r="M129" s="98" t="e">
        <f>INDEX(Aulas_capacidad,MATCH(base_de_datos[[#This Row],[Aula]],Aulas,0),5)</f>
        <v>#REF!</v>
      </c>
      <c r="N129" s="98" t="e">
        <f>base_de_datos[[#This Row],[Cap .90]]-base_de_datos[[#This Row],[Inscritos]]</f>
        <v>#REF!</v>
      </c>
      <c r="O129" s="92" t="s">
        <v>303</v>
      </c>
      <c r="P129" s="99"/>
      <c r="Q129" s="100"/>
      <c r="R129" s="99" t="s">
        <v>68</v>
      </c>
      <c r="S129" s="100"/>
      <c r="T129" s="100"/>
      <c r="U129" s="99"/>
      <c r="V129" s="99"/>
      <c r="W129" s="99" t="s">
        <v>74</v>
      </c>
      <c r="X129" s="93">
        <f>_xlfn.XLOOKUP(base_de_datos[[#This Row],[Materia]],Materias,Horas)/16</f>
        <v>4</v>
      </c>
      <c r="Y129" s="93">
        <f>ROUND(((base_de_datos[[#This Row],[Hora fin]]-base_de_datos[[#This Row],[Hora inicio]])*24)*(COUNTA(base_de_datos[[#This Row],[Lunes]:[Sábado]])),1)</f>
        <v>2</v>
      </c>
      <c r="Z129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29" s="93">
        <f ca="1">IF(base_de_datos[[#This Row],[No clase]]=OFFSET(base_de_datos[[#This Row],[No clase]],-1,0),0,1)</f>
        <v>0</v>
      </c>
      <c r="AB129" s="93">
        <f ca="1">IF(NOT(OR(base_de_datos[[#This Row],[Horas totales]]=base_de_datos[[#This Row],[HT Plan]],base_de_datos[[#This Row],[Horas totales]]="N/A")),1,0)</f>
        <v>0</v>
      </c>
      <c r="AC129" s="93" t="e">
        <f>_xlfn.XLOOKUP(base_de_datos[[#This Row],[Profesor]],Nombre,Grado)</f>
        <v>#REF!</v>
      </c>
      <c r="AD129" s="94" t="e">
        <f>_xlfn.XLOOKUP(base_de_datos[[#This Row],[Profesor]],Nombre,Tipo)</f>
        <v>#REF!</v>
      </c>
      <c r="AE129" s="93" t="str">
        <f>IF(IFERROR(VLOOKUP($C129,Planes_de_estudio[],MATCH($AE$2,Carreras,0)+2,0),"")&gt;0,IFERROR(VLOOKUP($C129,Planes_de_estudio[],MATCH($AE$2,Carreras,0)+2,0),""),"")</f>
        <v/>
      </c>
      <c r="AF129" s="93">
        <f>IF(IFERROR(VLOOKUP($C129,Planes_de_estudio[],MATCH($AF$2,Carreras,0)+2,0),"")&gt;0,IFERROR(VLOOKUP($C129,Planes_de_estudio[],MATCH($AF$2,Carreras,0)+2,0),""),"")</f>
        <v>3</v>
      </c>
      <c r="AG129" s="93" t="str">
        <f>IF(IFERROR(VLOOKUP($C129,Planes_de_estudio[],MATCH($AG$2,Carreras,0)+2,0),"")&gt;0,IFERROR(VLOOKUP($C129,Planes_de_estudio[],MATCH($AG$2,Carreras,0)+2,0),""),"")</f>
        <v/>
      </c>
      <c r="AH129" s="93">
        <f>IF(IFERROR(VLOOKUP($C129,Planes_de_estudio[],MATCH($AH$2,Carreras,0)+2,0),"")&gt;0,IFERROR(VLOOKUP($C129,Planes_de_estudio[],MATCH($AH$2,Carreras,0)+2,0),""),"")</f>
        <v>3</v>
      </c>
      <c r="AI129" s="93" t="str">
        <f>IF(IFERROR(VLOOKUP($C129,Planes_de_estudio[],MATCH($AI$2,Carreras,0)+2,0),"")&gt;0,IFERROR(VLOOKUP($C129,Planes_de_estudio[],MATCH($AI$2,Carreras,0)+2,0),""),"")</f>
        <v/>
      </c>
      <c r="AJ129" s="93" t="str">
        <f>IF(IFERROR(VLOOKUP($C129,Planes_de_estudio[],MATCH($AJ$2,Carreras,0)+2,0),"")&gt;0,IFERROR(VLOOKUP($C129,Planes_de_estudio[],MATCH($AJ$2,Carreras,0)+2,0),""),"")</f>
        <v/>
      </c>
      <c r="AK129" s="93">
        <f>IF(IFERROR(VLOOKUP($C129,Planes_de_estudio[],MATCH($AK$2,Carreras,0)+2,0),"")&gt;0,IFERROR(VLOOKUP($C129,Planes_de_estudio[],MATCH($AK$2,Carreras,0)+2,0),""),"")</f>
        <v>3</v>
      </c>
      <c r="AL12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2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58</v>
      </c>
      <c r="AN129" s="93">
        <f>base_de_datos[[#This Row],[Pronóstico]]/25</f>
        <v>2.3199999999999998</v>
      </c>
      <c r="AO129" s="93" t="str">
        <f>VLOOKUP($C129,Planes_de_estudio[],2)</f>
        <v>COM</v>
      </c>
      <c r="AP129" s="196"/>
      <c r="AQ129" s="196"/>
      <c r="AR129" s="196"/>
      <c r="AS129" s="196"/>
      <c r="AT129" s="196"/>
      <c r="AU129" s="196"/>
      <c r="AV129" s="196"/>
      <c r="AW129" s="91"/>
      <c r="AX129" s="73"/>
    </row>
    <row r="130" spans="2:51" s="5" customFormat="1" ht="16">
      <c r="B130" s="95" t="s">
        <v>302</v>
      </c>
      <c r="C130" s="96" t="s">
        <v>252</v>
      </c>
      <c r="D130" s="92">
        <v>3</v>
      </c>
      <c r="E130" s="97">
        <v>0.29166666666666669</v>
      </c>
      <c r="F130" s="97">
        <v>0.374999999999999</v>
      </c>
      <c r="G130" s="92"/>
      <c r="H130" s="92" t="s">
        <v>304</v>
      </c>
      <c r="I130" s="92" t="e">
        <f>INDEX(Aulas_capacidad,MATCH(base_de_datos[[#This Row],[Aula]],Aulas,0),2)</f>
        <v>#REF!</v>
      </c>
      <c r="J130" s="90">
        <v>11</v>
      </c>
      <c r="K130" s="92" t="e">
        <f>INDEX(Aulas_capacidad,MATCH(base_de_datos[[#This Row],[Aula]],Aulas,0),4)</f>
        <v>#REF!</v>
      </c>
      <c r="L130" s="98" t="e">
        <f>base_de_datos[[#This Row],[Cap 1.5]]-base_de_datos[[#This Row],[Inscritos]]</f>
        <v>#REF!</v>
      </c>
      <c r="M130" s="98" t="e">
        <f>INDEX(Aulas_capacidad,MATCH(base_de_datos[[#This Row],[Aula]],Aulas,0),5)</f>
        <v>#REF!</v>
      </c>
      <c r="N130" s="98" t="e">
        <f>base_de_datos[[#This Row],[Cap .90]]-base_de_datos[[#This Row],[Inscritos]]</f>
        <v>#REF!</v>
      </c>
      <c r="O130" s="92" t="s">
        <v>305</v>
      </c>
      <c r="P130" s="99"/>
      <c r="Q130" s="100" t="s">
        <v>68</v>
      </c>
      <c r="R130" s="99"/>
      <c r="S130" s="100"/>
      <c r="T130" s="100"/>
      <c r="U130" s="99"/>
      <c r="V130" s="99"/>
      <c r="W130" s="99" t="s">
        <v>122</v>
      </c>
      <c r="X130" s="93">
        <f>_xlfn.XLOOKUP(base_de_datos[[#This Row],[Materia]],Materias,Horas)/16</f>
        <v>4</v>
      </c>
      <c r="Y130" s="93">
        <f>ROUND(((base_de_datos[[#This Row],[Hora fin]]-base_de_datos[[#This Row],[Hora inicio]])*24)*(COUNTA(base_de_datos[[#This Row],[Lunes]:[Sábado]])),1)</f>
        <v>2</v>
      </c>
      <c r="Z130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30" s="93">
        <f ca="1">IF(base_de_datos[[#This Row],[No clase]]=OFFSET(base_de_datos[[#This Row],[No clase]],-1,0),0,1)</f>
        <v>1</v>
      </c>
      <c r="AB130" s="93">
        <f ca="1">IF(NOT(OR(base_de_datos[[#This Row],[Horas totales]]=base_de_datos[[#This Row],[HT Plan]],base_de_datos[[#This Row],[Horas totales]]="N/A")),1,0)</f>
        <v>0</v>
      </c>
      <c r="AC130" s="93" t="e">
        <f>_xlfn.XLOOKUP(base_de_datos[[#This Row],[Profesor]],Nombre,Grado)</f>
        <v>#REF!</v>
      </c>
      <c r="AD130" s="94" t="e">
        <f>_xlfn.XLOOKUP(base_de_datos[[#This Row],[Profesor]],Nombre,Tipo)</f>
        <v>#REF!</v>
      </c>
      <c r="AE130" s="93" t="str">
        <f>IF(IFERROR(VLOOKUP($C130,Planes_de_estudio[],MATCH($AE$2,Carreras,0)+2,0),"")&gt;0,IFERROR(VLOOKUP($C130,Planes_de_estudio[],MATCH($AE$2,Carreras,0)+2,0),""),"")</f>
        <v/>
      </c>
      <c r="AF130" s="93">
        <f>IF(IFERROR(VLOOKUP($C130,Planes_de_estudio[],MATCH($AF$2,Carreras,0)+2,0),"")&gt;0,IFERROR(VLOOKUP($C130,Planes_de_estudio[],MATCH($AF$2,Carreras,0)+2,0),""),"")</f>
        <v>3</v>
      </c>
      <c r="AG130" s="93" t="str">
        <f>IF(IFERROR(VLOOKUP($C130,Planes_de_estudio[],MATCH($AG$2,Carreras,0)+2,0),"")&gt;0,IFERROR(VLOOKUP($C130,Planes_de_estudio[],MATCH($AG$2,Carreras,0)+2,0),""),"")</f>
        <v/>
      </c>
      <c r="AH130" s="93">
        <f>IF(IFERROR(VLOOKUP($C130,Planes_de_estudio[],MATCH($AH$2,Carreras,0)+2,0),"")&gt;0,IFERROR(VLOOKUP($C130,Planes_de_estudio[],MATCH($AH$2,Carreras,0)+2,0),""),"")</f>
        <v>3</v>
      </c>
      <c r="AI130" s="93" t="str">
        <f>IF(IFERROR(VLOOKUP($C130,Planes_de_estudio[],MATCH($AI$2,Carreras,0)+2,0),"")&gt;0,IFERROR(VLOOKUP($C130,Planes_de_estudio[],MATCH($AI$2,Carreras,0)+2,0),""),"")</f>
        <v/>
      </c>
      <c r="AJ130" s="93" t="str">
        <f>IF(IFERROR(VLOOKUP($C130,Planes_de_estudio[],MATCH($AJ$2,Carreras,0)+2,0),"")&gt;0,IFERROR(VLOOKUP($C130,Planes_de_estudio[],MATCH($AJ$2,Carreras,0)+2,0),""),"")</f>
        <v/>
      </c>
      <c r="AK130" s="93">
        <f>IF(IFERROR(VLOOKUP($C130,Planes_de_estudio[],MATCH($AK$2,Carreras,0)+2,0),"")&gt;0,IFERROR(VLOOKUP($C130,Planes_de_estudio[],MATCH($AK$2,Carreras,0)+2,0),""),"")</f>
        <v>3</v>
      </c>
      <c r="AL13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3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58</v>
      </c>
      <c r="AN130" s="93">
        <f>base_de_datos[[#This Row],[Pronóstico]]/25</f>
        <v>2.3199999999999998</v>
      </c>
      <c r="AO130" s="93" t="str">
        <f>VLOOKUP($C130,Planes_de_estudio[],2)</f>
        <v>COM</v>
      </c>
      <c r="AP130" s="196"/>
      <c r="AQ130" s="195">
        <v>6</v>
      </c>
      <c r="AR130" s="196"/>
      <c r="AS130" s="195">
        <v>6</v>
      </c>
      <c r="AT130" s="196"/>
      <c r="AU130" s="196"/>
      <c r="AV130" s="195">
        <v>6</v>
      </c>
      <c r="AW130" s="91"/>
      <c r="AX130" s="73"/>
    </row>
    <row r="131" spans="2:51" s="5" customFormat="1" ht="16">
      <c r="B131" s="95" t="s">
        <v>302</v>
      </c>
      <c r="C131" s="96" t="s">
        <v>252</v>
      </c>
      <c r="D131" s="92">
        <v>3</v>
      </c>
      <c r="E131" s="97">
        <v>0.29166666666666669</v>
      </c>
      <c r="F131" s="97">
        <v>0.374999999999999</v>
      </c>
      <c r="G131" s="92"/>
      <c r="H131" s="92" t="s">
        <v>142</v>
      </c>
      <c r="I131" s="92" t="e">
        <f>INDEX(Aulas_capacidad,MATCH(base_de_datos[[#This Row],[Aula]],Aulas,0),2)</f>
        <v>#REF!</v>
      </c>
      <c r="J131" s="90">
        <v>11</v>
      </c>
      <c r="K131" s="92" t="e">
        <f>INDEX(Aulas_capacidad,MATCH(base_de_datos[[#This Row],[Aula]],Aulas,0),4)</f>
        <v>#REF!</v>
      </c>
      <c r="L131" s="98" t="e">
        <f>base_de_datos[[#This Row],[Cap 1.5]]-base_de_datos[[#This Row],[Inscritos]]</f>
        <v>#REF!</v>
      </c>
      <c r="M131" s="98" t="e">
        <f>INDEX(Aulas_capacidad,MATCH(base_de_datos[[#This Row],[Aula]],Aulas,0),5)</f>
        <v>#REF!</v>
      </c>
      <c r="N131" s="98" t="e">
        <f>base_de_datos[[#This Row],[Cap .90]]-base_de_datos[[#This Row],[Inscritos]]</f>
        <v>#REF!</v>
      </c>
      <c r="O131" s="92" t="s">
        <v>305</v>
      </c>
      <c r="P131" s="99"/>
      <c r="Q131" s="100"/>
      <c r="R131" s="99"/>
      <c r="S131" s="100" t="s">
        <v>68</v>
      </c>
      <c r="T131" s="100"/>
      <c r="U131" s="99"/>
      <c r="V131" s="99"/>
      <c r="W131" s="99" t="s">
        <v>122</v>
      </c>
      <c r="X131" s="93">
        <f>_xlfn.XLOOKUP(base_de_datos[[#This Row],[Materia]],Materias,Horas)/16</f>
        <v>4</v>
      </c>
      <c r="Y131" s="93">
        <f>ROUND(((base_de_datos[[#This Row],[Hora fin]]-base_de_datos[[#This Row],[Hora inicio]])*24)*(COUNTA(base_de_datos[[#This Row],[Lunes]:[Sábado]])),1)</f>
        <v>2</v>
      </c>
      <c r="Z131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31" s="93">
        <f ca="1">IF(base_de_datos[[#This Row],[No clase]]=OFFSET(base_de_datos[[#This Row],[No clase]],-1,0),0,1)</f>
        <v>0</v>
      </c>
      <c r="AB131" s="93">
        <f ca="1">IF(NOT(OR(base_de_datos[[#This Row],[Horas totales]]=base_de_datos[[#This Row],[HT Plan]],base_de_datos[[#This Row],[Horas totales]]="N/A")),1,0)</f>
        <v>0</v>
      </c>
      <c r="AC131" s="93" t="e">
        <f>_xlfn.XLOOKUP(base_de_datos[[#This Row],[Profesor]],Nombre,Grado)</f>
        <v>#REF!</v>
      </c>
      <c r="AD131" s="94" t="e">
        <f>_xlfn.XLOOKUP(base_de_datos[[#This Row],[Profesor]],Nombre,Tipo)</f>
        <v>#REF!</v>
      </c>
      <c r="AE131" s="93" t="str">
        <f>IF(IFERROR(VLOOKUP($C131,Planes_de_estudio[],MATCH($AE$2,Carreras,0)+2,0),"")&gt;0,IFERROR(VLOOKUP($C131,Planes_de_estudio[],MATCH($AE$2,Carreras,0)+2,0),""),"")</f>
        <v/>
      </c>
      <c r="AF131" s="93">
        <f>IF(IFERROR(VLOOKUP($C131,Planes_de_estudio[],MATCH($AF$2,Carreras,0)+2,0),"")&gt;0,IFERROR(VLOOKUP($C131,Planes_de_estudio[],MATCH($AF$2,Carreras,0)+2,0),""),"")</f>
        <v>3</v>
      </c>
      <c r="AG131" s="93" t="str">
        <f>IF(IFERROR(VLOOKUP($C131,Planes_de_estudio[],MATCH($AG$2,Carreras,0)+2,0),"")&gt;0,IFERROR(VLOOKUP($C131,Planes_de_estudio[],MATCH($AG$2,Carreras,0)+2,0),""),"")</f>
        <v/>
      </c>
      <c r="AH131" s="93">
        <f>IF(IFERROR(VLOOKUP($C131,Planes_de_estudio[],MATCH($AH$2,Carreras,0)+2,0),"")&gt;0,IFERROR(VLOOKUP($C131,Planes_de_estudio[],MATCH($AH$2,Carreras,0)+2,0),""),"")</f>
        <v>3</v>
      </c>
      <c r="AI131" s="93" t="str">
        <f>IF(IFERROR(VLOOKUP($C131,Planes_de_estudio[],MATCH($AI$2,Carreras,0)+2,0),"")&gt;0,IFERROR(VLOOKUP($C131,Planes_de_estudio[],MATCH($AI$2,Carreras,0)+2,0),""),"")</f>
        <v/>
      </c>
      <c r="AJ131" s="93" t="str">
        <f>IF(IFERROR(VLOOKUP($C131,Planes_de_estudio[],MATCH($AJ$2,Carreras,0)+2,0),"")&gt;0,IFERROR(VLOOKUP($C131,Planes_de_estudio[],MATCH($AJ$2,Carreras,0)+2,0),""),"")</f>
        <v/>
      </c>
      <c r="AK131" s="93">
        <f>IF(IFERROR(VLOOKUP($C131,Planes_de_estudio[],MATCH($AK$2,Carreras,0)+2,0),"")&gt;0,IFERROR(VLOOKUP($C131,Planes_de_estudio[],MATCH($AK$2,Carreras,0)+2,0),""),"")</f>
        <v>3</v>
      </c>
      <c r="AL13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3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58</v>
      </c>
      <c r="AN131" s="93">
        <f>base_de_datos[[#This Row],[Pronóstico]]/25</f>
        <v>2.3199999999999998</v>
      </c>
      <c r="AO131" s="93" t="str">
        <f>VLOOKUP($C131,Planes_de_estudio[],2)</f>
        <v>COM</v>
      </c>
      <c r="AP131" s="196"/>
      <c r="AQ131" s="196"/>
      <c r="AR131" s="196"/>
      <c r="AS131" s="196"/>
      <c r="AT131" s="196"/>
      <c r="AU131" s="196"/>
      <c r="AV131" s="196"/>
      <c r="AW131" s="91"/>
      <c r="AX131" s="73"/>
    </row>
    <row r="132" spans="2:51" s="5" customFormat="1" ht="16">
      <c r="B132" s="95" t="s">
        <v>131</v>
      </c>
      <c r="C132" s="96" t="s">
        <v>306</v>
      </c>
      <c r="D132" s="92">
        <v>2</v>
      </c>
      <c r="E132" s="97">
        <v>0.75</v>
      </c>
      <c r="F132" s="97">
        <v>0.83333333333332504</v>
      </c>
      <c r="G132" s="92" t="s">
        <v>66</v>
      </c>
      <c r="H132" s="92" t="s">
        <v>106</v>
      </c>
      <c r="I132" s="92" t="e">
        <f>INDEX(Aulas_capacidad,MATCH(base_de_datos[[#This Row],[Aula]],Aulas,0),2)</f>
        <v>#REF!</v>
      </c>
      <c r="J132" s="90">
        <v>28</v>
      </c>
      <c r="K132" s="92" t="e">
        <f>INDEX(Aulas_capacidad,MATCH(base_de_datos[[#This Row],[Aula]],Aulas,0),4)</f>
        <v>#REF!</v>
      </c>
      <c r="L132" s="98" t="e">
        <f>base_de_datos[[#This Row],[Cap 1.5]]-base_de_datos[[#This Row],[Inscritos]]</f>
        <v>#REF!</v>
      </c>
      <c r="M132" s="98" t="e">
        <f>INDEX(Aulas_capacidad,MATCH(base_de_datos[[#This Row],[Aula]],Aulas,0),5)</f>
        <v>#REF!</v>
      </c>
      <c r="N132" s="98" t="e">
        <f>base_de_datos[[#This Row],[Cap .90]]-base_de_datos[[#This Row],[Inscritos]]</f>
        <v>#REF!</v>
      </c>
      <c r="O132" s="92" t="s">
        <v>307</v>
      </c>
      <c r="P132" s="99"/>
      <c r="Q132" s="100"/>
      <c r="R132" s="99"/>
      <c r="S132" s="100"/>
      <c r="T132" s="100" t="s">
        <v>68</v>
      </c>
      <c r="U132" s="99"/>
      <c r="V132" s="99"/>
      <c r="W132" s="99" t="s">
        <v>135</v>
      </c>
      <c r="X132" s="93">
        <f>_xlfn.XLOOKUP(base_de_datos[[#This Row],[Materia]],Materias,Horas)/16</f>
        <v>4</v>
      </c>
      <c r="Y132" s="93">
        <f>ROUND(((base_de_datos[[#This Row],[Hora fin]]-base_de_datos[[#This Row],[Hora inicio]])*24)*(COUNTA(base_de_datos[[#This Row],[Lunes]:[Sábado]])),1)</f>
        <v>2</v>
      </c>
      <c r="Z132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32" s="93">
        <f ca="1">IF(base_de_datos[[#This Row],[No clase]]=OFFSET(base_de_datos[[#This Row],[No clase]],-1,0),0,1)</f>
        <v>1</v>
      </c>
      <c r="AB132" s="93">
        <f ca="1">IF(NOT(OR(base_de_datos[[#This Row],[Horas totales]]=base_de_datos[[#This Row],[HT Plan]],base_de_datos[[#This Row],[Horas totales]]="N/A")),1,0)</f>
        <v>1</v>
      </c>
      <c r="AC132" s="93" t="e">
        <f>_xlfn.XLOOKUP(base_de_datos[[#This Row],[Profesor]],Nombre,Grado)</f>
        <v>#REF!</v>
      </c>
      <c r="AD132" s="94" t="e">
        <f>_xlfn.XLOOKUP(base_de_datos[[#This Row],[Profesor]],Nombre,Tipo)</f>
        <v>#REF!</v>
      </c>
      <c r="AE132" s="93">
        <f>IF(IFERROR(VLOOKUP($C132,Planes_de_estudio[],MATCH($AE$2,Carreras,0)+2,0),"")&gt;0,IFERROR(VLOOKUP($C132,Planes_de_estudio[],MATCH($AE$2,Carreras,0)+2,0),""),"")</f>
        <v>4</v>
      </c>
      <c r="AF132" s="93">
        <f>IF(IFERROR(VLOOKUP($C132,Planes_de_estudio[],MATCH($AF$2,Carreras,0)+2,0),"")&gt;0,IFERROR(VLOOKUP($C132,Planes_de_estudio[],MATCH($AF$2,Carreras,0)+2,0),""),"")</f>
        <v>4</v>
      </c>
      <c r="AG132" s="93">
        <f>IF(IFERROR(VLOOKUP($C132,Planes_de_estudio[],MATCH($AG$2,Carreras,0)+2,0),"")&gt;0,IFERROR(VLOOKUP($C132,Planes_de_estudio[],MATCH($AG$2,Carreras,0)+2,0),""),"")</f>
        <v>5</v>
      </c>
      <c r="AH132" s="93" t="str">
        <f>IF(IFERROR(VLOOKUP($C132,Planes_de_estudio[],MATCH($AH$2,Carreras,0)+2,0),"")&gt;0,IFERROR(VLOOKUP($C132,Planes_de_estudio[],MATCH($AH$2,Carreras,0)+2,0),""),"")</f>
        <v/>
      </c>
      <c r="AI132" s="93">
        <f>IF(IFERROR(VLOOKUP($C132,Planes_de_estudio[],MATCH($AI$2,Carreras,0)+2,0),"")&gt;0,IFERROR(VLOOKUP($C132,Planes_de_estudio[],MATCH($AI$2,Carreras,0)+2,0),""),"")</f>
        <v>3</v>
      </c>
      <c r="AJ132" s="93" t="str">
        <f>IF(IFERROR(VLOOKUP($C132,Planes_de_estudio[],MATCH($AJ$2,Carreras,0)+2,0),"")&gt;0,IFERROR(VLOOKUP($C132,Planes_de_estudio[],MATCH($AJ$2,Carreras,0)+2,0),""),"")</f>
        <v/>
      </c>
      <c r="AK132" s="93">
        <f>IF(IFERROR(VLOOKUP($C132,Planes_de_estudio[],MATCH($AK$2,Carreras,0)+2,0),"")&gt;0,IFERROR(VLOOKUP($C132,Planes_de_estudio[],MATCH($AK$2,Carreras,0)+2,0),""),"")</f>
        <v>4</v>
      </c>
      <c r="AL13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3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41</v>
      </c>
      <c r="AN132" s="93">
        <f>base_de_datos[[#This Row],[Pronóstico]]/25</f>
        <v>1.64</v>
      </c>
      <c r="AO132" s="93" t="str">
        <f>VLOOKUP($C132,Planes_de_estudio[],2)</f>
        <v>EEC</v>
      </c>
      <c r="AP132" s="195">
        <v>6</v>
      </c>
      <c r="AQ132" s="195">
        <v>6</v>
      </c>
      <c r="AR132" s="195">
        <v>6</v>
      </c>
      <c r="AS132" s="196"/>
      <c r="AT132" s="195">
        <v>6</v>
      </c>
      <c r="AU132" s="196"/>
      <c r="AV132" s="195">
        <v>6</v>
      </c>
      <c r="AW132" s="91"/>
      <c r="AX132" s="73"/>
      <c r="AY132" s="66"/>
    </row>
    <row r="133" spans="2:51" s="5" customFormat="1" ht="16">
      <c r="B133" s="95" t="s">
        <v>308</v>
      </c>
      <c r="C133" s="96" t="s">
        <v>309</v>
      </c>
      <c r="D133" s="92">
        <v>1</v>
      </c>
      <c r="E133" s="97">
        <v>0.83333333333333304</v>
      </c>
      <c r="F133" s="97">
        <v>0.89583333333332305</v>
      </c>
      <c r="G133" s="92"/>
      <c r="H133" s="92" t="s">
        <v>90</v>
      </c>
      <c r="I133" s="92" t="e">
        <f>INDEX(Aulas_capacidad,MATCH(base_de_datos[[#This Row],[Aula]],Aulas,0),2)</f>
        <v>#REF!</v>
      </c>
      <c r="J133" s="90">
        <v>25</v>
      </c>
      <c r="K133" s="92" t="e">
        <f>INDEX(Aulas_capacidad,MATCH(base_de_datos[[#This Row],[Aula]],Aulas,0),4)</f>
        <v>#REF!</v>
      </c>
      <c r="L133" s="98" t="e">
        <f>base_de_datos[[#This Row],[Cap 1.5]]-base_de_datos[[#This Row],[Inscritos]]</f>
        <v>#REF!</v>
      </c>
      <c r="M133" s="98" t="e">
        <f>INDEX(Aulas_capacidad,MATCH(base_de_datos[[#This Row],[Aula]],Aulas,0),5)</f>
        <v>#REF!</v>
      </c>
      <c r="N133" s="98" t="e">
        <f>base_de_datos[[#This Row],[Cap .90]]-base_de_datos[[#This Row],[Inscritos]]</f>
        <v>#REF!</v>
      </c>
      <c r="O133" s="92">
        <v>1506</v>
      </c>
      <c r="P133" s="99" t="s">
        <v>68</v>
      </c>
      <c r="Q133" s="100"/>
      <c r="R133" s="99" t="s">
        <v>68</v>
      </c>
      <c r="S133" s="100"/>
      <c r="T133" s="100"/>
      <c r="U133" s="99"/>
      <c r="V133" s="99"/>
      <c r="W133" s="99" t="s">
        <v>101</v>
      </c>
      <c r="X133" s="93">
        <f>_xlfn.XLOOKUP(base_de_datos[[#This Row],[Materia]],Materias,Horas)/16</f>
        <v>3</v>
      </c>
      <c r="Y133" s="93">
        <f>ROUND(((base_de_datos[[#This Row],[Hora fin]]-base_de_datos[[#This Row],[Hora inicio]])*24)*(COUNTA(base_de_datos[[#This Row],[Lunes]:[Sábado]])),1)</f>
        <v>3</v>
      </c>
      <c r="Z133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3" s="93">
        <f ca="1">IF(base_de_datos[[#This Row],[No clase]]=OFFSET(base_de_datos[[#This Row],[No clase]],-1,0),0,1)</f>
        <v>1</v>
      </c>
      <c r="AB133" s="93">
        <f ca="1">IF(NOT(OR(base_de_datos[[#This Row],[Horas totales]]=base_de_datos[[#This Row],[HT Plan]],base_de_datos[[#This Row],[Horas totales]]="N/A")),1,0)</f>
        <v>0</v>
      </c>
      <c r="AC133" s="93" t="e">
        <f>_xlfn.XLOOKUP(base_de_datos[[#This Row],[Profesor]],Nombre,Grado)</f>
        <v>#REF!</v>
      </c>
      <c r="AD133" s="94" t="e">
        <f>_xlfn.XLOOKUP(base_de_datos[[#This Row],[Profesor]],Nombre,Tipo)</f>
        <v>#REF!</v>
      </c>
      <c r="AE133" s="93" t="str">
        <f>IF(IFERROR(VLOOKUP($C133,Planes_de_estudio[],MATCH($AE$2,Carreras,0)+2,0),"")&gt;0,IFERROR(VLOOKUP($C133,Planes_de_estudio[],MATCH($AE$2,Carreras,0)+2,0),""),"")</f>
        <v/>
      </c>
      <c r="AF133" s="93" t="str">
        <f>IF(IFERROR(VLOOKUP($C133,Planes_de_estudio[],MATCH($AF$2,Carreras,0)+2,0),"")&gt;0,IFERROR(VLOOKUP($C133,Planes_de_estudio[],MATCH($AF$2,Carreras,0)+2,0),""),"")</f>
        <v/>
      </c>
      <c r="AG133" s="93" t="str">
        <f>IF(IFERROR(VLOOKUP($C133,Planes_de_estudio[],MATCH($AG$2,Carreras,0)+2,0),"")&gt;0,IFERROR(VLOOKUP($C133,Planes_de_estudio[],MATCH($AG$2,Carreras,0)+2,0),""),"")</f>
        <v/>
      </c>
      <c r="AH133" s="93">
        <f>IF(IFERROR(VLOOKUP($C133,Planes_de_estudio[],MATCH($AH$2,Carreras,0)+2,0),"")&gt;0,IFERROR(VLOOKUP($C133,Planes_de_estudio[],MATCH($AH$2,Carreras,0)+2,0),""),"")</f>
        <v>7</v>
      </c>
      <c r="AI133" s="93" t="str">
        <f>IF(IFERROR(VLOOKUP($C133,Planes_de_estudio[],MATCH($AI$2,Carreras,0)+2,0),"")&gt;0,IFERROR(VLOOKUP($C133,Planes_de_estudio[],MATCH($AI$2,Carreras,0)+2,0),""),"")</f>
        <v/>
      </c>
      <c r="AJ133" s="93" t="str">
        <f>IF(IFERROR(VLOOKUP($C133,Planes_de_estudio[],MATCH($AJ$2,Carreras,0)+2,0),"")&gt;0,IFERROR(VLOOKUP($C133,Planes_de_estudio[],MATCH($AJ$2,Carreras,0)+2,0),""),"")</f>
        <v/>
      </c>
      <c r="AK133" s="93" t="str">
        <f>IF(IFERROR(VLOOKUP($C133,Planes_de_estudio[],MATCH($AK$2,Carreras,0)+2,0),"")&gt;0,IFERROR(VLOOKUP($C133,Planes_de_estudio[],MATCH($AK$2,Carreras,0)+2,0),""),"")</f>
        <v/>
      </c>
      <c r="AL13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3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133" s="93">
        <f>base_de_datos[[#This Row],[Pronóstico]]/25</f>
        <v>0.96</v>
      </c>
      <c r="AO133" s="93" t="str">
        <f>VLOOKUP($C133,Planes_de_estudio[],2)</f>
        <v>COM</v>
      </c>
      <c r="AP133" s="196"/>
      <c r="AQ133" s="196"/>
      <c r="AR133" s="196"/>
      <c r="AS133" s="195">
        <v>6</v>
      </c>
      <c r="AT133" s="196"/>
      <c r="AU133" s="196"/>
      <c r="AV133" s="196"/>
      <c r="AW133" s="91"/>
      <c r="AX133" s="73"/>
      <c r="AY133" s="66"/>
    </row>
    <row r="134" spans="2:51" s="5" customFormat="1" ht="16">
      <c r="B134" s="95" t="s">
        <v>140</v>
      </c>
      <c r="C134" s="96" t="s">
        <v>141</v>
      </c>
      <c r="D134" s="92">
        <v>1</v>
      </c>
      <c r="E134" s="97">
        <v>0.5</v>
      </c>
      <c r="F134" s="97">
        <v>0.58333333333332904</v>
      </c>
      <c r="G134" s="92" t="s">
        <v>72</v>
      </c>
      <c r="H134" s="92" t="s">
        <v>310</v>
      </c>
      <c r="I134" s="92" t="e">
        <f>INDEX(Aulas_capacidad,MATCH(base_de_datos[[#This Row],[Aula]],Aulas,0),2)</f>
        <v>#REF!</v>
      </c>
      <c r="J134" s="90">
        <v>9</v>
      </c>
      <c r="K134" s="92" t="e">
        <f>INDEX(Aulas_capacidad,MATCH(base_de_datos[[#This Row],[Aula]],Aulas,0),4)</f>
        <v>#REF!</v>
      </c>
      <c r="L134" s="98" t="e">
        <f>base_de_datos[[#This Row],[Cap 1.5]]-base_de_datos[[#This Row],[Inscritos]]</f>
        <v>#REF!</v>
      </c>
      <c r="M134" s="98" t="e">
        <f>INDEX(Aulas_capacidad,MATCH(base_de_datos[[#This Row],[Aula]],Aulas,0),5)</f>
        <v>#REF!</v>
      </c>
      <c r="N134" s="98" t="e">
        <f>base_de_datos[[#This Row],[Cap .90]]-base_de_datos[[#This Row],[Inscritos]]</f>
        <v>#REF!</v>
      </c>
      <c r="O134" s="92" t="s">
        <v>143</v>
      </c>
      <c r="P134" s="99"/>
      <c r="Q134" s="100"/>
      <c r="R134" s="99"/>
      <c r="S134" s="100" t="s">
        <v>68</v>
      </c>
      <c r="T134" s="100"/>
      <c r="U134" s="99"/>
      <c r="V134" s="99"/>
      <c r="W134" s="99" t="s">
        <v>92</v>
      </c>
      <c r="X134" s="93">
        <f>_xlfn.XLOOKUP(base_de_datos[[#This Row],[Materia]],Materias,Horas)/16</f>
        <v>4</v>
      </c>
      <c r="Y134" s="93">
        <f>ROUND(((base_de_datos[[#This Row],[Hora fin]]-base_de_datos[[#This Row],[Hora inicio]])*24)*(COUNTA(base_de_datos[[#This Row],[Lunes]:[Sábado]])),1)</f>
        <v>2</v>
      </c>
      <c r="Z134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34" s="93">
        <f ca="1">IF(base_de_datos[[#This Row],[No clase]]=OFFSET(base_de_datos[[#This Row],[No clase]],-1,0),0,1)</f>
        <v>1</v>
      </c>
      <c r="AB134" s="93">
        <f ca="1">IF(NOT(OR(base_de_datos[[#This Row],[Horas totales]]=base_de_datos[[#This Row],[HT Plan]],base_de_datos[[#This Row],[Horas totales]]="N/A")),1,0)</f>
        <v>1</v>
      </c>
      <c r="AC134" s="93" t="e">
        <f>_xlfn.XLOOKUP(base_de_datos[[#This Row],[Profesor]],Nombre,Grado)</f>
        <v>#REF!</v>
      </c>
      <c r="AD134" s="94" t="e">
        <f>_xlfn.XLOOKUP(base_de_datos[[#This Row],[Profesor]],Nombre,Tipo)</f>
        <v>#REF!</v>
      </c>
      <c r="AE134" s="93" t="str">
        <f>IF(IFERROR(VLOOKUP($C134,Planes_de_estudio[],MATCH($AE$2,Carreras,0)+2,0),"")&gt;0,IFERROR(VLOOKUP($C134,Planes_de_estudio[],MATCH($AE$2,Carreras,0)+2,0),""),"")</f>
        <v/>
      </c>
      <c r="AF134" s="93" t="str">
        <f>IF(IFERROR(VLOOKUP($C134,Planes_de_estudio[],MATCH($AF$2,Carreras,0)+2,0),"")&gt;0,IFERROR(VLOOKUP($C134,Planes_de_estudio[],MATCH($AF$2,Carreras,0)+2,0),""),"")</f>
        <v/>
      </c>
      <c r="AG134" s="93" t="str">
        <f>IF(IFERROR(VLOOKUP($C134,Planes_de_estudio[],MATCH($AG$2,Carreras,0)+2,0),"")&gt;0,IFERROR(VLOOKUP($C134,Planes_de_estudio[],MATCH($AG$2,Carreras,0)+2,0),""),"")</f>
        <v/>
      </c>
      <c r="AH134" s="93" t="str">
        <f>IF(IFERROR(VLOOKUP($C134,Planes_de_estudio[],MATCH($AH$2,Carreras,0)+2,0),"")&gt;0,IFERROR(VLOOKUP($C134,Planes_de_estudio[],MATCH($AH$2,Carreras,0)+2,0),""),"")</f>
        <v/>
      </c>
      <c r="AI134" s="93" t="str">
        <f>IF(IFERROR(VLOOKUP($C134,Planes_de_estudio[],MATCH($AI$2,Carreras,0)+2,0),"")&gt;0,IFERROR(VLOOKUP($C134,Planes_de_estudio[],MATCH($AI$2,Carreras,0)+2,0),""),"")</f>
        <v/>
      </c>
      <c r="AJ134" s="93" t="str">
        <f>IF(IFERROR(VLOOKUP($C134,Planes_de_estudio[],MATCH($AJ$2,Carreras,0)+2,0),"")&gt;0,IFERROR(VLOOKUP($C134,Planes_de_estudio[],MATCH($AJ$2,Carreras,0)+2,0),""),"")</f>
        <v/>
      </c>
      <c r="AK134" s="93">
        <f>IF(IFERROR(VLOOKUP($C134,Planes_de_estudio[],MATCH($AK$2,Carreras,0)+2,0),"")&gt;0,IFERROR(VLOOKUP($C134,Planes_de_estudio[],MATCH($AK$2,Carreras,0)+2,0),""),"")</f>
        <v>3</v>
      </c>
      <c r="AL13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3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10</v>
      </c>
      <c r="AN134" s="93">
        <f>base_de_datos[[#This Row],[Pronóstico]]/25</f>
        <v>0.4</v>
      </c>
      <c r="AO134" s="93" t="str">
        <f>VLOOKUP($C134,Planes_de_estudio[],2)</f>
        <v>BIO</v>
      </c>
      <c r="AP134" s="196"/>
      <c r="AQ134" s="196"/>
      <c r="AR134" s="196"/>
      <c r="AS134" s="196"/>
      <c r="AT134" s="196"/>
      <c r="AU134" s="196"/>
      <c r="AV134" s="195">
        <v>6</v>
      </c>
      <c r="AW134" s="91"/>
      <c r="AX134" s="73"/>
      <c r="AY134" s="66"/>
    </row>
    <row r="135" spans="2:51" ht="16">
      <c r="B135" s="95" t="s">
        <v>311</v>
      </c>
      <c r="C135" s="96" t="s">
        <v>312</v>
      </c>
      <c r="D135" s="92">
        <v>1</v>
      </c>
      <c r="E135" s="97">
        <v>0.625</v>
      </c>
      <c r="F135" s="97">
        <v>0.70833333333332704</v>
      </c>
      <c r="G135" s="92"/>
      <c r="H135" s="92" t="s">
        <v>142</v>
      </c>
      <c r="I135" s="92" t="e">
        <f>INDEX(Aulas_capacidad,MATCH(base_de_datos[[#This Row],[Aula]],Aulas,0),2)</f>
        <v>#REF!</v>
      </c>
      <c r="J135" s="90">
        <v>7</v>
      </c>
      <c r="K135" s="92" t="e">
        <f>INDEX(Aulas_capacidad,MATCH(base_de_datos[[#This Row],[Aula]],Aulas,0),4)</f>
        <v>#REF!</v>
      </c>
      <c r="L135" s="98" t="e">
        <f>base_de_datos[[#This Row],[Cap 1.5]]-base_de_datos[[#This Row],[Inscritos]]</f>
        <v>#REF!</v>
      </c>
      <c r="M135" s="98" t="e">
        <f>INDEX(Aulas_capacidad,MATCH(base_de_datos[[#This Row],[Aula]],Aulas,0),5)</f>
        <v>#REF!</v>
      </c>
      <c r="N135" s="98" t="e">
        <f>base_de_datos[[#This Row],[Cap .90]]-base_de_datos[[#This Row],[Inscritos]]</f>
        <v>#REF!</v>
      </c>
      <c r="O135" s="92" t="s">
        <v>313</v>
      </c>
      <c r="P135" s="99"/>
      <c r="Q135" s="100" t="s">
        <v>68</v>
      </c>
      <c r="R135" s="99"/>
      <c r="S135" s="100"/>
      <c r="T135" s="100"/>
      <c r="U135" s="99"/>
      <c r="V135" s="99"/>
      <c r="W135" s="99" t="s">
        <v>122</v>
      </c>
      <c r="X135" s="93">
        <f>_xlfn.XLOOKUP(base_de_datos[[#This Row],[Materia]],Materias,Horas)/16</f>
        <v>4</v>
      </c>
      <c r="Y135" s="93">
        <f>ROUND(((base_de_datos[[#This Row],[Hora fin]]-base_de_datos[[#This Row],[Hora inicio]])*24)*(COUNTA(base_de_datos[[#This Row],[Lunes]:[Sábado]])),1)</f>
        <v>2</v>
      </c>
      <c r="Z135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35" s="93">
        <f ca="1">IF(base_de_datos[[#This Row],[No clase]]=OFFSET(base_de_datos[[#This Row],[No clase]],-1,0),0,1)</f>
        <v>1</v>
      </c>
      <c r="AB135" s="93">
        <f ca="1">IF(NOT(OR(base_de_datos[[#This Row],[Horas totales]]=base_de_datos[[#This Row],[HT Plan]],base_de_datos[[#This Row],[Horas totales]]="N/A")),1,0)</f>
        <v>1</v>
      </c>
      <c r="AC135" s="93" t="e">
        <f>_xlfn.XLOOKUP(base_de_datos[[#This Row],[Profesor]],Nombre,Grado)</f>
        <v>#REF!</v>
      </c>
      <c r="AD135" s="94" t="e">
        <f>_xlfn.XLOOKUP(base_de_datos[[#This Row],[Profesor]],Nombre,Tipo)</f>
        <v>#REF!</v>
      </c>
      <c r="AE135" s="93" t="str">
        <f>IF(IFERROR(VLOOKUP($C135,Planes_de_estudio[],MATCH($AE$2,Carreras,0)+2,0),"")&gt;0,IFERROR(VLOOKUP($C135,Planes_de_estudio[],MATCH($AE$2,Carreras,0)+2,0),""),"")</f>
        <v/>
      </c>
      <c r="AF135" s="93" t="str">
        <f>IF(IFERROR(VLOOKUP($C135,Planes_de_estudio[],MATCH($AF$2,Carreras,0)+2,0),"")&gt;0,IFERROR(VLOOKUP($C135,Planes_de_estudio[],MATCH($AF$2,Carreras,0)+2,0),""),"")</f>
        <v/>
      </c>
      <c r="AG135" s="93" t="str">
        <f>IF(IFERROR(VLOOKUP($C135,Planes_de_estudio[],MATCH($AG$2,Carreras,0)+2,0),"")&gt;0,IFERROR(VLOOKUP($C135,Planes_de_estudio[],MATCH($AG$2,Carreras,0)+2,0),""),"")</f>
        <v/>
      </c>
      <c r="AH135" s="93" t="str">
        <f>IF(IFERROR(VLOOKUP($C135,Planes_de_estudio[],MATCH($AH$2,Carreras,0)+2,0),"")&gt;0,IFERROR(VLOOKUP($C135,Planes_de_estudio[],MATCH($AH$2,Carreras,0)+2,0),""),"")</f>
        <v/>
      </c>
      <c r="AI135" s="93" t="str">
        <f>IF(IFERROR(VLOOKUP($C135,Planes_de_estudio[],MATCH($AI$2,Carreras,0)+2,0),"")&gt;0,IFERROR(VLOOKUP($C135,Planes_de_estudio[],MATCH($AI$2,Carreras,0)+2,0),""),"")</f>
        <v/>
      </c>
      <c r="AJ135" s="93" t="str">
        <f>IF(IFERROR(VLOOKUP($C135,Planes_de_estudio[],MATCH($AJ$2,Carreras,0)+2,0),"")&gt;0,IFERROR(VLOOKUP($C135,Planes_de_estudio[],MATCH($AJ$2,Carreras,0)+2,0),""),"")</f>
        <v/>
      </c>
      <c r="AK135" s="93">
        <f>IF(IFERROR(VLOOKUP($C135,Planes_de_estudio[],MATCH($AK$2,Carreras,0)+2,0),"")&gt;0,IFERROR(VLOOKUP($C135,Planes_de_estudio[],MATCH($AK$2,Carreras,0)+2,0),""),"")</f>
        <v>7</v>
      </c>
      <c r="AL13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3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</v>
      </c>
      <c r="AN135" s="93">
        <f>base_de_datos[[#This Row],[Pronóstico]]/25</f>
        <v>0.36</v>
      </c>
      <c r="AO135" s="93" t="str">
        <f>VLOOKUP($C135,Planes_de_estudio[],2)</f>
        <v>BIO</v>
      </c>
      <c r="AP135" s="196"/>
      <c r="AQ135" s="196"/>
      <c r="AR135" s="196"/>
      <c r="AS135" s="196"/>
      <c r="AT135" s="196"/>
      <c r="AU135" s="196"/>
      <c r="AV135" s="195">
        <v>6</v>
      </c>
      <c r="AW135" s="91"/>
      <c r="AX135" s="73"/>
    </row>
    <row r="136" spans="2:51" ht="16">
      <c r="B136" s="95" t="s">
        <v>314</v>
      </c>
      <c r="C136" s="96" t="s">
        <v>315</v>
      </c>
      <c r="D136" s="92">
        <v>1</v>
      </c>
      <c r="E136" s="97">
        <v>0.77083333333333304</v>
      </c>
      <c r="F136" s="97">
        <v>0.89583333333332305</v>
      </c>
      <c r="G136" s="92"/>
      <c r="H136" s="92" t="s">
        <v>195</v>
      </c>
      <c r="I136" s="92" t="e">
        <f>INDEX(Aulas_capacidad,MATCH(base_de_datos[[#This Row],[Aula]],Aulas,0),2)</f>
        <v>#REF!</v>
      </c>
      <c r="J136" s="90">
        <v>18</v>
      </c>
      <c r="K136" s="92" t="e">
        <f>INDEX(Aulas_capacidad,MATCH(base_de_datos[[#This Row],[Aula]],Aulas,0),4)</f>
        <v>#REF!</v>
      </c>
      <c r="L136" s="98" t="e">
        <f>base_de_datos[[#This Row],[Cap 1.5]]-base_de_datos[[#This Row],[Inscritos]]</f>
        <v>#REF!</v>
      </c>
      <c r="M136" s="98" t="e">
        <f>INDEX(Aulas_capacidad,MATCH(base_de_datos[[#This Row],[Aula]],Aulas,0),5)</f>
        <v>#REF!</v>
      </c>
      <c r="N136" s="98" t="e">
        <f>base_de_datos[[#This Row],[Cap .90]]-base_de_datos[[#This Row],[Inscritos]]</f>
        <v>#REF!</v>
      </c>
      <c r="O136" s="92">
        <v>1504</v>
      </c>
      <c r="P136" s="99"/>
      <c r="Q136" s="100"/>
      <c r="R136" s="99" t="s">
        <v>68</v>
      </c>
      <c r="S136" s="100"/>
      <c r="T136" s="100"/>
      <c r="U136" s="99"/>
      <c r="V136" s="99"/>
      <c r="W136" s="99" t="s">
        <v>148</v>
      </c>
      <c r="X136" s="93">
        <f>_xlfn.XLOOKUP(base_de_datos[[#This Row],[Materia]],Materias,Horas)/16</f>
        <v>3</v>
      </c>
      <c r="Y136" s="93">
        <f>ROUND(((base_de_datos[[#This Row],[Hora fin]]-base_de_datos[[#This Row],[Hora inicio]])*24)*(COUNTA(base_de_datos[[#This Row],[Lunes]:[Sábado]])),1)</f>
        <v>3</v>
      </c>
      <c r="Z136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36" s="93">
        <f ca="1">IF(base_de_datos[[#This Row],[No clase]]=OFFSET(base_de_datos[[#This Row],[No clase]],-1,0),0,1)</f>
        <v>1</v>
      </c>
      <c r="AB136" s="93">
        <f ca="1">IF(NOT(OR(base_de_datos[[#This Row],[Horas totales]]=base_de_datos[[#This Row],[HT Plan]],base_de_datos[[#This Row],[Horas totales]]="N/A")),1,0)</f>
        <v>0</v>
      </c>
      <c r="AC136" s="93" t="e">
        <f>_xlfn.XLOOKUP(base_de_datos[[#This Row],[Profesor]],Nombre,Grado)</f>
        <v>#REF!</v>
      </c>
      <c r="AD136" s="94" t="e">
        <f>_xlfn.XLOOKUP(base_de_datos[[#This Row],[Profesor]],Nombre,Tipo)</f>
        <v>#REF!</v>
      </c>
      <c r="AE136" s="93" t="str">
        <f>IF(IFERROR(VLOOKUP($C136,Planes_de_estudio[],MATCH($AE$2,Carreras,0)+2,0),"")&gt;0,IFERROR(VLOOKUP($C136,Planes_de_estudio[],MATCH($AE$2,Carreras,0)+2,0),""),"")</f>
        <v/>
      </c>
      <c r="AF136" s="93" t="str">
        <f>IF(IFERROR(VLOOKUP($C136,Planes_de_estudio[],MATCH($AF$2,Carreras,0)+2,0),"")&gt;0,IFERROR(VLOOKUP($C136,Planes_de_estudio[],MATCH($AF$2,Carreras,0)+2,0),""),"")</f>
        <v/>
      </c>
      <c r="AG136" s="93" t="str">
        <f>IF(IFERROR(VLOOKUP($C136,Planes_de_estudio[],MATCH($AG$2,Carreras,0)+2,0),"")&gt;0,IFERROR(VLOOKUP($C136,Planes_de_estudio[],MATCH($AG$2,Carreras,0)+2,0),""),"")</f>
        <v/>
      </c>
      <c r="AH136" s="93">
        <f>IF(IFERROR(VLOOKUP($C136,Planes_de_estudio[],MATCH($AH$2,Carreras,0)+2,0),"")&gt;0,IFERROR(VLOOKUP($C136,Planes_de_estudio[],MATCH($AH$2,Carreras,0)+2,0),""),"")</f>
        <v>5</v>
      </c>
      <c r="AI136" s="93" t="str">
        <f>IF(IFERROR(VLOOKUP($C136,Planes_de_estudio[],MATCH($AI$2,Carreras,0)+2,0),"")&gt;0,IFERROR(VLOOKUP($C136,Planes_de_estudio[],MATCH($AI$2,Carreras,0)+2,0),""),"")</f>
        <v/>
      </c>
      <c r="AJ136" s="93" t="str">
        <f>IF(IFERROR(VLOOKUP($C136,Planes_de_estudio[],MATCH($AJ$2,Carreras,0)+2,0),"")&gt;0,IFERROR(VLOOKUP($C136,Planes_de_estudio[],MATCH($AJ$2,Carreras,0)+2,0),""),"")</f>
        <v/>
      </c>
      <c r="AK136" s="93" t="str">
        <f>IF(IFERROR(VLOOKUP($C136,Planes_de_estudio[],MATCH($AK$2,Carreras,0)+2,0),"")&gt;0,IFERROR(VLOOKUP($C136,Planes_de_estudio[],MATCH($AK$2,Carreras,0)+2,0),""),"")</f>
        <v/>
      </c>
      <c r="AL13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3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136" s="93">
        <f>base_de_datos[[#This Row],[Pronóstico]]/25</f>
        <v>0.72</v>
      </c>
      <c r="AO136" s="93" t="str">
        <f>VLOOKUP($C136,Planes_de_estudio[],2)</f>
        <v>COM</v>
      </c>
      <c r="AP136" s="196"/>
      <c r="AQ136" s="196"/>
      <c r="AR136" s="196"/>
      <c r="AS136" s="195">
        <v>6</v>
      </c>
      <c r="AT136" s="196"/>
      <c r="AU136" s="196"/>
      <c r="AV136" s="196"/>
      <c r="AW136" s="91"/>
      <c r="AX136" s="73"/>
    </row>
    <row r="137" spans="2:51" ht="16">
      <c r="B137" s="95" t="s">
        <v>204</v>
      </c>
      <c r="C137" s="96" t="s">
        <v>202</v>
      </c>
      <c r="D137" s="92">
        <v>2</v>
      </c>
      <c r="E137" s="97">
        <v>0.5</v>
      </c>
      <c r="F137" s="97">
        <v>0.58333333333332904</v>
      </c>
      <c r="G137" s="92"/>
      <c r="H137" s="92" t="s">
        <v>205</v>
      </c>
      <c r="I137" s="92" t="e">
        <f>INDEX(Aulas_capacidad,MATCH(base_de_datos[[#This Row],[Aula]],Aulas,0),2)</f>
        <v>#REF!</v>
      </c>
      <c r="J137" s="90">
        <v>22</v>
      </c>
      <c r="K137" s="92" t="e">
        <f>INDEX(Aulas_capacidad,MATCH(base_de_datos[[#This Row],[Aula]],Aulas,0),4)</f>
        <v>#REF!</v>
      </c>
      <c r="L137" s="98" t="e">
        <f>base_de_datos[[#This Row],[Cap 1.5]]-base_de_datos[[#This Row],[Inscritos]]</f>
        <v>#REF!</v>
      </c>
      <c r="M137" s="98" t="e">
        <f>INDEX(Aulas_capacidad,MATCH(base_de_datos[[#This Row],[Aula]],Aulas,0),5)</f>
        <v>#REF!</v>
      </c>
      <c r="N137" s="98" t="e">
        <f>base_de_datos[[#This Row],[Cap .90]]-base_de_datos[[#This Row],[Inscritos]]</f>
        <v>#REF!</v>
      </c>
      <c r="O137" s="92" t="s">
        <v>232</v>
      </c>
      <c r="P137" s="99"/>
      <c r="Q137" s="100"/>
      <c r="R137" s="99"/>
      <c r="S137" s="100"/>
      <c r="T137" s="100" t="s">
        <v>68</v>
      </c>
      <c r="U137" s="99"/>
      <c r="V137" s="99"/>
      <c r="W137" s="99" t="s">
        <v>122</v>
      </c>
      <c r="X137" s="93">
        <f>_xlfn.XLOOKUP(base_de_datos[[#This Row],[Materia]],Materias,Horas)/16</f>
        <v>4</v>
      </c>
      <c r="Y137" s="93">
        <f>ROUND(((base_de_datos[[#This Row],[Hora fin]]-base_de_datos[[#This Row],[Hora inicio]])*24)*(COUNTA(base_de_datos[[#This Row],[Lunes]:[Sábado]])),1)</f>
        <v>2</v>
      </c>
      <c r="Z137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37" s="93">
        <f ca="1">IF(base_de_datos[[#This Row],[No clase]]=OFFSET(base_de_datos[[#This Row],[No clase]],-1,0),0,1)</f>
        <v>1</v>
      </c>
      <c r="AB137" s="93">
        <f ca="1">IF(NOT(OR(base_de_datos[[#This Row],[Horas totales]]=base_de_datos[[#This Row],[HT Plan]],base_de_datos[[#This Row],[Horas totales]]="N/A")),1,0)</f>
        <v>1</v>
      </c>
      <c r="AC137" s="93" t="e">
        <f>_xlfn.XLOOKUP(base_de_datos[[#This Row],[Profesor]],Nombre,Grado)</f>
        <v>#REF!</v>
      </c>
      <c r="AD137" s="94" t="e">
        <f>_xlfn.XLOOKUP(base_de_datos[[#This Row],[Profesor]],Nombre,Tipo)</f>
        <v>#REF!</v>
      </c>
      <c r="AE137" s="93">
        <f>IF(IFERROR(VLOOKUP($C137,Planes_de_estudio[],MATCH($AE$2,Carreras,0)+2,0),"")&gt;0,IFERROR(VLOOKUP($C137,Planes_de_estudio[],MATCH($AE$2,Carreras,0)+2,0),""),"")</f>
        <v>1</v>
      </c>
      <c r="AF137" s="93">
        <f>IF(IFERROR(VLOOKUP($C137,Planes_de_estudio[],MATCH($AF$2,Carreras,0)+2,0),"")&gt;0,IFERROR(VLOOKUP($C137,Planes_de_estudio[],MATCH($AF$2,Carreras,0)+2,0),""),"")</f>
        <v>1</v>
      </c>
      <c r="AG137" s="93">
        <f>IF(IFERROR(VLOOKUP($C137,Planes_de_estudio[],MATCH($AG$2,Carreras,0)+2,0),"")&gt;0,IFERROR(VLOOKUP($C137,Planes_de_estudio[],MATCH($AG$2,Carreras,0)+2,0),""),"")</f>
        <v>2</v>
      </c>
      <c r="AH137" s="93">
        <f>IF(IFERROR(VLOOKUP($C137,Planes_de_estudio[],MATCH($AH$2,Carreras,0)+2,0),"")&gt;0,IFERROR(VLOOKUP($C137,Planes_de_estudio[],MATCH($AH$2,Carreras,0)+2,0),""),"")</f>
        <v>1</v>
      </c>
      <c r="AI137" s="93">
        <f>IF(IFERROR(VLOOKUP($C137,Planes_de_estudio[],MATCH($AI$2,Carreras,0)+2,0),"")&gt;0,IFERROR(VLOOKUP($C137,Planes_de_estudio[],MATCH($AI$2,Carreras,0)+2,0),""),"")</f>
        <v>1</v>
      </c>
      <c r="AJ137" s="93" t="str">
        <f>IF(IFERROR(VLOOKUP($C137,Planes_de_estudio[],MATCH($AJ$2,Carreras,0)+2,0),"")&gt;0,IFERROR(VLOOKUP($C137,Planes_de_estudio[],MATCH($AJ$2,Carreras,0)+2,0),""),"")</f>
        <v/>
      </c>
      <c r="AK137" s="93">
        <f>IF(IFERROR(VLOOKUP($C137,Planes_de_estudio[],MATCH($AK$2,Carreras,0)+2,0),"")&gt;0,IFERROR(VLOOKUP($C137,Planes_de_estudio[],MATCH($AK$2,Carreras,0)+2,0),""),"")</f>
        <v>1</v>
      </c>
      <c r="AL13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3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95</v>
      </c>
      <c r="AN137" s="93">
        <f>base_de_datos[[#This Row],[Pronóstico]]/25</f>
        <v>3.8</v>
      </c>
      <c r="AO137" s="93" t="str">
        <f>VLOOKUP($C137,Planes_de_estudio[],2)</f>
        <v>ETF</v>
      </c>
      <c r="AP137" s="195">
        <v>6</v>
      </c>
      <c r="AQ137" s="195">
        <v>6</v>
      </c>
      <c r="AR137" s="195">
        <v>6</v>
      </c>
      <c r="AS137" s="195">
        <v>6</v>
      </c>
      <c r="AT137" s="195">
        <v>6</v>
      </c>
      <c r="AU137" s="196"/>
      <c r="AV137" s="195">
        <v>6</v>
      </c>
      <c r="AW137" s="91"/>
      <c r="AX137" s="73"/>
    </row>
    <row r="138" spans="2:51" ht="16">
      <c r="B138" s="95" t="s">
        <v>225</v>
      </c>
      <c r="C138" s="96" t="s">
        <v>202</v>
      </c>
      <c r="D138" s="92">
        <v>3</v>
      </c>
      <c r="E138" s="97">
        <v>0.5</v>
      </c>
      <c r="F138" s="97">
        <v>0.58333333333332904</v>
      </c>
      <c r="G138" s="92"/>
      <c r="H138" s="92" t="s">
        <v>205</v>
      </c>
      <c r="I138" s="92" t="e">
        <f>INDEX(Aulas_capacidad,MATCH(base_de_datos[[#This Row],[Aula]],Aulas,0),2)</f>
        <v>#REF!</v>
      </c>
      <c r="J138" s="90">
        <v>25</v>
      </c>
      <c r="K138" s="92" t="e">
        <f>INDEX(Aulas_capacidad,MATCH(base_de_datos[[#This Row],[Aula]],Aulas,0),4)</f>
        <v>#REF!</v>
      </c>
      <c r="L138" s="98" t="e">
        <f>base_de_datos[[#This Row],[Cap 1.5]]-base_de_datos[[#This Row],[Inscritos]]</f>
        <v>#REF!</v>
      </c>
      <c r="M138" s="98" t="e">
        <f>INDEX(Aulas_capacidad,MATCH(base_de_datos[[#This Row],[Aula]],Aulas,0),5)</f>
        <v>#REF!</v>
      </c>
      <c r="N138" s="98" t="e">
        <f>base_de_datos[[#This Row],[Cap .90]]-base_de_datos[[#This Row],[Inscritos]]</f>
        <v>#REF!</v>
      </c>
      <c r="O138" s="92" t="s">
        <v>316</v>
      </c>
      <c r="P138" s="99"/>
      <c r="Q138" s="100"/>
      <c r="R138" s="99"/>
      <c r="S138" s="100"/>
      <c r="T138" s="100"/>
      <c r="U138" s="99"/>
      <c r="V138" s="99"/>
      <c r="W138" s="99" t="s">
        <v>122</v>
      </c>
      <c r="X138" s="93">
        <f>_xlfn.XLOOKUP(base_de_datos[[#This Row],[Materia]],Materias,Horas)/16</f>
        <v>4</v>
      </c>
      <c r="Y138" s="93">
        <f>ROUND(((base_de_datos[[#This Row],[Hora fin]]-base_de_datos[[#This Row],[Hora inicio]])*24)*(COUNTA(base_de_datos[[#This Row],[Lunes]:[Sábado]])),1)</f>
        <v>0</v>
      </c>
      <c r="Z138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38" s="93">
        <f ca="1">IF(base_de_datos[[#This Row],[No clase]]=OFFSET(base_de_datos[[#This Row],[No clase]],-1,0),0,1)</f>
        <v>1</v>
      </c>
      <c r="AB138" s="93">
        <f ca="1">IF(NOT(OR(base_de_datos[[#This Row],[Horas totales]]=base_de_datos[[#This Row],[HT Plan]],base_de_datos[[#This Row],[Horas totales]]="N/A")),1,0)</f>
        <v>0</v>
      </c>
      <c r="AC138" s="93" t="e">
        <f>_xlfn.XLOOKUP(base_de_datos[[#This Row],[Profesor]],Nombre,Grado)</f>
        <v>#REF!</v>
      </c>
      <c r="AD138" s="94" t="e">
        <f>_xlfn.XLOOKUP(base_de_datos[[#This Row],[Profesor]],Nombre,Tipo)</f>
        <v>#REF!</v>
      </c>
      <c r="AE138" s="93">
        <f>IF(IFERROR(VLOOKUP($C138,Planes_de_estudio[],MATCH($AE$2,Carreras,0)+2,0),"")&gt;0,IFERROR(VLOOKUP($C138,Planes_de_estudio[],MATCH($AE$2,Carreras,0)+2,0),""),"")</f>
        <v>1</v>
      </c>
      <c r="AF138" s="93">
        <f>IF(IFERROR(VLOOKUP($C138,Planes_de_estudio[],MATCH($AF$2,Carreras,0)+2,0),"")&gt;0,IFERROR(VLOOKUP($C138,Planes_de_estudio[],MATCH($AF$2,Carreras,0)+2,0),""),"")</f>
        <v>1</v>
      </c>
      <c r="AG138" s="93">
        <f>IF(IFERROR(VLOOKUP($C138,Planes_de_estudio[],MATCH($AG$2,Carreras,0)+2,0),"")&gt;0,IFERROR(VLOOKUP($C138,Planes_de_estudio[],MATCH($AG$2,Carreras,0)+2,0),""),"")</f>
        <v>2</v>
      </c>
      <c r="AH138" s="93">
        <f>IF(IFERROR(VLOOKUP($C138,Planes_de_estudio[],MATCH($AH$2,Carreras,0)+2,0),"")&gt;0,IFERROR(VLOOKUP($C138,Planes_de_estudio[],MATCH($AH$2,Carreras,0)+2,0),""),"")</f>
        <v>1</v>
      </c>
      <c r="AI138" s="93">
        <f>IF(IFERROR(VLOOKUP($C138,Planes_de_estudio[],MATCH($AI$2,Carreras,0)+2,0),"")&gt;0,IFERROR(VLOOKUP($C138,Planes_de_estudio[],MATCH($AI$2,Carreras,0)+2,0),""),"")</f>
        <v>1</v>
      </c>
      <c r="AJ138" s="93" t="str">
        <f>IF(IFERROR(VLOOKUP($C138,Planes_de_estudio[],MATCH($AJ$2,Carreras,0)+2,0),"")&gt;0,IFERROR(VLOOKUP($C138,Planes_de_estudio[],MATCH($AJ$2,Carreras,0)+2,0),""),"")</f>
        <v/>
      </c>
      <c r="AK138" s="93">
        <f>IF(IFERROR(VLOOKUP($C138,Planes_de_estudio[],MATCH($AK$2,Carreras,0)+2,0),"")&gt;0,IFERROR(VLOOKUP($C138,Planes_de_estudio[],MATCH($AK$2,Carreras,0)+2,0),""),"")</f>
        <v>1</v>
      </c>
      <c r="AL13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3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95</v>
      </c>
      <c r="AN138" s="93">
        <f>base_de_datos[[#This Row],[Pronóstico]]/25</f>
        <v>3.8</v>
      </c>
      <c r="AO138" s="93" t="str">
        <f>VLOOKUP($C138,Planes_de_estudio[],2)</f>
        <v>ETF</v>
      </c>
      <c r="AP138" s="195">
        <v>6</v>
      </c>
      <c r="AQ138" s="195">
        <v>6</v>
      </c>
      <c r="AR138" s="195">
        <v>6</v>
      </c>
      <c r="AS138" s="195">
        <v>6</v>
      </c>
      <c r="AT138" s="195">
        <v>6</v>
      </c>
      <c r="AU138" s="196"/>
      <c r="AV138" s="195">
        <v>6</v>
      </c>
      <c r="AW138" s="91"/>
      <c r="AX138" s="73"/>
    </row>
    <row r="139" spans="2:51" ht="16">
      <c r="B139" s="95" t="s">
        <v>225</v>
      </c>
      <c r="C139" s="96" t="s">
        <v>202</v>
      </c>
      <c r="D139" s="92">
        <v>3</v>
      </c>
      <c r="E139" s="97">
        <v>0.5</v>
      </c>
      <c r="F139" s="97">
        <v>0.58333333333332904</v>
      </c>
      <c r="G139" s="92"/>
      <c r="H139" s="92" t="s">
        <v>133</v>
      </c>
      <c r="I139" s="92" t="e">
        <f>INDEX(Aulas_capacidad,MATCH(base_de_datos[[#This Row],[Aula]],Aulas,0),2)</f>
        <v>#REF!</v>
      </c>
      <c r="J139" s="90">
        <v>25</v>
      </c>
      <c r="K139" s="92" t="e">
        <f>INDEX(Aulas_capacidad,MATCH(base_de_datos[[#This Row],[Aula]],Aulas,0),4)</f>
        <v>#REF!</v>
      </c>
      <c r="L139" s="98" t="e">
        <f>base_de_datos[[#This Row],[Cap 1.5]]-base_de_datos[[#This Row],[Inscritos]]</f>
        <v>#REF!</v>
      </c>
      <c r="M139" s="98" t="e">
        <f>INDEX(Aulas_capacidad,MATCH(base_de_datos[[#This Row],[Aula]],Aulas,0),5)</f>
        <v>#REF!</v>
      </c>
      <c r="N139" s="98" t="e">
        <f>base_de_datos[[#This Row],[Cap .90]]-base_de_datos[[#This Row],[Inscritos]]</f>
        <v>#REF!</v>
      </c>
      <c r="O139" s="92" t="s">
        <v>316</v>
      </c>
      <c r="P139" s="99"/>
      <c r="Q139" s="100" t="s">
        <v>68</v>
      </c>
      <c r="R139" s="99"/>
      <c r="S139" s="100"/>
      <c r="T139" s="100" t="s">
        <v>68</v>
      </c>
      <c r="U139" s="99"/>
      <c r="V139" s="99"/>
      <c r="W139" s="99" t="s">
        <v>122</v>
      </c>
      <c r="X139" s="93">
        <f>_xlfn.XLOOKUP(base_de_datos[[#This Row],[Materia]],Materias,Horas)/16</f>
        <v>4</v>
      </c>
      <c r="Y139" s="93">
        <f>ROUND(((base_de_datos[[#This Row],[Hora fin]]-base_de_datos[[#This Row],[Hora inicio]])*24)*(COUNTA(base_de_datos[[#This Row],[Lunes]:[Sábado]])),1)</f>
        <v>4</v>
      </c>
      <c r="Z139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39" s="93">
        <f ca="1">IF(base_de_datos[[#This Row],[No clase]]=OFFSET(base_de_datos[[#This Row],[No clase]],-1,0),0,1)</f>
        <v>0</v>
      </c>
      <c r="AB139" s="93">
        <f ca="1">IF(NOT(OR(base_de_datos[[#This Row],[Horas totales]]=base_de_datos[[#This Row],[HT Plan]],base_de_datos[[#This Row],[Horas totales]]="N/A")),1,0)</f>
        <v>0</v>
      </c>
      <c r="AC139" s="93" t="e">
        <f>_xlfn.XLOOKUP(base_de_datos[[#This Row],[Profesor]],Nombre,Grado)</f>
        <v>#REF!</v>
      </c>
      <c r="AD139" s="94" t="e">
        <f>_xlfn.XLOOKUP(base_de_datos[[#This Row],[Profesor]],Nombre,Tipo)</f>
        <v>#REF!</v>
      </c>
      <c r="AE139" s="93">
        <f>IF(IFERROR(VLOOKUP($C139,Planes_de_estudio[],MATCH($AE$2,Carreras,0)+2,0),"")&gt;0,IFERROR(VLOOKUP($C139,Planes_de_estudio[],MATCH($AE$2,Carreras,0)+2,0),""),"")</f>
        <v>1</v>
      </c>
      <c r="AF139" s="93">
        <f>IF(IFERROR(VLOOKUP($C139,Planes_de_estudio[],MATCH($AF$2,Carreras,0)+2,0),"")&gt;0,IFERROR(VLOOKUP($C139,Planes_de_estudio[],MATCH($AF$2,Carreras,0)+2,0),""),"")</f>
        <v>1</v>
      </c>
      <c r="AG139" s="93">
        <f>IF(IFERROR(VLOOKUP($C139,Planes_de_estudio[],MATCH($AG$2,Carreras,0)+2,0),"")&gt;0,IFERROR(VLOOKUP($C139,Planes_de_estudio[],MATCH($AG$2,Carreras,0)+2,0),""),"")</f>
        <v>2</v>
      </c>
      <c r="AH139" s="93">
        <f>IF(IFERROR(VLOOKUP($C139,Planes_de_estudio[],MATCH($AH$2,Carreras,0)+2,0),"")&gt;0,IFERROR(VLOOKUP($C139,Planes_de_estudio[],MATCH($AH$2,Carreras,0)+2,0),""),"")</f>
        <v>1</v>
      </c>
      <c r="AI139" s="93">
        <f>IF(IFERROR(VLOOKUP($C139,Planes_de_estudio[],MATCH($AI$2,Carreras,0)+2,0),"")&gt;0,IFERROR(VLOOKUP($C139,Planes_de_estudio[],MATCH($AI$2,Carreras,0)+2,0),""),"")</f>
        <v>1</v>
      </c>
      <c r="AJ139" s="93" t="str">
        <f>IF(IFERROR(VLOOKUP($C139,Planes_de_estudio[],MATCH($AJ$2,Carreras,0)+2,0),"")&gt;0,IFERROR(VLOOKUP($C139,Planes_de_estudio[],MATCH($AJ$2,Carreras,0)+2,0),""),"")</f>
        <v/>
      </c>
      <c r="AK139" s="93">
        <f>IF(IFERROR(VLOOKUP($C139,Planes_de_estudio[],MATCH($AK$2,Carreras,0)+2,0),"")&gt;0,IFERROR(VLOOKUP($C139,Planes_de_estudio[],MATCH($AK$2,Carreras,0)+2,0),""),"")</f>
        <v>1</v>
      </c>
      <c r="AL13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3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95</v>
      </c>
      <c r="AN139" s="93">
        <f>base_de_datos[[#This Row],[Pronóstico]]/25</f>
        <v>3.8</v>
      </c>
      <c r="AO139" s="93" t="str">
        <f>VLOOKUP($C139,Planes_de_estudio[],2)</f>
        <v>ETF</v>
      </c>
      <c r="AP139" s="196"/>
      <c r="AQ139" s="196"/>
      <c r="AR139" s="196"/>
      <c r="AS139" s="196"/>
      <c r="AT139" s="196"/>
      <c r="AU139" s="196"/>
      <c r="AV139" s="196"/>
      <c r="AW139" s="91"/>
      <c r="AX139" s="73"/>
    </row>
    <row r="140" spans="2:51" ht="16">
      <c r="B140" s="95" t="s">
        <v>317</v>
      </c>
      <c r="C140" s="96" t="s">
        <v>318</v>
      </c>
      <c r="D140" s="92">
        <v>1</v>
      </c>
      <c r="E140" s="97">
        <v>0.79166666666666696</v>
      </c>
      <c r="F140" s="97">
        <v>0.85416666666665797</v>
      </c>
      <c r="G140" s="92"/>
      <c r="H140" s="92" t="s">
        <v>67</v>
      </c>
      <c r="I140" s="92" t="e">
        <f>INDEX(Aulas_capacidad,MATCH(base_de_datos[[#This Row],[Aula]],Aulas,0),2)</f>
        <v>#REF!</v>
      </c>
      <c r="J140" s="90">
        <v>28</v>
      </c>
      <c r="K140" s="92" t="e">
        <f>INDEX(Aulas_capacidad,MATCH(base_de_datos[[#This Row],[Aula]],Aulas,0),4)</f>
        <v>#REF!</v>
      </c>
      <c r="L140" s="98" t="e">
        <f>base_de_datos[[#This Row],[Cap 1.5]]-base_de_datos[[#This Row],[Inscritos]]</f>
        <v>#REF!</v>
      </c>
      <c r="M140" s="98" t="e">
        <f>INDEX(Aulas_capacidad,MATCH(base_de_datos[[#This Row],[Aula]],Aulas,0),5)</f>
        <v>#REF!</v>
      </c>
      <c r="N140" s="98" t="e">
        <f>base_de_datos[[#This Row],[Cap .90]]-base_de_datos[[#This Row],[Inscritos]]</f>
        <v>#REF!</v>
      </c>
      <c r="O140" s="92">
        <v>1519</v>
      </c>
      <c r="P140" s="99"/>
      <c r="Q140" s="100"/>
      <c r="R140" s="99"/>
      <c r="S140" s="100" t="s">
        <v>68</v>
      </c>
      <c r="T140" s="100"/>
      <c r="U140" s="99"/>
      <c r="V140" s="99"/>
      <c r="W140" s="99" t="s">
        <v>92</v>
      </c>
      <c r="X140" s="93">
        <f>_xlfn.XLOOKUP(base_de_datos[[#This Row],[Materia]],Materias,Horas)/16</f>
        <v>3</v>
      </c>
      <c r="Y140" s="93">
        <f>ROUND(((base_de_datos[[#This Row],[Hora fin]]-base_de_datos[[#This Row],[Hora inicio]])*24)*(COUNTA(base_de_datos[[#This Row],[Lunes]:[Sábado]])),1)</f>
        <v>1.5</v>
      </c>
      <c r="Z140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40" s="93">
        <f ca="1">IF(base_de_datos[[#This Row],[No clase]]=OFFSET(base_de_datos[[#This Row],[No clase]],-1,0),0,1)</f>
        <v>1</v>
      </c>
      <c r="AB140" s="93">
        <f ca="1">IF(NOT(OR(base_de_datos[[#This Row],[Horas totales]]=base_de_datos[[#This Row],[HT Plan]],base_de_datos[[#This Row],[Horas totales]]="N/A")),1,0)</f>
        <v>0</v>
      </c>
      <c r="AC140" s="93" t="e">
        <f>_xlfn.XLOOKUP(base_de_datos[[#This Row],[Profesor]],Nombre,Grado)</f>
        <v>#REF!</v>
      </c>
      <c r="AD140" s="94" t="e">
        <f>_xlfn.XLOOKUP(base_de_datos[[#This Row],[Profesor]],Nombre,Tipo)</f>
        <v>#REF!</v>
      </c>
      <c r="AE140" s="93">
        <f>IF(IFERROR(VLOOKUP($C140,Planes_de_estudio[],MATCH($AE$2,Carreras,0)+2,0),"")&gt;0,IFERROR(VLOOKUP($C140,Planes_de_estudio[],MATCH($AE$2,Carreras,0)+2,0),""),"")</f>
        <v>5</v>
      </c>
      <c r="AF140" s="93" t="str">
        <f>IF(IFERROR(VLOOKUP($C140,Planes_de_estudio[],MATCH($AF$2,Carreras,0)+2,0),"")&gt;0,IFERROR(VLOOKUP($C140,Planes_de_estudio[],MATCH($AF$2,Carreras,0)+2,0),""),"")</f>
        <v/>
      </c>
      <c r="AG140" s="93" t="str">
        <f>IF(IFERROR(VLOOKUP($C140,Planes_de_estudio[],MATCH($AG$2,Carreras,0)+2,0),"")&gt;0,IFERROR(VLOOKUP($C140,Planes_de_estudio[],MATCH($AG$2,Carreras,0)+2,0),""),"")</f>
        <v/>
      </c>
      <c r="AH140" s="93" t="str">
        <f>IF(IFERROR(VLOOKUP($C140,Planes_de_estudio[],MATCH($AH$2,Carreras,0)+2,0),"")&gt;0,IFERROR(VLOOKUP($C140,Planes_de_estudio[],MATCH($AH$2,Carreras,0)+2,0),""),"")</f>
        <v/>
      </c>
      <c r="AI140" s="93" t="str">
        <f>IF(IFERROR(VLOOKUP($C140,Planes_de_estudio[],MATCH($AI$2,Carreras,0)+2,0),"")&gt;0,IFERROR(VLOOKUP($C140,Planes_de_estudio[],MATCH($AI$2,Carreras,0)+2,0),""),"")</f>
        <v/>
      </c>
      <c r="AJ140" s="93" t="str">
        <f>IF(IFERROR(VLOOKUP($C140,Planes_de_estudio[],MATCH($AJ$2,Carreras,0)+2,0),"")&gt;0,IFERROR(VLOOKUP($C140,Planes_de_estudio[],MATCH($AJ$2,Carreras,0)+2,0),""),"")</f>
        <v/>
      </c>
      <c r="AK140" s="93" t="str">
        <f>IF(IFERROR(VLOOKUP($C140,Planes_de_estudio[],MATCH($AK$2,Carreras,0)+2,0),"")&gt;0,IFERROR(VLOOKUP($C140,Planes_de_estudio[],MATCH($AK$2,Carreras,0)+2,0),""),"")</f>
        <v/>
      </c>
      <c r="AL14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4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23</v>
      </c>
      <c r="AN140" s="93">
        <f>base_de_datos[[#This Row],[Pronóstico]]/25</f>
        <v>0.92</v>
      </c>
      <c r="AO140" s="93" t="str">
        <f>VLOOKUP($C140,Planes_de_estudio[],2)</f>
        <v>DOP</v>
      </c>
      <c r="AP140" s="195">
        <v>6</v>
      </c>
      <c r="AQ140" s="196"/>
      <c r="AR140" s="196"/>
      <c r="AS140" s="196"/>
      <c r="AT140" s="196"/>
      <c r="AU140" s="196"/>
      <c r="AV140" s="196"/>
      <c r="AW140" s="91"/>
      <c r="AX140" s="73"/>
    </row>
    <row r="141" spans="2:51" ht="16">
      <c r="B141" s="95" t="s">
        <v>317</v>
      </c>
      <c r="C141" s="96" t="s">
        <v>318</v>
      </c>
      <c r="D141" s="92">
        <v>1</v>
      </c>
      <c r="E141" s="97">
        <v>0.79166666666666696</v>
      </c>
      <c r="F141" s="97">
        <v>0.85416666666665797</v>
      </c>
      <c r="G141" s="92"/>
      <c r="H141" s="92" t="s">
        <v>119</v>
      </c>
      <c r="I141" s="92" t="e">
        <f>INDEX(Aulas_capacidad,MATCH(base_de_datos[[#This Row],[Aula]],Aulas,0),2)</f>
        <v>#REF!</v>
      </c>
      <c r="J141" s="90">
        <v>28</v>
      </c>
      <c r="K141" s="92" t="e">
        <f>INDEX(Aulas_capacidad,MATCH(base_de_datos[[#This Row],[Aula]],Aulas,0),4)</f>
        <v>#REF!</v>
      </c>
      <c r="L141" s="98" t="e">
        <f>base_de_datos[[#This Row],[Cap 1.5]]-base_de_datos[[#This Row],[Inscritos]]</f>
        <v>#REF!</v>
      </c>
      <c r="M141" s="98" t="e">
        <f>INDEX(Aulas_capacidad,MATCH(base_de_datos[[#This Row],[Aula]],Aulas,0),5)</f>
        <v>#REF!</v>
      </c>
      <c r="N141" s="98" t="e">
        <f>base_de_datos[[#This Row],[Cap .90]]-base_de_datos[[#This Row],[Inscritos]]</f>
        <v>#REF!</v>
      </c>
      <c r="O141" s="92">
        <v>1519</v>
      </c>
      <c r="P141" s="99"/>
      <c r="Q141" s="100"/>
      <c r="R141" s="99"/>
      <c r="S141" s="100"/>
      <c r="T141" s="100" t="s">
        <v>68</v>
      </c>
      <c r="U141" s="99"/>
      <c r="V141" s="99"/>
      <c r="W141" s="99" t="s">
        <v>92</v>
      </c>
      <c r="X141" s="93">
        <f>_xlfn.XLOOKUP(base_de_datos[[#This Row],[Materia]],Materias,Horas)/16</f>
        <v>3</v>
      </c>
      <c r="Y141" s="93">
        <f>ROUND(((base_de_datos[[#This Row],[Hora fin]]-base_de_datos[[#This Row],[Hora inicio]])*24)*(COUNTA(base_de_datos[[#This Row],[Lunes]:[Sábado]])),1)</f>
        <v>1.5</v>
      </c>
      <c r="Z141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41" s="93">
        <f ca="1">IF(base_de_datos[[#This Row],[No clase]]=OFFSET(base_de_datos[[#This Row],[No clase]],-1,0),0,1)</f>
        <v>0</v>
      </c>
      <c r="AB141" s="93">
        <f ca="1">IF(NOT(OR(base_de_datos[[#This Row],[Horas totales]]=base_de_datos[[#This Row],[HT Plan]],base_de_datos[[#This Row],[Horas totales]]="N/A")),1,0)</f>
        <v>0</v>
      </c>
      <c r="AC141" s="93" t="e">
        <f>_xlfn.XLOOKUP(base_de_datos[[#This Row],[Profesor]],Nombre,Grado)</f>
        <v>#REF!</v>
      </c>
      <c r="AD141" s="94" t="e">
        <f>_xlfn.XLOOKUP(base_de_datos[[#This Row],[Profesor]],Nombre,Tipo)</f>
        <v>#REF!</v>
      </c>
      <c r="AE141" s="93">
        <f>IF(IFERROR(VLOOKUP($C141,Planes_de_estudio[],MATCH($AE$2,Carreras,0)+2,0),"")&gt;0,IFERROR(VLOOKUP($C141,Planes_de_estudio[],MATCH($AE$2,Carreras,0)+2,0),""),"")</f>
        <v>5</v>
      </c>
      <c r="AF141" s="93" t="str">
        <f>IF(IFERROR(VLOOKUP($C141,Planes_de_estudio[],MATCH($AF$2,Carreras,0)+2,0),"")&gt;0,IFERROR(VLOOKUP($C141,Planes_de_estudio[],MATCH($AF$2,Carreras,0)+2,0),""),"")</f>
        <v/>
      </c>
      <c r="AG141" s="93" t="str">
        <f>IF(IFERROR(VLOOKUP($C141,Planes_de_estudio[],MATCH($AG$2,Carreras,0)+2,0),"")&gt;0,IFERROR(VLOOKUP($C141,Planes_de_estudio[],MATCH($AG$2,Carreras,0)+2,0),""),"")</f>
        <v/>
      </c>
      <c r="AH141" s="93" t="str">
        <f>IF(IFERROR(VLOOKUP($C141,Planes_de_estudio[],MATCH($AH$2,Carreras,0)+2,0),"")&gt;0,IFERROR(VLOOKUP($C141,Planes_de_estudio[],MATCH($AH$2,Carreras,0)+2,0),""),"")</f>
        <v/>
      </c>
      <c r="AI141" s="93" t="str">
        <f>IF(IFERROR(VLOOKUP($C141,Planes_de_estudio[],MATCH($AI$2,Carreras,0)+2,0),"")&gt;0,IFERROR(VLOOKUP($C141,Planes_de_estudio[],MATCH($AI$2,Carreras,0)+2,0),""),"")</f>
        <v/>
      </c>
      <c r="AJ141" s="93" t="str">
        <f>IF(IFERROR(VLOOKUP($C141,Planes_de_estudio[],MATCH($AJ$2,Carreras,0)+2,0),"")&gt;0,IFERROR(VLOOKUP($C141,Planes_de_estudio[],MATCH($AJ$2,Carreras,0)+2,0),""),"")</f>
        <v/>
      </c>
      <c r="AK141" s="93" t="str">
        <f>IF(IFERROR(VLOOKUP($C141,Planes_de_estudio[],MATCH($AK$2,Carreras,0)+2,0),"")&gt;0,IFERROR(VLOOKUP($C141,Planes_de_estudio[],MATCH($AK$2,Carreras,0)+2,0),""),"")</f>
        <v/>
      </c>
      <c r="AL14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4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23</v>
      </c>
      <c r="AN141" s="93">
        <f>base_de_datos[[#This Row],[Pronóstico]]/25</f>
        <v>0.92</v>
      </c>
      <c r="AO141" s="93" t="str">
        <f>VLOOKUP($C141,Planes_de_estudio[],2)</f>
        <v>DOP</v>
      </c>
      <c r="AP141" s="196"/>
      <c r="AQ141" s="196"/>
      <c r="AR141" s="196"/>
      <c r="AS141" s="196"/>
      <c r="AT141" s="196"/>
      <c r="AU141" s="196"/>
      <c r="AV141" s="196"/>
      <c r="AW141" s="91"/>
      <c r="AX141" s="73"/>
    </row>
    <row r="142" spans="2:51" ht="16">
      <c r="B142" s="95" t="s">
        <v>319</v>
      </c>
      <c r="C142" s="96" t="s">
        <v>320</v>
      </c>
      <c r="D142" s="92">
        <v>1</v>
      </c>
      <c r="E142" s="97">
        <v>0.29166666666666669</v>
      </c>
      <c r="F142" s="97">
        <v>0.35416666666666602</v>
      </c>
      <c r="G142" s="92"/>
      <c r="H142" s="92" t="s">
        <v>310</v>
      </c>
      <c r="I142" s="92" t="e">
        <f>INDEX(Aulas_capacidad,MATCH(base_de_datos[[#This Row],[Aula]],Aulas,0),2)</f>
        <v>#REF!</v>
      </c>
      <c r="J142" s="90">
        <v>11</v>
      </c>
      <c r="K142" s="92" t="e">
        <f>INDEX(Aulas_capacidad,MATCH(base_de_datos[[#This Row],[Aula]],Aulas,0),4)</f>
        <v>#REF!</v>
      </c>
      <c r="L142" s="98" t="e">
        <f>base_de_datos[[#This Row],[Cap 1.5]]-base_de_datos[[#This Row],[Inscritos]]</f>
        <v>#REF!</v>
      </c>
      <c r="M142" s="98" t="e">
        <f>INDEX(Aulas_capacidad,MATCH(base_de_datos[[#This Row],[Aula]],Aulas,0),5)</f>
        <v>#REF!</v>
      </c>
      <c r="N142" s="98" t="e">
        <f>base_de_datos[[#This Row],[Cap .90]]-base_de_datos[[#This Row],[Inscritos]]</f>
        <v>#REF!</v>
      </c>
      <c r="O142" s="92">
        <v>1560</v>
      </c>
      <c r="P142" s="99"/>
      <c r="Q142" s="100" t="s">
        <v>68</v>
      </c>
      <c r="R142" s="99"/>
      <c r="S142" s="100"/>
      <c r="T142" s="100"/>
      <c r="U142" s="99"/>
      <c r="V142" s="99"/>
      <c r="W142" s="99" t="s">
        <v>92</v>
      </c>
      <c r="X142" s="93">
        <f>_xlfn.XLOOKUP(base_de_datos[[#This Row],[Materia]],Materias,Horas)/16</f>
        <v>3</v>
      </c>
      <c r="Y142" s="93">
        <f>ROUND(((base_de_datos[[#This Row],[Hora fin]]-base_de_datos[[#This Row],[Hora inicio]])*24)*(COUNTA(base_de_datos[[#This Row],[Lunes]:[Sábado]])),1)</f>
        <v>1.5</v>
      </c>
      <c r="Z142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42" s="93">
        <f ca="1">IF(base_de_datos[[#This Row],[No clase]]=OFFSET(base_de_datos[[#This Row],[No clase]],-1,0),0,1)</f>
        <v>1</v>
      </c>
      <c r="AB142" s="93">
        <f ca="1">IF(NOT(OR(base_de_datos[[#This Row],[Horas totales]]=base_de_datos[[#This Row],[HT Plan]],base_de_datos[[#This Row],[Horas totales]]="N/A")),1,0)</f>
        <v>0</v>
      </c>
      <c r="AC142" s="93" t="e">
        <f>_xlfn.XLOOKUP(base_de_datos[[#This Row],[Profesor]],Nombre,Grado)</f>
        <v>#REF!</v>
      </c>
      <c r="AD142" s="94" t="e">
        <f>_xlfn.XLOOKUP(base_de_datos[[#This Row],[Profesor]],Nombre,Tipo)</f>
        <v>#REF!</v>
      </c>
      <c r="AE142" s="93" t="str">
        <f>IF(IFERROR(VLOOKUP($C142,Planes_de_estudio[],MATCH($AE$2,Carreras,0)+2,0),"")&gt;0,IFERROR(VLOOKUP($C142,Planes_de_estudio[],MATCH($AE$2,Carreras,0)+2,0),""),"")</f>
        <v/>
      </c>
      <c r="AF142" s="93" t="str">
        <f>IF(IFERROR(VLOOKUP($C142,Planes_de_estudio[],MATCH($AF$2,Carreras,0)+2,0),"")&gt;0,IFERROR(VLOOKUP($C142,Planes_de_estudio[],MATCH($AF$2,Carreras,0)+2,0),""),"")</f>
        <v/>
      </c>
      <c r="AG142" s="93" t="str">
        <f>IF(IFERROR(VLOOKUP($C142,Planes_de_estudio[],MATCH($AG$2,Carreras,0)+2,0),"")&gt;0,IFERROR(VLOOKUP($C142,Planes_de_estudio[],MATCH($AG$2,Carreras,0)+2,0),""),"")</f>
        <v/>
      </c>
      <c r="AH142" s="93" t="str">
        <f>IF(IFERROR(VLOOKUP($C142,Planes_de_estudio[],MATCH($AH$2,Carreras,0)+2,0),"")&gt;0,IFERROR(VLOOKUP($C142,Planes_de_estudio[],MATCH($AH$2,Carreras,0)+2,0),""),"")</f>
        <v/>
      </c>
      <c r="AI142" s="93" t="str">
        <f>IF(IFERROR(VLOOKUP($C142,Planes_de_estudio[],MATCH($AI$2,Carreras,0)+2,0),"")&gt;0,IFERROR(VLOOKUP($C142,Planes_de_estudio[],MATCH($AI$2,Carreras,0)+2,0),""),"")</f>
        <v/>
      </c>
      <c r="AJ142" s="93">
        <f>IF(IFERROR(VLOOKUP($C142,Planes_de_estudio[],MATCH($AJ$2,Carreras,0)+2,0),"")&gt;0,IFERROR(VLOOKUP($C142,Planes_de_estudio[],MATCH($AJ$2,Carreras,0)+2,0),""),"")</f>
        <v>5</v>
      </c>
      <c r="AK142" s="93" t="str">
        <f>IF(IFERROR(VLOOKUP($C142,Planes_de_estudio[],MATCH($AK$2,Carreras,0)+2,0),"")&gt;0,IFERROR(VLOOKUP($C142,Planes_de_estudio[],MATCH($AK$2,Carreras,0)+2,0),""),"")</f>
        <v/>
      </c>
      <c r="AL14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4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11</v>
      </c>
      <c r="AN142" s="93">
        <f>base_de_datos[[#This Row],[Pronóstico]]/25</f>
        <v>0.44</v>
      </c>
      <c r="AO142" s="93" t="str">
        <f>VLOOKUP($C142,Planes_de_estudio[],2)</f>
        <v>EMP</v>
      </c>
      <c r="AP142" s="196"/>
      <c r="AQ142" s="196"/>
      <c r="AR142" s="196"/>
      <c r="AS142" s="196"/>
      <c r="AT142" s="196"/>
      <c r="AU142" s="195">
        <v>6</v>
      </c>
      <c r="AV142" s="196"/>
      <c r="AW142" s="91"/>
      <c r="AX142" s="73"/>
    </row>
    <row r="143" spans="2:51" ht="16">
      <c r="B143" s="95" t="s">
        <v>319</v>
      </c>
      <c r="C143" s="96" t="s">
        <v>320</v>
      </c>
      <c r="D143" s="92">
        <v>1</v>
      </c>
      <c r="E143" s="97">
        <v>0.29166666666666669</v>
      </c>
      <c r="F143" s="97">
        <v>0.35416666666666602</v>
      </c>
      <c r="G143" s="92"/>
      <c r="H143" s="92" t="s">
        <v>304</v>
      </c>
      <c r="I143" s="92" t="e">
        <f>INDEX(Aulas_capacidad,MATCH(base_de_datos[[#This Row],[Aula]],Aulas,0),2)</f>
        <v>#REF!</v>
      </c>
      <c r="J143" s="90">
        <v>11</v>
      </c>
      <c r="K143" s="92" t="e">
        <f>INDEX(Aulas_capacidad,MATCH(base_de_datos[[#This Row],[Aula]],Aulas,0),4)</f>
        <v>#REF!</v>
      </c>
      <c r="L143" s="98" t="e">
        <f>base_de_datos[[#This Row],[Cap 1.5]]-base_de_datos[[#This Row],[Inscritos]]</f>
        <v>#REF!</v>
      </c>
      <c r="M143" s="98" t="e">
        <f>INDEX(Aulas_capacidad,MATCH(base_de_datos[[#This Row],[Aula]],Aulas,0),5)</f>
        <v>#REF!</v>
      </c>
      <c r="N143" s="98" t="e">
        <f>base_de_datos[[#This Row],[Cap .90]]-base_de_datos[[#This Row],[Inscritos]]</f>
        <v>#REF!</v>
      </c>
      <c r="O143" s="92">
        <v>1560</v>
      </c>
      <c r="P143" s="99"/>
      <c r="Q143" s="100"/>
      <c r="R143" s="99"/>
      <c r="S143" s="100" t="s">
        <v>68</v>
      </c>
      <c r="T143" s="100"/>
      <c r="U143" s="99"/>
      <c r="V143" s="99"/>
      <c r="W143" s="99" t="s">
        <v>92</v>
      </c>
      <c r="X143" s="93">
        <f>_xlfn.XLOOKUP(base_de_datos[[#This Row],[Materia]],Materias,Horas)/16</f>
        <v>3</v>
      </c>
      <c r="Y143" s="93">
        <f>ROUND(((base_de_datos[[#This Row],[Hora fin]]-base_de_datos[[#This Row],[Hora inicio]])*24)*(COUNTA(base_de_datos[[#This Row],[Lunes]:[Sábado]])),1)</f>
        <v>1.5</v>
      </c>
      <c r="Z143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43" s="93">
        <f ca="1">IF(base_de_datos[[#This Row],[No clase]]=OFFSET(base_de_datos[[#This Row],[No clase]],-1,0),0,1)</f>
        <v>0</v>
      </c>
      <c r="AB143" s="93">
        <f ca="1">IF(NOT(OR(base_de_datos[[#This Row],[Horas totales]]=base_de_datos[[#This Row],[HT Plan]],base_de_datos[[#This Row],[Horas totales]]="N/A")),1,0)</f>
        <v>0</v>
      </c>
      <c r="AC143" s="93" t="e">
        <f>_xlfn.XLOOKUP(base_de_datos[[#This Row],[Profesor]],Nombre,Grado)</f>
        <v>#REF!</v>
      </c>
      <c r="AD143" s="94" t="e">
        <f>_xlfn.XLOOKUP(base_de_datos[[#This Row],[Profesor]],Nombre,Tipo)</f>
        <v>#REF!</v>
      </c>
      <c r="AE143" s="93" t="str">
        <f>IF(IFERROR(VLOOKUP($C143,Planes_de_estudio[],MATCH($AE$2,Carreras,0)+2,0),"")&gt;0,IFERROR(VLOOKUP($C143,Planes_de_estudio[],MATCH($AE$2,Carreras,0)+2,0),""),"")</f>
        <v/>
      </c>
      <c r="AF143" s="93" t="str">
        <f>IF(IFERROR(VLOOKUP($C143,Planes_de_estudio[],MATCH($AF$2,Carreras,0)+2,0),"")&gt;0,IFERROR(VLOOKUP($C143,Planes_de_estudio[],MATCH($AF$2,Carreras,0)+2,0),""),"")</f>
        <v/>
      </c>
      <c r="AG143" s="93" t="str">
        <f>IF(IFERROR(VLOOKUP($C143,Planes_de_estudio[],MATCH($AG$2,Carreras,0)+2,0),"")&gt;0,IFERROR(VLOOKUP($C143,Planes_de_estudio[],MATCH($AG$2,Carreras,0)+2,0),""),"")</f>
        <v/>
      </c>
      <c r="AH143" s="93" t="str">
        <f>IF(IFERROR(VLOOKUP($C143,Planes_de_estudio[],MATCH($AH$2,Carreras,0)+2,0),"")&gt;0,IFERROR(VLOOKUP($C143,Planes_de_estudio[],MATCH($AH$2,Carreras,0)+2,0),""),"")</f>
        <v/>
      </c>
      <c r="AI143" s="93" t="str">
        <f>IF(IFERROR(VLOOKUP($C143,Planes_de_estudio[],MATCH($AI$2,Carreras,0)+2,0),"")&gt;0,IFERROR(VLOOKUP($C143,Planes_de_estudio[],MATCH($AI$2,Carreras,0)+2,0),""),"")</f>
        <v/>
      </c>
      <c r="AJ143" s="93">
        <f>IF(IFERROR(VLOOKUP($C143,Planes_de_estudio[],MATCH($AJ$2,Carreras,0)+2,0),"")&gt;0,IFERROR(VLOOKUP($C143,Planes_de_estudio[],MATCH($AJ$2,Carreras,0)+2,0),""),"")</f>
        <v>5</v>
      </c>
      <c r="AK143" s="93" t="str">
        <f>IF(IFERROR(VLOOKUP($C143,Planes_de_estudio[],MATCH($AK$2,Carreras,0)+2,0),"")&gt;0,IFERROR(VLOOKUP($C143,Planes_de_estudio[],MATCH($AK$2,Carreras,0)+2,0),""),"")</f>
        <v/>
      </c>
      <c r="AL14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4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11</v>
      </c>
      <c r="AN143" s="93">
        <f>base_de_datos[[#This Row],[Pronóstico]]/25</f>
        <v>0.44</v>
      </c>
      <c r="AO143" s="93" t="str">
        <f>VLOOKUP($C143,Planes_de_estudio[],2)</f>
        <v>EMP</v>
      </c>
      <c r="AP143" s="196"/>
      <c r="AQ143" s="196"/>
      <c r="AR143" s="196"/>
      <c r="AS143" s="196"/>
      <c r="AT143" s="196"/>
      <c r="AU143" s="196"/>
      <c r="AV143" s="196"/>
      <c r="AW143" s="91"/>
      <c r="AX143" s="73"/>
    </row>
    <row r="144" spans="2:51" ht="16">
      <c r="B144" s="95" t="s">
        <v>105</v>
      </c>
      <c r="C144" s="96" t="s">
        <v>321</v>
      </c>
      <c r="D144" s="92">
        <v>1</v>
      </c>
      <c r="E144" s="97">
        <v>0.375</v>
      </c>
      <c r="F144" s="97">
        <v>0.45833333333333098</v>
      </c>
      <c r="G144" s="92"/>
      <c r="H144" s="92" t="s">
        <v>95</v>
      </c>
      <c r="I144" s="92" t="e">
        <f>INDEX(Aulas_capacidad,MATCH(base_de_datos[[#This Row],[Aula]],Aulas,0),2)</f>
        <v>#REF!</v>
      </c>
      <c r="J144" s="90">
        <v>26</v>
      </c>
      <c r="K144" s="92" t="e">
        <f>INDEX(Aulas_capacidad,MATCH(base_de_datos[[#This Row],[Aula]],Aulas,0),4)</f>
        <v>#REF!</v>
      </c>
      <c r="L144" s="98" t="e">
        <f>base_de_datos[[#This Row],[Cap 1.5]]-base_de_datos[[#This Row],[Inscritos]]</f>
        <v>#REF!</v>
      </c>
      <c r="M144" s="98" t="e">
        <f>INDEX(Aulas_capacidad,MATCH(base_de_datos[[#This Row],[Aula]],Aulas,0),5)</f>
        <v>#REF!</v>
      </c>
      <c r="N144" s="98" t="e">
        <f>base_de_datos[[#This Row],[Cap .90]]-base_de_datos[[#This Row],[Inscritos]]</f>
        <v>#REF!</v>
      </c>
      <c r="O144" s="92">
        <v>1572</v>
      </c>
      <c r="P144" s="99"/>
      <c r="Q144" s="100"/>
      <c r="R144" s="99" t="s">
        <v>68</v>
      </c>
      <c r="S144" s="100"/>
      <c r="T144" s="100"/>
      <c r="U144" s="99"/>
      <c r="V144" s="99"/>
      <c r="W144" s="99" t="s">
        <v>79</v>
      </c>
      <c r="X144" s="93">
        <f>_xlfn.XLOOKUP(base_de_datos[[#This Row],[Materia]],Materias,Horas)/16</f>
        <v>4</v>
      </c>
      <c r="Y144" s="93">
        <f>ROUND(((base_de_datos[[#This Row],[Hora fin]]-base_de_datos[[#This Row],[Hora inicio]])*24)*(COUNTA(base_de_datos[[#This Row],[Lunes]:[Sábado]])),1)</f>
        <v>2</v>
      </c>
      <c r="Z144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4" s="93">
        <f ca="1">IF(base_de_datos[[#This Row],[No clase]]=OFFSET(base_de_datos[[#This Row],[No clase]],-1,0),0,1)</f>
        <v>1</v>
      </c>
      <c r="AB144" s="93">
        <f ca="1">IF(NOT(OR(base_de_datos[[#This Row],[Horas totales]]=base_de_datos[[#This Row],[HT Plan]],base_de_datos[[#This Row],[Horas totales]]="N/A")),1,0)</f>
        <v>0</v>
      </c>
      <c r="AC144" s="93" t="e">
        <f>_xlfn.XLOOKUP(base_de_datos[[#This Row],[Profesor]],Nombre,Grado)</f>
        <v>#REF!</v>
      </c>
      <c r="AD144" s="94" t="e">
        <f>_xlfn.XLOOKUP(base_de_datos[[#This Row],[Profesor]],Nombre,Tipo)</f>
        <v>#REF!</v>
      </c>
      <c r="AE144" s="93" t="str">
        <f>IF(IFERROR(VLOOKUP($C144,Planes_de_estudio[],MATCH($AE$2,Carreras,0)+2,0),"")&gt;0,IFERROR(VLOOKUP($C144,Planes_de_estudio[],MATCH($AE$2,Carreras,0)+2,0),""),"")</f>
        <v/>
      </c>
      <c r="AF144" s="93" t="str">
        <f>IF(IFERROR(VLOOKUP($C144,Planes_de_estudio[],MATCH($AF$2,Carreras,0)+2,0),"")&gt;0,IFERROR(VLOOKUP($C144,Planes_de_estudio[],MATCH($AF$2,Carreras,0)+2,0),""),"")</f>
        <v/>
      </c>
      <c r="AG144" s="93" t="str">
        <f>IF(IFERROR(VLOOKUP($C144,Planes_de_estudio[],MATCH($AG$2,Carreras,0)+2,0),"")&gt;0,IFERROR(VLOOKUP($C144,Planes_de_estudio[],MATCH($AG$2,Carreras,0)+2,0),""),"")</f>
        <v/>
      </c>
      <c r="AH144" s="93">
        <f>IF(IFERROR(VLOOKUP($C144,Planes_de_estudio[],MATCH($AH$2,Carreras,0)+2,0),"")&gt;0,IFERROR(VLOOKUP($C144,Planes_de_estudio[],MATCH($AH$2,Carreras,0)+2,0),""),"")</f>
        <v>3</v>
      </c>
      <c r="AI144" s="93" t="str">
        <f>IF(IFERROR(VLOOKUP($C144,Planes_de_estudio[],MATCH($AI$2,Carreras,0)+2,0),"")&gt;0,IFERROR(VLOOKUP($C144,Planes_de_estudio[],MATCH($AI$2,Carreras,0)+2,0),""),"")</f>
        <v/>
      </c>
      <c r="AJ144" s="93" t="str">
        <f>IF(IFERROR(VLOOKUP($C144,Planes_de_estudio[],MATCH($AJ$2,Carreras,0)+2,0),"")&gt;0,IFERROR(VLOOKUP($C144,Planes_de_estudio[],MATCH($AJ$2,Carreras,0)+2,0),""),"")</f>
        <v/>
      </c>
      <c r="AK144" s="93" t="str">
        <f>IF(IFERROR(VLOOKUP($C144,Planes_de_estudio[],MATCH($AK$2,Carreras,0)+2,0),"")&gt;0,IFERROR(VLOOKUP($C144,Planes_de_estudio[],MATCH($AK$2,Carreras,0)+2,0),""),"")</f>
        <v/>
      </c>
      <c r="AL14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4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31</v>
      </c>
      <c r="AN144" s="93">
        <f>base_de_datos[[#This Row],[Pronóstico]]/25</f>
        <v>1.24</v>
      </c>
      <c r="AO144" s="93" t="str">
        <f>VLOOKUP($C144,Planes_de_estudio[],2)</f>
        <v>COM</v>
      </c>
      <c r="AP144" s="196"/>
      <c r="AQ144" s="196"/>
      <c r="AR144" s="196"/>
      <c r="AS144" s="195">
        <v>6</v>
      </c>
      <c r="AT144" s="196"/>
      <c r="AU144" s="196"/>
      <c r="AV144" s="196"/>
      <c r="AW144" s="91"/>
      <c r="AX144" s="73"/>
    </row>
    <row r="145" spans="2:50" ht="16">
      <c r="B145" s="95" t="s">
        <v>105</v>
      </c>
      <c r="C145" s="96" t="s">
        <v>321</v>
      </c>
      <c r="D145" s="92">
        <v>1</v>
      </c>
      <c r="E145" s="97">
        <v>0.375</v>
      </c>
      <c r="F145" s="97">
        <v>0.45833333333333098</v>
      </c>
      <c r="G145" s="92"/>
      <c r="H145" s="92" t="s">
        <v>149</v>
      </c>
      <c r="I145" s="92" t="e">
        <f>INDEX(Aulas_capacidad,MATCH(base_de_datos[[#This Row],[Aula]],Aulas,0),2)</f>
        <v>#REF!</v>
      </c>
      <c r="J145" s="90">
        <v>26</v>
      </c>
      <c r="K145" s="92" t="e">
        <f>INDEX(Aulas_capacidad,MATCH(base_de_datos[[#This Row],[Aula]],Aulas,0),4)</f>
        <v>#REF!</v>
      </c>
      <c r="L145" s="98" t="e">
        <f>base_de_datos[[#This Row],[Cap 1.5]]-base_de_datos[[#This Row],[Inscritos]]</f>
        <v>#REF!</v>
      </c>
      <c r="M145" s="98" t="e">
        <f>INDEX(Aulas_capacidad,MATCH(base_de_datos[[#This Row],[Aula]],Aulas,0),5)</f>
        <v>#REF!</v>
      </c>
      <c r="N145" s="98" t="e">
        <f>base_de_datos[[#This Row],[Cap .90]]-base_de_datos[[#This Row],[Inscritos]]</f>
        <v>#REF!</v>
      </c>
      <c r="O145" s="92">
        <v>1572</v>
      </c>
      <c r="P145" s="99"/>
      <c r="Q145" s="100"/>
      <c r="R145" s="99"/>
      <c r="S145" s="100" t="s">
        <v>68</v>
      </c>
      <c r="T145" s="100"/>
      <c r="U145" s="99"/>
      <c r="V145" s="99"/>
      <c r="W145" s="99" t="s">
        <v>79</v>
      </c>
      <c r="X145" s="93">
        <f>_xlfn.XLOOKUP(base_de_datos[[#This Row],[Materia]],Materias,Horas)/16</f>
        <v>4</v>
      </c>
      <c r="Y145" s="93">
        <f>ROUND(((base_de_datos[[#This Row],[Hora fin]]-base_de_datos[[#This Row],[Hora inicio]])*24)*(COUNTA(base_de_datos[[#This Row],[Lunes]:[Sábado]])),1)</f>
        <v>2</v>
      </c>
      <c r="Z145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45" s="93">
        <f ca="1">IF(base_de_datos[[#This Row],[No clase]]=OFFSET(base_de_datos[[#This Row],[No clase]],-1,0),0,1)</f>
        <v>0</v>
      </c>
      <c r="AB145" s="93">
        <f ca="1">IF(NOT(OR(base_de_datos[[#This Row],[Horas totales]]=base_de_datos[[#This Row],[HT Plan]],base_de_datos[[#This Row],[Horas totales]]="N/A")),1,0)</f>
        <v>0</v>
      </c>
      <c r="AC145" s="93" t="e">
        <f>_xlfn.XLOOKUP(base_de_datos[[#This Row],[Profesor]],Nombre,Grado)</f>
        <v>#REF!</v>
      </c>
      <c r="AD145" s="94" t="e">
        <f>_xlfn.XLOOKUP(base_de_datos[[#This Row],[Profesor]],Nombre,Tipo)</f>
        <v>#REF!</v>
      </c>
      <c r="AE145" s="93" t="str">
        <f>IF(IFERROR(VLOOKUP($C145,Planes_de_estudio[],MATCH($AE$2,Carreras,0)+2,0),"")&gt;0,IFERROR(VLOOKUP($C145,Planes_de_estudio[],MATCH($AE$2,Carreras,0)+2,0),""),"")</f>
        <v/>
      </c>
      <c r="AF145" s="93" t="str">
        <f>IF(IFERROR(VLOOKUP($C145,Planes_de_estudio[],MATCH($AF$2,Carreras,0)+2,0),"")&gt;0,IFERROR(VLOOKUP($C145,Planes_de_estudio[],MATCH($AF$2,Carreras,0)+2,0),""),"")</f>
        <v/>
      </c>
      <c r="AG145" s="93" t="str">
        <f>IF(IFERROR(VLOOKUP($C145,Planes_de_estudio[],MATCH($AG$2,Carreras,0)+2,0),"")&gt;0,IFERROR(VLOOKUP($C145,Planes_de_estudio[],MATCH($AG$2,Carreras,0)+2,0),""),"")</f>
        <v/>
      </c>
      <c r="AH145" s="93">
        <f>IF(IFERROR(VLOOKUP($C145,Planes_de_estudio[],MATCH($AH$2,Carreras,0)+2,0),"")&gt;0,IFERROR(VLOOKUP($C145,Planes_de_estudio[],MATCH($AH$2,Carreras,0)+2,0),""),"")</f>
        <v>3</v>
      </c>
      <c r="AI145" s="93" t="str">
        <f>IF(IFERROR(VLOOKUP($C145,Planes_de_estudio[],MATCH($AI$2,Carreras,0)+2,0),"")&gt;0,IFERROR(VLOOKUP($C145,Planes_de_estudio[],MATCH($AI$2,Carreras,0)+2,0),""),"")</f>
        <v/>
      </c>
      <c r="AJ145" s="93" t="str">
        <f>IF(IFERROR(VLOOKUP($C145,Planes_de_estudio[],MATCH($AJ$2,Carreras,0)+2,0),"")&gt;0,IFERROR(VLOOKUP($C145,Planes_de_estudio[],MATCH($AJ$2,Carreras,0)+2,0),""),"")</f>
        <v/>
      </c>
      <c r="AK145" s="93" t="str">
        <f>IF(IFERROR(VLOOKUP($C145,Planes_de_estudio[],MATCH($AK$2,Carreras,0)+2,0),"")&gt;0,IFERROR(VLOOKUP($C145,Planes_de_estudio[],MATCH($AK$2,Carreras,0)+2,0),""),"")</f>
        <v/>
      </c>
      <c r="AL14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4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31</v>
      </c>
      <c r="AN145" s="93">
        <f>base_de_datos[[#This Row],[Pronóstico]]/25</f>
        <v>1.24</v>
      </c>
      <c r="AO145" s="93" t="str">
        <f>VLOOKUP($C145,Planes_de_estudio[],2)</f>
        <v>COM</v>
      </c>
      <c r="AP145" s="196"/>
      <c r="AQ145" s="196"/>
      <c r="AR145" s="196"/>
      <c r="AS145" s="196"/>
      <c r="AT145" s="196"/>
      <c r="AU145" s="196"/>
      <c r="AV145" s="196"/>
      <c r="AW145" s="91"/>
      <c r="AX145" s="73"/>
    </row>
    <row r="146" spans="2:50" ht="16">
      <c r="B146" s="95" t="s">
        <v>322</v>
      </c>
      <c r="C146" s="96" t="s">
        <v>323</v>
      </c>
      <c r="D146" s="92">
        <v>1</v>
      </c>
      <c r="E146" s="97">
        <v>0.72916666666666696</v>
      </c>
      <c r="F146" s="97">
        <v>0.79166666666665897</v>
      </c>
      <c r="G146" s="92"/>
      <c r="H146" s="92" t="s">
        <v>103</v>
      </c>
      <c r="I146" s="92" t="e">
        <f>INDEX(Aulas_capacidad,MATCH(base_de_datos[[#This Row],[Aula]],Aulas,0),2)</f>
        <v>#REF!</v>
      </c>
      <c r="J146" s="90">
        <v>7</v>
      </c>
      <c r="K146" s="92" t="e">
        <f>INDEX(Aulas_capacidad,MATCH(base_de_datos[[#This Row],[Aula]],Aulas,0),4)</f>
        <v>#REF!</v>
      </c>
      <c r="L146" s="98" t="e">
        <f>base_de_datos[[#This Row],[Cap 1.5]]-base_de_datos[[#This Row],[Inscritos]]</f>
        <v>#REF!</v>
      </c>
      <c r="M146" s="98" t="e">
        <f>INDEX(Aulas_capacidad,MATCH(base_de_datos[[#This Row],[Aula]],Aulas,0),5)</f>
        <v>#REF!</v>
      </c>
      <c r="N146" s="98" t="e">
        <f>base_de_datos[[#This Row],[Cap .90]]-base_de_datos[[#This Row],[Inscritos]]</f>
        <v>#REF!</v>
      </c>
      <c r="O146" s="92">
        <v>6398</v>
      </c>
      <c r="P146" s="99"/>
      <c r="Q146" s="100" t="s">
        <v>68</v>
      </c>
      <c r="R146" s="99"/>
      <c r="S146" s="100" t="s">
        <v>68</v>
      </c>
      <c r="T146" s="100"/>
      <c r="U146" s="99"/>
      <c r="V146" s="99"/>
      <c r="W146" s="99" t="s">
        <v>92</v>
      </c>
      <c r="X146" s="93">
        <f>_xlfn.XLOOKUP(base_de_datos[[#This Row],[Materia]],Materias,Horas)/16</f>
        <v>3</v>
      </c>
      <c r="Y146" s="93">
        <f>ROUND(((base_de_datos[[#This Row],[Hora fin]]-base_de_datos[[#This Row],[Hora inicio]])*24)*(COUNTA(base_de_datos[[#This Row],[Lunes]:[Sábado]])),1)</f>
        <v>3</v>
      </c>
      <c r="Z146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46" s="93">
        <f ca="1">IF(base_de_datos[[#This Row],[No clase]]=OFFSET(base_de_datos[[#This Row],[No clase]],-1,0),0,1)</f>
        <v>1</v>
      </c>
      <c r="AB146" s="93">
        <f ca="1">IF(NOT(OR(base_de_datos[[#This Row],[Horas totales]]=base_de_datos[[#This Row],[HT Plan]],base_de_datos[[#This Row],[Horas totales]]="N/A")),1,0)</f>
        <v>0</v>
      </c>
      <c r="AC146" s="93" t="e">
        <f>_xlfn.XLOOKUP(base_de_datos[[#This Row],[Profesor]],Nombre,Grado)</f>
        <v>#REF!</v>
      </c>
      <c r="AD146" s="94" t="e">
        <f>_xlfn.XLOOKUP(base_de_datos[[#This Row],[Profesor]],Nombre,Tipo)</f>
        <v>#REF!</v>
      </c>
      <c r="AE146" s="93" t="str">
        <f>IF(IFERROR(VLOOKUP($C146,Planes_de_estudio[],MATCH($AE$2,Carreras,0)+2,0),"")&gt;0,IFERROR(VLOOKUP($C146,Planes_de_estudio[],MATCH($AE$2,Carreras,0)+2,0),""),"")</f>
        <v/>
      </c>
      <c r="AF146" s="93" t="str">
        <f>IF(IFERROR(VLOOKUP($C146,Planes_de_estudio[],MATCH($AF$2,Carreras,0)+2,0),"")&gt;0,IFERROR(VLOOKUP($C146,Planes_de_estudio[],MATCH($AF$2,Carreras,0)+2,0),""),"")</f>
        <v/>
      </c>
      <c r="AG146" s="93" t="str">
        <f>IF(IFERROR(VLOOKUP($C146,Planes_de_estudio[],MATCH($AG$2,Carreras,0)+2,0),"")&gt;0,IFERROR(VLOOKUP($C146,Planes_de_estudio[],MATCH($AG$2,Carreras,0)+2,0),""),"")</f>
        <v/>
      </c>
      <c r="AH146" s="93" t="str">
        <f>IF(IFERROR(VLOOKUP($C146,Planes_de_estudio[],MATCH($AH$2,Carreras,0)+2,0),"")&gt;0,IFERROR(VLOOKUP($C146,Planes_de_estudio[],MATCH($AH$2,Carreras,0)+2,0),""),"")</f>
        <v/>
      </c>
      <c r="AI146" s="93" t="str">
        <f>IF(IFERROR(VLOOKUP($C146,Planes_de_estudio[],MATCH($AI$2,Carreras,0)+2,0),"")&gt;0,IFERROR(VLOOKUP($C146,Planes_de_estudio[],MATCH($AI$2,Carreras,0)+2,0),""),"")</f>
        <v/>
      </c>
      <c r="AJ146" s="93">
        <f>IF(IFERROR(VLOOKUP($C146,Planes_de_estudio[],MATCH($AJ$2,Carreras,0)+2,0),"")&gt;0,IFERROR(VLOOKUP($C146,Planes_de_estudio[],MATCH($AJ$2,Carreras,0)+2,0),""),"")</f>
        <v>9</v>
      </c>
      <c r="AK146" s="93" t="str">
        <f>IF(IFERROR(VLOOKUP($C146,Planes_de_estudio[],MATCH($AK$2,Carreras,0)+2,0),"")&gt;0,IFERROR(VLOOKUP($C146,Planes_de_estudio[],MATCH($AK$2,Carreras,0)+2,0),""),"")</f>
        <v/>
      </c>
      <c r="AL14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4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16</v>
      </c>
      <c r="AN146" s="93">
        <f>base_de_datos[[#This Row],[Pronóstico]]/25</f>
        <v>0.64</v>
      </c>
      <c r="AO146" s="93" t="str">
        <f>VLOOKUP($C146,Planes_de_estudio[],2)</f>
        <v>ESC</v>
      </c>
      <c r="AP146" s="196"/>
      <c r="AQ146" s="196"/>
      <c r="AR146" s="196"/>
      <c r="AS146" s="196"/>
      <c r="AT146" s="196"/>
      <c r="AU146" s="195">
        <v>6</v>
      </c>
      <c r="AV146" s="196"/>
      <c r="AW146" s="91"/>
      <c r="AX146" s="73"/>
    </row>
    <row r="147" spans="2:50" ht="16">
      <c r="B147" s="95" t="s">
        <v>97</v>
      </c>
      <c r="C147" s="96" t="s">
        <v>324</v>
      </c>
      <c r="D147" s="92">
        <v>1</v>
      </c>
      <c r="E147" s="97">
        <v>0.66666666666666696</v>
      </c>
      <c r="F147" s="97">
        <v>0.79166666666665897</v>
      </c>
      <c r="G147" s="92"/>
      <c r="H147" s="175" t="s">
        <v>73</v>
      </c>
      <c r="I147" s="92" t="e">
        <f>INDEX(Aulas_capacidad,MATCH(base_de_datos[[#This Row],[Aula]],Aulas,0),2)</f>
        <v>#REF!</v>
      </c>
      <c r="J147" s="90">
        <v>18</v>
      </c>
      <c r="K147" s="92" t="e">
        <f>INDEX(Aulas_capacidad,MATCH(base_de_datos[[#This Row],[Aula]],Aulas,0),4)</f>
        <v>#REF!</v>
      </c>
      <c r="L147" s="98" t="e">
        <f>base_de_datos[[#This Row],[Cap 1.5]]-base_de_datos[[#This Row],[Inscritos]]</f>
        <v>#REF!</v>
      </c>
      <c r="M147" s="98" t="e">
        <f>INDEX(Aulas_capacidad,MATCH(base_de_datos[[#This Row],[Aula]],Aulas,0),5)</f>
        <v>#REF!</v>
      </c>
      <c r="N147" s="98" t="e">
        <f>base_de_datos[[#This Row],[Cap .90]]-base_de_datos[[#This Row],[Inscritos]]</f>
        <v>#REF!</v>
      </c>
      <c r="O147" s="92">
        <v>1574</v>
      </c>
      <c r="P147" s="99"/>
      <c r="Q147" s="100"/>
      <c r="R147" s="99"/>
      <c r="S147" s="100"/>
      <c r="T147" s="100" t="s">
        <v>68</v>
      </c>
      <c r="U147" s="99"/>
      <c r="V147" s="99"/>
      <c r="W147" s="99" t="s">
        <v>135</v>
      </c>
      <c r="X147" s="93">
        <f>_xlfn.XLOOKUP(base_de_datos[[#This Row],[Materia]],Materias,Horas)/16</f>
        <v>3</v>
      </c>
      <c r="Y147" s="93">
        <f>ROUND(((base_de_datos[[#This Row],[Hora fin]]-base_de_datos[[#This Row],[Hora inicio]])*24)*(COUNTA(base_de_datos[[#This Row],[Lunes]:[Sábado]])),1)</f>
        <v>3</v>
      </c>
      <c r="Z147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47" s="93">
        <f ca="1">IF(base_de_datos[[#This Row],[No clase]]=OFFSET(base_de_datos[[#This Row],[No clase]],-1,0),0,1)</f>
        <v>1</v>
      </c>
      <c r="AB147" s="93">
        <f ca="1">IF(NOT(OR(base_de_datos[[#This Row],[Horas totales]]=base_de_datos[[#This Row],[HT Plan]],base_de_datos[[#This Row],[Horas totales]]="N/A")),1,0)</f>
        <v>0</v>
      </c>
      <c r="AC147" s="93" t="e">
        <f>_xlfn.XLOOKUP(base_de_datos[[#This Row],[Profesor]],Nombre,Grado)</f>
        <v>#REF!</v>
      </c>
      <c r="AD147" s="94" t="e">
        <f>_xlfn.XLOOKUP(base_de_datos[[#This Row],[Profesor]],Nombre,Tipo)</f>
        <v>#REF!</v>
      </c>
      <c r="AE147" s="93" t="str">
        <f>IF(IFERROR(VLOOKUP($C147,Planes_de_estudio[],MATCH($AE$2,Carreras,0)+2,0),"")&gt;0,IFERROR(VLOOKUP($C147,Planes_de_estudio[],MATCH($AE$2,Carreras,0)+2,0),""),"")</f>
        <v/>
      </c>
      <c r="AF147" s="93" t="str">
        <f>IF(IFERROR(VLOOKUP($C147,Planes_de_estudio[],MATCH($AF$2,Carreras,0)+2,0),"")&gt;0,IFERROR(VLOOKUP($C147,Planes_de_estudio[],MATCH($AF$2,Carreras,0)+2,0),""),"")</f>
        <v/>
      </c>
      <c r="AG147" s="93" t="str">
        <f>IF(IFERROR(VLOOKUP($C147,Planes_de_estudio[],MATCH($AG$2,Carreras,0)+2,0),"")&gt;0,IFERROR(VLOOKUP($C147,Planes_de_estudio[],MATCH($AG$2,Carreras,0)+2,0),""),"")</f>
        <v/>
      </c>
      <c r="AH147" s="93">
        <f>IF(IFERROR(VLOOKUP($C147,Planes_de_estudio[],MATCH($AH$2,Carreras,0)+2,0),"")&gt;0,IFERROR(VLOOKUP($C147,Planes_de_estudio[],MATCH($AH$2,Carreras,0)+2,0),""),"")</f>
        <v>5</v>
      </c>
      <c r="AI147" s="93" t="str">
        <f>IF(IFERROR(VLOOKUP($C147,Planes_de_estudio[],MATCH($AI$2,Carreras,0)+2,0),"")&gt;0,IFERROR(VLOOKUP($C147,Planes_de_estudio[],MATCH($AI$2,Carreras,0)+2,0),""),"")</f>
        <v/>
      </c>
      <c r="AJ147" s="93" t="str">
        <f>IF(IFERROR(VLOOKUP($C147,Planes_de_estudio[],MATCH($AJ$2,Carreras,0)+2,0),"")&gt;0,IFERROR(VLOOKUP($C147,Planes_de_estudio[],MATCH($AJ$2,Carreras,0)+2,0),""),"")</f>
        <v/>
      </c>
      <c r="AK147" s="93" t="str">
        <f>IF(IFERROR(VLOOKUP($C147,Planes_de_estudio[],MATCH($AK$2,Carreras,0)+2,0),"")&gt;0,IFERROR(VLOOKUP($C147,Planes_de_estudio[],MATCH($AK$2,Carreras,0)+2,0),""),"")</f>
        <v/>
      </c>
      <c r="AL14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4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147" s="93">
        <f>base_de_datos[[#This Row],[Pronóstico]]/25</f>
        <v>0.72</v>
      </c>
      <c r="AO147" s="93" t="str">
        <f>VLOOKUP($C147,Planes_de_estudio[],2)</f>
        <v>COM</v>
      </c>
      <c r="AP147" s="196"/>
      <c r="AQ147" s="196"/>
      <c r="AR147" s="196"/>
      <c r="AS147" s="195">
        <v>6</v>
      </c>
      <c r="AT147" s="196"/>
      <c r="AU147" s="196"/>
      <c r="AV147" s="196"/>
      <c r="AW147" s="91"/>
      <c r="AX147" s="73"/>
    </row>
    <row r="148" spans="2:50" ht="16">
      <c r="B148" s="95" t="s">
        <v>325</v>
      </c>
      <c r="C148" s="96" t="s">
        <v>326</v>
      </c>
      <c r="D148" s="92">
        <v>1</v>
      </c>
      <c r="E148" s="97">
        <v>0.70833333333333304</v>
      </c>
      <c r="F148" s="97">
        <v>0.83333333333332504</v>
      </c>
      <c r="G148" s="92"/>
      <c r="H148" s="175" t="s">
        <v>121</v>
      </c>
      <c r="I148" s="92" t="e">
        <f>INDEX(Aulas_capacidad,MATCH(base_de_datos[[#This Row],[Aula]],Aulas,0),2)</f>
        <v>#REF!</v>
      </c>
      <c r="J148" s="90">
        <v>19</v>
      </c>
      <c r="K148" s="92" t="e">
        <f>INDEX(Aulas_capacidad,MATCH(base_de_datos[[#This Row],[Aula]],Aulas,0),4)</f>
        <v>#REF!</v>
      </c>
      <c r="L148" s="98" t="e">
        <f>base_de_datos[[#This Row],[Cap 1.5]]-base_de_datos[[#This Row],[Inscritos]]</f>
        <v>#REF!</v>
      </c>
      <c r="M148" s="98" t="e">
        <f>INDEX(Aulas_capacidad,MATCH(base_de_datos[[#This Row],[Aula]],Aulas,0),5)</f>
        <v>#REF!</v>
      </c>
      <c r="N148" s="98" t="e">
        <f>base_de_datos[[#This Row],[Cap .90]]-base_de_datos[[#This Row],[Inscritos]]</f>
        <v>#REF!</v>
      </c>
      <c r="O148" s="92">
        <v>1643</v>
      </c>
      <c r="P148" s="99"/>
      <c r="Q148" s="100"/>
      <c r="R148" s="99" t="s">
        <v>68</v>
      </c>
      <c r="S148" s="100"/>
      <c r="T148" s="100"/>
      <c r="U148" s="99"/>
      <c r="V148" s="99"/>
      <c r="W148" s="99" t="s">
        <v>148</v>
      </c>
      <c r="X148" s="93">
        <f>_xlfn.XLOOKUP(base_de_datos[[#This Row],[Materia]],Materias,Horas)/16</f>
        <v>3</v>
      </c>
      <c r="Y148" s="93">
        <f>ROUND(((base_de_datos[[#This Row],[Hora fin]]-base_de_datos[[#This Row],[Hora inicio]])*24)*(COUNTA(base_de_datos[[#This Row],[Lunes]:[Sábado]])),1)</f>
        <v>3</v>
      </c>
      <c r="Z148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48" s="93">
        <f ca="1">IF(base_de_datos[[#This Row],[No clase]]=OFFSET(base_de_datos[[#This Row],[No clase]],-1,0),0,1)</f>
        <v>1</v>
      </c>
      <c r="AB148" s="93">
        <f ca="1">IF(NOT(OR(base_de_datos[[#This Row],[Horas totales]]=base_de_datos[[#This Row],[HT Plan]],base_de_datos[[#This Row],[Horas totales]]="N/A")),1,0)</f>
        <v>0</v>
      </c>
      <c r="AC148" s="93" t="e">
        <f>_xlfn.XLOOKUP(base_de_datos[[#This Row],[Profesor]],Nombre,Grado)</f>
        <v>#REF!</v>
      </c>
      <c r="AD148" s="94" t="e">
        <f>_xlfn.XLOOKUP(base_de_datos[[#This Row],[Profesor]],Nombre,Tipo)</f>
        <v>#REF!</v>
      </c>
      <c r="AE148" s="93">
        <f>IF(IFERROR(VLOOKUP($C148,Planes_de_estudio[],MATCH($AE$2,Carreras,0)+2,0),"")&gt;0,IFERROR(VLOOKUP($C148,Planes_de_estudio[],MATCH($AE$2,Carreras,0)+2,0),""),"")</f>
        <v>7</v>
      </c>
      <c r="AF148" s="93" t="str">
        <f>IF(IFERROR(VLOOKUP($C148,Planes_de_estudio[],MATCH($AF$2,Carreras,0)+2,0),"")&gt;0,IFERROR(VLOOKUP($C148,Planes_de_estudio[],MATCH($AF$2,Carreras,0)+2,0),""),"")</f>
        <v/>
      </c>
      <c r="AG148" s="93" t="str">
        <f>IF(IFERROR(VLOOKUP($C148,Planes_de_estudio[],MATCH($AG$2,Carreras,0)+2,0),"")&gt;0,IFERROR(VLOOKUP($C148,Planes_de_estudio[],MATCH($AG$2,Carreras,0)+2,0),""),"")</f>
        <v/>
      </c>
      <c r="AH148" s="93" t="str">
        <f>IF(IFERROR(VLOOKUP($C148,Planes_de_estudio[],MATCH($AH$2,Carreras,0)+2,0),"")&gt;0,IFERROR(VLOOKUP($C148,Planes_de_estudio[],MATCH($AH$2,Carreras,0)+2,0),""),"")</f>
        <v/>
      </c>
      <c r="AI148" s="93" t="str">
        <f>IF(IFERROR(VLOOKUP($C148,Planes_de_estudio[],MATCH($AI$2,Carreras,0)+2,0),"")&gt;0,IFERROR(VLOOKUP($C148,Planes_de_estudio[],MATCH($AI$2,Carreras,0)+2,0),""),"")</f>
        <v/>
      </c>
      <c r="AJ148" s="93" t="str">
        <f>IF(IFERROR(VLOOKUP($C148,Planes_de_estudio[],MATCH($AJ$2,Carreras,0)+2,0),"")&gt;0,IFERROR(VLOOKUP($C148,Planes_de_estudio[],MATCH($AJ$2,Carreras,0)+2,0),""),"")</f>
        <v/>
      </c>
      <c r="AK148" s="93" t="str">
        <f>IF(IFERROR(VLOOKUP($C148,Planes_de_estudio[],MATCH($AK$2,Carreras,0)+2,0),"")&gt;0,IFERROR(VLOOKUP($C148,Planes_de_estudio[],MATCH($AK$2,Carreras,0)+2,0),""),"")</f>
        <v/>
      </c>
      <c r="AL14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4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148" s="93">
        <f>base_de_datos[[#This Row],[Pronóstico]]/25</f>
        <v>0.96</v>
      </c>
      <c r="AO148" s="93" t="str">
        <f>VLOOKUP($C148,Planes_de_estudio[],2)</f>
        <v>DOP</v>
      </c>
      <c r="AP148" s="195">
        <v>6</v>
      </c>
      <c r="AQ148" s="196"/>
      <c r="AR148" s="196"/>
      <c r="AS148" s="196"/>
      <c r="AT148" s="196"/>
      <c r="AU148" s="196"/>
      <c r="AV148" s="196"/>
      <c r="AW148" s="91"/>
      <c r="AX148" s="73"/>
    </row>
    <row r="149" spans="2:50" ht="16">
      <c r="B149" s="95" t="s">
        <v>327</v>
      </c>
      <c r="C149" s="96" t="s">
        <v>328</v>
      </c>
      <c r="D149" s="92">
        <v>1</v>
      </c>
      <c r="E149" s="97">
        <v>0.8125</v>
      </c>
      <c r="F149" s="97">
        <v>0.89583333333332305</v>
      </c>
      <c r="G149" s="92"/>
      <c r="H149" s="92" t="s">
        <v>106</v>
      </c>
      <c r="I149" s="92" t="e">
        <f>INDEX(Aulas_capacidad,MATCH(base_de_datos[[#This Row],[Aula]],Aulas,0),2)</f>
        <v>#REF!</v>
      </c>
      <c r="J149" s="90">
        <v>23</v>
      </c>
      <c r="K149" s="92" t="e">
        <f>INDEX(Aulas_capacidad,MATCH(base_de_datos[[#This Row],[Aula]],Aulas,0),4)</f>
        <v>#REF!</v>
      </c>
      <c r="L149" s="98" t="e">
        <f>base_de_datos[[#This Row],[Cap 1.5]]-base_de_datos[[#This Row],[Inscritos]]</f>
        <v>#REF!</v>
      </c>
      <c r="M149" s="98" t="e">
        <f>INDEX(Aulas_capacidad,MATCH(base_de_datos[[#This Row],[Aula]],Aulas,0),5)</f>
        <v>#REF!</v>
      </c>
      <c r="N149" s="98" t="e">
        <f>base_de_datos[[#This Row],[Cap .90]]-base_de_datos[[#This Row],[Inscritos]]</f>
        <v>#REF!</v>
      </c>
      <c r="O149" s="92">
        <v>1626</v>
      </c>
      <c r="P149" s="99"/>
      <c r="Q149" s="100"/>
      <c r="R149" s="99" t="s">
        <v>68</v>
      </c>
      <c r="S149" s="100"/>
      <c r="T149" s="100"/>
      <c r="U149" s="99"/>
      <c r="V149" s="99"/>
      <c r="W149" s="99" t="s">
        <v>77</v>
      </c>
      <c r="X149" s="93">
        <f>_xlfn.XLOOKUP(base_de_datos[[#This Row],[Materia]],Materias,Horas)/16</f>
        <v>4</v>
      </c>
      <c r="Y149" s="93">
        <f>ROUND(((base_de_datos[[#This Row],[Hora fin]]-base_de_datos[[#This Row],[Hora inicio]])*24)*(COUNTA(base_de_datos[[#This Row],[Lunes]:[Sábado]])),1)</f>
        <v>2</v>
      </c>
      <c r="Z149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49" s="93">
        <f ca="1">IF(base_de_datos[[#This Row],[No clase]]=OFFSET(base_de_datos[[#This Row],[No clase]],-1,0),0,1)</f>
        <v>1</v>
      </c>
      <c r="AB149" s="93">
        <f ca="1">IF(NOT(OR(base_de_datos[[#This Row],[Horas totales]]=base_de_datos[[#This Row],[HT Plan]],base_de_datos[[#This Row],[Horas totales]]="N/A")),1,0)</f>
        <v>1</v>
      </c>
      <c r="AC149" s="93" t="e">
        <f>_xlfn.XLOOKUP(base_de_datos[[#This Row],[Profesor]],Nombre,Grado)</f>
        <v>#REF!</v>
      </c>
      <c r="AD149" s="94" t="e">
        <f>_xlfn.XLOOKUP(base_de_datos[[#This Row],[Profesor]],Nombre,Tipo)</f>
        <v>#REF!</v>
      </c>
      <c r="AE149" s="93" t="str">
        <f>IF(IFERROR(VLOOKUP($C149,Planes_de_estudio[],MATCH($AE$2,Carreras,0)+2,0),"")&gt;0,IFERROR(VLOOKUP($C149,Planes_de_estudio[],MATCH($AE$2,Carreras,0)+2,0),""),"")</f>
        <v/>
      </c>
      <c r="AF149" s="93" t="str">
        <f>IF(IFERROR(VLOOKUP($C149,Planes_de_estudio[],MATCH($AF$2,Carreras,0)+2,0),"")&gt;0,IFERROR(VLOOKUP($C149,Planes_de_estudio[],MATCH($AF$2,Carreras,0)+2,0),""),"")</f>
        <v/>
      </c>
      <c r="AG149" s="93">
        <f>IF(IFERROR(VLOOKUP($C149,Planes_de_estudio[],MATCH($AG$2,Carreras,0)+2,0),"")&gt;0,IFERROR(VLOOKUP($C149,Planes_de_estudio[],MATCH($AG$2,Carreras,0)+2,0),""),"")</f>
        <v>5</v>
      </c>
      <c r="AH149" s="93" t="str">
        <f>IF(IFERROR(VLOOKUP($C149,Planes_de_estudio[],MATCH($AH$2,Carreras,0)+2,0),"")&gt;0,IFERROR(VLOOKUP($C149,Planes_de_estudio[],MATCH($AH$2,Carreras,0)+2,0),""),"")</f>
        <v/>
      </c>
      <c r="AI149" s="93" t="str">
        <f>IF(IFERROR(VLOOKUP($C149,Planes_de_estudio[],MATCH($AI$2,Carreras,0)+2,0),"")&gt;0,IFERROR(VLOOKUP($C149,Planes_de_estudio[],MATCH($AI$2,Carreras,0)+2,0),""),"")</f>
        <v/>
      </c>
      <c r="AJ149" s="93" t="str">
        <f>IF(IFERROR(VLOOKUP($C149,Planes_de_estudio[],MATCH($AJ$2,Carreras,0)+2,0),"")&gt;0,IFERROR(VLOOKUP($C149,Planes_de_estudio[],MATCH($AJ$2,Carreras,0)+2,0),""),"")</f>
        <v/>
      </c>
      <c r="AK149" s="93" t="str">
        <f>IF(IFERROR(VLOOKUP($C149,Planes_de_estudio[],MATCH($AK$2,Carreras,0)+2,0),"")&gt;0,IFERROR(VLOOKUP($C149,Planes_de_estudio[],MATCH($AK$2,Carreras,0)+2,0),""),"")</f>
        <v/>
      </c>
      <c r="AL14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4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30</v>
      </c>
      <c r="AN149" s="93">
        <f>base_de_datos[[#This Row],[Pronóstico]]/25</f>
        <v>1.2</v>
      </c>
      <c r="AO149" s="93" t="s">
        <v>329</v>
      </c>
      <c r="AP149" s="196"/>
      <c r="AQ149" s="196"/>
      <c r="AR149" s="195">
        <v>6</v>
      </c>
      <c r="AS149" s="196"/>
      <c r="AT149" s="196"/>
      <c r="AU149" s="196"/>
      <c r="AV149" s="196"/>
      <c r="AW149" s="91"/>
      <c r="AX149" s="73"/>
    </row>
    <row r="150" spans="2:50" ht="16">
      <c r="B150" s="95" t="s">
        <v>254</v>
      </c>
      <c r="C150" s="96" t="s">
        <v>330</v>
      </c>
      <c r="D150" s="92">
        <v>1</v>
      </c>
      <c r="E150" s="97">
        <v>0.5</v>
      </c>
      <c r="F150" s="97">
        <v>0.624999999999995</v>
      </c>
      <c r="G150" s="92" t="s">
        <v>66</v>
      </c>
      <c r="H150" s="92" t="s">
        <v>195</v>
      </c>
      <c r="I150" s="92" t="e">
        <f>INDEX(Aulas_capacidad,MATCH(base_de_datos[[#This Row],[Aula]],Aulas,0),2)</f>
        <v>#REF!</v>
      </c>
      <c r="J150" s="90">
        <v>18</v>
      </c>
      <c r="K150" s="92" t="e">
        <f>INDEX(Aulas_capacidad,MATCH(base_de_datos[[#This Row],[Aula]],Aulas,0),4)</f>
        <v>#REF!</v>
      </c>
      <c r="L150" s="98" t="e">
        <f>base_de_datos[[#This Row],[Cap 1.5]]-base_de_datos[[#This Row],[Inscritos]]</f>
        <v>#REF!</v>
      </c>
      <c r="M150" s="98" t="e">
        <f>INDEX(Aulas_capacidad,MATCH(base_de_datos[[#This Row],[Aula]],Aulas,0),5)</f>
        <v>#REF!</v>
      </c>
      <c r="N150" s="98" t="e">
        <f>base_de_datos[[#This Row],[Cap .90]]-base_de_datos[[#This Row],[Inscritos]]</f>
        <v>#REF!</v>
      </c>
      <c r="O150" s="92">
        <v>1736</v>
      </c>
      <c r="P150" s="99"/>
      <c r="Q150" s="100" t="s">
        <v>68</v>
      </c>
      <c r="R150" s="99"/>
      <c r="S150" s="100"/>
      <c r="T150" s="100"/>
      <c r="U150" s="99"/>
      <c r="V150" s="99"/>
      <c r="W150" s="99" t="s">
        <v>122</v>
      </c>
      <c r="X150" s="93">
        <f>_xlfn.XLOOKUP(base_de_datos[[#This Row],[Materia]],Materias,Horas)/16</f>
        <v>3</v>
      </c>
      <c r="Y150" s="93">
        <f>ROUND(((base_de_datos[[#This Row],[Hora fin]]-base_de_datos[[#This Row],[Hora inicio]])*24)*(COUNTA(base_de_datos[[#This Row],[Lunes]:[Sábado]])),1)</f>
        <v>3</v>
      </c>
      <c r="Z150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0" s="93">
        <f ca="1">IF(base_de_datos[[#This Row],[No clase]]=OFFSET(base_de_datos[[#This Row],[No clase]],-1,0),0,1)</f>
        <v>1</v>
      </c>
      <c r="AB150" s="93">
        <f ca="1">IF(NOT(OR(base_de_datos[[#This Row],[Horas totales]]=base_de_datos[[#This Row],[HT Plan]],base_de_datos[[#This Row],[Horas totales]]="N/A")),1,0)</f>
        <v>0</v>
      </c>
      <c r="AC150" s="93" t="e">
        <f>_xlfn.XLOOKUP(base_de_datos[[#This Row],[Profesor]],Nombre,Grado)</f>
        <v>#REF!</v>
      </c>
      <c r="AD150" s="94" t="e">
        <f>_xlfn.XLOOKUP(base_de_datos[[#This Row],[Profesor]],Nombre,Tipo)</f>
        <v>#REF!</v>
      </c>
      <c r="AE150" s="93" t="str">
        <f>IF(IFERROR(VLOOKUP($C150,Planes_de_estudio[],MATCH($AE$2,Carreras,0)+2,0),"")&gt;0,IFERROR(VLOOKUP($C150,Planes_de_estudio[],MATCH($AE$2,Carreras,0)+2,0),""),"")</f>
        <v/>
      </c>
      <c r="AF150" s="93" t="str">
        <f>IF(IFERROR(VLOOKUP($C150,Planes_de_estudio[],MATCH($AF$2,Carreras,0)+2,0),"")&gt;0,IFERROR(VLOOKUP($C150,Planes_de_estudio[],MATCH($AF$2,Carreras,0)+2,0),""),"")</f>
        <v/>
      </c>
      <c r="AG150" s="93" t="str">
        <f>IF(IFERROR(VLOOKUP($C150,Planes_de_estudio[],MATCH($AG$2,Carreras,0)+2,0),"")&gt;0,IFERROR(VLOOKUP($C150,Planes_de_estudio[],MATCH($AG$2,Carreras,0)+2,0),""),"")</f>
        <v/>
      </c>
      <c r="AH150" s="93" t="str">
        <f>IF(IFERROR(VLOOKUP($C150,Planes_de_estudio[],MATCH($AH$2,Carreras,0)+2,0),"")&gt;0,IFERROR(VLOOKUP($C150,Planes_de_estudio[],MATCH($AH$2,Carreras,0)+2,0),""),"")</f>
        <v/>
      </c>
      <c r="AI150" s="93" t="str">
        <f>IF(IFERROR(VLOOKUP($C150,Planes_de_estudio[],MATCH($AI$2,Carreras,0)+2,0),"")&gt;0,IFERROR(VLOOKUP($C150,Planes_de_estudio[],MATCH($AI$2,Carreras,0)+2,0),""),"")</f>
        <v/>
      </c>
      <c r="AJ150" s="93">
        <f>IF(IFERROR(VLOOKUP($C150,Planes_de_estudio[],MATCH($AJ$2,Carreras,0)+2,0),"")&gt;0,IFERROR(VLOOKUP($C150,Planes_de_estudio[],MATCH($AJ$2,Carreras,0)+2,0),""),"")</f>
        <v>1</v>
      </c>
      <c r="AK150" s="93" t="str">
        <f>IF(IFERROR(VLOOKUP($C150,Planes_de_estudio[],MATCH($AK$2,Carreras,0)+2,0),"")&gt;0,IFERROR(VLOOKUP($C150,Planes_de_estudio[],MATCH($AK$2,Carreras,0)+2,0),""),"")</f>
        <v/>
      </c>
      <c r="AL15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5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16</v>
      </c>
      <c r="AN150" s="93">
        <f>base_de_datos[[#This Row],[Pronóstico]]/25</f>
        <v>0.64</v>
      </c>
      <c r="AO150" s="93" t="str">
        <f>VLOOKUP($C150,Planes_de_estudio[],2)</f>
        <v>ESC</v>
      </c>
      <c r="AP150" s="196"/>
      <c r="AQ150" s="196"/>
      <c r="AR150" s="196"/>
      <c r="AS150" s="196"/>
      <c r="AT150" s="196"/>
      <c r="AU150" s="195">
        <v>6</v>
      </c>
      <c r="AV150" s="196"/>
      <c r="AW150" s="91"/>
      <c r="AX150" s="73"/>
    </row>
    <row r="151" spans="2:50" ht="16">
      <c r="B151" s="95" t="s">
        <v>331</v>
      </c>
      <c r="C151" s="96" t="s">
        <v>332</v>
      </c>
      <c r="D151" s="92">
        <v>1</v>
      </c>
      <c r="E151" s="97">
        <v>0.375</v>
      </c>
      <c r="F151" s="97">
        <v>0.45833333333333098</v>
      </c>
      <c r="G151" s="92"/>
      <c r="H151" s="92" t="s">
        <v>80</v>
      </c>
      <c r="I151" s="92" t="e">
        <f>INDEX(Aulas_capacidad,MATCH(base_de_datos[[#This Row],[Aula]],Aulas,0),2)</f>
        <v>#REF!</v>
      </c>
      <c r="J151" s="90">
        <v>16</v>
      </c>
      <c r="K151" s="92" t="e">
        <f>INDEX(Aulas_capacidad,MATCH(base_de_datos[[#This Row],[Aula]],Aulas,0),4)</f>
        <v>#REF!</v>
      </c>
      <c r="L151" s="98" t="e">
        <f>base_de_datos[[#This Row],[Cap 1.5]]-base_de_datos[[#This Row],[Inscritos]]</f>
        <v>#REF!</v>
      </c>
      <c r="M151" s="98" t="e">
        <f>INDEX(Aulas_capacidad,MATCH(base_de_datos[[#This Row],[Aula]],Aulas,0),5)</f>
        <v>#REF!</v>
      </c>
      <c r="N151" s="98" t="e">
        <f>base_de_datos[[#This Row],[Cap .90]]-base_de_datos[[#This Row],[Inscritos]]</f>
        <v>#REF!</v>
      </c>
      <c r="O151" s="92">
        <v>1741</v>
      </c>
      <c r="P151" s="99" t="s">
        <v>68</v>
      </c>
      <c r="Q151" s="100"/>
      <c r="R151" s="99"/>
      <c r="S151" s="100"/>
      <c r="T151" s="100"/>
      <c r="U151" s="99"/>
      <c r="V151" s="99"/>
      <c r="W151" s="99" t="s">
        <v>74</v>
      </c>
      <c r="X151" s="93">
        <f>_xlfn.XLOOKUP(base_de_datos[[#This Row],[Materia]],Materias,Horas)/16</f>
        <v>4</v>
      </c>
      <c r="Y151" s="93">
        <f>ROUND(((base_de_datos[[#This Row],[Hora fin]]-base_de_datos[[#This Row],[Hora inicio]])*24)*(COUNTA(base_de_datos[[#This Row],[Lunes]:[Sábado]])),1)</f>
        <v>2</v>
      </c>
      <c r="Z151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51" s="93">
        <f ca="1">IF(base_de_datos[[#This Row],[No clase]]=OFFSET(base_de_datos[[#This Row],[No clase]],-1,0),0,1)</f>
        <v>1</v>
      </c>
      <c r="AB151" s="93">
        <f ca="1">IF(NOT(OR(base_de_datos[[#This Row],[Horas totales]]=base_de_datos[[#This Row],[HT Plan]],base_de_datos[[#This Row],[Horas totales]]="N/A")),1,0)</f>
        <v>0</v>
      </c>
      <c r="AC151" s="93" t="e">
        <f>_xlfn.XLOOKUP(base_de_datos[[#This Row],[Profesor]],Nombre,Grado)</f>
        <v>#REF!</v>
      </c>
      <c r="AD151" s="94" t="e">
        <f>_xlfn.XLOOKUP(base_de_datos[[#This Row],[Profesor]],Nombre,Tipo)</f>
        <v>#REF!</v>
      </c>
      <c r="AE151" s="93" t="str">
        <f>IF(IFERROR(VLOOKUP($C151,Planes_de_estudio[],MATCH($AE$2,Carreras,0)+2,0),"")&gt;0,IFERROR(VLOOKUP($C151,Planes_de_estudio[],MATCH($AE$2,Carreras,0)+2,0),""),"")</f>
        <v/>
      </c>
      <c r="AF151" s="93" t="str">
        <f>IF(IFERROR(VLOOKUP($C151,Planes_de_estudio[],MATCH($AF$2,Carreras,0)+2,0),"")&gt;0,IFERROR(VLOOKUP($C151,Planes_de_estudio[],MATCH($AF$2,Carreras,0)+2,0),""),"")</f>
        <v/>
      </c>
      <c r="AG151" s="93" t="str">
        <f>IF(IFERROR(VLOOKUP($C151,Planes_de_estudio[],MATCH($AG$2,Carreras,0)+2,0),"")&gt;0,IFERROR(VLOOKUP($C151,Planes_de_estudio[],MATCH($AG$2,Carreras,0)+2,0),""),"")</f>
        <v/>
      </c>
      <c r="AH151" s="93" t="str">
        <f>IF(IFERROR(VLOOKUP($C151,Planes_de_estudio[],MATCH($AH$2,Carreras,0)+2,0),"")&gt;0,IFERROR(VLOOKUP($C151,Planes_de_estudio[],MATCH($AH$2,Carreras,0)+2,0),""),"")</f>
        <v/>
      </c>
      <c r="AI151" s="93" t="str">
        <f>IF(IFERROR(VLOOKUP($C151,Planes_de_estudio[],MATCH($AI$2,Carreras,0)+2,0),"")&gt;0,IFERROR(VLOOKUP($C151,Planes_de_estudio[],MATCH($AI$2,Carreras,0)+2,0),""),"")</f>
        <v/>
      </c>
      <c r="AJ151" s="93">
        <f>IF(IFERROR(VLOOKUP($C151,Planes_de_estudio[],MATCH($AJ$2,Carreras,0)+2,0),"")&gt;0,IFERROR(VLOOKUP($C151,Planes_de_estudio[],MATCH($AJ$2,Carreras,0)+2,0),""),"")</f>
        <v>3</v>
      </c>
      <c r="AK151" s="93" t="str">
        <f>IF(IFERROR(VLOOKUP($C151,Planes_de_estudio[],MATCH($AK$2,Carreras,0)+2,0),"")&gt;0,IFERROR(VLOOKUP($C151,Planes_de_estudio[],MATCH($AK$2,Carreras,0)+2,0),""),"")</f>
        <v/>
      </c>
      <c r="AL15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5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11</v>
      </c>
      <c r="AN151" s="93">
        <f>base_de_datos[[#This Row],[Pronóstico]]/25</f>
        <v>0.44</v>
      </c>
      <c r="AO151" s="93" t="str">
        <f>VLOOKUP($C151,Planes_de_estudio[],2)</f>
        <v>ESC</v>
      </c>
      <c r="AP151" s="196"/>
      <c r="AQ151" s="196"/>
      <c r="AR151" s="196"/>
      <c r="AS151" s="196"/>
      <c r="AT151" s="196"/>
      <c r="AU151" s="195">
        <v>6</v>
      </c>
      <c r="AV151" s="196"/>
      <c r="AW151" s="91"/>
      <c r="AX151" s="73"/>
    </row>
    <row r="152" spans="2:50" ht="16">
      <c r="B152" s="95" t="s">
        <v>331</v>
      </c>
      <c r="C152" s="96" t="s">
        <v>332</v>
      </c>
      <c r="D152" s="92">
        <v>1</v>
      </c>
      <c r="E152" s="97">
        <v>0.375</v>
      </c>
      <c r="F152" s="97">
        <v>0.45833333333333098</v>
      </c>
      <c r="G152" s="92"/>
      <c r="H152" s="92" t="s">
        <v>333</v>
      </c>
      <c r="I152" s="92" t="e">
        <f>INDEX(Aulas_capacidad,MATCH(base_de_datos[[#This Row],[Aula]],Aulas,0),2)</f>
        <v>#REF!</v>
      </c>
      <c r="J152" s="90">
        <v>16</v>
      </c>
      <c r="K152" s="92" t="e">
        <f>INDEX(Aulas_capacidad,MATCH(base_de_datos[[#This Row],[Aula]],Aulas,0),4)</f>
        <v>#REF!</v>
      </c>
      <c r="L152" s="98" t="e">
        <f>base_de_datos[[#This Row],[Cap 1.5]]-base_de_datos[[#This Row],[Inscritos]]</f>
        <v>#REF!</v>
      </c>
      <c r="M152" s="98" t="e">
        <f>INDEX(Aulas_capacidad,MATCH(base_de_datos[[#This Row],[Aula]],Aulas,0),5)</f>
        <v>#REF!</v>
      </c>
      <c r="N152" s="98" t="e">
        <f>base_de_datos[[#This Row],[Cap .90]]-base_de_datos[[#This Row],[Inscritos]]</f>
        <v>#REF!</v>
      </c>
      <c r="O152" s="92">
        <v>1741</v>
      </c>
      <c r="P152" s="99"/>
      <c r="Q152" s="100"/>
      <c r="R152" s="99"/>
      <c r="S152" s="100"/>
      <c r="T152" s="100" t="s">
        <v>68</v>
      </c>
      <c r="U152" s="99"/>
      <c r="V152" s="99"/>
      <c r="W152" s="99" t="s">
        <v>74</v>
      </c>
      <c r="X152" s="93">
        <f>_xlfn.XLOOKUP(base_de_datos[[#This Row],[Materia]],Materias,Horas)/16</f>
        <v>4</v>
      </c>
      <c r="Y152" s="93">
        <f>ROUND(((base_de_datos[[#This Row],[Hora fin]]-base_de_datos[[#This Row],[Hora inicio]])*24)*(COUNTA(base_de_datos[[#This Row],[Lunes]:[Sábado]])),1)</f>
        <v>2</v>
      </c>
      <c r="Z152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2" s="93">
        <f ca="1">IF(base_de_datos[[#This Row],[No clase]]=OFFSET(base_de_datos[[#This Row],[No clase]],-1,0),0,1)</f>
        <v>0</v>
      </c>
      <c r="AB152" s="93">
        <f ca="1">IF(NOT(OR(base_de_datos[[#This Row],[Horas totales]]=base_de_datos[[#This Row],[HT Plan]],base_de_datos[[#This Row],[Horas totales]]="N/A")),1,0)</f>
        <v>0</v>
      </c>
      <c r="AC152" s="93" t="e">
        <f>_xlfn.XLOOKUP(base_de_datos[[#This Row],[Profesor]],Nombre,Grado)</f>
        <v>#REF!</v>
      </c>
      <c r="AD152" s="94" t="e">
        <f>_xlfn.XLOOKUP(base_de_datos[[#This Row],[Profesor]],Nombre,Tipo)</f>
        <v>#REF!</v>
      </c>
      <c r="AE152" s="93" t="str">
        <f>IF(IFERROR(VLOOKUP($C152,Planes_de_estudio[],MATCH($AE$2,Carreras,0)+2,0),"")&gt;0,IFERROR(VLOOKUP($C152,Planes_de_estudio[],MATCH($AE$2,Carreras,0)+2,0),""),"")</f>
        <v/>
      </c>
      <c r="AF152" s="93" t="str">
        <f>IF(IFERROR(VLOOKUP($C152,Planes_de_estudio[],MATCH($AF$2,Carreras,0)+2,0),"")&gt;0,IFERROR(VLOOKUP($C152,Planes_de_estudio[],MATCH($AF$2,Carreras,0)+2,0),""),"")</f>
        <v/>
      </c>
      <c r="AG152" s="93" t="str">
        <f>IF(IFERROR(VLOOKUP($C152,Planes_de_estudio[],MATCH($AG$2,Carreras,0)+2,0),"")&gt;0,IFERROR(VLOOKUP($C152,Planes_de_estudio[],MATCH($AG$2,Carreras,0)+2,0),""),"")</f>
        <v/>
      </c>
      <c r="AH152" s="93" t="str">
        <f>IF(IFERROR(VLOOKUP($C152,Planes_de_estudio[],MATCH($AH$2,Carreras,0)+2,0),"")&gt;0,IFERROR(VLOOKUP($C152,Planes_de_estudio[],MATCH($AH$2,Carreras,0)+2,0),""),"")</f>
        <v/>
      </c>
      <c r="AI152" s="93" t="str">
        <f>IF(IFERROR(VLOOKUP($C152,Planes_de_estudio[],MATCH($AI$2,Carreras,0)+2,0),"")&gt;0,IFERROR(VLOOKUP($C152,Planes_de_estudio[],MATCH($AI$2,Carreras,0)+2,0),""),"")</f>
        <v/>
      </c>
      <c r="AJ152" s="93">
        <f>IF(IFERROR(VLOOKUP($C152,Planes_de_estudio[],MATCH($AJ$2,Carreras,0)+2,0),"")&gt;0,IFERROR(VLOOKUP($C152,Planes_de_estudio[],MATCH($AJ$2,Carreras,0)+2,0),""),"")</f>
        <v>3</v>
      </c>
      <c r="AK152" s="93" t="str">
        <f>IF(IFERROR(VLOOKUP($C152,Planes_de_estudio[],MATCH($AK$2,Carreras,0)+2,0),"")&gt;0,IFERROR(VLOOKUP($C152,Planes_de_estudio[],MATCH($AK$2,Carreras,0)+2,0),""),"")</f>
        <v/>
      </c>
      <c r="AL15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5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11</v>
      </c>
      <c r="AN152" s="93">
        <f>base_de_datos[[#This Row],[Pronóstico]]/25</f>
        <v>0.44</v>
      </c>
      <c r="AO152" s="93" t="str">
        <f>VLOOKUP($C152,Planes_de_estudio[],2)</f>
        <v>ESC</v>
      </c>
      <c r="AP152" s="196"/>
      <c r="AQ152" s="196"/>
      <c r="AR152" s="196"/>
      <c r="AS152" s="196"/>
      <c r="AT152" s="196"/>
      <c r="AU152" s="196"/>
      <c r="AV152" s="196"/>
      <c r="AW152" s="91"/>
      <c r="AX152" s="73"/>
    </row>
    <row r="153" spans="2:50" ht="16">
      <c r="B153" s="95" t="s">
        <v>334</v>
      </c>
      <c r="C153" s="96" t="s">
        <v>335</v>
      </c>
      <c r="D153" s="92">
        <v>1</v>
      </c>
      <c r="E153" s="97">
        <v>0.5</v>
      </c>
      <c r="F153" s="97">
        <v>0.58333333333332904</v>
      </c>
      <c r="G153" s="92"/>
      <c r="H153" s="92" t="s">
        <v>18</v>
      </c>
      <c r="I153" s="92" t="e">
        <f>INDEX(Aulas_capacidad,MATCH(base_de_datos[[#This Row],[Aula]],Aulas,0),2)</f>
        <v>#REF!</v>
      </c>
      <c r="J153" s="90">
        <v>13</v>
      </c>
      <c r="K153" s="92" t="e">
        <f>INDEX(Aulas_capacidad,MATCH(base_de_datos[[#This Row],[Aula]],Aulas,0),4)</f>
        <v>#REF!</v>
      </c>
      <c r="L153" s="98" t="e">
        <f>base_de_datos[[#This Row],[Cap 1.5]]-base_de_datos[[#This Row],[Inscritos]]</f>
        <v>#REF!</v>
      </c>
      <c r="M153" s="98" t="e">
        <f>INDEX(Aulas_capacidad,MATCH(base_de_datos[[#This Row],[Aula]],Aulas,0),5)</f>
        <v>#REF!</v>
      </c>
      <c r="N153" s="98" t="e">
        <f>base_de_datos[[#This Row],[Cap .90]]-base_de_datos[[#This Row],[Inscritos]]</f>
        <v>#REF!</v>
      </c>
      <c r="O153" s="92" t="s">
        <v>336</v>
      </c>
      <c r="P153" s="99"/>
      <c r="Q153" s="100"/>
      <c r="R153" s="99" t="s">
        <v>68</v>
      </c>
      <c r="S153" s="100"/>
      <c r="T153" s="100"/>
      <c r="U153" s="99"/>
      <c r="V153" s="99"/>
      <c r="W153" s="99" t="s">
        <v>135</v>
      </c>
      <c r="X153" s="93">
        <f>_xlfn.XLOOKUP(base_de_datos[[#This Row],[Materia]],Materias,Horas)/16</f>
        <v>5</v>
      </c>
      <c r="Y153" s="93">
        <f>ROUND(((base_de_datos[[#This Row],[Hora fin]]-base_de_datos[[#This Row],[Hora inicio]])*24)*(COUNTA(base_de_datos[[#This Row],[Lunes]:[Sábado]])),1)</f>
        <v>2</v>
      </c>
      <c r="Z153" s="93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53" s="93">
        <f ca="1">IF(base_de_datos[[#This Row],[No clase]]=OFFSET(base_de_datos[[#This Row],[No clase]],-1,0),0,1)</f>
        <v>1</v>
      </c>
      <c r="AB153" s="93">
        <f ca="1">IF(NOT(OR(base_de_datos[[#This Row],[Horas totales]]=base_de_datos[[#This Row],[HT Plan]],base_de_datos[[#This Row],[Horas totales]]="N/A")),1,0)</f>
        <v>0</v>
      </c>
      <c r="AC153" s="93" t="e">
        <f>_xlfn.XLOOKUP(base_de_datos[[#This Row],[Profesor]],Nombre,Grado)</f>
        <v>#REF!</v>
      </c>
      <c r="AD153" s="94" t="e">
        <f>_xlfn.XLOOKUP(base_de_datos[[#This Row],[Profesor]],Nombre,Tipo)</f>
        <v>#REF!</v>
      </c>
      <c r="AE153" s="93" t="str">
        <f>IF(IFERROR(VLOOKUP($C153,Planes_de_estudio[],MATCH($AE$2,Carreras,0)+2,0),"")&gt;0,IFERROR(VLOOKUP($C153,Planes_de_estudio[],MATCH($AE$2,Carreras,0)+2,0),""),"")</f>
        <v/>
      </c>
      <c r="AF153" s="93" t="str">
        <f>IF(IFERROR(VLOOKUP($C153,Planes_de_estudio[],MATCH($AF$2,Carreras,0)+2,0),"")&gt;0,IFERROR(VLOOKUP($C153,Planes_de_estudio[],MATCH($AF$2,Carreras,0)+2,0),""),"")</f>
        <v/>
      </c>
      <c r="AG153" s="93" t="str">
        <f>IF(IFERROR(VLOOKUP($C153,Planes_de_estudio[],MATCH($AG$2,Carreras,0)+2,0),"")&gt;0,IFERROR(VLOOKUP($C153,Planes_de_estudio[],MATCH($AG$2,Carreras,0)+2,0),""),"")</f>
        <v/>
      </c>
      <c r="AH153" s="93" t="str">
        <f>IF(IFERROR(VLOOKUP($C153,Planes_de_estudio[],MATCH($AH$2,Carreras,0)+2,0),"")&gt;0,IFERROR(VLOOKUP($C153,Planes_de_estudio[],MATCH($AH$2,Carreras,0)+2,0),""),"")</f>
        <v/>
      </c>
      <c r="AI153" s="93" t="str">
        <f>IF(IFERROR(VLOOKUP($C153,Planes_de_estudio[],MATCH($AI$2,Carreras,0)+2,0),"")&gt;0,IFERROR(VLOOKUP($C153,Planes_de_estudio[],MATCH($AI$2,Carreras,0)+2,0),""),"")</f>
        <v/>
      </c>
      <c r="AJ153" s="93">
        <f>IF(IFERROR(VLOOKUP($C153,Planes_de_estudio[],MATCH($AJ$2,Carreras,0)+2,0),"")&gt;0,IFERROR(VLOOKUP($C153,Planes_de_estudio[],MATCH($AJ$2,Carreras,0)+2,0),""),"")</f>
        <v>5</v>
      </c>
      <c r="AK153" s="93" t="str">
        <f>IF(IFERROR(VLOOKUP($C153,Planes_de_estudio[],MATCH($AK$2,Carreras,0)+2,0),"")&gt;0,IFERROR(VLOOKUP($C153,Planes_de_estudio[],MATCH($AK$2,Carreras,0)+2,0),""),"")</f>
        <v/>
      </c>
      <c r="AL15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5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11</v>
      </c>
      <c r="AN153" s="93">
        <f>base_de_datos[[#This Row],[Pronóstico]]/25</f>
        <v>0.44</v>
      </c>
      <c r="AO153" s="93" t="str">
        <f>VLOOKUP($C153,Planes_de_estudio[],2)</f>
        <v>ESC</v>
      </c>
      <c r="AP153" s="196"/>
      <c r="AQ153" s="196"/>
      <c r="AR153" s="196"/>
      <c r="AS153" s="196"/>
      <c r="AT153" s="196"/>
      <c r="AU153" s="195">
        <v>6</v>
      </c>
      <c r="AV153" s="196"/>
      <c r="AW153" s="91"/>
      <c r="AX153" s="73"/>
    </row>
    <row r="154" spans="2:50" ht="16">
      <c r="B154" s="95" t="s">
        <v>334</v>
      </c>
      <c r="C154" s="96" t="s">
        <v>335</v>
      </c>
      <c r="D154" s="92">
        <v>1</v>
      </c>
      <c r="E154" s="97">
        <v>0.5</v>
      </c>
      <c r="F154" s="97">
        <v>0.624999999999995</v>
      </c>
      <c r="G154" s="92"/>
      <c r="H154" s="92" t="s">
        <v>18</v>
      </c>
      <c r="I154" s="92" t="e">
        <f>INDEX(Aulas_capacidad,MATCH(base_de_datos[[#This Row],[Aula]],Aulas,0),2)</f>
        <v>#REF!</v>
      </c>
      <c r="J154" s="90">
        <v>13</v>
      </c>
      <c r="K154" s="92" t="e">
        <f>INDEX(Aulas_capacidad,MATCH(base_de_datos[[#This Row],[Aula]],Aulas,0),4)</f>
        <v>#REF!</v>
      </c>
      <c r="L154" s="98" t="e">
        <f>base_de_datos[[#This Row],[Cap 1.5]]-base_de_datos[[#This Row],[Inscritos]]</f>
        <v>#REF!</v>
      </c>
      <c r="M154" s="98" t="e">
        <f>INDEX(Aulas_capacidad,MATCH(base_de_datos[[#This Row],[Aula]],Aulas,0),5)</f>
        <v>#REF!</v>
      </c>
      <c r="N154" s="98" t="e">
        <f>base_de_datos[[#This Row],[Cap .90]]-base_de_datos[[#This Row],[Inscritos]]</f>
        <v>#REF!</v>
      </c>
      <c r="O154" s="92" t="s">
        <v>336</v>
      </c>
      <c r="P154" s="99"/>
      <c r="Q154" s="100"/>
      <c r="R154" s="99"/>
      <c r="S154" s="100"/>
      <c r="T154" s="100" t="s">
        <v>68</v>
      </c>
      <c r="U154" s="99"/>
      <c r="V154" s="99"/>
      <c r="W154" s="99" t="s">
        <v>135</v>
      </c>
      <c r="X154" s="93">
        <f>_xlfn.XLOOKUP(base_de_datos[[#This Row],[Materia]],Materias,Horas)/16</f>
        <v>5</v>
      </c>
      <c r="Y154" s="93">
        <f>ROUND(((base_de_datos[[#This Row],[Hora fin]]-base_de_datos[[#This Row],[Hora inicio]])*24)*(COUNTA(base_de_datos[[#This Row],[Lunes]:[Sábado]])),1)</f>
        <v>3</v>
      </c>
      <c r="Z154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4" s="93">
        <f ca="1">IF(base_de_datos[[#This Row],[No clase]]=OFFSET(base_de_datos[[#This Row],[No clase]],-1,0),0,1)</f>
        <v>0</v>
      </c>
      <c r="AB154" s="93">
        <f ca="1">IF(NOT(OR(base_de_datos[[#This Row],[Horas totales]]=base_de_datos[[#This Row],[HT Plan]],base_de_datos[[#This Row],[Horas totales]]="N/A")),1,0)</f>
        <v>0</v>
      </c>
      <c r="AC154" s="93" t="e">
        <f>_xlfn.XLOOKUP(base_de_datos[[#This Row],[Profesor]],Nombre,Grado)</f>
        <v>#REF!</v>
      </c>
      <c r="AD154" s="94" t="e">
        <f>_xlfn.XLOOKUP(base_de_datos[[#This Row],[Profesor]],Nombre,Tipo)</f>
        <v>#REF!</v>
      </c>
      <c r="AE154" s="93" t="str">
        <f>IF(IFERROR(VLOOKUP($C154,Planes_de_estudio[],MATCH($AE$2,Carreras,0)+2,0),"")&gt;0,IFERROR(VLOOKUP($C154,Planes_de_estudio[],MATCH($AE$2,Carreras,0)+2,0),""),"")</f>
        <v/>
      </c>
      <c r="AF154" s="93" t="str">
        <f>IF(IFERROR(VLOOKUP($C154,Planes_de_estudio[],MATCH($AF$2,Carreras,0)+2,0),"")&gt;0,IFERROR(VLOOKUP($C154,Planes_de_estudio[],MATCH($AF$2,Carreras,0)+2,0),""),"")</f>
        <v/>
      </c>
      <c r="AG154" s="93" t="str">
        <f>IF(IFERROR(VLOOKUP($C154,Planes_de_estudio[],MATCH($AG$2,Carreras,0)+2,0),"")&gt;0,IFERROR(VLOOKUP($C154,Planes_de_estudio[],MATCH($AG$2,Carreras,0)+2,0),""),"")</f>
        <v/>
      </c>
      <c r="AH154" s="93" t="str">
        <f>IF(IFERROR(VLOOKUP($C154,Planes_de_estudio[],MATCH($AH$2,Carreras,0)+2,0),"")&gt;0,IFERROR(VLOOKUP($C154,Planes_de_estudio[],MATCH($AH$2,Carreras,0)+2,0),""),"")</f>
        <v/>
      </c>
      <c r="AI154" s="93" t="str">
        <f>IF(IFERROR(VLOOKUP($C154,Planes_de_estudio[],MATCH($AI$2,Carreras,0)+2,0),"")&gt;0,IFERROR(VLOOKUP($C154,Planes_de_estudio[],MATCH($AI$2,Carreras,0)+2,0),""),"")</f>
        <v/>
      </c>
      <c r="AJ154" s="93">
        <f>IF(IFERROR(VLOOKUP($C154,Planes_de_estudio[],MATCH($AJ$2,Carreras,0)+2,0),"")&gt;0,IFERROR(VLOOKUP($C154,Planes_de_estudio[],MATCH($AJ$2,Carreras,0)+2,0),""),"")</f>
        <v>5</v>
      </c>
      <c r="AK154" s="93" t="str">
        <f>IF(IFERROR(VLOOKUP($C154,Planes_de_estudio[],MATCH($AK$2,Carreras,0)+2,0),"")&gt;0,IFERROR(VLOOKUP($C154,Planes_de_estudio[],MATCH($AK$2,Carreras,0)+2,0),""),"")</f>
        <v/>
      </c>
      <c r="AL15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5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11</v>
      </c>
      <c r="AN154" s="93">
        <f>base_de_datos[[#This Row],[Pronóstico]]/25</f>
        <v>0.44</v>
      </c>
      <c r="AO154" s="93" t="str">
        <f>VLOOKUP($C154,Planes_de_estudio[],2)</f>
        <v>ESC</v>
      </c>
      <c r="AP154" s="196"/>
      <c r="AQ154" s="196"/>
      <c r="AR154" s="196"/>
      <c r="AS154" s="196"/>
      <c r="AT154" s="196"/>
      <c r="AU154" s="196"/>
      <c r="AV154" s="196"/>
      <c r="AW154" s="91"/>
      <c r="AX154" s="73"/>
    </row>
    <row r="155" spans="2:50" ht="16">
      <c r="B155" s="95" t="s">
        <v>334</v>
      </c>
      <c r="C155" s="96" t="s">
        <v>337</v>
      </c>
      <c r="D155" s="92">
        <v>1</v>
      </c>
      <c r="E155" s="97">
        <v>0.625</v>
      </c>
      <c r="F155" s="97">
        <v>0.70833333333332704</v>
      </c>
      <c r="G155" s="92"/>
      <c r="H155" s="92" t="s">
        <v>18</v>
      </c>
      <c r="I155" s="92" t="e">
        <f>INDEX(Aulas_capacidad,MATCH(base_de_datos[[#This Row],[Aula]],Aulas,0),2)</f>
        <v>#REF!</v>
      </c>
      <c r="J155" s="90">
        <v>13</v>
      </c>
      <c r="K155" s="92" t="e">
        <f>INDEX(Aulas_capacidad,MATCH(base_de_datos[[#This Row],[Aula]],Aulas,0),4)</f>
        <v>#REF!</v>
      </c>
      <c r="L155" s="98" t="e">
        <f>base_de_datos[[#This Row],[Cap 1.5]]-base_de_datos[[#This Row],[Inscritos]]</f>
        <v>#REF!</v>
      </c>
      <c r="M155" s="98" t="e">
        <f>INDEX(Aulas_capacidad,MATCH(base_de_datos[[#This Row],[Aula]],Aulas,0),5)</f>
        <v>#REF!</v>
      </c>
      <c r="N155" s="98" t="e">
        <f>base_de_datos[[#This Row],[Cap .90]]-base_de_datos[[#This Row],[Inscritos]]</f>
        <v>#REF!</v>
      </c>
      <c r="O155" s="92">
        <v>1744</v>
      </c>
      <c r="P155" s="99"/>
      <c r="Q155" s="100" t="s">
        <v>68</v>
      </c>
      <c r="R155" s="99"/>
      <c r="S155" s="100"/>
      <c r="T155" s="100"/>
      <c r="U155" s="99"/>
      <c r="V155" s="99"/>
      <c r="W155" s="99" t="s">
        <v>135</v>
      </c>
      <c r="X155" s="93">
        <f>_xlfn.XLOOKUP(base_de_datos[[#This Row],[Materia]],Materias,Horas)/16</f>
        <v>4</v>
      </c>
      <c r="Y155" s="93">
        <f>ROUND(((base_de_datos[[#This Row],[Hora fin]]-base_de_datos[[#This Row],[Hora inicio]])*24)*(COUNTA(base_de_datos[[#This Row],[Lunes]:[Sábado]])),1)</f>
        <v>2</v>
      </c>
      <c r="Z155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55" s="93">
        <f ca="1">IF(base_de_datos[[#This Row],[No clase]]=OFFSET(base_de_datos[[#This Row],[No clase]],-1,0),0,1)</f>
        <v>1</v>
      </c>
      <c r="AB155" s="93">
        <f ca="1">IF(NOT(OR(base_de_datos[[#This Row],[Horas totales]]=base_de_datos[[#This Row],[HT Plan]],base_de_datos[[#This Row],[Horas totales]]="N/A")),1,0)</f>
        <v>0</v>
      </c>
      <c r="AC155" s="93" t="e">
        <f>_xlfn.XLOOKUP(base_de_datos[[#This Row],[Profesor]],Nombre,Grado)</f>
        <v>#REF!</v>
      </c>
      <c r="AD155" s="94" t="e">
        <f>_xlfn.XLOOKUP(base_de_datos[[#This Row],[Profesor]],Nombre,Tipo)</f>
        <v>#REF!</v>
      </c>
      <c r="AE155" s="93" t="str">
        <f>IF(IFERROR(VLOOKUP($C155,Planes_de_estudio[],MATCH($AE$2,Carreras,0)+2,0),"")&gt;0,IFERROR(VLOOKUP($C155,Planes_de_estudio[],MATCH($AE$2,Carreras,0)+2,0),""),"")</f>
        <v/>
      </c>
      <c r="AF155" s="93" t="str">
        <f>IF(IFERROR(VLOOKUP($C155,Planes_de_estudio[],MATCH($AF$2,Carreras,0)+2,0),"")&gt;0,IFERROR(VLOOKUP($C155,Planes_de_estudio[],MATCH($AF$2,Carreras,0)+2,0),""),"")</f>
        <v/>
      </c>
      <c r="AG155" s="93" t="str">
        <f>IF(IFERROR(VLOOKUP($C155,Planes_de_estudio[],MATCH($AG$2,Carreras,0)+2,0),"")&gt;0,IFERROR(VLOOKUP($C155,Planes_de_estudio[],MATCH($AG$2,Carreras,0)+2,0),""),"")</f>
        <v/>
      </c>
      <c r="AH155" s="93" t="str">
        <f>IF(IFERROR(VLOOKUP($C155,Planes_de_estudio[],MATCH($AH$2,Carreras,0)+2,0),"")&gt;0,IFERROR(VLOOKUP($C155,Planes_de_estudio[],MATCH($AH$2,Carreras,0)+2,0),""),"")</f>
        <v/>
      </c>
      <c r="AI155" s="93" t="str">
        <f>IF(IFERROR(VLOOKUP($C155,Planes_de_estudio[],MATCH($AI$2,Carreras,0)+2,0),"")&gt;0,IFERROR(VLOOKUP($C155,Planes_de_estudio[],MATCH($AI$2,Carreras,0)+2,0),""),"")</f>
        <v/>
      </c>
      <c r="AJ155" s="93">
        <f>IF(IFERROR(VLOOKUP($C155,Planes_de_estudio[],MATCH($AJ$2,Carreras,0)+2,0),"")&gt;0,IFERROR(VLOOKUP($C155,Planes_de_estudio[],MATCH($AJ$2,Carreras,0)+2,0),""),"")</f>
        <v>7</v>
      </c>
      <c r="AK155" s="93" t="str">
        <f>IF(IFERROR(VLOOKUP($C155,Planes_de_estudio[],MATCH($AK$2,Carreras,0)+2,0),"")&gt;0,IFERROR(VLOOKUP($C155,Planes_de_estudio[],MATCH($AK$2,Carreras,0)+2,0),""),"")</f>
        <v/>
      </c>
      <c r="AL15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5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55" s="93">
        <f>base_de_datos[[#This Row],[Pronóstico]]/25</f>
        <v>0.56000000000000005</v>
      </c>
      <c r="AO155" s="93" t="str">
        <f>VLOOKUP($C155,Planes_de_estudio[],2)</f>
        <v>ESC</v>
      </c>
      <c r="AP155" s="196"/>
      <c r="AQ155" s="196"/>
      <c r="AR155" s="196"/>
      <c r="AS155" s="196"/>
      <c r="AT155" s="196"/>
      <c r="AU155" s="195">
        <v>6</v>
      </c>
      <c r="AV155" s="196"/>
      <c r="AW155" s="91"/>
      <c r="AX155" s="73"/>
    </row>
    <row r="156" spans="2:50" ht="16">
      <c r="B156" s="95" t="s">
        <v>334</v>
      </c>
      <c r="C156" s="96" t="s">
        <v>337</v>
      </c>
      <c r="D156" s="92">
        <v>1</v>
      </c>
      <c r="E156" s="97">
        <v>0.66666666666666696</v>
      </c>
      <c r="F156" s="97">
        <v>0.74999999999999301</v>
      </c>
      <c r="G156" s="92"/>
      <c r="H156" s="92" t="s">
        <v>18</v>
      </c>
      <c r="I156" s="92" t="e">
        <f>INDEX(Aulas_capacidad,MATCH(base_de_datos[[#This Row],[Aula]],Aulas,0),2)</f>
        <v>#REF!</v>
      </c>
      <c r="J156" s="90">
        <v>13</v>
      </c>
      <c r="K156" s="92" t="e">
        <f>INDEX(Aulas_capacidad,MATCH(base_de_datos[[#This Row],[Aula]],Aulas,0),4)</f>
        <v>#REF!</v>
      </c>
      <c r="L156" s="98" t="e">
        <f>base_de_datos[[#This Row],[Cap 1.5]]-base_de_datos[[#This Row],[Inscritos]]</f>
        <v>#REF!</v>
      </c>
      <c r="M156" s="98" t="e">
        <f>INDEX(Aulas_capacidad,MATCH(base_de_datos[[#This Row],[Aula]],Aulas,0),5)</f>
        <v>#REF!</v>
      </c>
      <c r="N156" s="98" t="e">
        <f>base_de_datos[[#This Row],[Cap .90]]-base_de_datos[[#This Row],[Inscritos]]</f>
        <v>#REF!</v>
      </c>
      <c r="O156" s="92">
        <v>1744</v>
      </c>
      <c r="P156" s="99"/>
      <c r="Q156" s="100"/>
      <c r="R156" s="99"/>
      <c r="S156" s="100"/>
      <c r="T156" s="100" t="s">
        <v>68</v>
      </c>
      <c r="U156" s="99"/>
      <c r="V156" s="99"/>
      <c r="W156" s="99" t="s">
        <v>135</v>
      </c>
      <c r="X156" s="93">
        <f>_xlfn.XLOOKUP(base_de_datos[[#This Row],[Materia]],Materias,Horas)/16</f>
        <v>4</v>
      </c>
      <c r="Y156" s="93">
        <f>ROUND(((base_de_datos[[#This Row],[Hora fin]]-base_de_datos[[#This Row],[Hora inicio]])*24)*(COUNTA(base_de_datos[[#This Row],[Lunes]:[Sábado]])),1)</f>
        <v>2</v>
      </c>
      <c r="Z156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6" s="93">
        <f ca="1">IF(base_de_datos[[#This Row],[No clase]]=OFFSET(base_de_datos[[#This Row],[No clase]],-1,0),0,1)</f>
        <v>0</v>
      </c>
      <c r="AB156" s="93">
        <f ca="1">IF(NOT(OR(base_de_datos[[#This Row],[Horas totales]]=base_de_datos[[#This Row],[HT Plan]],base_de_datos[[#This Row],[Horas totales]]="N/A")),1,0)</f>
        <v>0</v>
      </c>
      <c r="AC156" s="93" t="e">
        <f>_xlfn.XLOOKUP(base_de_datos[[#This Row],[Profesor]],Nombre,Grado)</f>
        <v>#REF!</v>
      </c>
      <c r="AD156" s="94" t="e">
        <f>_xlfn.XLOOKUP(base_de_datos[[#This Row],[Profesor]],Nombre,Tipo)</f>
        <v>#REF!</v>
      </c>
      <c r="AE156" s="93" t="str">
        <f>IF(IFERROR(VLOOKUP($C156,Planes_de_estudio[],MATCH($AE$2,Carreras,0)+2,0),"")&gt;0,IFERROR(VLOOKUP($C156,Planes_de_estudio[],MATCH($AE$2,Carreras,0)+2,0),""),"")</f>
        <v/>
      </c>
      <c r="AF156" s="93" t="str">
        <f>IF(IFERROR(VLOOKUP($C156,Planes_de_estudio[],MATCH($AF$2,Carreras,0)+2,0),"")&gt;0,IFERROR(VLOOKUP($C156,Planes_de_estudio[],MATCH($AF$2,Carreras,0)+2,0),""),"")</f>
        <v/>
      </c>
      <c r="AG156" s="93" t="str">
        <f>IF(IFERROR(VLOOKUP($C156,Planes_de_estudio[],MATCH($AG$2,Carreras,0)+2,0),"")&gt;0,IFERROR(VLOOKUP($C156,Planes_de_estudio[],MATCH($AG$2,Carreras,0)+2,0),""),"")</f>
        <v/>
      </c>
      <c r="AH156" s="93" t="str">
        <f>IF(IFERROR(VLOOKUP($C156,Planes_de_estudio[],MATCH($AH$2,Carreras,0)+2,0),"")&gt;0,IFERROR(VLOOKUP($C156,Planes_de_estudio[],MATCH($AH$2,Carreras,0)+2,0),""),"")</f>
        <v/>
      </c>
      <c r="AI156" s="93" t="str">
        <f>IF(IFERROR(VLOOKUP($C156,Planes_de_estudio[],MATCH($AI$2,Carreras,0)+2,0),"")&gt;0,IFERROR(VLOOKUP($C156,Planes_de_estudio[],MATCH($AI$2,Carreras,0)+2,0),""),"")</f>
        <v/>
      </c>
      <c r="AJ156" s="93">
        <f>IF(IFERROR(VLOOKUP($C156,Planes_de_estudio[],MATCH($AJ$2,Carreras,0)+2,0),"")&gt;0,IFERROR(VLOOKUP($C156,Planes_de_estudio[],MATCH($AJ$2,Carreras,0)+2,0),""),"")</f>
        <v>7</v>
      </c>
      <c r="AK156" s="93" t="str">
        <f>IF(IFERROR(VLOOKUP($C156,Planes_de_estudio[],MATCH($AK$2,Carreras,0)+2,0),"")&gt;0,IFERROR(VLOOKUP($C156,Planes_de_estudio[],MATCH($AK$2,Carreras,0)+2,0),""),"")</f>
        <v/>
      </c>
      <c r="AL15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5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56" s="93">
        <f>base_de_datos[[#This Row],[Pronóstico]]/25</f>
        <v>0.56000000000000005</v>
      </c>
      <c r="AO156" s="93" t="str">
        <f>VLOOKUP($C156,Planes_de_estudio[],2)</f>
        <v>ESC</v>
      </c>
      <c r="AP156" s="196"/>
      <c r="AQ156" s="196"/>
      <c r="AR156" s="196"/>
      <c r="AS156" s="196"/>
      <c r="AT156" s="196"/>
      <c r="AU156" s="196"/>
      <c r="AV156" s="196"/>
      <c r="AW156" s="91"/>
      <c r="AX156" s="73"/>
    </row>
    <row r="157" spans="2:50" ht="16">
      <c r="B157" s="95" t="s">
        <v>338</v>
      </c>
      <c r="C157" s="96" t="s">
        <v>339</v>
      </c>
      <c r="D157" s="92">
        <v>1</v>
      </c>
      <c r="E157" s="97">
        <v>0.70833333333333304</v>
      </c>
      <c r="F157" s="97">
        <v>0.79166666666665897</v>
      </c>
      <c r="G157" s="92"/>
      <c r="H157" s="175" t="s">
        <v>18</v>
      </c>
      <c r="I157" s="92" t="e">
        <f>INDEX(Aulas_capacidad,MATCH(base_de_datos[[#This Row],[Aula]],Aulas,0),2)</f>
        <v>#REF!</v>
      </c>
      <c r="J157" s="90">
        <v>17</v>
      </c>
      <c r="K157" s="92" t="e">
        <f>INDEX(Aulas_capacidad,MATCH(base_de_datos[[#This Row],[Aula]],Aulas,0),4)</f>
        <v>#REF!</v>
      </c>
      <c r="L157" s="98" t="e">
        <f>base_de_datos[[#This Row],[Cap 1.5]]-base_de_datos[[#This Row],[Inscritos]]</f>
        <v>#REF!</v>
      </c>
      <c r="M157" s="98" t="e">
        <f>INDEX(Aulas_capacidad,MATCH(base_de_datos[[#This Row],[Aula]],Aulas,0),5)</f>
        <v>#REF!</v>
      </c>
      <c r="N157" s="98" t="e">
        <f>base_de_datos[[#This Row],[Cap .90]]-base_de_datos[[#This Row],[Inscritos]]</f>
        <v>#REF!</v>
      </c>
      <c r="O157" s="92" t="s">
        <v>340</v>
      </c>
      <c r="P157" s="99" t="s">
        <v>68</v>
      </c>
      <c r="Q157" s="100"/>
      <c r="R157" s="99" t="s">
        <v>68</v>
      </c>
      <c r="S157" s="100"/>
      <c r="T157" s="100"/>
      <c r="U157" s="99"/>
      <c r="V157" s="99"/>
      <c r="W157" s="99" t="s">
        <v>74</v>
      </c>
      <c r="X157" s="93">
        <f>_xlfn.XLOOKUP(base_de_datos[[#This Row],[Materia]],Materias,Horas)/16</f>
        <v>4</v>
      </c>
      <c r="Y157" s="93">
        <f>ROUND(((base_de_datos[[#This Row],[Hora fin]]-base_de_datos[[#This Row],[Hora inicio]])*24)*(COUNTA(base_de_datos[[#This Row],[Lunes]:[Sábado]])),1)</f>
        <v>4</v>
      </c>
      <c r="Z157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57" s="93">
        <f ca="1">IF(base_de_datos[[#This Row],[No clase]]=OFFSET(base_de_datos[[#This Row],[No clase]],-1,0),0,1)</f>
        <v>1</v>
      </c>
      <c r="AB157" s="93">
        <f ca="1">IF(NOT(OR(base_de_datos[[#This Row],[Horas totales]]=base_de_datos[[#This Row],[HT Plan]],base_de_datos[[#This Row],[Horas totales]]="N/A")),1,0)</f>
        <v>0</v>
      </c>
      <c r="AC157" s="93" t="e">
        <f>_xlfn.XLOOKUP(base_de_datos[[#This Row],[Profesor]],Nombre,Grado)</f>
        <v>#REF!</v>
      </c>
      <c r="AD157" s="94" t="e">
        <f>_xlfn.XLOOKUP(base_de_datos[[#This Row],[Profesor]],Nombre,Tipo)</f>
        <v>#REF!</v>
      </c>
      <c r="AE157" s="93" t="str">
        <f>IF(IFERROR(VLOOKUP($C157,Planes_de_estudio[],MATCH($AE$2,Carreras,0)+2,0),"")&gt;0,IFERROR(VLOOKUP($C157,Planes_de_estudio[],MATCH($AE$2,Carreras,0)+2,0),""),"")</f>
        <v/>
      </c>
      <c r="AF157" s="93" t="str">
        <f>IF(IFERROR(VLOOKUP($C157,Planes_de_estudio[],MATCH($AF$2,Carreras,0)+2,0),"")&gt;0,IFERROR(VLOOKUP($C157,Planes_de_estudio[],MATCH($AF$2,Carreras,0)+2,0),""),"")</f>
        <v/>
      </c>
      <c r="AG157" s="93" t="str">
        <f>IF(IFERROR(VLOOKUP($C157,Planes_de_estudio[],MATCH($AG$2,Carreras,0)+2,0),"")&gt;0,IFERROR(VLOOKUP($C157,Planes_de_estudio[],MATCH($AG$2,Carreras,0)+2,0),""),"")</f>
        <v/>
      </c>
      <c r="AH157" s="93" t="str">
        <f>IF(IFERROR(VLOOKUP($C157,Planes_de_estudio[],MATCH($AH$2,Carreras,0)+2,0),"")&gt;0,IFERROR(VLOOKUP($C157,Planes_de_estudio[],MATCH($AH$2,Carreras,0)+2,0),""),"")</f>
        <v/>
      </c>
      <c r="AI157" s="93" t="str">
        <f>IF(IFERROR(VLOOKUP($C157,Planes_de_estudio[],MATCH($AI$2,Carreras,0)+2,0),"")&gt;0,IFERROR(VLOOKUP($C157,Planes_de_estudio[],MATCH($AI$2,Carreras,0)+2,0),""),"")</f>
        <v/>
      </c>
      <c r="AJ157" s="93">
        <f>IF(IFERROR(VLOOKUP($C157,Planes_de_estudio[],MATCH($AJ$2,Carreras,0)+2,0),"")&gt;0,IFERROR(VLOOKUP($C157,Planes_de_estudio[],MATCH($AJ$2,Carreras,0)+2,0),""),"")</f>
        <v>7</v>
      </c>
      <c r="AK157" s="93" t="str">
        <f>IF(IFERROR(VLOOKUP($C157,Planes_de_estudio[],MATCH($AK$2,Carreras,0)+2,0),"")&gt;0,IFERROR(VLOOKUP($C157,Planes_de_estudio[],MATCH($AK$2,Carreras,0)+2,0),""),"")</f>
        <v/>
      </c>
      <c r="AL15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5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57" s="93">
        <f>base_de_datos[[#This Row],[Pronóstico]]/25</f>
        <v>0.56000000000000005</v>
      </c>
      <c r="AO157" s="93" t="str">
        <f>VLOOKUP($C157,Planes_de_estudio[],2)</f>
        <v>ESC</v>
      </c>
      <c r="AP157" s="196"/>
      <c r="AQ157" s="196"/>
      <c r="AR157" s="196"/>
      <c r="AS157" s="196"/>
      <c r="AT157" s="196"/>
      <c r="AU157" s="195">
        <v>6</v>
      </c>
      <c r="AV157" s="196"/>
      <c r="AW157" s="91"/>
      <c r="AX157" s="73"/>
    </row>
    <row r="158" spans="2:50" ht="16">
      <c r="B158" s="95" t="s">
        <v>327</v>
      </c>
      <c r="C158" s="96" t="s">
        <v>328</v>
      </c>
      <c r="D158" s="92">
        <v>1</v>
      </c>
      <c r="E158" s="97">
        <v>0.83333333333333304</v>
      </c>
      <c r="F158" s="97">
        <v>0.91666666666665697</v>
      </c>
      <c r="G158" s="92"/>
      <c r="H158" s="92" t="s">
        <v>106</v>
      </c>
      <c r="I158" s="92" t="e">
        <f>INDEX(Aulas_capacidad,MATCH(base_de_datos[[#This Row],[Aula]],Aulas,0),2)</f>
        <v>#REF!</v>
      </c>
      <c r="J158" s="90">
        <v>23</v>
      </c>
      <c r="K158" s="92" t="e">
        <f>INDEX(Aulas_capacidad,MATCH(base_de_datos[[#This Row],[Aula]],Aulas,0),4)</f>
        <v>#REF!</v>
      </c>
      <c r="L158" s="98" t="e">
        <f>base_de_datos[[#This Row],[Cap 1.5]]-base_de_datos[[#This Row],[Inscritos]]</f>
        <v>#REF!</v>
      </c>
      <c r="M158" s="98" t="e">
        <f>INDEX(Aulas_capacidad,MATCH(base_de_datos[[#This Row],[Aula]],Aulas,0),5)</f>
        <v>#REF!</v>
      </c>
      <c r="N158" s="98" t="e">
        <f>base_de_datos[[#This Row],[Cap .90]]-base_de_datos[[#This Row],[Inscritos]]</f>
        <v>#REF!</v>
      </c>
      <c r="O158" s="92">
        <v>1626</v>
      </c>
      <c r="P158" s="99"/>
      <c r="Q158" s="100"/>
      <c r="R158" s="99"/>
      <c r="S158" s="100"/>
      <c r="T158" s="100" t="s">
        <v>68</v>
      </c>
      <c r="U158" s="99"/>
      <c r="V158" s="99"/>
      <c r="W158" s="99" t="s">
        <v>77</v>
      </c>
      <c r="X158" s="93">
        <f>_xlfn.XLOOKUP(base_de_datos[[#This Row],[Materia]],Materias,Horas)/16</f>
        <v>4</v>
      </c>
      <c r="Y158" s="93">
        <f>ROUND(((base_de_datos[[#This Row],[Hora fin]]-base_de_datos[[#This Row],[Hora inicio]])*24)*(COUNTA(base_de_datos[[#This Row],[Lunes]:[Sábado]])),1)</f>
        <v>2</v>
      </c>
      <c r="Z158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58" s="93">
        <f ca="1">IF(base_de_datos[[#This Row],[No clase]]=OFFSET(base_de_datos[[#This Row],[No clase]],-1,0),0,1)</f>
        <v>1</v>
      </c>
      <c r="AB158" s="93">
        <f ca="1">IF(NOT(OR(base_de_datos[[#This Row],[Horas totales]]=base_de_datos[[#This Row],[HT Plan]],base_de_datos[[#This Row],[Horas totales]]="N/A")),1,0)</f>
        <v>1</v>
      </c>
      <c r="AC158" s="93" t="e">
        <f>_xlfn.XLOOKUP(base_de_datos[[#This Row],[Profesor]],Nombre,Grado)</f>
        <v>#REF!</v>
      </c>
      <c r="AD158" s="94" t="e">
        <f>_xlfn.XLOOKUP(base_de_datos[[#This Row],[Profesor]],Nombre,Tipo)</f>
        <v>#REF!</v>
      </c>
      <c r="AE158" s="93" t="str">
        <f>IF(IFERROR(VLOOKUP($C158,Planes_de_estudio[],MATCH($AE$2,Carreras,0)+2,0),"")&gt;0,IFERROR(VLOOKUP($C158,Planes_de_estudio[],MATCH($AE$2,Carreras,0)+2,0),""),"")</f>
        <v/>
      </c>
      <c r="AF158" s="93" t="str">
        <f>IF(IFERROR(VLOOKUP($C158,Planes_de_estudio[],MATCH($AF$2,Carreras,0)+2,0),"")&gt;0,IFERROR(VLOOKUP($C158,Planes_de_estudio[],MATCH($AF$2,Carreras,0)+2,0),""),"")</f>
        <v/>
      </c>
      <c r="AG158" s="93">
        <f>IF(IFERROR(VLOOKUP($C158,Planes_de_estudio[],MATCH($AG$2,Carreras,0)+2,0),"")&gt;0,IFERROR(VLOOKUP($C158,Planes_de_estudio[],MATCH($AG$2,Carreras,0)+2,0),""),"")</f>
        <v>5</v>
      </c>
      <c r="AH158" s="93" t="str">
        <f>IF(IFERROR(VLOOKUP($C158,Planes_de_estudio[],MATCH($AH$2,Carreras,0)+2,0),"")&gt;0,IFERROR(VLOOKUP($C158,Planes_de_estudio[],MATCH($AH$2,Carreras,0)+2,0),""),"")</f>
        <v/>
      </c>
      <c r="AI158" s="93" t="str">
        <f>IF(IFERROR(VLOOKUP($C158,Planes_de_estudio[],MATCH($AI$2,Carreras,0)+2,0),"")&gt;0,IFERROR(VLOOKUP($C158,Planes_de_estudio[],MATCH($AI$2,Carreras,0)+2,0),""),"")</f>
        <v/>
      </c>
      <c r="AJ158" s="93" t="str">
        <f>IF(IFERROR(VLOOKUP($C158,Planes_de_estudio[],MATCH($AJ$2,Carreras,0)+2,0),"")&gt;0,IFERROR(VLOOKUP($C158,Planes_de_estudio[],MATCH($AJ$2,Carreras,0)+2,0),""),"")</f>
        <v/>
      </c>
      <c r="AK158" s="93" t="str">
        <f>IF(IFERROR(VLOOKUP($C158,Planes_de_estudio[],MATCH($AK$2,Carreras,0)+2,0),"")&gt;0,IFERROR(VLOOKUP($C158,Planes_de_estudio[],MATCH($AK$2,Carreras,0)+2,0),""),"")</f>
        <v/>
      </c>
      <c r="AL15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5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30</v>
      </c>
      <c r="AN158" s="93">
        <f>base_de_datos[[#This Row],[Pronóstico]]/25</f>
        <v>1.2</v>
      </c>
      <c r="AO158" s="93" t="s">
        <v>329</v>
      </c>
      <c r="AP158" s="196"/>
      <c r="AQ158" s="196"/>
      <c r="AR158" s="195">
        <v>6</v>
      </c>
      <c r="AS158" s="196"/>
      <c r="AT158" s="196"/>
      <c r="AU158" s="196"/>
      <c r="AV158" s="196"/>
      <c r="AW158" s="91"/>
      <c r="AX158" s="73"/>
    </row>
    <row r="159" spans="2:50" ht="16">
      <c r="B159" s="95" t="s">
        <v>341</v>
      </c>
      <c r="C159" s="96" t="s">
        <v>342</v>
      </c>
      <c r="D159" s="92">
        <v>1</v>
      </c>
      <c r="E159" s="97">
        <v>0.83333333333333304</v>
      </c>
      <c r="F159" s="97">
        <v>0.89583333333332305</v>
      </c>
      <c r="G159" s="92"/>
      <c r="H159" s="175" t="s">
        <v>205</v>
      </c>
      <c r="I159" s="92" t="e">
        <f>INDEX(Aulas_capacidad,MATCH(base_de_datos[[#This Row],[Aula]],Aulas,0),2)</f>
        <v>#REF!</v>
      </c>
      <c r="J159" s="90">
        <v>20</v>
      </c>
      <c r="K159" s="92" t="e">
        <f>INDEX(Aulas_capacidad,MATCH(base_de_datos[[#This Row],[Aula]],Aulas,0),4)</f>
        <v>#REF!</v>
      </c>
      <c r="L159" s="98" t="e">
        <f>base_de_datos[[#This Row],[Cap 1.5]]-base_de_datos[[#This Row],[Inscritos]]</f>
        <v>#REF!</v>
      </c>
      <c r="M159" s="98" t="e">
        <f>INDEX(Aulas_capacidad,MATCH(base_de_datos[[#This Row],[Aula]],Aulas,0),5)</f>
        <v>#REF!</v>
      </c>
      <c r="N159" s="98" t="e">
        <f>base_de_datos[[#This Row],[Cap .90]]-base_de_datos[[#This Row],[Inscritos]]</f>
        <v>#REF!</v>
      </c>
      <c r="O159" s="92">
        <v>1748</v>
      </c>
      <c r="P159" s="99"/>
      <c r="Q159" s="100"/>
      <c r="R159" s="99" t="s">
        <v>68</v>
      </c>
      <c r="S159" s="100"/>
      <c r="T159" s="100"/>
      <c r="U159" s="99"/>
      <c r="V159" s="99"/>
      <c r="W159" s="99" t="s">
        <v>77</v>
      </c>
      <c r="X159" s="93">
        <f>_xlfn.XLOOKUP(base_de_datos[[#This Row],[Materia]],Materias,Horas)/16</f>
        <v>3</v>
      </c>
      <c r="Y159" s="93">
        <f>ROUND(((base_de_datos[[#This Row],[Hora fin]]-base_de_datos[[#This Row],[Hora inicio]])*24)*(COUNTA(base_de_datos[[#This Row],[Lunes]:[Sábado]])),1)</f>
        <v>1.5</v>
      </c>
      <c r="Z159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9" s="93">
        <f ca="1">IF(base_de_datos[[#This Row],[No clase]]=OFFSET(base_de_datos[[#This Row],[No clase]],-1,0),0,1)</f>
        <v>1</v>
      </c>
      <c r="AB159" s="93">
        <f ca="1">IF(NOT(OR(base_de_datos[[#This Row],[Horas totales]]=base_de_datos[[#This Row],[HT Plan]],base_de_datos[[#This Row],[Horas totales]]="N/A")),1,0)</f>
        <v>0</v>
      </c>
      <c r="AC159" s="93" t="e">
        <f>_xlfn.XLOOKUP(base_de_datos[[#This Row],[Profesor]],Nombre,Grado)</f>
        <v>#REF!</v>
      </c>
      <c r="AD159" s="94" t="e">
        <f>_xlfn.XLOOKUP(base_de_datos[[#This Row],[Profesor]],Nombre,Tipo)</f>
        <v>#REF!</v>
      </c>
      <c r="AE159" s="93">
        <f>IF(IFERROR(VLOOKUP($C159,Planes_de_estudio[],MATCH($AE$2,Carreras,0)+2,0),"")&gt;0,IFERROR(VLOOKUP($C159,Planes_de_estudio[],MATCH($AE$2,Carreras,0)+2,0),""),"")</f>
        <v>7</v>
      </c>
      <c r="AF159" s="93" t="str">
        <f>IF(IFERROR(VLOOKUP($C159,Planes_de_estudio[],MATCH($AF$2,Carreras,0)+2,0),"")&gt;0,IFERROR(VLOOKUP($C159,Planes_de_estudio[],MATCH($AF$2,Carreras,0)+2,0),""),"")</f>
        <v/>
      </c>
      <c r="AG159" s="93" t="str">
        <f>IF(IFERROR(VLOOKUP($C159,Planes_de_estudio[],MATCH($AG$2,Carreras,0)+2,0),"")&gt;0,IFERROR(VLOOKUP($C159,Planes_de_estudio[],MATCH($AG$2,Carreras,0)+2,0),""),"")</f>
        <v/>
      </c>
      <c r="AH159" s="93" t="str">
        <f>IF(IFERROR(VLOOKUP($C159,Planes_de_estudio[],MATCH($AH$2,Carreras,0)+2,0),"")&gt;0,IFERROR(VLOOKUP($C159,Planes_de_estudio[],MATCH($AH$2,Carreras,0)+2,0),""),"")</f>
        <v/>
      </c>
      <c r="AI159" s="93" t="str">
        <f>IF(IFERROR(VLOOKUP($C159,Planes_de_estudio[],MATCH($AI$2,Carreras,0)+2,0),"")&gt;0,IFERROR(VLOOKUP($C159,Planes_de_estudio[],MATCH($AI$2,Carreras,0)+2,0),""),"")</f>
        <v/>
      </c>
      <c r="AJ159" s="93" t="str">
        <f>IF(IFERROR(VLOOKUP($C159,Planes_de_estudio[],MATCH($AJ$2,Carreras,0)+2,0),"")&gt;0,IFERROR(VLOOKUP($C159,Planes_de_estudio[],MATCH($AJ$2,Carreras,0)+2,0),""),"")</f>
        <v/>
      </c>
      <c r="AK159" s="93" t="str">
        <f>IF(IFERROR(VLOOKUP($C159,Planes_de_estudio[],MATCH($AK$2,Carreras,0)+2,0),"")&gt;0,IFERROR(VLOOKUP($C159,Planes_de_estudio[],MATCH($AK$2,Carreras,0)+2,0),""),"")</f>
        <v/>
      </c>
      <c r="AL15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5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159" s="93">
        <f>base_de_datos[[#This Row],[Pronóstico]]/25</f>
        <v>0.96</v>
      </c>
      <c r="AO159" s="93" t="str">
        <f>VLOOKUP($C159,Planes_de_estudio[],2)</f>
        <v>DOP</v>
      </c>
      <c r="AP159" s="195">
        <v>6</v>
      </c>
      <c r="AQ159" s="196"/>
      <c r="AR159" s="196"/>
      <c r="AS159" s="196"/>
      <c r="AT159" s="196"/>
      <c r="AU159" s="196"/>
      <c r="AV159" s="196"/>
      <c r="AW159" s="91"/>
      <c r="AX159" s="73"/>
    </row>
    <row r="160" spans="2:50" ht="16">
      <c r="B160" s="95" t="s">
        <v>341</v>
      </c>
      <c r="C160" s="96" t="s">
        <v>342</v>
      </c>
      <c r="D160" s="92">
        <v>1</v>
      </c>
      <c r="E160" s="97">
        <v>0.79166666666666696</v>
      </c>
      <c r="F160" s="97">
        <v>0.85416666666665797</v>
      </c>
      <c r="G160" s="92"/>
      <c r="H160" s="175" t="s">
        <v>236</v>
      </c>
      <c r="I160" s="92" t="e">
        <f>INDEX(Aulas_capacidad,MATCH(base_de_datos[[#This Row],[Aula]],Aulas,0),2)</f>
        <v>#REF!</v>
      </c>
      <c r="J160" s="90">
        <v>20</v>
      </c>
      <c r="K160" s="92" t="e">
        <f>INDEX(Aulas_capacidad,MATCH(base_de_datos[[#This Row],[Aula]],Aulas,0),4)</f>
        <v>#REF!</v>
      </c>
      <c r="L160" s="98" t="e">
        <f>base_de_datos[[#This Row],[Cap 1.5]]-base_de_datos[[#This Row],[Inscritos]]</f>
        <v>#REF!</v>
      </c>
      <c r="M160" s="98" t="e">
        <f>INDEX(Aulas_capacidad,MATCH(base_de_datos[[#This Row],[Aula]],Aulas,0),5)</f>
        <v>#REF!</v>
      </c>
      <c r="N160" s="98" t="e">
        <f>base_de_datos[[#This Row],[Cap .90]]-base_de_datos[[#This Row],[Inscritos]]</f>
        <v>#REF!</v>
      </c>
      <c r="O160" s="92">
        <v>1748</v>
      </c>
      <c r="P160" s="99"/>
      <c r="Q160" s="100"/>
      <c r="R160" s="99"/>
      <c r="S160" s="100"/>
      <c r="T160" s="100" t="s">
        <v>68</v>
      </c>
      <c r="U160" s="99"/>
      <c r="V160" s="99"/>
      <c r="W160" s="99" t="s">
        <v>77</v>
      </c>
      <c r="X160" s="93">
        <f>_xlfn.XLOOKUP(base_de_datos[[#This Row],[Materia]],Materias,Horas)/16</f>
        <v>3</v>
      </c>
      <c r="Y160" s="93">
        <f>ROUND(((base_de_datos[[#This Row],[Hora fin]]-base_de_datos[[#This Row],[Hora inicio]])*24)*(COUNTA(base_de_datos[[#This Row],[Lunes]:[Sábado]])),1)</f>
        <v>1.5</v>
      </c>
      <c r="Z160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0" s="93">
        <f ca="1">IF(base_de_datos[[#This Row],[No clase]]=OFFSET(base_de_datos[[#This Row],[No clase]],-1,0),0,1)</f>
        <v>0</v>
      </c>
      <c r="AB160" s="93">
        <f ca="1">IF(NOT(OR(base_de_datos[[#This Row],[Horas totales]]=base_de_datos[[#This Row],[HT Plan]],base_de_datos[[#This Row],[Horas totales]]="N/A")),1,0)</f>
        <v>0</v>
      </c>
      <c r="AC160" s="93" t="e">
        <f>_xlfn.XLOOKUP(base_de_datos[[#This Row],[Profesor]],Nombre,Grado)</f>
        <v>#REF!</v>
      </c>
      <c r="AD160" s="94" t="e">
        <f>_xlfn.XLOOKUP(base_de_datos[[#This Row],[Profesor]],Nombre,Tipo)</f>
        <v>#REF!</v>
      </c>
      <c r="AE160" s="93">
        <f>IF(IFERROR(VLOOKUP($C160,Planes_de_estudio[],MATCH($AE$2,Carreras,0)+2,0),"")&gt;0,IFERROR(VLOOKUP($C160,Planes_de_estudio[],MATCH($AE$2,Carreras,0)+2,0),""),"")</f>
        <v>7</v>
      </c>
      <c r="AF160" s="93" t="str">
        <f>IF(IFERROR(VLOOKUP($C160,Planes_de_estudio[],MATCH($AF$2,Carreras,0)+2,0),"")&gt;0,IFERROR(VLOOKUP($C160,Planes_de_estudio[],MATCH($AF$2,Carreras,0)+2,0),""),"")</f>
        <v/>
      </c>
      <c r="AG160" s="93" t="str">
        <f>IF(IFERROR(VLOOKUP($C160,Planes_de_estudio[],MATCH($AG$2,Carreras,0)+2,0),"")&gt;0,IFERROR(VLOOKUP($C160,Planes_de_estudio[],MATCH($AG$2,Carreras,0)+2,0),""),"")</f>
        <v/>
      </c>
      <c r="AH160" s="93" t="str">
        <f>IF(IFERROR(VLOOKUP($C160,Planes_de_estudio[],MATCH($AH$2,Carreras,0)+2,0),"")&gt;0,IFERROR(VLOOKUP($C160,Planes_de_estudio[],MATCH($AH$2,Carreras,0)+2,0),""),"")</f>
        <v/>
      </c>
      <c r="AI160" s="93" t="str">
        <f>IF(IFERROR(VLOOKUP($C160,Planes_de_estudio[],MATCH($AI$2,Carreras,0)+2,0),"")&gt;0,IFERROR(VLOOKUP($C160,Planes_de_estudio[],MATCH($AI$2,Carreras,0)+2,0),""),"")</f>
        <v/>
      </c>
      <c r="AJ160" s="93" t="str">
        <f>IF(IFERROR(VLOOKUP($C160,Planes_de_estudio[],MATCH($AJ$2,Carreras,0)+2,0),"")&gt;0,IFERROR(VLOOKUP($C160,Planes_de_estudio[],MATCH($AJ$2,Carreras,0)+2,0),""),"")</f>
        <v/>
      </c>
      <c r="AK160" s="93" t="str">
        <f>IF(IFERROR(VLOOKUP($C160,Planes_de_estudio[],MATCH($AK$2,Carreras,0)+2,0),"")&gt;0,IFERROR(VLOOKUP($C160,Planes_de_estudio[],MATCH($AK$2,Carreras,0)+2,0),""),"")</f>
        <v/>
      </c>
      <c r="AL16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6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24</v>
      </c>
      <c r="AN160" s="93">
        <f>base_de_datos[[#This Row],[Pronóstico]]/25</f>
        <v>0.96</v>
      </c>
      <c r="AO160" s="93" t="str">
        <f>VLOOKUP($C160,Planes_de_estudio[],2)</f>
        <v>DOP</v>
      </c>
      <c r="AP160" s="196"/>
      <c r="AQ160" s="196"/>
      <c r="AR160" s="196"/>
      <c r="AS160" s="196"/>
      <c r="AT160" s="196"/>
      <c r="AU160" s="196"/>
      <c r="AV160" s="196"/>
      <c r="AW160" s="91"/>
      <c r="AX160" s="73"/>
    </row>
    <row r="161" spans="2:50" ht="16">
      <c r="B161" s="95" t="s">
        <v>343</v>
      </c>
      <c r="C161" s="96" t="s">
        <v>344</v>
      </c>
      <c r="D161" s="92">
        <v>1</v>
      </c>
      <c r="E161" s="97">
        <v>0.29166666666666669</v>
      </c>
      <c r="F161" s="97">
        <v>0.35416666666666602</v>
      </c>
      <c r="G161" s="92"/>
      <c r="H161" s="92" t="s">
        <v>333</v>
      </c>
      <c r="I161" s="92" t="e">
        <f>INDEX(Aulas_capacidad,MATCH(base_de_datos[[#This Row],[Aula]],Aulas,0),2)</f>
        <v>#REF!</v>
      </c>
      <c r="J161" s="90">
        <v>15</v>
      </c>
      <c r="K161" s="92" t="e">
        <f>INDEX(Aulas_capacidad,MATCH(base_de_datos[[#This Row],[Aula]],Aulas,0),4)</f>
        <v>#REF!</v>
      </c>
      <c r="L161" s="98" t="e">
        <f>base_de_datos[[#This Row],[Cap 1.5]]-base_de_datos[[#This Row],[Inscritos]]</f>
        <v>#REF!</v>
      </c>
      <c r="M161" s="98" t="e">
        <f>INDEX(Aulas_capacidad,MATCH(base_de_datos[[#This Row],[Aula]],Aulas,0),5)</f>
        <v>#REF!</v>
      </c>
      <c r="N161" s="98" t="e">
        <f>base_de_datos[[#This Row],[Cap .90]]-base_de_datos[[#This Row],[Inscritos]]</f>
        <v>#REF!</v>
      </c>
      <c r="O161" s="92">
        <v>1749</v>
      </c>
      <c r="P161" s="99" t="s">
        <v>68</v>
      </c>
      <c r="Q161" s="100"/>
      <c r="R161" s="99" t="s">
        <v>68</v>
      </c>
      <c r="S161" s="100"/>
      <c r="T161" s="100"/>
      <c r="U161" s="99"/>
      <c r="V161" s="99"/>
      <c r="W161" s="99" t="s">
        <v>77</v>
      </c>
      <c r="X161" s="93">
        <f>_xlfn.XLOOKUP(base_de_datos[[#This Row],[Materia]],Materias,Horas)/16</f>
        <v>3</v>
      </c>
      <c r="Y161" s="93">
        <f>ROUND(((base_de_datos[[#This Row],[Hora fin]]-base_de_datos[[#This Row],[Hora inicio]])*24)*(COUNTA(base_de_datos[[#This Row],[Lunes]:[Sábado]])),1)</f>
        <v>3</v>
      </c>
      <c r="Z161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61" s="93">
        <f ca="1">IF(base_de_datos[[#This Row],[No clase]]=OFFSET(base_de_datos[[#This Row],[No clase]],-1,0),0,1)</f>
        <v>1</v>
      </c>
      <c r="AB161" s="93">
        <f ca="1">IF(NOT(OR(base_de_datos[[#This Row],[Horas totales]]=base_de_datos[[#This Row],[HT Plan]],base_de_datos[[#This Row],[Horas totales]]="N/A")),1,0)</f>
        <v>0</v>
      </c>
      <c r="AC161" s="93" t="e">
        <f>_xlfn.XLOOKUP(base_de_datos[[#This Row],[Profesor]],Nombre,Grado)</f>
        <v>#REF!</v>
      </c>
      <c r="AD161" s="94" t="e">
        <f>_xlfn.XLOOKUP(base_de_datos[[#This Row],[Profesor]],Nombre,Tipo)</f>
        <v>#REF!</v>
      </c>
      <c r="AE161" s="93" t="str">
        <f>IF(IFERROR(VLOOKUP($C161,Planes_de_estudio[],MATCH($AE$2,Carreras,0)+2,0),"")&gt;0,IFERROR(VLOOKUP($C161,Planes_de_estudio[],MATCH($AE$2,Carreras,0)+2,0),""),"")</f>
        <v/>
      </c>
      <c r="AF161" s="93" t="str">
        <f>IF(IFERROR(VLOOKUP($C161,Planes_de_estudio[],MATCH($AF$2,Carreras,0)+2,0),"")&gt;0,IFERROR(VLOOKUP($C161,Planes_de_estudio[],MATCH($AF$2,Carreras,0)+2,0),""),"")</f>
        <v/>
      </c>
      <c r="AG161" s="93" t="str">
        <f>IF(IFERROR(VLOOKUP($C161,Planes_de_estudio[],MATCH($AG$2,Carreras,0)+2,0),"")&gt;0,IFERROR(VLOOKUP($C161,Planes_de_estudio[],MATCH($AG$2,Carreras,0)+2,0),""),"")</f>
        <v/>
      </c>
      <c r="AH161" s="93" t="str">
        <f>IF(IFERROR(VLOOKUP($C161,Planes_de_estudio[],MATCH($AH$2,Carreras,0)+2,0),"")&gt;0,IFERROR(VLOOKUP($C161,Planes_de_estudio[],MATCH($AH$2,Carreras,0)+2,0),""),"")</f>
        <v/>
      </c>
      <c r="AI161" s="93" t="str">
        <f>IF(IFERROR(VLOOKUP($C161,Planes_de_estudio[],MATCH($AI$2,Carreras,0)+2,0),"")&gt;0,IFERROR(VLOOKUP($C161,Planes_de_estudio[],MATCH($AI$2,Carreras,0)+2,0),""),"")</f>
        <v/>
      </c>
      <c r="AJ161" s="93">
        <f>IF(IFERROR(VLOOKUP($C161,Planes_de_estudio[],MATCH($AJ$2,Carreras,0)+2,0),"")&gt;0,IFERROR(VLOOKUP($C161,Planes_de_estudio[],MATCH($AJ$2,Carreras,0)+2,0),""),"")</f>
        <v>5</v>
      </c>
      <c r="AK161" s="93" t="str">
        <f>IF(IFERROR(VLOOKUP($C161,Planes_de_estudio[],MATCH($AK$2,Carreras,0)+2,0),"")&gt;0,IFERROR(VLOOKUP($C161,Planes_de_estudio[],MATCH($AK$2,Carreras,0)+2,0),""),"")</f>
        <v/>
      </c>
      <c r="AL16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6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11</v>
      </c>
      <c r="AN161" s="93">
        <f>base_de_datos[[#This Row],[Pronóstico]]/25</f>
        <v>0.44</v>
      </c>
      <c r="AO161" s="93" t="str">
        <f>VLOOKUP($C161,Planes_de_estudio[],2)</f>
        <v>ESC</v>
      </c>
      <c r="AP161" s="196"/>
      <c r="AQ161" s="196"/>
      <c r="AR161" s="196"/>
      <c r="AS161" s="196"/>
      <c r="AT161" s="196"/>
      <c r="AU161" s="195">
        <v>6</v>
      </c>
      <c r="AV161" s="196"/>
      <c r="AW161" s="91"/>
      <c r="AX161" s="73"/>
    </row>
    <row r="162" spans="2:50" ht="16">
      <c r="B162" s="95" t="s">
        <v>345</v>
      </c>
      <c r="C162" s="96" t="s">
        <v>346</v>
      </c>
      <c r="D162" s="92">
        <v>1</v>
      </c>
      <c r="E162" s="97">
        <v>0.70833333333333304</v>
      </c>
      <c r="F162" s="97">
        <v>0.79166666666665897</v>
      </c>
      <c r="G162" s="92"/>
      <c r="H162" s="175" t="s">
        <v>18</v>
      </c>
      <c r="I162" s="92" t="e">
        <f>INDEX(Aulas_capacidad,MATCH(base_de_datos[[#This Row],[Aula]],Aulas,0),2)</f>
        <v>#REF!</v>
      </c>
      <c r="J162" s="90">
        <v>19</v>
      </c>
      <c r="K162" s="92" t="e">
        <f>INDEX(Aulas_capacidad,MATCH(base_de_datos[[#This Row],[Aula]],Aulas,0),4)</f>
        <v>#REF!</v>
      </c>
      <c r="L162" s="98" t="e">
        <f>base_de_datos[[#This Row],[Cap 1.5]]-base_de_datos[[#This Row],[Inscritos]]</f>
        <v>#REF!</v>
      </c>
      <c r="M162" s="98" t="e">
        <f>INDEX(Aulas_capacidad,MATCH(base_de_datos[[#This Row],[Aula]],Aulas,0),5)</f>
        <v>#REF!</v>
      </c>
      <c r="N162" s="98" t="e">
        <f>base_de_datos[[#This Row],[Cap .90]]-base_de_datos[[#This Row],[Inscritos]]</f>
        <v>#REF!</v>
      </c>
      <c r="O162" s="92" t="s">
        <v>347</v>
      </c>
      <c r="P162" s="99"/>
      <c r="Q162" s="100" t="s">
        <v>68</v>
      </c>
      <c r="R162" s="99"/>
      <c r="S162" s="100" t="s">
        <v>68</v>
      </c>
      <c r="T162" s="100"/>
      <c r="U162" s="99"/>
      <c r="V162" s="99"/>
      <c r="W162" s="99" t="s">
        <v>122</v>
      </c>
      <c r="X162" s="93">
        <f>_xlfn.XLOOKUP(base_de_datos[[#This Row],[Materia]],Materias,Horas)/16</f>
        <v>4</v>
      </c>
      <c r="Y162" s="93">
        <f>ROUND(((base_de_datos[[#This Row],[Hora fin]]-base_de_datos[[#This Row],[Hora inicio]])*24)*(COUNTA(base_de_datos[[#This Row],[Lunes]:[Sábado]])),1)</f>
        <v>4</v>
      </c>
      <c r="Z162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2" s="93">
        <f ca="1">IF(base_de_datos[[#This Row],[No clase]]=OFFSET(base_de_datos[[#This Row],[No clase]],-1,0),0,1)</f>
        <v>1</v>
      </c>
      <c r="AB162" s="93">
        <f ca="1">IF(NOT(OR(base_de_datos[[#This Row],[Horas totales]]=base_de_datos[[#This Row],[HT Plan]],base_de_datos[[#This Row],[Horas totales]]="N/A")),1,0)</f>
        <v>0</v>
      </c>
      <c r="AC162" s="93" t="e">
        <f>_xlfn.XLOOKUP(base_de_datos[[#This Row],[Profesor]],Nombre,Grado)</f>
        <v>#REF!</v>
      </c>
      <c r="AD162" s="94" t="e">
        <f>_xlfn.XLOOKUP(base_de_datos[[#This Row],[Profesor]],Nombre,Tipo)</f>
        <v>#REF!</v>
      </c>
      <c r="AE162" s="93" t="str">
        <f>IF(IFERROR(VLOOKUP($C162,Planes_de_estudio[],MATCH($AE$2,Carreras,0)+2,0),"")&gt;0,IFERROR(VLOOKUP($C162,Planes_de_estudio[],MATCH($AE$2,Carreras,0)+2,0),""),"")</f>
        <v/>
      </c>
      <c r="AF162" s="93" t="str">
        <f>IF(IFERROR(VLOOKUP($C162,Planes_de_estudio[],MATCH($AF$2,Carreras,0)+2,0),"")&gt;0,IFERROR(VLOOKUP($C162,Planes_de_estudio[],MATCH($AF$2,Carreras,0)+2,0),""),"")</f>
        <v/>
      </c>
      <c r="AG162" s="93" t="str">
        <f>IF(IFERROR(VLOOKUP($C162,Planes_de_estudio[],MATCH($AG$2,Carreras,0)+2,0),"")&gt;0,IFERROR(VLOOKUP($C162,Planes_de_estudio[],MATCH($AG$2,Carreras,0)+2,0),""),"")</f>
        <v/>
      </c>
      <c r="AH162" s="93" t="str">
        <f>IF(IFERROR(VLOOKUP($C162,Planes_de_estudio[],MATCH($AH$2,Carreras,0)+2,0),"")&gt;0,IFERROR(VLOOKUP($C162,Planes_de_estudio[],MATCH($AH$2,Carreras,0)+2,0),""),"")</f>
        <v/>
      </c>
      <c r="AI162" s="93" t="str">
        <f>IF(IFERROR(VLOOKUP($C162,Planes_de_estudio[],MATCH($AI$2,Carreras,0)+2,0),"")&gt;0,IFERROR(VLOOKUP($C162,Planes_de_estudio[],MATCH($AI$2,Carreras,0)+2,0),""),"")</f>
        <v/>
      </c>
      <c r="AJ162" s="93">
        <f>IF(IFERROR(VLOOKUP($C162,Planes_de_estudio[],MATCH($AJ$2,Carreras,0)+2,0),"")&gt;0,IFERROR(VLOOKUP($C162,Planes_de_estudio[],MATCH($AJ$2,Carreras,0)+2,0),""),"")</f>
        <v>7</v>
      </c>
      <c r="AK162" s="93" t="str">
        <f>IF(IFERROR(VLOOKUP($C162,Planes_de_estudio[],MATCH($AK$2,Carreras,0)+2,0),"")&gt;0,IFERROR(VLOOKUP($C162,Planes_de_estudio[],MATCH($AK$2,Carreras,0)+2,0),""),"")</f>
        <v/>
      </c>
      <c r="AL16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6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62" s="93">
        <f>base_de_datos[[#This Row],[Pronóstico]]/25</f>
        <v>0.56000000000000005</v>
      </c>
      <c r="AO162" s="93" t="str">
        <f>VLOOKUP($C162,Planes_de_estudio[],2)</f>
        <v>ESC</v>
      </c>
      <c r="AP162" s="196"/>
      <c r="AQ162" s="196"/>
      <c r="AR162" s="196"/>
      <c r="AS162" s="196"/>
      <c r="AT162" s="196"/>
      <c r="AU162" s="195">
        <v>6</v>
      </c>
      <c r="AV162" s="196"/>
      <c r="AW162" s="91"/>
      <c r="AX162" s="73"/>
    </row>
    <row r="163" spans="2:50" ht="16">
      <c r="B163" s="95" t="s">
        <v>348</v>
      </c>
      <c r="C163" s="96" t="s">
        <v>349</v>
      </c>
      <c r="D163" s="92">
        <v>1</v>
      </c>
      <c r="E163" s="97">
        <v>0.79166666666666696</v>
      </c>
      <c r="F163" s="97">
        <v>0.87499999999999001</v>
      </c>
      <c r="G163" s="92"/>
      <c r="H163" s="92" t="s">
        <v>310</v>
      </c>
      <c r="I163" s="92" t="e">
        <f>INDEX(Aulas_capacidad,MATCH(base_de_datos[[#This Row],[Aula]],Aulas,0),2)</f>
        <v>#REF!</v>
      </c>
      <c r="J163" s="90">
        <v>13</v>
      </c>
      <c r="K163" s="92" t="e">
        <f>INDEX(Aulas_capacidad,MATCH(base_de_datos[[#This Row],[Aula]],Aulas,0),4)</f>
        <v>#REF!</v>
      </c>
      <c r="L163" s="98" t="e">
        <f>base_de_datos[[#This Row],[Cap 1.5]]-base_de_datos[[#This Row],[Inscritos]]</f>
        <v>#REF!</v>
      </c>
      <c r="M163" s="98" t="e">
        <f>INDEX(Aulas_capacidad,MATCH(base_de_datos[[#This Row],[Aula]],Aulas,0),5)</f>
        <v>#REF!</v>
      </c>
      <c r="N163" s="98" t="e">
        <f>base_de_datos[[#This Row],[Cap .90]]-base_de_datos[[#This Row],[Inscritos]]</f>
        <v>#REF!</v>
      </c>
      <c r="O163" s="92">
        <v>1752</v>
      </c>
      <c r="P163" s="99" t="s">
        <v>68</v>
      </c>
      <c r="Q163" s="100"/>
      <c r="R163" s="99"/>
      <c r="S163" s="100"/>
      <c r="T163" s="100"/>
      <c r="U163" s="99"/>
      <c r="V163" s="99"/>
      <c r="W163" s="99" t="s">
        <v>101</v>
      </c>
      <c r="X163" s="93">
        <f>_xlfn.XLOOKUP(base_de_datos[[#This Row],[Materia]],Materias,Horas)/16</f>
        <v>4</v>
      </c>
      <c r="Y163" s="93">
        <f>ROUND(((base_de_datos[[#This Row],[Hora fin]]-base_de_datos[[#This Row],[Hora inicio]])*24)*(COUNTA(base_de_datos[[#This Row],[Lunes]:[Sábado]])),1)</f>
        <v>2</v>
      </c>
      <c r="Z163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3" s="93">
        <f ca="1">IF(base_de_datos[[#This Row],[No clase]]=OFFSET(base_de_datos[[#This Row],[No clase]],-1,0),0,1)</f>
        <v>1</v>
      </c>
      <c r="AB163" s="93">
        <f ca="1">IF(NOT(OR(base_de_datos[[#This Row],[Horas totales]]=base_de_datos[[#This Row],[HT Plan]],base_de_datos[[#This Row],[Horas totales]]="N/A")),1,0)</f>
        <v>0</v>
      </c>
      <c r="AC163" s="93" t="e">
        <f>_xlfn.XLOOKUP(base_de_datos[[#This Row],[Profesor]],Nombre,Grado)</f>
        <v>#REF!</v>
      </c>
      <c r="AD163" s="94" t="e">
        <f>_xlfn.XLOOKUP(base_de_datos[[#This Row],[Profesor]],Nombre,Tipo)</f>
        <v>#REF!</v>
      </c>
      <c r="AE163" s="93" t="str">
        <f>IF(IFERROR(VLOOKUP($C163,Planes_de_estudio[],MATCH($AE$2,Carreras,0)+2,0),"")&gt;0,IFERROR(VLOOKUP($C163,Planes_de_estudio[],MATCH($AE$2,Carreras,0)+2,0),""),"")</f>
        <v/>
      </c>
      <c r="AF163" s="93" t="str">
        <f>IF(IFERROR(VLOOKUP($C163,Planes_de_estudio[],MATCH($AF$2,Carreras,0)+2,0),"")&gt;0,IFERROR(VLOOKUP($C163,Planes_de_estudio[],MATCH($AF$2,Carreras,0)+2,0),""),"")</f>
        <v/>
      </c>
      <c r="AG163" s="93" t="str">
        <f>IF(IFERROR(VLOOKUP($C163,Planes_de_estudio[],MATCH($AG$2,Carreras,0)+2,0),"")&gt;0,IFERROR(VLOOKUP($C163,Planes_de_estudio[],MATCH($AG$2,Carreras,0)+2,0),""),"")</f>
        <v/>
      </c>
      <c r="AH163" s="93" t="str">
        <f>IF(IFERROR(VLOOKUP($C163,Planes_de_estudio[],MATCH($AH$2,Carreras,0)+2,0),"")&gt;0,IFERROR(VLOOKUP($C163,Planes_de_estudio[],MATCH($AH$2,Carreras,0)+2,0),""),"")</f>
        <v/>
      </c>
      <c r="AI163" s="93" t="str">
        <f>IF(IFERROR(VLOOKUP($C163,Planes_de_estudio[],MATCH($AI$2,Carreras,0)+2,0),"")&gt;0,IFERROR(VLOOKUP($C163,Planes_de_estudio[],MATCH($AI$2,Carreras,0)+2,0),""),"")</f>
        <v/>
      </c>
      <c r="AJ163" s="93">
        <f>IF(IFERROR(VLOOKUP($C163,Planes_de_estudio[],MATCH($AJ$2,Carreras,0)+2,0),"")&gt;0,IFERROR(VLOOKUP($C163,Planes_de_estudio[],MATCH($AJ$2,Carreras,0)+2,0),""),"")</f>
        <v>7</v>
      </c>
      <c r="AK163" s="93" t="str">
        <f>IF(IFERROR(VLOOKUP($C163,Planes_de_estudio[],MATCH($AK$2,Carreras,0)+2,0),"")&gt;0,IFERROR(VLOOKUP($C163,Planes_de_estudio[],MATCH($AK$2,Carreras,0)+2,0),""),"")</f>
        <v/>
      </c>
      <c r="AL16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6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63" s="93">
        <f>base_de_datos[[#This Row],[Pronóstico]]/25</f>
        <v>0.56000000000000005</v>
      </c>
      <c r="AO163" s="93" t="str">
        <f>VLOOKUP($C163,Planes_de_estudio[],2)</f>
        <v>ESC</v>
      </c>
      <c r="AP163" s="196"/>
      <c r="AQ163" s="196"/>
      <c r="AR163" s="196"/>
      <c r="AS163" s="196"/>
      <c r="AT163" s="196"/>
      <c r="AU163" s="195">
        <v>6</v>
      </c>
      <c r="AV163" s="196"/>
      <c r="AW163" s="91"/>
      <c r="AX163" s="73"/>
    </row>
    <row r="164" spans="2:50" ht="16">
      <c r="B164" s="95" t="s">
        <v>348</v>
      </c>
      <c r="C164" s="96" t="s">
        <v>349</v>
      </c>
      <c r="D164" s="92">
        <v>1</v>
      </c>
      <c r="E164" s="97">
        <v>0.79166666666666696</v>
      </c>
      <c r="F164" s="97">
        <v>0.87499999999999001</v>
      </c>
      <c r="G164" s="92"/>
      <c r="H164" s="92" t="s">
        <v>333</v>
      </c>
      <c r="I164" s="92" t="e">
        <f>INDEX(Aulas_capacidad,MATCH(base_de_datos[[#This Row],[Aula]],Aulas,0),2)</f>
        <v>#REF!</v>
      </c>
      <c r="J164" s="90">
        <v>13</v>
      </c>
      <c r="K164" s="92" t="e">
        <f>INDEX(Aulas_capacidad,MATCH(base_de_datos[[#This Row],[Aula]],Aulas,0),4)</f>
        <v>#REF!</v>
      </c>
      <c r="L164" s="98" t="e">
        <f>base_de_datos[[#This Row],[Cap 1.5]]-base_de_datos[[#This Row],[Inscritos]]</f>
        <v>#REF!</v>
      </c>
      <c r="M164" s="98" t="e">
        <f>INDEX(Aulas_capacidad,MATCH(base_de_datos[[#This Row],[Aula]],Aulas,0),5)</f>
        <v>#REF!</v>
      </c>
      <c r="N164" s="98" t="e">
        <f>base_de_datos[[#This Row],[Cap .90]]-base_de_datos[[#This Row],[Inscritos]]</f>
        <v>#REF!</v>
      </c>
      <c r="O164" s="92">
        <v>1752</v>
      </c>
      <c r="P164" s="99"/>
      <c r="Q164" s="100"/>
      <c r="R164" s="99"/>
      <c r="S164" s="100" t="s">
        <v>68</v>
      </c>
      <c r="T164" s="100"/>
      <c r="U164" s="99"/>
      <c r="V164" s="99"/>
      <c r="W164" s="99" t="s">
        <v>101</v>
      </c>
      <c r="X164" s="93">
        <f>_xlfn.XLOOKUP(base_de_datos[[#This Row],[Materia]],Materias,Horas)/16</f>
        <v>4</v>
      </c>
      <c r="Y164" s="93">
        <f>ROUND(((base_de_datos[[#This Row],[Hora fin]]-base_de_datos[[#This Row],[Hora inicio]])*24)*(COUNTA(base_de_datos[[#This Row],[Lunes]:[Sábado]])),1)</f>
        <v>2</v>
      </c>
      <c r="Z164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4" s="93">
        <f ca="1">IF(base_de_datos[[#This Row],[No clase]]=OFFSET(base_de_datos[[#This Row],[No clase]],-1,0),0,1)</f>
        <v>0</v>
      </c>
      <c r="AB164" s="93">
        <f ca="1">IF(NOT(OR(base_de_datos[[#This Row],[Horas totales]]=base_de_datos[[#This Row],[HT Plan]],base_de_datos[[#This Row],[Horas totales]]="N/A")),1,0)</f>
        <v>0</v>
      </c>
      <c r="AC164" s="93" t="e">
        <f>_xlfn.XLOOKUP(base_de_datos[[#This Row],[Profesor]],Nombre,Grado)</f>
        <v>#REF!</v>
      </c>
      <c r="AD164" s="94" t="e">
        <f>_xlfn.XLOOKUP(base_de_datos[[#This Row],[Profesor]],Nombre,Tipo)</f>
        <v>#REF!</v>
      </c>
      <c r="AE164" s="93" t="str">
        <f>IF(IFERROR(VLOOKUP($C164,Planes_de_estudio[],MATCH($AE$2,Carreras,0)+2,0),"")&gt;0,IFERROR(VLOOKUP($C164,Planes_de_estudio[],MATCH($AE$2,Carreras,0)+2,0),""),"")</f>
        <v/>
      </c>
      <c r="AF164" s="93" t="str">
        <f>IF(IFERROR(VLOOKUP($C164,Planes_de_estudio[],MATCH($AF$2,Carreras,0)+2,0),"")&gt;0,IFERROR(VLOOKUP($C164,Planes_de_estudio[],MATCH($AF$2,Carreras,0)+2,0),""),"")</f>
        <v/>
      </c>
      <c r="AG164" s="93" t="str">
        <f>IF(IFERROR(VLOOKUP($C164,Planes_de_estudio[],MATCH($AG$2,Carreras,0)+2,0),"")&gt;0,IFERROR(VLOOKUP($C164,Planes_de_estudio[],MATCH($AG$2,Carreras,0)+2,0),""),"")</f>
        <v/>
      </c>
      <c r="AH164" s="93" t="str">
        <f>IF(IFERROR(VLOOKUP($C164,Planes_de_estudio[],MATCH($AH$2,Carreras,0)+2,0),"")&gt;0,IFERROR(VLOOKUP($C164,Planes_de_estudio[],MATCH($AH$2,Carreras,0)+2,0),""),"")</f>
        <v/>
      </c>
      <c r="AI164" s="93" t="str">
        <f>IF(IFERROR(VLOOKUP($C164,Planes_de_estudio[],MATCH($AI$2,Carreras,0)+2,0),"")&gt;0,IFERROR(VLOOKUP($C164,Planes_de_estudio[],MATCH($AI$2,Carreras,0)+2,0),""),"")</f>
        <v/>
      </c>
      <c r="AJ164" s="93">
        <f>IF(IFERROR(VLOOKUP($C164,Planes_de_estudio[],MATCH($AJ$2,Carreras,0)+2,0),"")&gt;0,IFERROR(VLOOKUP($C164,Planes_de_estudio[],MATCH($AJ$2,Carreras,0)+2,0),""),"")</f>
        <v>7</v>
      </c>
      <c r="AK164" s="93" t="str">
        <f>IF(IFERROR(VLOOKUP($C164,Planes_de_estudio[],MATCH($AK$2,Carreras,0)+2,0),"")&gt;0,IFERROR(VLOOKUP($C164,Planes_de_estudio[],MATCH($AK$2,Carreras,0)+2,0),""),"")</f>
        <v/>
      </c>
      <c r="AL16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6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64" s="93">
        <f>base_de_datos[[#This Row],[Pronóstico]]/25</f>
        <v>0.56000000000000005</v>
      </c>
      <c r="AO164" s="93" t="str">
        <f>VLOOKUP($C164,Planes_de_estudio[],2)</f>
        <v>ESC</v>
      </c>
      <c r="AP164" s="196"/>
      <c r="AQ164" s="196"/>
      <c r="AR164" s="196"/>
      <c r="AS164" s="196"/>
      <c r="AT164" s="196"/>
      <c r="AU164" s="196"/>
      <c r="AV164" s="196"/>
      <c r="AW164" s="91"/>
      <c r="AX164" s="73"/>
    </row>
    <row r="165" spans="2:50" ht="16">
      <c r="B165" s="95" t="s">
        <v>204</v>
      </c>
      <c r="C165" s="96" t="s">
        <v>306</v>
      </c>
      <c r="D165" s="92">
        <v>1</v>
      </c>
      <c r="E165" s="97">
        <v>0.375</v>
      </c>
      <c r="F165" s="97">
        <v>0.45833333333333098</v>
      </c>
      <c r="G165" s="92" t="s">
        <v>66</v>
      </c>
      <c r="H165" s="92" t="s">
        <v>304</v>
      </c>
      <c r="I165" s="92" t="e">
        <f>INDEX(Aulas_capacidad,MATCH(base_de_datos[[#This Row],[Aula]],Aulas,0),2)</f>
        <v>#REF!</v>
      </c>
      <c r="J165" s="90">
        <v>8</v>
      </c>
      <c r="K165" s="92" t="e">
        <f>INDEX(Aulas_capacidad,MATCH(base_de_datos[[#This Row],[Aula]],Aulas,0),4)</f>
        <v>#REF!</v>
      </c>
      <c r="L165" s="98" t="e">
        <f>base_de_datos[[#This Row],[Cap 1.5]]-base_de_datos[[#This Row],[Inscritos]]</f>
        <v>#REF!</v>
      </c>
      <c r="M165" s="98" t="e">
        <f>INDEX(Aulas_capacidad,MATCH(base_de_datos[[#This Row],[Aula]],Aulas,0),5)</f>
        <v>#REF!</v>
      </c>
      <c r="N165" s="98" t="e">
        <f>base_de_datos[[#This Row],[Cap .90]]-base_de_datos[[#This Row],[Inscritos]]</f>
        <v>#REF!</v>
      </c>
      <c r="O165" s="92" t="s">
        <v>350</v>
      </c>
      <c r="P165" s="99" t="s">
        <v>68</v>
      </c>
      <c r="Q165" s="100"/>
      <c r="R165" s="99"/>
      <c r="S165" s="100"/>
      <c r="T165" s="100"/>
      <c r="U165" s="99"/>
      <c r="V165" s="99"/>
      <c r="W165" s="99" t="s">
        <v>77</v>
      </c>
      <c r="X165" s="93">
        <f>_xlfn.XLOOKUP(base_de_datos[[#This Row],[Materia]],Materias,Horas)/16</f>
        <v>4</v>
      </c>
      <c r="Y165" s="93">
        <f>ROUND(((base_de_datos[[#This Row],[Hora fin]]-base_de_datos[[#This Row],[Hora inicio]])*24)*(COUNTA(base_de_datos[[#This Row],[Lunes]:[Sábado]])),1)</f>
        <v>2</v>
      </c>
      <c r="Z165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5" s="93">
        <f ca="1">IF(base_de_datos[[#This Row],[No clase]]=OFFSET(base_de_datos[[#This Row],[No clase]],-1,0),0,1)</f>
        <v>1</v>
      </c>
      <c r="AB165" s="93">
        <f ca="1">IF(NOT(OR(base_de_datos[[#This Row],[Horas totales]]=base_de_datos[[#This Row],[HT Plan]],base_de_datos[[#This Row],[Horas totales]]="N/A")),1,0)</f>
        <v>0</v>
      </c>
      <c r="AC165" s="93" t="e">
        <f>_xlfn.XLOOKUP(base_de_datos[[#This Row],[Profesor]],Nombre,Grado)</f>
        <v>#REF!</v>
      </c>
      <c r="AD165" s="94" t="e">
        <f>_xlfn.XLOOKUP(base_de_datos[[#This Row],[Profesor]],Nombre,Tipo)</f>
        <v>#REF!</v>
      </c>
      <c r="AE165" s="93">
        <f>IF(IFERROR(VLOOKUP($C165,Planes_de_estudio[],MATCH($AE$2,Carreras,0)+2,0),"")&gt;0,IFERROR(VLOOKUP($C165,Planes_de_estudio[],MATCH($AE$2,Carreras,0)+2,0),""),"")</f>
        <v>4</v>
      </c>
      <c r="AF165" s="93">
        <f>IF(IFERROR(VLOOKUP($C165,Planes_de_estudio[],MATCH($AF$2,Carreras,0)+2,0),"")&gt;0,IFERROR(VLOOKUP($C165,Planes_de_estudio[],MATCH($AF$2,Carreras,0)+2,0),""),"")</f>
        <v>4</v>
      </c>
      <c r="AG165" s="93">
        <f>IF(IFERROR(VLOOKUP($C165,Planes_de_estudio[],MATCH($AG$2,Carreras,0)+2,0),"")&gt;0,IFERROR(VLOOKUP($C165,Planes_de_estudio[],MATCH($AG$2,Carreras,0)+2,0),""),"")</f>
        <v>5</v>
      </c>
      <c r="AH165" s="93" t="str">
        <f>IF(IFERROR(VLOOKUP($C165,Planes_de_estudio[],MATCH($AH$2,Carreras,0)+2,0),"")&gt;0,IFERROR(VLOOKUP($C165,Planes_de_estudio[],MATCH($AH$2,Carreras,0)+2,0),""),"")</f>
        <v/>
      </c>
      <c r="AI165" s="93">
        <f>IF(IFERROR(VLOOKUP($C165,Planes_de_estudio[],MATCH($AI$2,Carreras,0)+2,0),"")&gt;0,IFERROR(VLOOKUP($C165,Planes_de_estudio[],MATCH($AI$2,Carreras,0)+2,0),""),"")</f>
        <v>3</v>
      </c>
      <c r="AJ165" s="93" t="str">
        <f>IF(IFERROR(VLOOKUP($C165,Planes_de_estudio[],MATCH($AJ$2,Carreras,0)+2,0),"")&gt;0,IFERROR(VLOOKUP($C165,Planes_de_estudio[],MATCH($AJ$2,Carreras,0)+2,0),""),"")</f>
        <v/>
      </c>
      <c r="AK165" s="93">
        <f>IF(IFERROR(VLOOKUP($C165,Planes_de_estudio[],MATCH($AK$2,Carreras,0)+2,0),"")&gt;0,IFERROR(VLOOKUP($C165,Planes_de_estudio[],MATCH($AK$2,Carreras,0)+2,0),""),"")</f>
        <v>4</v>
      </c>
      <c r="AL16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6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41</v>
      </c>
      <c r="AN165" s="93">
        <f>base_de_datos[[#This Row],[Pronóstico]]/25</f>
        <v>1.64</v>
      </c>
      <c r="AO165" s="93" t="str">
        <f>VLOOKUP($C165,Planes_de_estudio[],2)</f>
        <v>EEC</v>
      </c>
      <c r="AP165" s="195">
        <v>6</v>
      </c>
      <c r="AQ165" s="195">
        <v>6</v>
      </c>
      <c r="AR165" s="195">
        <v>6</v>
      </c>
      <c r="AS165" s="196"/>
      <c r="AT165" s="195">
        <v>6</v>
      </c>
      <c r="AU165" s="196"/>
      <c r="AV165" s="195">
        <v>6</v>
      </c>
      <c r="AW165" s="91"/>
      <c r="AX165" s="73"/>
    </row>
    <row r="166" spans="2:50" ht="16">
      <c r="B166" s="95" t="s">
        <v>204</v>
      </c>
      <c r="C166" s="96" t="s">
        <v>306</v>
      </c>
      <c r="D166" s="92">
        <v>1</v>
      </c>
      <c r="E166" s="97">
        <v>0.375</v>
      </c>
      <c r="F166" s="97">
        <v>0.45833333333333098</v>
      </c>
      <c r="G166" s="92" t="s">
        <v>66</v>
      </c>
      <c r="H166" s="92" t="s">
        <v>142</v>
      </c>
      <c r="I166" s="92" t="e">
        <f>INDEX(Aulas_capacidad,MATCH(base_de_datos[[#This Row],[Aula]],Aulas,0),2)</f>
        <v>#REF!</v>
      </c>
      <c r="J166" s="90">
        <v>8</v>
      </c>
      <c r="K166" s="92" t="e">
        <f>INDEX(Aulas_capacidad,MATCH(base_de_datos[[#This Row],[Aula]],Aulas,0),4)</f>
        <v>#REF!</v>
      </c>
      <c r="L166" s="98" t="e">
        <f>base_de_datos[[#This Row],[Cap 1.5]]-base_de_datos[[#This Row],[Inscritos]]</f>
        <v>#REF!</v>
      </c>
      <c r="M166" s="98" t="e">
        <f>INDEX(Aulas_capacidad,MATCH(base_de_datos[[#This Row],[Aula]],Aulas,0),5)</f>
        <v>#REF!</v>
      </c>
      <c r="N166" s="98" t="e">
        <f>base_de_datos[[#This Row],[Cap .90]]-base_de_datos[[#This Row],[Inscritos]]</f>
        <v>#REF!</v>
      </c>
      <c r="O166" s="92" t="s">
        <v>350</v>
      </c>
      <c r="P166" s="99"/>
      <c r="Q166" s="100"/>
      <c r="R166" s="99" t="s">
        <v>68</v>
      </c>
      <c r="S166" s="100"/>
      <c r="T166" s="100"/>
      <c r="U166" s="99"/>
      <c r="V166" s="99"/>
      <c r="W166" s="99" t="s">
        <v>77</v>
      </c>
      <c r="X166" s="93">
        <f>_xlfn.XLOOKUP(base_de_datos[[#This Row],[Materia]],Materias,Horas)/16</f>
        <v>4</v>
      </c>
      <c r="Y166" s="93">
        <f>ROUND(((base_de_datos[[#This Row],[Hora fin]]-base_de_datos[[#This Row],[Hora inicio]])*24)*(COUNTA(base_de_datos[[#This Row],[Lunes]:[Sábado]])),1)</f>
        <v>2</v>
      </c>
      <c r="Z166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6" s="93">
        <f ca="1">IF(base_de_datos[[#This Row],[No clase]]=OFFSET(base_de_datos[[#This Row],[No clase]],-1,0),0,1)</f>
        <v>0</v>
      </c>
      <c r="AB166" s="93">
        <f ca="1">IF(NOT(OR(base_de_datos[[#This Row],[Horas totales]]=base_de_datos[[#This Row],[HT Plan]],base_de_datos[[#This Row],[Horas totales]]="N/A")),1,0)</f>
        <v>0</v>
      </c>
      <c r="AC166" s="93" t="e">
        <f>_xlfn.XLOOKUP(base_de_datos[[#This Row],[Profesor]],Nombre,Grado)</f>
        <v>#REF!</v>
      </c>
      <c r="AD166" s="94" t="e">
        <f>_xlfn.XLOOKUP(base_de_datos[[#This Row],[Profesor]],Nombre,Tipo)</f>
        <v>#REF!</v>
      </c>
      <c r="AE166" s="93">
        <f>IF(IFERROR(VLOOKUP($C166,Planes_de_estudio[],MATCH($AE$2,Carreras,0)+2,0),"")&gt;0,IFERROR(VLOOKUP($C166,Planes_de_estudio[],MATCH($AE$2,Carreras,0)+2,0),""),"")</f>
        <v>4</v>
      </c>
      <c r="AF166" s="93">
        <f>IF(IFERROR(VLOOKUP($C166,Planes_de_estudio[],MATCH($AF$2,Carreras,0)+2,0),"")&gt;0,IFERROR(VLOOKUP($C166,Planes_de_estudio[],MATCH($AF$2,Carreras,0)+2,0),""),"")</f>
        <v>4</v>
      </c>
      <c r="AG166" s="93">
        <f>IF(IFERROR(VLOOKUP($C166,Planes_de_estudio[],MATCH($AG$2,Carreras,0)+2,0),"")&gt;0,IFERROR(VLOOKUP($C166,Planes_de_estudio[],MATCH($AG$2,Carreras,0)+2,0),""),"")</f>
        <v>5</v>
      </c>
      <c r="AH166" s="93" t="str">
        <f>IF(IFERROR(VLOOKUP($C166,Planes_de_estudio[],MATCH($AH$2,Carreras,0)+2,0),"")&gt;0,IFERROR(VLOOKUP($C166,Planes_de_estudio[],MATCH($AH$2,Carreras,0)+2,0),""),"")</f>
        <v/>
      </c>
      <c r="AI166" s="93">
        <f>IF(IFERROR(VLOOKUP($C166,Planes_de_estudio[],MATCH($AI$2,Carreras,0)+2,0),"")&gt;0,IFERROR(VLOOKUP($C166,Planes_de_estudio[],MATCH($AI$2,Carreras,0)+2,0),""),"")</f>
        <v>3</v>
      </c>
      <c r="AJ166" s="93" t="str">
        <f>IF(IFERROR(VLOOKUP($C166,Planes_de_estudio[],MATCH($AJ$2,Carreras,0)+2,0),"")&gt;0,IFERROR(VLOOKUP($C166,Planes_de_estudio[],MATCH($AJ$2,Carreras,0)+2,0),""),"")</f>
        <v/>
      </c>
      <c r="AK166" s="93">
        <f>IF(IFERROR(VLOOKUP($C166,Planes_de_estudio[],MATCH($AK$2,Carreras,0)+2,0),"")&gt;0,IFERROR(VLOOKUP($C166,Planes_de_estudio[],MATCH($AK$2,Carreras,0)+2,0),""),"")</f>
        <v>4</v>
      </c>
      <c r="AL16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6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41</v>
      </c>
      <c r="AN166" s="93">
        <f>base_de_datos[[#This Row],[Pronóstico]]/25</f>
        <v>1.64</v>
      </c>
      <c r="AO166" s="93" t="str">
        <f>VLOOKUP($C166,Planes_de_estudio[],2)</f>
        <v>EEC</v>
      </c>
      <c r="AP166" s="196"/>
      <c r="AQ166" s="196"/>
      <c r="AR166" s="196"/>
      <c r="AS166" s="196"/>
      <c r="AT166" s="196"/>
      <c r="AU166" s="196"/>
      <c r="AV166" s="196"/>
      <c r="AW166" s="91"/>
      <c r="AX166" s="73"/>
    </row>
    <row r="167" spans="2:50" ht="16">
      <c r="B167" s="95" t="s">
        <v>131</v>
      </c>
      <c r="C167" s="96" t="s">
        <v>306</v>
      </c>
      <c r="D167" s="92">
        <v>2</v>
      </c>
      <c r="E167" s="97">
        <v>0.70833333333333304</v>
      </c>
      <c r="F167" s="97">
        <v>0.79166666666665897</v>
      </c>
      <c r="G167" s="92" t="s">
        <v>66</v>
      </c>
      <c r="H167" s="92" t="s">
        <v>162</v>
      </c>
      <c r="I167" s="92" t="e">
        <f>INDEX(Aulas_capacidad,MATCH(base_de_datos[[#This Row],[Aula]],Aulas,0),2)</f>
        <v>#REF!</v>
      </c>
      <c r="J167" s="90">
        <v>28</v>
      </c>
      <c r="K167" s="92" t="e">
        <f>INDEX(Aulas_capacidad,MATCH(base_de_datos[[#This Row],[Aula]],Aulas,0),4)</f>
        <v>#REF!</v>
      </c>
      <c r="L167" s="98" t="e">
        <f>base_de_datos[[#This Row],[Cap 1.5]]-base_de_datos[[#This Row],[Inscritos]]</f>
        <v>#REF!</v>
      </c>
      <c r="M167" s="98" t="e">
        <f>INDEX(Aulas_capacidad,MATCH(base_de_datos[[#This Row],[Aula]],Aulas,0),5)</f>
        <v>#REF!</v>
      </c>
      <c r="N167" s="98" t="e">
        <f>base_de_datos[[#This Row],[Cap .90]]-base_de_datos[[#This Row],[Inscritos]]</f>
        <v>#REF!</v>
      </c>
      <c r="O167" s="92" t="s">
        <v>307</v>
      </c>
      <c r="P167" s="99"/>
      <c r="Q167" s="100"/>
      <c r="R167" s="99"/>
      <c r="S167" s="100" t="s">
        <v>68</v>
      </c>
      <c r="T167" s="100"/>
      <c r="U167" s="99"/>
      <c r="V167" s="99"/>
      <c r="W167" s="99" t="s">
        <v>135</v>
      </c>
      <c r="X167" s="93">
        <f>_xlfn.XLOOKUP(base_de_datos[[#This Row],[Materia]],Materias,Horas)/16</f>
        <v>4</v>
      </c>
      <c r="Y167" s="93">
        <f>ROUND(((base_de_datos[[#This Row],[Hora fin]]-base_de_datos[[#This Row],[Hora inicio]])*24)*(COUNTA(base_de_datos[[#This Row],[Lunes]:[Sábado]])),1)</f>
        <v>2</v>
      </c>
      <c r="Z167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67" s="93">
        <f ca="1">IF(base_de_datos[[#This Row],[No clase]]=OFFSET(base_de_datos[[#This Row],[No clase]],-1,0),0,1)</f>
        <v>1</v>
      </c>
      <c r="AB167" s="93">
        <f ca="1">IF(NOT(OR(base_de_datos[[#This Row],[Horas totales]]=base_de_datos[[#This Row],[HT Plan]],base_de_datos[[#This Row],[Horas totales]]="N/A")),1,0)</f>
        <v>1</v>
      </c>
      <c r="AC167" s="93" t="e">
        <f>_xlfn.XLOOKUP(base_de_datos[[#This Row],[Profesor]],Nombre,Grado)</f>
        <v>#REF!</v>
      </c>
      <c r="AD167" s="94" t="e">
        <f>_xlfn.XLOOKUP(base_de_datos[[#This Row],[Profesor]],Nombre,Tipo)</f>
        <v>#REF!</v>
      </c>
      <c r="AE167" s="93">
        <f>IF(IFERROR(VLOOKUP($C167,Planes_de_estudio[],MATCH($AE$2,Carreras,0)+2,0),"")&gt;0,IFERROR(VLOOKUP($C167,Planes_de_estudio[],MATCH($AE$2,Carreras,0)+2,0),""),"")</f>
        <v>4</v>
      </c>
      <c r="AF167" s="93">
        <f>IF(IFERROR(VLOOKUP($C167,Planes_de_estudio[],MATCH($AF$2,Carreras,0)+2,0),"")&gt;0,IFERROR(VLOOKUP($C167,Planes_de_estudio[],MATCH($AF$2,Carreras,0)+2,0),""),"")</f>
        <v>4</v>
      </c>
      <c r="AG167" s="93">
        <f>IF(IFERROR(VLOOKUP($C167,Planes_de_estudio[],MATCH($AG$2,Carreras,0)+2,0),"")&gt;0,IFERROR(VLOOKUP($C167,Planes_de_estudio[],MATCH($AG$2,Carreras,0)+2,0),""),"")</f>
        <v>5</v>
      </c>
      <c r="AH167" s="93" t="str">
        <f>IF(IFERROR(VLOOKUP($C167,Planes_de_estudio[],MATCH($AH$2,Carreras,0)+2,0),"")&gt;0,IFERROR(VLOOKUP($C167,Planes_de_estudio[],MATCH($AH$2,Carreras,0)+2,0),""),"")</f>
        <v/>
      </c>
      <c r="AI167" s="93">
        <f>IF(IFERROR(VLOOKUP($C167,Planes_de_estudio[],MATCH($AI$2,Carreras,0)+2,0),"")&gt;0,IFERROR(VLOOKUP($C167,Planes_de_estudio[],MATCH($AI$2,Carreras,0)+2,0),""),"")</f>
        <v>3</v>
      </c>
      <c r="AJ167" s="93" t="str">
        <f>IF(IFERROR(VLOOKUP($C167,Planes_de_estudio[],MATCH($AJ$2,Carreras,0)+2,0),"")&gt;0,IFERROR(VLOOKUP($C167,Planes_de_estudio[],MATCH($AJ$2,Carreras,0)+2,0),""),"")</f>
        <v/>
      </c>
      <c r="AK167" s="93">
        <f>IF(IFERROR(VLOOKUP($C167,Planes_de_estudio[],MATCH($AK$2,Carreras,0)+2,0),"")&gt;0,IFERROR(VLOOKUP($C167,Planes_de_estudio[],MATCH($AK$2,Carreras,0)+2,0),""),"")</f>
        <v>4</v>
      </c>
      <c r="AL16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6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41</v>
      </c>
      <c r="AN167" s="93">
        <f>base_de_datos[[#This Row],[Pronóstico]]/25</f>
        <v>1.64</v>
      </c>
      <c r="AO167" s="93" t="str">
        <f>VLOOKUP($C167,Planes_de_estudio[],2)</f>
        <v>EEC</v>
      </c>
      <c r="AP167" s="195">
        <v>6</v>
      </c>
      <c r="AQ167" s="195">
        <v>6</v>
      </c>
      <c r="AR167" s="195">
        <v>6</v>
      </c>
      <c r="AS167" s="196"/>
      <c r="AT167" s="195">
        <v>6</v>
      </c>
      <c r="AU167" s="196"/>
      <c r="AV167" s="195">
        <v>6</v>
      </c>
      <c r="AW167" s="91"/>
      <c r="AX167" s="73"/>
    </row>
    <row r="168" spans="2:50" ht="16">
      <c r="B168" s="95" t="s">
        <v>351</v>
      </c>
      <c r="C168" s="96" t="s">
        <v>352</v>
      </c>
      <c r="D168" s="92">
        <v>1</v>
      </c>
      <c r="E168" s="97">
        <v>0.70833333333333304</v>
      </c>
      <c r="F168" s="97">
        <v>0.77083333333332604</v>
      </c>
      <c r="G168" s="92" t="s">
        <v>72</v>
      </c>
      <c r="H168" s="92" t="s">
        <v>106</v>
      </c>
      <c r="I168" s="92" t="e">
        <f>INDEX(Aulas_capacidad,MATCH(base_de_datos[[#This Row],[Aula]],Aulas,0),2)</f>
        <v>#REF!</v>
      </c>
      <c r="J168" s="90">
        <v>19</v>
      </c>
      <c r="K168" s="92" t="e">
        <f>INDEX(Aulas_capacidad,MATCH(base_de_datos[[#This Row],[Aula]],Aulas,0),4)</f>
        <v>#REF!</v>
      </c>
      <c r="L168" s="98" t="e">
        <f>base_de_datos[[#This Row],[Cap 1.5]]-base_de_datos[[#This Row],[Inscritos]]</f>
        <v>#REF!</v>
      </c>
      <c r="M168" s="98" t="e">
        <f>INDEX(Aulas_capacidad,MATCH(base_de_datos[[#This Row],[Aula]],Aulas,0),5)</f>
        <v>#REF!</v>
      </c>
      <c r="N168" s="98" t="e">
        <f>base_de_datos[[#This Row],[Cap .90]]-base_de_datos[[#This Row],[Inscritos]]</f>
        <v>#REF!</v>
      </c>
      <c r="O168" s="92">
        <v>1480</v>
      </c>
      <c r="P168" s="99"/>
      <c r="Q168" s="100" t="s">
        <v>68</v>
      </c>
      <c r="R168" s="99" t="s">
        <v>68</v>
      </c>
      <c r="S168" s="100"/>
      <c r="T168" s="100"/>
      <c r="U168" s="99"/>
      <c r="V168" s="99"/>
      <c r="W168" s="99" t="s">
        <v>77</v>
      </c>
      <c r="X168" s="93">
        <f>_xlfn.XLOOKUP(base_de_datos[[#This Row],[Materia]],Materias,Horas)/16</f>
        <v>3</v>
      </c>
      <c r="Y168" s="93">
        <f>ROUND(((base_de_datos[[#This Row],[Hora fin]]-base_de_datos[[#This Row],[Hora inicio]])*24)*(COUNTA(base_de_datos[[#This Row],[Lunes]:[Sábado]])),1)</f>
        <v>3</v>
      </c>
      <c r="Z168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68" s="93">
        <f ca="1">IF(base_de_datos[[#This Row],[No clase]]=OFFSET(base_de_datos[[#This Row],[No clase]],-1,0),0,1)</f>
        <v>1</v>
      </c>
      <c r="AB168" s="93">
        <f ca="1">IF(NOT(OR(base_de_datos[[#This Row],[Horas totales]]=base_de_datos[[#This Row],[HT Plan]],base_de_datos[[#This Row],[Horas totales]]="N/A")),1,0)</f>
        <v>0</v>
      </c>
      <c r="AC168" s="93" t="e">
        <f>_xlfn.XLOOKUP(base_de_datos[[#This Row],[Profesor]],Nombre,Grado)</f>
        <v>#REF!</v>
      </c>
      <c r="AD168" s="94" t="e">
        <f>_xlfn.XLOOKUP(base_de_datos[[#This Row],[Profesor]],Nombre,Tipo)</f>
        <v>#REF!</v>
      </c>
      <c r="AE168" s="93" t="str">
        <f>IF(IFERROR(VLOOKUP($C168,Planes_de_estudio[],MATCH($AE$2,Carreras,0)+2,0),"")&gt;0,IFERROR(VLOOKUP($C168,Planes_de_estudio[],MATCH($AE$2,Carreras,0)+2,0),""),"")</f>
        <v/>
      </c>
      <c r="AF168" s="93" t="str">
        <f>IF(IFERROR(VLOOKUP($C168,Planes_de_estudio[],MATCH($AF$2,Carreras,0)+2,0),"")&gt;0,IFERROR(VLOOKUP($C168,Planes_de_estudio[],MATCH($AF$2,Carreras,0)+2,0),""),"")</f>
        <v/>
      </c>
      <c r="AG168" s="93" t="str">
        <f>IF(IFERROR(VLOOKUP($C168,Planes_de_estudio[],MATCH($AG$2,Carreras,0)+2,0),"")&gt;0,IFERROR(VLOOKUP($C168,Planes_de_estudio[],MATCH($AG$2,Carreras,0)+2,0),""),"")</f>
        <v/>
      </c>
      <c r="AH168" s="93">
        <f>IF(IFERROR(VLOOKUP($C168,Planes_de_estudio[],MATCH($AH$2,Carreras,0)+2,0),"")&gt;0,IFERROR(VLOOKUP($C168,Planes_de_estudio[],MATCH($AH$2,Carreras,0)+2,0),""),"")</f>
        <v>5</v>
      </c>
      <c r="AI168" s="93" t="str">
        <f>IF(IFERROR(VLOOKUP($C168,Planes_de_estudio[],MATCH($AI$2,Carreras,0)+2,0),"")&gt;0,IFERROR(VLOOKUP($C168,Planes_de_estudio[],MATCH($AI$2,Carreras,0)+2,0),""),"")</f>
        <v/>
      </c>
      <c r="AJ168" s="93" t="str">
        <f>IF(IFERROR(VLOOKUP($C168,Planes_de_estudio[],MATCH($AJ$2,Carreras,0)+2,0),"")&gt;0,IFERROR(VLOOKUP($C168,Planes_de_estudio[],MATCH($AJ$2,Carreras,0)+2,0),""),"")</f>
        <v/>
      </c>
      <c r="AK168" s="93" t="str">
        <f>IF(IFERROR(VLOOKUP($C168,Planes_de_estudio[],MATCH($AK$2,Carreras,0)+2,0),"")&gt;0,IFERROR(VLOOKUP($C168,Planes_de_estudio[],MATCH($AK$2,Carreras,0)+2,0),""),"")</f>
        <v/>
      </c>
      <c r="AL16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6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168" s="93">
        <f>base_de_datos[[#This Row],[Pronóstico]]/25</f>
        <v>0.72</v>
      </c>
      <c r="AO168" s="93" t="str">
        <f>VLOOKUP($C168,Planes_de_estudio[],2)</f>
        <v>COM</v>
      </c>
      <c r="AP168" s="196"/>
      <c r="AQ168" s="196"/>
      <c r="AR168" s="196"/>
      <c r="AS168" s="195">
        <v>6</v>
      </c>
      <c r="AT168" s="196"/>
      <c r="AU168" s="196"/>
      <c r="AV168" s="196"/>
      <c r="AW168" s="91"/>
      <c r="AX168" s="73"/>
    </row>
    <row r="169" spans="2:50" ht="16">
      <c r="B169" s="95" t="s">
        <v>353</v>
      </c>
      <c r="C169" s="96" t="s">
        <v>354</v>
      </c>
      <c r="D169" s="92">
        <v>1</v>
      </c>
      <c r="E169" s="97">
        <v>0.70833333333333304</v>
      </c>
      <c r="F169" s="97">
        <v>0.83333333333332504</v>
      </c>
      <c r="G169" s="92" t="s">
        <v>66</v>
      </c>
      <c r="H169" s="92" t="s">
        <v>202</v>
      </c>
      <c r="I169" s="92" t="e">
        <f>INDEX(Aulas_capacidad,MATCH(base_de_datos[[#This Row],[Aula]],Aulas,0),2)</f>
        <v>#REF!</v>
      </c>
      <c r="J169" s="90">
        <v>22</v>
      </c>
      <c r="K169" s="92" t="e">
        <f>INDEX(Aulas_capacidad,MATCH(base_de_datos[[#This Row],[Aula]],Aulas,0),4)</f>
        <v>#REF!</v>
      </c>
      <c r="L169" s="98" t="e">
        <f>base_de_datos[[#This Row],[Cap 1.5]]-base_de_datos[[#This Row],[Inscritos]]</f>
        <v>#REF!</v>
      </c>
      <c r="M169" s="98" t="e">
        <f>INDEX(Aulas_capacidad,MATCH(base_de_datos[[#This Row],[Aula]],Aulas,0),5)</f>
        <v>#REF!</v>
      </c>
      <c r="N169" s="98" t="e">
        <f>base_de_datos[[#This Row],[Cap .90]]-base_de_datos[[#This Row],[Inscritos]]</f>
        <v>#REF!</v>
      </c>
      <c r="O169" s="92" t="s">
        <v>355</v>
      </c>
      <c r="P169" s="99"/>
      <c r="Q169" s="100"/>
      <c r="R169" s="99"/>
      <c r="S169" s="100"/>
      <c r="T169" s="100" t="s">
        <v>68</v>
      </c>
      <c r="U169" s="99"/>
      <c r="V169" s="99"/>
      <c r="W169" s="99" t="s">
        <v>135</v>
      </c>
      <c r="X169" s="93">
        <f>_xlfn.XLOOKUP(base_de_datos[[#This Row],[Materia]],Materias,Horas)/16</f>
        <v>3</v>
      </c>
      <c r="Y169" s="93">
        <f>ROUND(((base_de_datos[[#This Row],[Hora fin]]-base_de_datos[[#This Row],[Hora inicio]])*24)*(COUNTA(base_de_datos[[#This Row],[Lunes]:[Sábado]])),1)</f>
        <v>3</v>
      </c>
      <c r="Z169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69" s="93">
        <f ca="1">IF(base_de_datos[[#This Row],[No clase]]=OFFSET(base_de_datos[[#This Row],[No clase]],-1,0),0,1)</f>
        <v>1</v>
      </c>
      <c r="AB169" s="93">
        <f ca="1">IF(NOT(OR(base_de_datos[[#This Row],[Horas totales]]=base_de_datos[[#This Row],[HT Plan]],base_de_datos[[#This Row],[Horas totales]]="N/A")),1,0)</f>
        <v>0</v>
      </c>
      <c r="AC169" s="93" t="e">
        <f>_xlfn.XLOOKUP(base_de_datos[[#This Row],[Profesor]],Nombre,Grado)</f>
        <v>#REF!</v>
      </c>
      <c r="AD169" s="94" t="e">
        <f>_xlfn.XLOOKUP(base_de_datos[[#This Row],[Profesor]],Nombre,Tipo)</f>
        <v>#REF!</v>
      </c>
      <c r="AE169" s="93" t="str">
        <f>IF(IFERROR(VLOOKUP($C169,Planes_de_estudio[],MATCH($AE$2,Carreras,0)+2,0),"")&gt;0,IFERROR(VLOOKUP($C169,Planes_de_estudio[],MATCH($AE$2,Carreras,0)+2,0),""),"")</f>
        <v/>
      </c>
      <c r="AF169" s="93">
        <f>IF(IFERROR(VLOOKUP($C169,Planes_de_estudio[],MATCH($AF$2,Carreras,0)+2,0),"")&gt;0,IFERROR(VLOOKUP($C169,Planes_de_estudio[],MATCH($AF$2,Carreras,0)+2,0),""),"")</f>
        <v>5</v>
      </c>
      <c r="AG169" s="93" t="str">
        <f>IF(IFERROR(VLOOKUP($C169,Planes_de_estudio[],MATCH($AG$2,Carreras,0)+2,0),"")&gt;0,IFERROR(VLOOKUP($C169,Planes_de_estudio[],MATCH($AG$2,Carreras,0)+2,0),""),"")</f>
        <v/>
      </c>
      <c r="AH169" s="93" t="str">
        <f>IF(IFERROR(VLOOKUP($C169,Planes_de_estudio[],MATCH($AH$2,Carreras,0)+2,0),"")&gt;0,IFERROR(VLOOKUP($C169,Planes_de_estudio[],MATCH($AH$2,Carreras,0)+2,0),""),"")</f>
        <v/>
      </c>
      <c r="AI169" s="93" t="str">
        <f>IF(IFERROR(VLOOKUP($C169,Planes_de_estudio[],MATCH($AI$2,Carreras,0)+2,0),"")&gt;0,IFERROR(VLOOKUP($C169,Planes_de_estudio[],MATCH($AI$2,Carreras,0)+2,0),""),"")</f>
        <v/>
      </c>
      <c r="AJ169" s="93" t="str">
        <f>IF(IFERROR(VLOOKUP($C169,Planes_de_estudio[],MATCH($AJ$2,Carreras,0)+2,0),"")&gt;0,IFERROR(VLOOKUP($C169,Planes_de_estudio[],MATCH($AJ$2,Carreras,0)+2,0),""),"")</f>
        <v/>
      </c>
      <c r="AK169" s="93">
        <f>IF(IFERROR(VLOOKUP($C169,Planes_de_estudio[],MATCH($AK$2,Carreras,0)+2,0),"")&gt;0,IFERROR(VLOOKUP($C169,Planes_de_estudio[],MATCH($AK$2,Carreras,0)+2,0),""),"")</f>
        <v>5</v>
      </c>
      <c r="AL16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6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20</v>
      </c>
      <c r="AN169" s="93">
        <f>base_de_datos[[#This Row],[Pronóstico]]/25</f>
        <v>0.8</v>
      </c>
      <c r="AO169" s="93" t="str">
        <f>VLOOKUP($C169,Planes_de_estudio[],2)</f>
        <v>EEC</v>
      </c>
      <c r="AP169" s="196"/>
      <c r="AQ169" s="195">
        <v>6</v>
      </c>
      <c r="AR169" s="196"/>
      <c r="AS169" s="196"/>
      <c r="AT169" s="196"/>
      <c r="AU169" s="196"/>
      <c r="AV169" s="195">
        <v>6</v>
      </c>
      <c r="AW169" s="91"/>
      <c r="AX169" s="73"/>
    </row>
    <row r="170" spans="2:50" ht="16">
      <c r="B170" s="95" t="s">
        <v>356</v>
      </c>
      <c r="C170" s="96" t="s">
        <v>357</v>
      </c>
      <c r="D170" s="92">
        <v>1</v>
      </c>
      <c r="E170" s="97">
        <v>0.79166666666666696</v>
      </c>
      <c r="F170" s="97">
        <v>0.87499999999999001</v>
      </c>
      <c r="G170" s="92"/>
      <c r="H170" s="92" t="s">
        <v>358</v>
      </c>
      <c r="I170" s="92" t="e">
        <f>INDEX(Aulas_capacidad,MATCH(base_de_datos[[#This Row],[Aula]],Aulas,0),2)</f>
        <v>#REF!</v>
      </c>
      <c r="J170" s="90">
        <v>8</v>
      </c>
      <c r="K170" s="92" t="e">
        <f>INDEX(Aulas_capacidad,MATCH(base_de_datos[[#This Row],[Aula]],Aulas,0),4)</f>
        <v>#REF!</v>
      </c>
      <c r="L170" s="98" t="e">
        <f>base_de_datos[[#This Row],[Cap 1.5]]-base_de_datos[[#This Row],[Inscritos]]</f>
        <v>#REF!</v>
      </c>
      <c r="M170" s="98" t="e">
        <f>INDEX(Aulas_capacidad,MATCH(base_de_datos[[#This Row],[Aula]],Aulas,0),5)</f>
        <v>#REF!</v>
      </c>
      <c r="N170" s="98" t="e">
        <f>base_de_datos[[#This Row],[Cap .90]]-base_de_datos[[#This Row],[Inscritos]]</f>
        <v>#REF!</v>
      </c>
      <c r="O170" s="92" t="s">
        <v>359</v>
      </c>
      <c r="P170" s="99" t="s">
        <v>68</v>
      </c>
      <c r="Q170" s="100"/>
      <c r="R170" s="99"/>
      <c r="S170" s="100"/>
      <c r="T170" s="100"/>
      <c r="U170" s="99"/>
      <c r="V170" s="99" t="s">
        <v>68</v>
      </c>
      <c r="W170" s="99" t="s">
        <v>74</v>
      </c>
      <c r="X170" s="93">
        <f>_xlfn.XLOOKUP(base_de_datos[[#This Row],[Materia]],Materias,Horas)/16</f>
        <v>4</v>
      </c>
      <c r="Y170" s="93">
        <f>ROUND(((base_de_datos[[#This Row],[Hora fin]]-base_de_datos[[#This Row],[Hora inicio]])*24)*(COUNTA(base_de_datos[[#This Row],[Lunes]:[Sábado]])),1)</f>
        <v>2</v>
      </c>
      <c r="Z170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70" s="93">
        <f ca="1">IF(base_de_datos[[#This Row],[No clase]]=OFFSET(base_de_datos[[#This Row],[No clase]],-1,0),0,1)</f>
        <v>1</v>
      </c>
      <c r="AB170" s="93">
        <f ca="1">IF(NOT(OR(base_de_datos[[#This Row],[Horas totales]]=base_de_datos[[#This Row],[HT Plan]],base_de_datos[[#This Row],[Horas totales]]="N/A")),1,0)</f>
        <v>0</v>
      </c>
      <c r="AC170" s="93" t="e">
        <f>_xlfn.XLOOKUP(base_de_datos[[#This Row],[Profesor]],Nombre,Grado)</f>
        <v>#REF!</v>
      </c>
      <c r="AD170" s="94" t="e">
        <f>_xlfn.XLOOKUP(base_de_datos[[#This Row],[Profesor]],Nombre,Tipo)</f>
        <v>#REF!</v>
      </c>
      <c r="AE170" s="93" t="str">
        <f>IF(IFERROR(VLOOKUP($C170,Planes_de_estudio[],MATCH($AE$2,Carreras,0)+2,0),"")&gt;0,IFERROR(VLOOKUP($C170,Planes_de_estudio[],MATCH($AE$2,Carreras,0)+2,0),""),"")</f>
        <v/>
      </c>
      <c r="AF170" s="93" t="str">
        <f>IF(IFERROR(VLOOKUP($C170,Planes_de_estudio[],MATCH($AF$2,Carreras,0)+2,0),"")&gt;0,IFERROR(VLOOKUP($C170,Planes_de_estudio[],MATCH($AF$2,Carreras,0)+2,0),""),"")</f>
        <v/>
      </c>
      <c r="AG170" s="93" t="str">
        <f>IF(IFERROR(VLOOKUP($C170,Planes_de_estudio[],MATCH($AG$2,Carreras,0)+2,0),"")&gt;0,IFERROR(VLOOKUP($C170,Planes_de_estudio[],MATCH($AG$2,Carreras,0)+2,0),""),"")</f>
        <v/>
      </c>
      <c r="AH170" s="93" t="str">
        <f>IF(IFERROR(VLOOKUP($C170,Planes_de_estudio[],MATCH($AH$2,Carreras,0)+2,0),"")&gt;0,IFERROR(VLOOKUP($C170,Planes_de_estudio[],MATCH($AH$2,Carreras,0)+2,0),""),"")</f>
        <v/>
      </c>
      <c r="AI170" s="93" t="str">
        <f>IF(IFERROR(VLOOKUP($C170,Planes_de_estudio[],MATCH($AI$2,Carreras,0)+2,0),"")&gt;0,IFERROR(VLOOKUP($C170,Planes_de_estudio[],MATCH($AI$2,Carreras,0)+2,0),""),"")</f>
        <v/>
      </c>
      <c r="AJ170" s="93" t="str">
        <f>IF(IFERROR(VLOOKUP($C170,Planes_de_estudio[],MATCH($AJ$2,Carreras,0)+2,0),"")&gt;0,IFERROR(VLOOKUP($C170,Planes_de_estudio[],MATCH($AJ$2,Carreras,0)+2,0),""),"")</f>
        <v/>
      </c>
      <c r="AK170" s="93">
        <f>IF(IFERROR(VLOOKUP($C170,Planes_de_estudio[],MATCH($AK$2,Carreras,0)+2,0),"")&gt;0,IFERROR(VLOOKUP($C170,Planes_de_estudio[],MATCH($AK$2,Carreras,0)+2,0),""),"")</f>
        <v>7</v>
      </c>
      <c r="AL17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7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</v>
      </c>
      <c r="AN170" s="93">
        <f>base_de_datos[[#This Row],[Pronóstico]]/25</f>
        <v>0.36</v>
      </c>
      <c r="AO170" s="93" t="str">
        <f>VLOOKUP($C170,Planes_de_estudio[],2)</f>
        <v>EEC</v>
      </c>
      <c r="AP170" s="196"/>
      <c r="AQ170" s="196"/>
      <c r="AR170" s="196"/>
      <c r="AS170" s="196"/>
      <c r="AT170" s="196"/>
      <c r="AU170" s="196"/>
      <c r="AV170" s="195">
        <v>6</v>
      </c>
      <c r="AW170" s="91"/>
      <c r="AX170" s="73"/>
    </row>
    <row r="171" spans="2:50" ht="16">
      <c r="B171" s="95" t="s">
        <v>356</v>
      </c>
      <c r="C171" s="96" t="s">
        <v>357</v>
      </c>
      <c r="D171" s="92">
        <v>1</v>
      </c>
      <c r="E171" s="97">
        <v>0.79166666666666696</v>
      </c>
      <c r="F171" s="97">
        <v>0.87499999999999001</v>
      </c>
      <c r="G171" s="92" t="s">
        <v>66</v>
      </c>
      <c r="H171" s="92" t="s">
        <v>360</v>
      </c>
      <c r="I171" s="92" t="e">
        <f>INDEX(Aulas_capacidad,MATCH(base_de_datos[[#This Row],[Aula]],Aulas,0),2)</f>
        <v>#REF!</v>
      </c>
      <c r="J171" s="90">
        <v>8</v>
      </c>
      <c r="K171" s="92" t="e">
        <f>INDEX(Aulas_capacidad,MATCH(base_de_datos[[#This Row],[Aula]],Aulas,0),4)</f>
        <v>#REF!</v>
      </c>
      <c r="L171" s="98" t="e">
        <f>base_de_datos[[#This Row],[Cap 1.5]]-base_de_datos[[#This Row],[Inscritos]]</f>
        <v>#REF!</v>
      </c>
      <c r="M171" s="98" t="e">
        <f>INDEX(Aulas_capacidad,MATCH(base_de_datos[[#This Row],[Aula]],Aulas,0),5)</f>
        <v>#REF!</v>
      </c>
      <c r="N171" s="98" t="e">
        <f>base_de_datos[[#This Row],[Cap .90]]-base_de_datos[[#This Row],[Inscritos]]</f>
        <v>#REF!</v>
      </c>
      <c r="O171" s="92" t="s">
        <v>359</v>
      </c>
      <c r="P171" s="99"/>
      <c r="Q171" s="100"/>
      <c r="R171" s="99" t="s">
        <v>68</v>
      </c>
      <c r="S171" s="100"/>
      <c r="T171" s="100"/>
      <c r="U171" s="99"/>
      <c r="V171" s="99" t="s">
        <v>68</v>
      </c>
      <c r="W171" s="99" t="s">
        <v>74</v>
      </c>
      <c r="X171" s="93">
        <f>_xlfn.XLOOKUP(base_de_datos[[#This Row],[Materia]],Materias,Horas)/16</f>
        <v>4</v>
      </c>
      <c r="Y171" s="93">
        <f>ROUND(((base_de_datos[[#This Row],[Hora fin]]-base_de_datos[[#This Row],[Hora inicio]])*24)*(COUNTA(base_de_datos[[#This Row],[Lunes]:[Sábado]])),1)</f>
        <v>2</v>
      </c>
      <c r="Z171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1" s="93">
        <f ca="1">IF(base_de_datos[[#This Row],[No clase]]=OFFSET(base_de_datos[[#This Row],[No clase]],-1,0),0,1)</f>
        <v>0</v>
      </c>
      <c r="AB171" s="93">
        <f ca="1">IF(NOT(OR(base_de_datos[[#This Row],[Horas totales]]=base_de_datos[[#This Row],[HT Plan]],base_de_datos[[#This Row],[Horas totales]]="N/A")),1,0)</f>
        <v>0</v>
      </c>
      <c r="AC171" s="93" t="e">
        <f>_xlfn.XLOOKUP(base_de_datos[[#This Row],[Profesor]],Nombre,Grado)</f>
        <v>#REF!</v>
      </c>
      <c r="AD171" s="94" t="e">
        <f>_xlfn.XLOOKUP(base_de_datos[[#This Row],[Profesor]],Nombre,Tipo)</f>
        <v>#REF!</v>
      </c>
      <c r="AE171" s="93" t="str">
        <f>IF(IFERROR(VLOOKUP($C171,Planes_de_estudio[],MATCH($AE$2,Carreras,0)+2,0),"")&gt;0,IFERROR(VLOOKUP($C171,Planes_de_estudio[],MATCH($AE$2,Carreras,0)+2,0),""),"")</f>
        <v/>
      </c>
      <c r="AF171" s="93" t="str">
        <f>IF(IFERROR(VLOOKUP($C171,Planes_de_estudio[],MATCH($AF$2,Carreras,0)+2,0),"")&gt;0,IFERROR(VLOOKUP($C171,Planes_de_estudio[],MATCH($AF$2,Carreras,0)+2,0),""),"")</f>
        <v/>
      </c>
      <c r="AG171" s="93" t="str">
        <f>IF(IFERROR(VLOOKUP($C171,Planes_de_estudio[],MATCH($AG$2,Carreras,0)+2,0),"")&gt;0,IFERROR(VLOOKUP($C171,Planes_de_estudio[],MATCH($AG$2,Carreras,0)+2,0),""),"")</f>
        <v/>
      </c>
      <c r="AH171" s="93" t="str">
        <f>IF(IFERROR(VLOOKUP($C171,Planes_de_estudio[],MATCH($AH$2,Carreras,0)+2,0),"")&gt;0,IFERROR(VLOOKUP($C171,Planes_de_estudio[],MATCH($AH$2,Carreras,0)+2,0),""),"")</f>
        <v/>
      </c>
      <c r="AI171" s="93" t="str">
        <f>IF(IFERROR(VLOOKUP($C171,Planes_de_estudio[],MATCH($AI$2,Carreras,0)+2,0),"")&gt;0,IFERROR(VLOOKUP($C171,Planes_de_estudio[],MATCH($AI$2,Carreras,0)+2,0),""),"")</f>
        <v/>
      </c>
      <c r="AJ171" s="93" t="str">
        <f>IF(IFERROR(VLOOKUP($C171,Planes_de_estudio[],MATCH($AJ$2,Carreras,0)+2,0),"")&gt;0,IFERROR(VLOOKUP($C171,Planes_de_estudio[],MATCH($AJ$2,Carreras,0)+2,0),""),"")</f>
        <v/>
      </c>
      <c r="AK171" s="93">
        <f>IF(IFERROR(VLOOKUP($C171,Planes_de_estudio[],MATCH($AK$2,Carreras,0)+2,0),"")&gt;0,IFERROR(VLOOKUP($C171,Planes_de_estudio[],MATCH($AK$2,Carreras,0)+2,0),""),"")</f>
        <v>7</v>
      </c>
      <c r="AL17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7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</v>
      </c>
      <c r="AN171" s="93">
        <f>base_de_datos[[#This Row],[Pronóstico]]/25</f>
        <v>0.36</v>
      </c>
      <c r="AO171" s="93" t="str">
        <f>VLOOKUP($C171,Planes_de_estudio[],2)</f>
        <v>EEC</v>
      </c>
      <c r="AP171" s="196"/>
      <c r="AQ171" s="196"/>
      <c r="AR171" s="196"/>
      <c r="AS171" s="196"/>
      <c r="AT171" s="196"/>
      <c r="AU171" s="196"/>
      <c r="AV171" s="196"/>
      <c r="AW171" s="91"/>
      <c r="AX171" s="73"/>
    </row>
    <row r="172" spans="2:50" ht="16">
      <c r="B172" s="95" t="s">
        <v>361</v>
      </c>
      <c r="C172" s="96" t="s">
        <v>362</v>
      </c>
      <c r="D172" s="92">
        <v>1</v>
      </c>
      <c r="E172" s="97">
        <v>0.70833333333333304</v>
      </c>
      <c r="F172" s="97">
        <v>0.79166666666665897</v>
      </c>
      <c r="G172" s="92" t="s">
        <v>66</v>
      </c>
      <c r="H172" s="175" t="s">
        <v>119</v>
      </c>
      <c r="I172" s="92" t="e">
        <f>INDEX(Aulas_capacidad,MATCH(base_de_datos[[#This Row],[Aula]],Aulas,0),2)</f>
        <v>#REF!</v>
      </c>
      <c r="J172" s="90">
        <v>6</v>
      </c>
      <c r="K172" s="92" t="e">
        <f>INDEX(Aulas_capacidad,MATCH(base_de_datos[[#This Row],[Aula]],Aulas,0),4)</f>
        <v>#REF!</v>
      </c>
      <c r="L172" s="98" t="e">
        <f>base_de_datos[[#This Row],[Cap 1.5]]-base_de_datos[[#This Row],[Inscritos]]</f>
        <v>#REF!</v>
      </c>
      <c r="M172" s="98" t="e">
        <f>INDEX(Aulas_capacidad,MATCH(base_de_datos[[#This Row],[Aula]],Aulas,0),5)</f>
        <v>#REF!</v>
      </c>
      <c r="N172" s="98" t="e">
        <f>base_de_datos[[#This Row],[Cap .90]]-base_de_datos[[#This Row],[Inscritos]]</f>
        <v>#REF!</v>
      </c>
      <c r="O172" s="92" t="s">
        <v>363</v>
      </c>
      <c r="P172" s="99" t="s">
        <v>68</v>
      </c>
      <c r="Q172" s="100"/>
      <c r="R172" s="99"/>
      <c r="S172" s="100"/>
      <c r="T172" s="100"/>
      <c r="U172" s="99"/>
      <c r="V172" s="99"/>
      <c r="W172" s="99" t="s">
        <v>135</v>
      </c>
      <c r="X172" s="93">
        <f>_xlfn.XLOOKUP(base_de_datos[[#This Row],[Materia]],Materias,Horas)/16</f>
        <v>4</v>
      </c>
      <c r="Y172" s="93">
        <f>ROUND(((base_de_datos[[#This Row],[Hora fin]]-base_de_datos[[#This Row],[Hora inicio]])*24)*(COUNTA(base_de_datos[[#This Row],[Lunes]:[Sábado]])),1)</f>
        <v>2</v>
      </c>
      <c r="Z172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72" s="93">
        <f ca="1">IF(base_de_datos[[#This Row],[No clase]]=OFFSET(base_de_datos[[#This Row],[No clase]],-1,0),0,1)</f>
        <v>1</v>
      </c>
      <c r="AB172" s="93">
        <f ca="1">IF(NOT(OR(base_de_datos[[#This Row],[Horas totales]]=base_de_datos[[#This Row],[HT Plan]],base_de_datos[[#This Row],[Horas totales]]="N/A")),1,0)</f>
        <v>0</v>
      </c>
      <c r="AC172" s="93" t="e">
        <f>_xlfn.XLOOKUP(base_de_datos[[#This Row],[Profesor]],Nombre,Grado)</f>
        <v>#REF!</v>
      </c>
      <c r="AD172" s="94" t="e">
        <f>_xlfn.XLOOKUP(base_de_datos[[#This Row],[Profesor]],Nombre,Tipo)</f>
        <v>#REF!</v>
      </c>
      <c r="AE172" s="93" t="str">
        <f>IF(IFERROR(VLOOKUP($C172,Planes_de_estudio[],MATCH($AE$2,Carreras,0)+2,0),"")&gt;0,IFERROR(VLOOKUP($C172,Planes_de_estudio[],MATCH($AE$2,Carreras,0)+2,0),""),"")</f>
        <v/>
      </c>
      <c r="AF172" s="93" t="str">
        <f>IF(IFERROR(VLOOKUP($C172,Planes_de_estudio[],MATCH($AF$2,Carreras,0)+2,0),"")&gt;0,IFERROR(VLOOKUP($C172,Planes_de_estudio[],MATCH($AF$2,Carreras,0)+2,0),""),"")</f>
        <v/>
      </c>
      <c r="AG172" s="93" t="str">
        <f>IF(IFERROR(VLOOKUP($C172,Planes_de_estudio[],MATCH($AG$2,Carreras,0)+2,0),"")&gt;0,IFERROR(VLOOKUP($C172,Planes_de_estudio[],MATCH($AG$2,Carreras,0)+2,0),""),"")</f>
        <v/>
      </c>
      <c r="AH172" s="93" t="str">
        <f>IF(IFERROR(VLOOKUP($C172,Planes_de_estudio[],MATCH($AH$2,Carreras,0)+2,0),"")&gt;0,IFERROR(VLOOKUP($C172,Planes_de_estudio[],MATCH($AH$2,Carreras,0)+2,0),""),"")</f>
        <v/>
      </c>
      <c r="AI172" s="93">
        <f>IF(IFERROR(VLOOKUP($C172,Planes_de_estudio[],MATCH($AI$2,Carreras,0)+2,0),"")&gt;0,IFERROR(VLOOKUP($C172,Planes_de_estudio[],MATCH($AI$2,Carreras,0)+2,0),""),"")</f>
        <v>7</v>
      </c>
      <c r="AJ172" s="93" t="str">
        <f>IF(IFERROR(VLOOKUP($C172,Planes_de_estudio[],MATCH($AJ$2,Carreras,0)+2,0),"")&gt;0,IFERROR(VLOOKUP($C172,Planes_de_estudio[],MATCH($AJ$2,Carreras,0)+2,0),""),"")</f>
        <v/>
      </c>
      <c r="AK172" s="93" t="str">
        <f>IF(IFERROR(VLOOKUP($C172,Planes_de_estudio[],MATCH($AK$2,Carreras,0)+2,0),"")&gt;0,IFERROR(VLOOKUP($C172,Planes_de_estudio[],MATCH($AK$2,Carreras,0)+2,0),""),"")</f>
        <v/>
      </c>
      <c r="AL17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7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</v>
      </c>
      <c r="AN172" s="93">
        <f>base_de_datos[[#This Row],[Pronóstico]]/25</f>
        <v>0.36</v>
      </c>
      <c r="AO172" s="93" t="str">
        <f>VLOOKUP($C172,Planes_de_estudio[],2)</f>
        <v>EEC</v>
      </c>
      <c r="AP172" s="196"/>
      <c r="AQ172" s="196"/>
      <c r="AR172" s="196"/>
      <c r="AS172" s="196"/>
      <c r="AT172" s="195">
        <v>6</v>
      </c>
      <c r="AU172" s="196"/>
      <c r="AV172" s="196"/>
      <c r="AW172" s="91"/>
      <c r="AX172" s="73"/>
    </row>
    <row r="173" spans="2:50" ht="16">
      <c r="B173" s="95" t="s">
        <v>361</v>
      </c>
      <c r="C173" s="96" t="s">
        <v>362</v>
      </c>
      <c r="D173" s="92">
        <v>1</v>
      </c>
      <c r="E173" s="97">
        <v>0.70833333333333304</v>
      </c>
      <c r="F173" s="97">
        <v>0.79166666666665897</v>
      </c>
      <c r="G173" s="92" t="s">
        <v>66</v>
      </c>
      <c r="H173" s="92" t="s">
        <v>67</v>
      </c>
      <c r="I173" s="92" t="e">
        <f>INDEX(Aulas_capacidad,MATCH(base_de_datos[[#This Row],[Aula]],Aulas,0),2)</f>
        <v>#REF!</v>
      </c>
      <c r="J173" s="90">
        <v>6</v>
      </c>
      <c r="K173" s="92" t="e">
        <f>INDEX(Aulas_capacidad,MATCH(base_de_datos[[#This Row],[Aula]],Aulas,0),4)</f>
        <v>#REF!</v>
      </c>
      <c r="L173" s="98" t="e">
        <f>base_de_datos[[#This Row],[Cap 1.5]]-base_de_datos[[#This Row],[Inscritos]]</f>
        <v>#REF!</v>
      </c>
      <c r="M173" s="98" t="e">
        <f>INDEX(Aulas_capacidad,MATCH(base_de_datos[[#This Row],[Aula]],Aulas,0),5)</f>
        <v>#REF!</v>
      </c>
      <c r="N173" s="98" t="e">
        <f>base_de_datos[[#This Row],[Cap .90]]-base_de_datos[[#This Row],[Inscritos]]</f>
        <v>#REF!</v>
      </c>
      <c r="O173" s="92" t="s">
        <v>363</v>
      </c>
      <c r="P173" s="99"/>
      <c r="Q173" s="100"/>
      <c r="R173" s="99"/>
      <c r="S173" s="100"/>
      <c r="T173" s="100" t="s">
        <v>68</v>
      </c>
      <c r="U173" s="99"/>
      <c r="V173" s="99"/>
      <c r="W173" s="99" t="s">
        <v>135</v>
      </c>
      <c r="X173" s="93">
        <f>_xlfn.XLOOKUP(base_de_datos[[#This Row],[Materia]],Materias,Horas)/16</f>
        <v>4</v>
      </c>
      <c r="Y173" s="93">
        <f>ROUND(((base_de_datos[[#This Row],[Hora fin]]-base_de_datos[[#This Row],[Hora inicio]])*24)*(COUNTA(base_de_datos[[#This Row],[Lunes]:[Sábado]])),1)</f>
        <v>2</v>
      </c>
      <c r="Z173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3" s="93">
        <f ca="1">IF(base_de_datos[[#This Row],[No clase]]=OFFSET(base_de_datos[[#This Row],[No clase]],-1,0),0,1)</f>
        <v>0</v>
      </c>
      <c r="AB173" s="93">
        <f ca="1">IF(NOT(OR(base_de_datos[[#This Row],[Horas totales]]=base_de_datos[[#This Row],[HT Plan]],base_de_datos[[#This Row],[Horas totales]]="N/A")),1,0)</f>
        <v>0</v>
      </c>
      <c r="AC173" s="93" t="e">
        <f>_xlfn.XLOOKUP(base_de_datos[[#This Row],[Profesor]],Nombre,Grado)</f>
        <v>#REF!</v>
      </c>
      <c r="AD173" s="94" t="e">
        <f>_xlfn.XLOOKUP(base_de_datos[[#This Row],[Profesor]],Nombre,Tipo)</f>
        <v>#REF!</v>
      </c>
      <c r="AE173" s="93" t="str">
        <f>IF(IFERROR(VLOOKUP($C173,Planes_de_estudio[],MATCH($AE$2,Carreras,0)+2,0),"")&gt;0,IFERROR(VLOOKUP($C173,Planes_de_estudio[],MATCH($AE$2,Carreras,0)+2,0),""),"")</f>
        <v/>
      </c>
      <c r="AF173" s="93" t="str">
        <f>IF(IFERROR(VLOOKUP($C173,Planes_de_estudio[],MATCH($AF$2,Carreras,0)+2,0),"")&gt;0,IFERROR(VLOOKUP($C173,Planes_de_estudio[],MATCH($AF$2,Carreras,0)+2,0),""),"")</f>
        <v/>
      </c>
      <c r="AG173" s="93" t="str">
        <f>IF(IFERROR(VLOOKUP($C173,Planes_de_estudio[],MATCH($AG$2,Carreras,0)+2,0),"")&gt;0,IFERROR(VLOOKUP($C173,Planes_de_estudio[],MATCH($AG$2,Carreras,0)+2,0),""),"")</f>
        <v/>
      </c>
      <c r="AH173" s="93" t="str">
        <f>IF(IFERROR(VLOOKUP($C173,Planes_de_estudio[],MATCH($AH$2,Carreras,0)+2,0),"")&gt;0,IFERROR(VLOOKUP($C173,Planes_de_estudio[],MATCH($AH$2,Carreras,0)+2,0),""),"")</f>
        <v/>
      </c>
      <c r="AI173" s="93">
        <f>IF(IFERROR(VLOOKUP($C173,Planes_de_estudio[],MATCH($AI$2,Carreras,0)+2,0),"")&gt;0,IFERROR(VLOOKUP($C173,Planes_de_estudio[],MATCH($AI$2,Carreras,0)+2,0),""),"")</f>
        <v>7</v>
      </c>
      <c r="AJ173" s="93" t="str">
        <f>IF(IFERROR(VLOOKUP($C173,Planes_de_estudio[],MATCH($AJ$2,Carreras,0)+2,0),"")&gt;0,IFERROR(VLOOKUP($C173,Planes_de_estudio[],MATCH($AJ$2,Carreras,0)+2,0),""),"")</f>
        <v/>
      </c>
      <c r="AK173" s="93" t="str">
        <f>IF(IFERROR(VLOOKUP($C173,Planes_de_estudio[],MATCH($AK$2,Carreras,0)+2,0),"")&gt;0,IFERROR(VLOOKUP($C173,Planes_de_estudio[],MATCH($AK$2,Carreras,0)+2,0),""),"")</f>
        <v/>
      </c>
      <c r="AL17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7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</v>
      </c>
      <c r="AN173" s="93">
        <f>base_de_datos[[#This Row],[Pronóstico]]/25</f>
        <v>0.36</v>
      </c>
      <c r="AO173" s="93" t="str">
        <f>VLOOKUP($C173,Planes_de_estudio[],2)</f>
        <v>EEC</v>
      </c>
      <c r="AP173" s="196"/>
      <c r="AQ173" s="196"/>
      <c r="AR173" s="196"/>
      <c r="AS173" s="196"/>
      <c r="AT173" s="196"/>
      <c r="AU173" s="196"/>
      <c r="AV173" s="196"/>
      <c r="AW173" s="91"/>
      <c r="AX173" s="73"/>
    </row>
    <row r="174" spans="2:50" ht="16">
      <c r="B174" s="95" t="s">
        <v>361</v>
      </c>
      <c r="C174" s="96" t="s">
        <v>364</v>
      </c>
      <c r="D174" s="92">
        <v>1</v>
      </c>
      <c r="E174" s="97">
        <v>0.79166666666666696</v>
      </c>
      <c r="F174" s="97">
        <v>0.87499999999999001</v>
      </c>
      <c r="G174" s="92" t="s">
        <v>66</v>
      </c>
      <c r="H174" s="175" t="s">
        <v>84</v>
      </c>
      <c r="I174" s="92" t="e">
        <f>INDEX(Aulas_capacidad,MATCH(base_de_datos[[#This Row],[Aula]],Aulas,0),2)</f>
        <v>#REF!</v>
      </c>
      <c r="J174" s="90">
        <v>17</v>
      </c>
      <c r="K174" s="92" t="e">
        <f>INDEX(Aulas_capacidad,MATCH(base_de_datos[[#This Row],[Aula]],Aulas,0),4)</f>
        <v>#REF!</v>
      </c>
      <c r="L174" s="98" t="e">
        <f>base_de_datos[[#This Row],[Cap 1.5]]-base_de_datos[[#This Row],[Inscritos]]</f>
        <v>#REF!</v>
      </c>
      <c r="M174" s="98" t="e">
        <f>INDEX(Aulas_capacidad,MATCH(base_de_datos[[#This Row],[Aula]],Aulas,0),5)</f>
        <v>#REF!</v>
      </c>
      <c r="N174" s="98" t="e">
        <f>base_de_datos[[#This Row],[Cap .90]]-base_de_datos[[#This Row],[Inscritos]]</f>
        <v>#REF!</v>
      </c>
      <c r="O174" s="92" t="s">
        <v>365</v>
      </c>
      <c r="P174" s="99" t="s">
        <v>68</v>
      </c>
      <c r="Q174" s="100"/>
      <c r="R174" s="99"/>
      <c r="S174" s="100"/>
      <c r="T174" s="100" t="s">
        <v>68</v>
      </c>
      <c r="U174" s="99"/>
      <c r="V174" s="99"/>
      <c r="W174" s="99" t="s">
        <v>74</v>
      </c>
      <c r="X174" s="93">
        <f>_xlfn.XLOOKUP(base_de_datos[[#This Row],[Materia]],Materias,Horas)/16</f>
        <v>4</v>
      </c>
      <c r="Y174" s="93">
        <f>ROUND(((base_de_datos[[#This Row],[Hora fin]]-base_de_datos[[#This Row],[Hora inicio]])*24)*(COUNTA(base_de_datos[[#This Row],[Lunes]:[Sábado]])),1)</f>
        <v>4</v>
      </c>
      <c r="Z174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74" s="93">
        <f ca="1">IF(base_de_datos[[#This Row],[No clase]]=OFFSET(base_de_datos[[#This Row],[No clase]],-1,0),0,1)</f>
        <v>1</v>
      </c>
      <c r="AB174" s="93">
        <f ca="1">IF(NOT(OR(base_de_datos[[#This Row],[Horas totales]]=base_de_datos[[#This Row],[HT Plan]],base_de_datos[[#This Row],[Horas totales]]="N/A")),1,0)</f>
        <v>0</v>
      </c>
      <c r="AC174" s="93" t="e">
        <f>_xlfn.XLOOKUP(base_de_datos[[#This Row],[Profesor]],Nombre,Grado)</f>
        <v>#REF!</v>
      </c>
      <c r="AD174" s="94" t="e">
        <f>_xlfn.XLOOKUP(base_de_datos[[#This Row],[Profesor]],Nombre,Tipo)</f>
        <v>#REF!</v>
      </c>
      <c r="AE174" s="93" t="str">
        <f>IF(IFERROR(VLOOKUP($C174,Planes_de_estudio[],MATCH($AE$2,Carreras,0)+2,0),"")&gt;0,IFERROR(VLOOKUP($C174,Planes_de_estudio[],MATCH($AE$2,Carreras,0)+2,0),""),"")</f>
        <v/>
      </c>
      <c r="AF174" s="93">
        <f>IF(IFERROR(VLOOKUP($C174,Planes_de_estudio[],MATCH($AF$2,Carreras,0)+2,0),"")&gt;0,IFERROR(VLOOKUP($C174,Planes_de_estudio[],MATCH($AF$2,Carreras,0)+2,0),""),"")</f>
        <v>7</v>
      </c>
      <c r="AG174" s="93" t="str">
        <f>IF(IFERROR(VLOOKUP($C174,Planes_de_estudio[],MATCH($AG$2,Carreras,0)+2,0),"")&gt;0,IFERROR(VLOOKUP($C174,Planes_de_estudio[],MATCH($AG$2,Carreras,0)+2,0),""),"")</f>
        <v/>
      </c>
      <c r="AH174" s="93" t="str">
        <f>IF(IFERROR(VLOOKUP($C174,Planes_de_estudio[],MATCH($AH$2,Carreras,0)+2,0),"")&gt;0,IFERROR(VLOOKUP($C174,Planes_de_estudio[],MATCH($AH$2,Carreras,0)+2,0),""),"")</f>
        <v/>
      </c>
      <c r="AI174" s="93" t="str">
        <f>IF(IFERROR(VLOOKUP($C174,Planes_de_estudio[],MATCH($AI$2,Carreras,0)+2,0),"")&gt;0,IFERROR(VLOOKUP($C174,Planes_de_estudio[],MATCH($AI$2,Carreras,0)+2,0),""),"")</f>
        <v/>
      </c>
      <c r="AJ174" s="93" t="str">
        <f>IF(IFERROR(VLOOKUP($C174,Planes_de_estudio[],MATCH($AJ$2,Carreras,0)+2,0),"")&gt;0,IFERROR(VLOOKUP($C174,Planes_de_estudio[],MATCH($AJ$2,Carreras,0)+2,0),""),"")</f>
        <v/>
      </c>
      <c r="AK174" s="93" t="str">
        <f>IF(IFERROR(VLOOKUP($C174,Planes_de_estudio[],MATCH($AK$2,Carreras,0)+2,0),"")&gt;0,IFERROR(VLOOKUP($C174,Planes_de_estudio[],MATCH($AK$2,Carreras,0)+2,0),""),"")</f>
        <v/>
      </c>
      <c r="AL17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7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174" s="93">
        <f>base_de_datos[[#This Row],[Pronóstico]]/25</f>
        <v>0.72</v>
      </c>
      <c r="AO174" s="93" t="str">
        <f>VLOOKUP($C174,Planes_de_estudio[],2)</f>
        <v>EEC</v>
      </c>
      <c r="AP174" s="196"/>
      <c r="AQ174" s="195">
        <v>6</v>
      </c>
      <c r="AR174" s="196"/>
      <c r="AS174" s="196"/>
      <c r="AT174" s="196"/>
      <c r="AU174" s="196"/>
      <c r="AV174" s="196"/>
      <c r="AW174" s="91"/>
      <c r="AX174" s="73"/>
    </row>
    <row r="175" spans="2:50" ht="30">
      <c r="B175" s="95" t="s">
        <v>366</v>
      </c>
      <c r="C175" s="96" t="s">
        <v>112</v>
      </c>
      <c r="D175" s="92">
        <v>3</v>
      </c>
      <c r="E175" s="97">
        <v>0.70833333333333304</v>
      </c>
      <c r="F175" s="97">
        <v>0.83333333333332504</v>
      </c>
      <c r="G175" s="92"/>
      <c r="H175" s="92" t="s">
        <v>162</v>
      </c>
      <c r="I175" s="92" t="e">
        <f>INDEX(Aulas_capacidad,MATCH(base_de_datos[[#This Row],[Aula]],Aulas,0),2)</f>
        <v>#REF!</v>
      </c>
      <c r="J175" s="90">
        <v>26</v>
      </c>
      <c r="K175" s="92" t="e">
        <f>INDEX(Aulas_capacidad,MATCH(base_de_datos[[#This Row],[Aula]],Aulas,0),4)</f>
        <v>#REF!</v>
      </c>
      <c r="L175" s="98" t="e">
        <f>base_de_datos[[#This Row],[Cap 1.5]]-base_de_datos[[#This Row],[Inscritos]]</f>
        <v>#REF!</v>
      </c>
      <c r="M175" s="98" t="e">
        <f>INDEX(Aulas_capacidad,MATCH(base_de_datos[[#This Row],[Aula]],Aulas,0),5)</f>
        <v>#REF!</v>
      </c>
      <c r="N175" s="98" t="e">
        <f>base_de_datos[[#This Row],[Cap .90]]-base_de_datos[[#This Row],[Inscritos]]</f>
        <v>#REF!</v>
      </c>
      <c r="O175" s="92" t="s">
        <v>367</v>
      </c>
      <c r="P175" s="99"/>
      <c r="Q175" s="100"/>
      <c r="R175" s="99" t="s">
        <v>68</v>
      </c>
      <c r="S175" s="100"/>
      <c r="T175" s="100"/>
      <c r="U175" s="99"/>
      <c r="V175" s="99"/>
      <c r="W175" s="99" t="s">
        <v>77</v>
      </c>
      <c r="X175" s="93">
        <f>_xlfn.XLOOKUP(base_de_datos[[#This Row],[Materia]],Materias,Horas)/16</f>
        <v>3</v>
      </c>
      <c r="Y175" s="93">
        <f>ROUND(((base_de_datos[[#This Row],[Hora fin]]-base_de_datos[[#This Row],[Hora inicio]])*24)*(COUNTA(base_de_datos[[#This Row],[Lunes]:[Sábado]])),1)</f>
        <v>3</v>
      </c>
      <c r="Z175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75" s="93">
        <f ca="1">IF(base_de_datos[[#This Row],[No clase]]=OFFSET(base_de_datos[[#This Row],[No clase]],-1,0),0,1)</f>
        <v>1</v>
      </c>
      <c r="AB175" s="93">
        <f ca="1">IF(NOT(OR(base_de_datos[[#This Row],[Horas totales]]=base_de_datos[[#This Row],[HT Plan]],base_de_datos[[#This Row],[Horas totales]]="N/A")),1,0)</f>
        <v>0</v>
      </c>
      <c r="AC175" s="93" t="e">
        <f>_xlfn.XLOOKUP(base_de_datos[[#This Row],[Profesor]],Nombre,Grado)</f>
        <v>#REF!</v>
      </c>
      <c r="AD175" s="94" t="e">
        <f>_xlfn.XLOOKUP(base_de_datos[[#This Row],[Profesor]],Nombre,Tipo)</f>
        <v>#REF!</v>
      </c>
      <c r="AE175" s="93">
        <f>IF(IFERROR(VLOOKUP($C175,Planes_de_estudio[],MATCH($AE$2,Carreras,0)+2,0),"")&gt;0,IFERROR(VLOOKUP($C175,Planes_de_estudio[],MATCH($AE$2,Carreras,0)+2,0),""),"")</f>
        <v>6</v>
      </c>
      <c r="AF175" s="93">
        <f>IF(IFERROR(VLOOKUP($C175,Planes_de_estudio[],MATCH($AF$2,Carreras,0)+2,0),"")&gt;0,IFERROR(VLOOKUP($C175,Planes_de_estudio[],MATCH($AF$2,Carreras,0)+2,0),""),"")</f>
        <v>7</v>
      </c>
      <c r="AG175" s="93">
        <f>IF(IFERROR(VLOOKUP($C175,Planes_de_estudio[],MATCH($AG$2,Carreras,0)+2,0),"")&gt;0,IFERROR(VLOOKUP($C175,Planes_de_estudio[],MATCH($AG$2,Carreras,0)+2,0),""),"")</f>
        <v>7</v>
      </c>
      <c r="AH175" s="93">
        <f>IF(IFERROR(VLOOKUP($C175,Planes_de_estudio[],MATCH($AH$2,Carreras,0)+2,0),"")&gt;0,IFERROR(VLOOKUP($C175,Planes_de_estudio[],MATCH($AH$2,Carreras,0)+2,0),""),"")</f>
        <v>7</v>
      </c>
      <c r="AI175" s="93" t="str">
        <f>IF(IFERROR(VLOOKUP($C175,Planes_de_estudio[],MATCH($AI$2,Carreras,0)+2,0),"")&gt;0,IFERROR(VLOOKUP($C175,Planes_de_estudio[],MATCH($AI$2,Carreras,0)+2,0),""),"")</f>
        <v/>
      </c>
      <c r="AJ175" s="93">
        <f>IF(IFERROR(VLOOKUP($C175,Planes_de_estudio[],MATCH($AJ$2,Carreras,0)+2,0),"")&gt;0,IFERROR(VLOOKUP($C175,Planes_de_estudio[],MATCH($AJ$2,Carreras,0)+2,0),""),"")</f>
        <v>9</v>
      </c>
      <c r="AK175" s="93">
        <f>IF(IFERROR(VLOOKUP($C175,Planes_de_estudio[],MATCH($AK$2,Carreras,0)+2,0),"")&gt;0,IFERROR(VLOOKUP($C175,Planes_de_estudio[],MATCH($AK$2,Carreras,0)+2,0),""),"")</f>
        <v>5</v>
      </c>
      <c r="AL17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7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86</v>
      </c>
      <c r="AN175" s="93">
        <f>base_de_datos[[#This Row],[Pronóstico]]/25</f>
        <v>3.44</v>
      </c>
      <c r="AO175" s="93" t="str">
        <f>VLOOKUP($C175,Planes_de_estudio[],2)</f>
        <v>EMP</v>
      </c>
      <c r="AP175" s="195">
        <v>6</v>
      </c>
      <c r="AQ175" s="195">
        <v>6</v>
      </c>
      <c r="AR175" s="195">
        <v>6</v>
      </c>
      <c r="AS175" s="195">
        <v>6</v>
      </c>
      <c r="AT175" s="196"/>
      <c r="AU175" s="195">
        <v>6</v>
      </c>
      <c r="AV175" s="195">
        <v>6</v>
      </c>
      <c r="AW175" s="91"/>
      <c r="AX175" s="73"/>
    </row>
    <row r="176" spans="2:50" ht="16">
      <c r="B176" s="95" t="s">
        <v>368</v>
      </c>
      <c r="C176" s="96" t="s">
        <v>369</v>
      </c>
      <c r="D176" s="92">
        <v>1</v>
      </c>
      <c r="E176" s="97">
        <v>0.5625</v>
      </c>
      <c r="F176" s="97">
        <v>0.64583333333332804</v>
      </c>
      <c r="G176" s="92"/>
      <c r="H176" s="92" t="s">
        <v>370</v>
      </c>
      <c r="I176" s="92" t="e">
        <f>INDEX(Aulas_capacidad,MATCH(base_de_datos[[#This Row],[Aula]],Aulas,0),2)</f>
        <v>#REF!</v>
      </c>
      <c r="J176" s="90">
        <v>18</v>
      </c>
      <c r="K176" s="92" t="e">
        <f>INDEX(Aulas_capacidad,MATCH(base_de_datos[[#This Row],[Aula]],Aulas,0),4)</f>
        <v>#REF!</v>
      </c>
      <c r="L176" s="98" t="e">
        <f>base_de_datos[[#This Row],[Cap 1.5]]-base_de_datos[[#This Row],[Inscritos]]</f>
        <v>#REF!</v>
      </c>
      <c r="M176" s="98" t="e">
        <f>INDEX(Aulas_capacidad,MATCH(base_de_datos[[#This Row],[Aula]],Aulas,0),5)</f>
        <v>#REF!</v>
      </c>
      <c r="N176" s="98" t="e">
        <f>base_de_datos[[#This Row],[Cap .90]]-base_de_datos[[#This Row],[Inscritos]]</f>
        <v>#REF!</v>
      </c>
      <c r="O176" s="92" t="s">
        <v>371</v>
      </c>
      <c r="P176" s="99"/>
      <c r="Q176" s="100"/>
      <c r="R176" s="99"/>
      <c r="S176" s="100"/>
      <c r="T176" s="100" t="s">
        <v>68</v>
      </c>
      <c r="U176" s="99"/>
      <c r="V176" s="99"/>
      <c r="W176" s="99" t="s">
        <v>135</v>
      </c>
      <c r="X176" s="93">
        <f>_xlfn.XLOOKUP(base_de_datos[[#This Row],[Materia]],Materias,Horas)/16</f>
        <v>5</v>
      </c>
      <c r="Y176" s="93">
        <f>ROUND(((base_de_datos[[#This Row],[Hora fin]]-base_de_datos[[#This Row],[Hora inicio]])*24)*(COUNTA(base_de_datos[[#This Row],[Lunes]:[Sábado]])),1)</f>
        <v>2</v>
      </c>
      <c r="Z176" s="93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76" s="93">
        <f ca="1">IF(base_de_datos[[#This Row],[No clase]]=OFFSET(base_de_datos[[#This Row],[No clase]],-1,0),0,1)</f>
        <v>1</v>
      </c>
      <c r="AB176" s="93">
        <f ca="1">IF(NOT(OR(base_de_datos[[#This Row],[Horas totales]]=base_de_datos[[#This Row],[HT Plan]],base_de_datos[[#This Row],[Horas totales]]="N/A")),1,0)</f>
        <v>0</v>
      </c>
      <c r="AC176" s="93" t="e">
        <f>_xlfn.XLOOKUP(base_de_datos[[#This Row],[Profesor]],Nombre,Grado)</f>
        <v>#REF!</v>
      </c>
      <c r="AD176" s="94" t="e">
        <f>_xlfn.XLOOKUP(base_de_datos[[#This Row],[Profesor]],Nombre,Tipo)</f>
        <v>#REF!</v>
      </c>
      <c r="AE176" s="93" t="str">
        <f>IF(IFERROR(VLOOKUP($C176,Planes_de_estudio[],MATCH($AE$2,Carreras,0)+2,0),"")&gt;0,IFERROR(VLOOKUP($C176,Planes_de_estudio[],MATCH($AE$2,Carreras,0)+2,0),""),"")</f>
        <v/>
      </c>
      <c r="AF176" s="93" t="str">
        <f>IF(IFERROR(VLOOKUP($C176,Planes_de_estudio[],MATCH($AF$2,Carreras,0)+2,0),"")&gt;0,IFERROR(VLOOKUP($C176,Planes_de_estudio[],MATCH($AF$2,Carreras,0)+2,0),""),"")</f>
        <v/>
      </c>
      <c r="AG176" s="93">
        <f>IF(IFERROR(VLOOKUP($C176,Planes_de_estudio[],MATCH($AG$2,Carreras,0)+2,0),"")&gt;0,IFERROR(VLOOKUP($C176,Planes_de_estudio[],MATCH($AG$2,Carreras,0)+2,0),""),"")</f>
        <v>3</v>
      </c>
      <c r="AH176" s="93" t="str">
        <f>IF(IFERROR(VLOOKUP($C176,Planes_de_estudio[],MATCH($AH$2,Carreras,0)+2,0),"")&gt;0,IFERROR(VLOOKUP($C176,Planes_de_estudio[],MATCH($AH$2,Carreras,0)+2,0),""),"")</f>
        <v/>
      </c>
      <c r="AI176" s="93" t="str">
        <f>IF(IFERROR(VLOOKUP($C176,Planes_de_estudio[],MATCH($AI$2,Carreras,0)+2,0),"")&gt;0,IFERROR(VLOOKUP($C176,Planes_de_estudio[],MATCH($AI$2,Carreras,0)+2,0),""),"")</f>
        <v/>
      </c>
      <c r="AJ176" s="93" t="str">
        <f>IF(IFERROR(VLOOKUP($C176,Planes_de_estudio[],MATCH($AJ$2,Carreras,0)+2,0),"")&gt;0,IFERROR(VLOOKUP($C176,Planes_de_estudio[],MATCH($AJ$2,Carreras,0)+2,0),""),"")</f>
        <v/>
      </c>
      <c r="AK176" s="93" t="str">
        <f>IF(IFERROR(VLOOKUP($C176,Planes_de_estudio[],MATCH($AK$2,Carreras,0)+2,0),"")&gt;0,IFERROR(VLOOKUP($C176,Planes_de_estudio[],MATCH($AK$2,Carreras,0)+2,0),""),"")</f>
        <v/>
      </c>
      <c r="AL17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7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76" s="93">
        <f>base_de_datos[[#This Row],[Pronóstico]]/25</f>
        <v>0.56000000000000005</v>
      </c>
      <c r="AO176" s="93" t="str">
        <f>VLOOKUP($C176,Planes_de_estudio[],2)</f>
        <v>IID</v>
      </c>
      <c r="AP176" s="196"/>
      <c r="AQ176" s="196"/>
      <c r="AR176" s="195">
        <v>6</v>
      </c>
      <c r="AS176" s="196"/>
      <c r="AT176" s="196"/>
      <c r="AU176" s="196"/>
      <c r="AV176" s="196"/>
      <c r="AW176" s="91"/>
      <c r="AX176" s="73"/>
    </row>
    <row r="177" spans="2:50" ht="16">
      <c r="B177" s="95" t="s">
        <v>372</v>
      </c>
      <c r="C177" s="96" t="s">
        <v>369</v>
      </c>
      <c r="D177" s="92">
        <v>2</v>
      </c>
      <c r="E177" s="97">
        <v>0.5</v>
      </c>
      <c r="F177" s="97">
        <v>0.624999999999995</v>
      </c>
      <c r="G177" s="92"/>
      <c r="H177" s="92" t="s">
        <v>373</v>
      </c>
      <c r="I177" s="92" t="e">
        <f>INDEX(Aulas_capacidad,MATCH(base_de_datos[[#This Row],[Aula]],Aulas,0),2)</f>
        <v>#REF!</v>
      </c>
      <c r="J177" s="90">
        <v>18</v>
      </c>
      <c r="K177" s="92" t="e">
        <f>INDEX(Aulas_capacidad,MATCH(base_de_datos[[#This Row],[Aula]],Aulas,0),4)</f>
        <v>#REF!</v>
      </c>
      <c r="L177" s="98" t="e">
        <f>base_de_datos[[#This Row],[Cap 1.5]]-base_de_datos[[#This Row],[Inscritos]]</f>
        <v>#REF!</v>
      </c>
      <c r="M177" s="98" t="e">
        <f>INDEX(Aulas_capacidad,MATCH(base_de_datos[[#This Row],[Aula]],Aulas,0),5)</f>
        <v>#REF!</v>
      </c>
      <c r="N177" s="98" t="e">
        <f>base_de_datos[[#This Row],[Cap .90]]-base_de_datos[[#This Row],[Inscritos]]</f>
        <v>#REF!</v>
      </c>
      <c r="O177" s="92" t="s">
        <v>371</v>
      </c>
      <c r="P177" s="99"/>
      <c r="Q177" s="100"/>
      <c r="R177" s="99" t="s">
        <v>68</v>
      </c>
      <c r="S177" s="100"/>
      <c r="T177" s="100"/>
      <c r="U177" s="99"/>
      <c r="V177" s="99"/>
      <c r="W177" s="99" t="s">
        <v>77</v>
      </c>
      <c r="X177" s="93">
        <f>_xlfn.XLOOKUP(base_de_datos[[#This Row],[Materia]],Materias,Horas)/16</f>
        <v>5</v>
      </c>
      <c r="Y177" s="93">
        <f>ROUND(((base_de_datos[[#This Row],[Hora fin]]-base_de_datos[[#This Row],[Hora inicio]])*24)*(COUNTA(base_de_datos[[#This Row],[Lunes]:[Sábado]])),1)</f>
        <v>3</v>
      </c>
      <c r="Z177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7" s="93">
        <f ca="1">IF(base_de_datos[[#This Row],[No clase]]=OFFSET(base_de_datos[[#This Row],[No clase]],-1,0),0,1)</f>
        <v>0</v>
      </c>
      <c r="AB177" s="93">
        <f ca="1">IF(NOT(OR(base_de_datos[[#This Row],[Horas totales]]=base_de_datos[[#This Row],[HT Plan]],base_de_datos[[#This Row],[Horas totales]]="N/A")),1,0)</f>
        <v>0</v>
      </c>
      <c r="AC177" s="93" t="e">
        <f>_xlfn.XLOOKUP(base_de_datos[[#This Row],[Profesor]],Nombre,Grado)</f>
        <v>#REF!</v>
      </c>
      <c r="AD177" s="94" t="e">
        <f>_xlfn.XLOOKUP(base_de_datos[[#This Row],[Profesor]],Nombre,Tipo)</f>
        <v>#REF!</v>
      </c>
      <c r="AE177" s="93" t="str">
        <f>IF(IFERROR(VLOOKUP($C177,Planes_de_estudio[],MATCH($AE$2,Carreras,0)+2,0),"")&gt;0,IFERROR(VLOOKUP($C177,Planes_de_estudio[],MATCH($AE$2,Carreras,0)+2,0),""),"")</f>
        <v/>
      </c>
      <c r="AF177" s="93" t="str">
        <f>IF(IFERROR(VLOOKUP($C177,Planes_de_estudio[],MATCH($AF$2,Carreras,0)+2,0),"")&gt;0,IFERROR(VLOOKUP($C177,Planes_de_estudio[],MATCH($AF$2,Carreras,0)+2,0),""),"")</f>
        <v/>
      </c>
      <c r="AG177" s="93">
        <f>IF(IFERROR(VLOOKUP($C177,Planes_de_estudio[],MATCH($AG$2,Carreras,0)+2,0),"")&gt;0,IFERROR(VLOOKUP($C177,Planes_de_estudio[],MATCH($AG$2,Carreras,0)+2,0),""),"")</f>
        <v>3</v>
      </c>
      <c r="AH177" s="93" t="str">
        <f>IF(IFERROR(VLOOKUP($C177,Planes_de_estudio[],MATCH($AH$2,Carreras,0)+2,0),"")&gt;0,IFERROR(VLOOKUP($C177,Planes_de_estudio[],MATCH($AH$2,Carreras,0)+2,0),""),"")</f>
        <v/>
      </c>
      <c r="AI177" s="93" t="str">
        <f>IF(IFERROR(VLOOKUP($C177,Planes_de_estudio[],MATCH($AI$2,Carreras,0)+2,0),"")&gt;0,IFERROR(VLOOKUP($C177,Planes_de_estudio[],MATCH($AI$2,Carreras,0)+2,0),""),"")</f>
        <v/>
      </c>
      <c r="AJ177" s="93" t="str">
        <f>IF(IFERROR(VLOOKUP($C177,Planes_de_estudio[],MATCH($AJ$2,Carreras,0)+2,0),"")&gt;0,IFERROR(VLOOKUP($C177,Planes_de_estudio[],MATCH($AJ$2,Carreras,0)+2,0),""),"")</f>
        <v/>
      </c>
      <c r="AK177" s="93" t="str">
        <f>IF(IFERROR(VLOOKUP($C177,Planes_de_estudio[],MATCH($AK$2,Carreras,0)+2,0),"")&gt;0,IFERROR(VLOOKUP($C177,Planes_de_estudio[],MATCH($AK$2,Carreras,0)+2,0),""),"")</f>
        <v/>
      </c>
      <c r="AL17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7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77" s="93">
        <f>base_de_datos[[#This Row],[Pronóstico]]/25</f>
        <v>0.56000000000000005</v>
      </c>
      <c r="AO177" s="93" t="str">
        <f>VLOOKUP($C177,Planes_de_estudio[],2)</f>
        <v>IID</v>
      </c>
      <c r="AP177" s="196"/>
      <c r="AQ177" s="196"/>
      <c r="AR177" s="196"/>
      <c r="AS177" s="196"/>
      <c r="AT177" s="196"/>
      <c r="AU177" s="196"/>
      <c r="AV177" s="196"/>
      <c r="AW177" s="91"/>
      <c r="AX177" s="73"/>
    </row>
    <row r="178" spans="2:50" ht="16">
      <c r="B178" s="95" t="s">
        <v>374</v>
      </c>
      <c r="C178" s="96" t="s">
        <v>375</v>
      </c>
      <c r="D178" s="92">
        <v>1</v>
      </c>
      <c r="E178" s="97">
        <v>0.70833333333333304</v>
      </c>
      <c r="F178" s="97">
        <v>0.79166666666665897</v>
      </c>
      <c r="G178" s="92"/>
      <c r="H178" s="92" t="s">
        <v>119</v>
      </c>
      <c r="I178" s="92" t="e">
        <f>INDEX(Aulas_capacidad,MATCH(base_de_datos[[#This Row],[Aula]],Aulas,0),2)</f>
        <v>#REF!</v>
      </c>
      <c r="J178" s="90">
        <v>20</v>
      </c>
      <c r="K178" s="92" t="e">
        <f>INDEX(Aulas_capacidad,MATCH(base_de_datos[[#This Row],[Aula]],Aulas,0),4)</f>
        <v>#REF!</v>
      </c>
      <c r="L178" s="98" t="e">
        <f>base_de_datos[[#This Row],[Cap 1.5]]-base_de_datos[[#This Row],[Inscritos]]</f>
        <v>#REF!</v>
      </c>
      <c r="M178" s="98" t="e">
        <f>INDEX(Aulas_capacidad,MATCH(base_de_datos[[#This Row],[Aula]],Aulas,0),5)</f>
        <v>#REF!</v>
      </c>
      <c r="N178" s="98" t="e">
        <f>base_de_datos[[#This Row],[Cap .90]]-base_de_datos[[#This Row],[Inscritos]]</f>
        <v>#REF!</v>
      </c>
      <c r="O178" s="92">
        <v>1863</v>
      </c>
      <c r="P178" s="99"/>
      <c r="Q178" s="100" t="s">
        <v>68</v>
      </c>
      <c r="R178" s="99"/>
      <c r="S178" s="100" t="s">
        <v>68</v>
      </c>
      <c r="T178" s="100"/>
      <c r="U178" s="99"/>
      <c r="V178" s="99"/>
      <c r="W178" s="99" t="s">
        <v>79</v>
      </c>
      <c r="X178" s="93">
        <f>_xlfn.XLOOKUP(base_de_datos[[#This Row],[Materia]],Materias,Horas)/16</f>
        <v>5</v>
      </c>
      <c r="Y178" s="93">
        <f>ROUND(((base_de_datos[[#This Row],[Hora fin]]-base_de_datos[[#This Row],[Hora inicio]])*24)*(COUNTA(base_de_datos[[#This Row],[Lunes]:[Sábado]])),1)</f>
        <v>4</v>
      </c>
      <c r="Z178" s="93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78" s="93">
        <f ca="1">IF(base_de_datos[[#This Row],[No clase]]=OFFSET(base_de_datos[[#This Row],[No clase]],-1,0),0,1)</f>
        <v>1</v>
      </c>
      <c r="AB178" s="93">
        <f ca="1">IF(NOT(OR(base_de_datos[[#This Row],[Horas totales]]=base_de_datos[[#This Row],[HT Plan]],base_de_datos[[#This Row],[Horas totales]]="N/A")),1,0)</f>
        <v>0</v>
      </c>
      <c r="AC178" s="93" t="e">
        <f>_xlfn.XLOOKUP(base_de_datos[[#This Row],[Profesor]],Nombre,Grado)</f>
        <v>#REF!</v>
      </c>
      <c r="AD178" s="94" t="e">
        <f>_xlfn.XLOOKUP(base_de_datos[[#This Row],[Profesor]],Nombre,Tipo)</f>
        <v>#REF!</v>
      </c>
      <c r="AE178" s="93" t="str">
        <f>IF(IFERROR(VLOOKUP($C178,Planes_de_estudio[],MATCH($AE$2,Carreras,0)+2,0),"")&gt;0,IFERROR(VLOOKUP($C178,Planes_de_estudio[],MATCH($AE$2,Carreras,0)+2,0),""),"")</f>
        <v/>
      </c>
      <c r="AF178" s="93" t="str">
        <f>IF(IFERROR(VLOOKUP($C178,Planes_de_estudio[],MATCH($AF$2,Carreras,0)+2,0),"")&gt;0,IFERROR(VLOOKUP($C178,Planes_de_estudio[],MATCH($AF$2,Carreras,0)+2,0),""),"")</f>
        <v/>
      </c>
      <c r="AG178" s="93">
        <f>IF(IFERROR(VLOOKUP($C178,Planes_de_estudio[],MATCH($AG$2,Carreras,0)+2,0),"")&gt;0,IFERROR(VLOOKUP($C178,Planes_de_estudio[],MATCH($AG$2,Carreras,0)+2,0),""),"")</f>
        <v>7</v>
      </c>
      <c r="AH178" s="93" t="str">
        <f>IF(IFERROR(VLOOKUP($C178,Planes_de_estudio[],MATCH($AH$2,Carreras,0)+2,0),"")&gt;0,IFERROR(VLOOKUP($C178,Planes_de_estudio[],MATCH($AH$2,Carreras,0)+2,0),""),"")</f>
        <v/>
      </c>
      <c r="AI178" s="93" t="str">
        <f>IF(IFERROR(VLOOKUP($C178,Planes_de_estudio[],MATCH($AI$2,Carreras,0)+2,0),"")&gt;0,IFERROR(VLOOKUP($C178,Planes_de_estudio[],MATCH($AI$2,Carreras,0)+2,0),""),"")</f>
        <v/>
      </c>
      <c r="AJ178" s="93" t="str">
        <f>IF(IFERROR(VLOOKUP($C178,Planes_de_estudio[],MATCH($AJ$2,Carreras,0)+2,0),"")&gt;0,IFERROR(VLOOKUP($C178,Planes_de_estudio[],MATCH($AJ$2,Carreras,0)+2,0),""),"")</f>
        <v/>
      </c>
      <c r="AK178" s="93" t="str">
        <f>IF(IFERROR(VLOOKUP($C178,Planes_de_estudio[],MATCH($AK$2,Carreras,0)+2,0),"")&gt;0,IFERROR(VLOOKUP($C178,Planes_de_estudio[],MATCH($AK$2,Carreras,0)+2,0),""),"")</f>
        <v/>
      </c>
      <c r="AL17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7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22</v>
      </c>
      <c r="AN178" s="93">
        <f>base_de_datos[[#This Row],[Pronóstico]]/25</f>
        <v>0.88</v>
      </c>
      <c r="AO178" s="93" t="str">
        <f>VLOOKUP($C178,Planes_de_estudio[],2)</f>
        <v>IID</v>
      </c>
      <c r="AP178" s="196"/>
      <c r="AQ178" s="196"/>
      <c r="AR178" s="195">
        <v>6</v>
      </c>
      <c r="AS178" s="196"/>
      <c r="AT178" s="196"/>
      <c r="AU178" s="196"/>
      <c r="AV178" s="196"/>
      <c r="AW178" s="91"/>
      <c r="AX178" s="73"/>
    </row>
    <row r="179" spans="2:50" ht="16">
      <c r="B179" s="95" t="s">
        <v>376</v>
      </c>
      <c r="C179" s="96" t="s">
        <v>375</v>
      </c>
      <c r="D179" s="92">
        <v>1</v>
      </c>
      <c r="E179" s="97">
        <v>0.6875</v>
      </c>
      <c r="F179" s="97">
        <v>0.70833333333332704</v>
      </c>
      <c r="G179" s="92"/>
      <c r="H179" s="92" t="s">
        <v>110</v>
      </c>
      <c r="I179" s="92" t="e">
        <f>INDEX(Aulas_capacidad,MATCH(base_de_datos[[#This Row],[Aula]],Aulas,0),2)</f>
        <v>#REF!</v>
      </c>
      <c r="J179" s="90">
        <v>20</v>
      </c>
      <c r="K179" s="92" t="e">
        <f>INDEX(Aulas_capacidad,MATCH(base_de_datos[[#This Row],[Aula]],Aulas,0),4)</f>
        <v>#REF!</v>
      </c>
      <c r="L179" s="98" t="e">
        <f>base_de_datos[[#This Row],[Cap 1.5]]-base_de_datos[[#This Row],[Inscritos]]</f>
        <v>#REF!</v>
      </c>
      <c r="M179" s="98" t="e">
        <f>INDEX(Aulas_capacidad,MATCH(base_de_datos[[#This Row],[Aula]],Aulas,0),5)</f>
        <v>#REF!</v>
      </c>
      <c r="N179" s="98" t="e">
        <f>base_de_datos[[#This Row],[Cap .90]]-base_de_datos[[#This Row],[Inscritos]]</f>
        <v>#REF!</v>
      </c>
      <c r="O179" s="92">
        <v>1863</v>
      </c>
      <c r="P179" s="99"/>
      <c r="Q179" s="100" t="s">
        <v>68</v>
      </c>
      <c r="R179" s="99"/>
      <c r="S179" s="100" t="s">
        <v>68</v>
      </c>
      <c r="T179" s="100"/>
      <c r="U179" s="99"/>
      <c r="V179" s="99"/>
      <c r="W179" s="99" t="s">
        <v>79</v>
      </c>
      <c r="X179" s="93">
        <f>_xlfn.XLOOKUP(base_de_datos[[#This Row],[Materia]],Materias,Horas)/16</f>
        <v>5</v>
      </c>
      <c r="Y179" s="93">
        <f>ROUND(((base_de_datos[[#This Row],[Hora fin]]-base_de_datos[[#This Row],[Hora inicio]])*24)*(COUNTA(base_de_datos[[#This Row],[Lunes]:[Sábado]])),1)</f>
        <v>1</v>
      </c>
      <c r="Z179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9" s="93">
        <f ca="1">IF(base_de_datos[[#This Row],[No clase]]=OFFSET(base_de_datos[[#This Row],[No clase]],-1,0),0,1)</f>
        <v>0</v>
      </c>
      <c r="AB179" s="93">
        <f ca="1">IF(NOT(OR(base_de_datos[[#This Row],[Horas totales]]=base_de_datos[[#This Row],[HT Plan]],base_de_datos[[#This Row],[Horas totales]]="N/A")),1,0)</f>
        <v>0</v>
      </c>
      <c r="AC179" s="93" t="e">
        <f>_xlfn.XLOOKUP(base_de_datos[[#This Row],[Profesor]],Nombre,Grado)</f>
        <v>#REF!</v>
      </c>
      <c r="AD179" s="94" t="e">
        <f>_xlfn.XLOOKUP(base_de_datos[[#This Row],[Profesor]],Nombre,Tipo)</f>
        <v>#REF!</v>
      </c>
      <c r="AE179" s="93" t="str">
        <f>IF(IFERROR(VLOOKUP($C179,Planes_de_estudio[],MATCH($AE$2,Carreras,0)+2,0),"")&gt;0,IFERROR(VLOOKUP($C179,Planes_de_estudio[],MATCH($AE$2,Carreras,0)+2,0),""),"")</f>
        <v/>
      </c>
      <c r="AF179" s="93" t="str">
        <f>IF(IFERROR(VLOOKUP($C179,Planes_de_estudio[],MATCH($AF$2,Carreras,0)+2,0),"")&gt;0,IFERROR(VLOOKUP($C179,Planes_de_estudio[],MATCH($AF$2,Carreras,0)+2,0),""),"")</f>
        <v/>
      </c>
      <c r="AG179" s="93">
        <f>IF(IFERROR(VLOOKUP($C179,Planes_de_estudio[],MATCH($AG$2,Carreras,0)+2,0),"")&gt;0,IFERROR(VLOOKUP($C179,Planes_de_estudio[],MATCH($AG$2,Carreras,0)+2,0),""),"")</f>
        <v>7</v>
      </c>
      <c r="AH179" s="93" t="str">
        <f>IF(IFERROR(VLOOKUP($C179,Planes_de_estudio[],MATCH($AH$2,Carreras,0)+2,0),"")&gt;0,IFERROR(VLOOKUP($C179,Planes_de_estudio[],MATCH($AH$2,Carreras,0)+2,0),""),"")</f>
        <v/>
      </c>
      <c r="AI179" s="93" t="str">
        <f>IF(IFERROR(VLOOKUP($C179,Planes_de_estudio[],MATCH($AI$2,Carreras,0)+2,0),"")&gt;0,IFERROR(VLOOKUP($C179,Planes_de_estudio[],MATCH($AI$2,Carreras,0)+2,0),""),"")</f>
        <v/>
      </c>
      <c r="AJ179" s="93" t="str">
        <f>IF(IFERROR(VLOOKUP($C179,Planes_de_estudio[],MATCH($AJ$2,Carreras,0)+2,0),"")&gt;0,IFERROR(VLOOKUP($C179,Planes_de_estudio[],MATCH($AJ$2,Carreras,0)+2,0),""),"")</f>
        <v/>
      </c>
      <c r="AK179" s="93" t="str">
        <f>IF(IFERROR(VLOOKUP($C179,Planes_de_estudio[],MATCH($AK$2,Carreras,0)+2,0),"")&gt;0,IFERROR(VLOOKUP($C179,Planes_de_estudio[],MATCH($AK$2,Carreras,0)+2,0),""),"")</f>
        <v/>
      </c>
      <c r="AL17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7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22</v>
      </c>
      <c r="AN179" s="93">
        <f>base_de_datos[[#This Row],[Pronóstico]]/25</f>
        <v>0.88</v>
      </c>
      <c r="AO179" s="93" t="str">
        <f>VLOOKUP($C179,Planes_de_estudio[],2)</f>
        <v>IID</v>
      </c>
      <c r="AP179" s="196"/>
      <c r="AQ179" s="196"/>
      <c r="AR179" s="196"/>
      <c r="AS179" s="196"/>
      <c r="AT179" s="196"/>
      <c r="AU179" s="196"/>
      <c r="AV179" s="196"/>
      <c r="AW179" s="91"/>
      <c r="AX179" s="73"/>
    </row>
    <row r="180" spans="2:50" ht="16">
      <c r="B180" s="95" t="s">
        <v>297</v>
      </c>
      <c r="C180" s="96" t="s">
        <v>125</v>
      </c>
      <c r="D180" s="92">
        <v>2</v>
      </c>
      <c r="E180" s="97">
        <v>0.70833333333333304</v>
      </c>
      <c r="F180" s="97">
        <v>0.81249999999999201</v>
      </c>
      <c r="G180" s="92"/>
      <c r="H180" s="92" t="s">
        <v>333</v>
      </c>
      <c r="I180" s="92" t="e">
        <f>INDEX(Aulas_capacidad,MATCH(base_de_datos[[#This Row],[Aula]],Aulas,0),2)</f>
        <v>#REF!</v>
      </c>
      <c r="J180" s="90">
        <v>11</v>
      </c>
      <c r="K180" s="92" t="e">
        <f>INDEX(Aulas_capacidad,MATCH(base_de_datos[[#This Row],[Aula]],Aulas,0),4)</f>
        <v>#REF!</v>
      </c>
      <c r="L180" s="98" t="e">
        <f>base_de_datos[[#This Row],[Cap 1.5]]-base_de_datos[[#This Row],[Inscritos]]</f>
        <v>#REF!</v>
      </c>
      <c r="M180" s="98" t="e">
        <f>INDEX(Aulas_capacidad,MATCH(base_de_datos[[#This Row],[Aula]],Aulas,0),5)</f>
        <v>#REF!</v>
      </c>
      <c r="N180" s="98" t="e">
        <f>base_de_datos[[#This Row],[Cap .90]]-base_de_datos[[#This Row],[Inscritos]]</f>
        <v>#REF!</v>
      </c>
      <c r="O180" s="92">
        <v>1859</v>
      </c>
      <c r="P180" s="99" t="s">
        <v>68</v>
      </c>
      <c r="Q180" s="100"/>
      <c r="R180" s="99" t="s">
        <v>68</v>
      </c>
      <c r="S180" s="100"/>
      <c r="T180" s="100"/>
      <c r="U180" s="99"/>
      <c r="V180" s="99"/>
      <c r="W180" s="99" t="s">
        <v>74</v>
      </c>
      <c r="X180" s="93">
        <f>_xlfn.XLOOKUP(base_de_datos[[#This Row],[Materia]],Materias,Horas)/16</f>
        <v>5</v>
      </c>
      <c r="Y180" s="93">
        <f>ROUND(((base_de_datos[[#This Row],[Hora fin]]-base_de_datos[[#This Row],[Hora inicio]])*24)*(COUNTA(base_de_datos[[#This Row],[Lunes]:[Sábado]])),1)</f>
        <v>5</v>
      </c>
      <c r="Z180" s="93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80" s="93">
        <f ca="1">IF(base_de_datos[[#This Row],[No clase]]=OFFSET(base_de_datos[[#This Row],[No clase]],-1,0),0,1)</f>
        <v>1</v>
      </c>
      <c r="AB180" s="93">
        <f ca="1">IF(NOT(OR(base_de_datos[[#This Row],[Horas totales]]=base_de_datos[[#This Row],[HT Plan]],base_de_datos[[#This Row],[Horas totales]]="N/A")),1,0)</f>
        <v>0</v>
      </c>
      <c r="AC180" s="93" t="e">
        <f>_xlfn.XLOOKUP(base_de_datos[[#This Row],[Profesor]],Nombre,Grado)</f>
        <v>#REF!</v>
      </c>
      <c r="AD180" s="94" t="e">
        <f>_xlfn.XLOOKUP(base_de_datos[[#This Row],[Profesor]],Nombre,Tipo)</f>
        <v>#REF!</v>
      </c>
      <c r="AE180" s="93" t="str">
        <f>IF(IFERROR(VLOOKUP($C180,Planes_de_estudio[],MATCH($AE$2,Carreras,0)+2,0),"")&gt;0,IFERROR(VLOOKUP($C180,Planes_de_estudio[],MATCH($AE$2,Carreras,0)+2,0),""),"")</f>
        <v/>
      </c>
      <c r="AF180" s="93" t="str">
        <f>IF(IFERROR(VLOOKUP($C180,Planes_de_estudio[],MATCH($AF$2,Carreras,0)+2,0),"")&gt;0,IFERROR(VLOOKUP($C180,Planes_de_estudio[],MATCH($AF$2,Carreras,0)+2,0),""),"")</f>
        <v/>
      </c>
      <c r="AG180" s="93">
        <f>IF(IFERROR(VLOOKUP($C180,Planes_de_estudio[],MATCH($AG$2,Carreras,0)+2,0),"")&gt;0,IFERROR(VLOOKUP($C180,Planes_de_estudio[],MATCH($AG$2,Carreras,0)+2,0),""),"")</f>
        <v>5</v>
      </c>
      <c r="AH180" s="93" t="str">
        <f>IF(IFERROR(VLOOKUP($C180,Planes_de_estudio[],MATCH($AH$2,Carreras,0)+2,0),"")&gt;0,IFERROR(VLOOKUP($C180,Planes_de_estudio[],MATCH($AH$2,Carreras,0)+2,0),""),"")</f>
        <v/>
      </c>
      <c r="AI180" s="93" t="str">
        <f>IF(IFERROR(VLOOKUP($C180,Planes_de_estudio[],MATCH($AI$2,Carreras,0)+2,0),"")&gt;0,IFERROR(VLOOKUP($C180,Planes_de_estudio[],MATCH($AI$2,Carreras,0)+2,0),""),"")</f>
        <v/>
      </c>
      <c r="AJ180" s="93" t="str">
        <f>IF(IFERROR(VLOOKUP($C180,Planes_de_estudio[],MATCH($AJ$2,Carreras,0)+2,0),"")&gt;0,IFERROR(VLOOKUP($C180,Planes_de_estudio[],MATCH($AJ$2,Carreras,0)+2,0),""),"")</f>
        <v/>
      </c>
      <c r="AK180" s="93" t="str">
        <f>IF(IFERROR(VLOOKUP($C180,Planes_de_estudio[],MATCH($AK$2,Carreras,0)+2,0),"")&gt;0,IFERROR(VLOOKUP($C180,Planes_de_estudio[],MATCH($AK$2,Carreras,0)+2,0),""),"")</f>
        <v/>
      </c>
      <c r="AL18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8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30</v>
      </c>
      <c r="AN180" s="93">
        <f>base_de_datos[[#This Row],[Pronóstico]]/25</f>
        <v>1.2</v>
      </c>
      <c r="AO180" s="93" t="str">
        <f>VLOOKUP($C180,Planes_de_estudio[],2)</f>
        <v>IID</v>
      </c>
      <c r="AP180" s="196"/>
      <c r="AQ180" s="196"/>
      <c r="AR180" s="195">
        <v>6</v>
      </c>
      <c r="AS180" s="196"/>
      <c r="AT180" s="196"/>
      <c r="AU180" s="196"/>
      <c r="AV180" s="196"/>
      <c r="AW180" s="91"/>
      <c r="AX180" s="73"/>
    </row>
    <row r="181" spans="2:50" ht="16">
      <c r="B181" s="95" t="s">
        <v>108</v>
      </c>
      <c r="C181" s="96" t="s">
        <v>377</v>
      </c>
      <c r="D181" s="92">
        <v>1</v>
      </c>
      <c r="E181" s="97">
        <v>0.5625</v>
      </c>
      <c r="F181" s="97">
        <v>0.624999999999995</v>
      </c>
      <c r="G181" s="92" t="s">
        <v>72</v>
      </c>
      <c r="H181" s="92" t="s">
        <v>106</v>
      </c>
      <c r="I181" s="92" t="e">
        <f>INDEX(Aulas_capacidad,MATCH(base_de_datos[[#This Row],[Aula]],Aulas,0),2)</f>
        <v>#REF!</v>
      </c>
      <c r="J181" s="90">
        <v>18</v>
      </c>
      <c r="K181" s="92" t="e">
        <f>INDEX(Aulas_capacidad,MATCH(base_de_datos[[#This Row],[Aula]],Aulas,0),4)</f>
        <v>#REF!</v>
      </c>
      <c r="L181" s="98" t="e">
        <f>base_de_datos[[#This Row],[Cap 1.5]]-base_de_datos[[#This Row],[Inscritos]]</f>
        <v>#REF!</v>
      </c>
      <c r="M181" s="98" t="e">
        <f>INDEX(Aulas_capacidad,MATCH(base_de_datos[[#This Row],[Aula]],Aulas,0),5)</f>
        <v>#REF!</v>
      </c>
      <c r="N181" s="98" t="e">
        <f>base_de_datos[[#This Row],[Cap .90]]-base_de_datos[[#This Row],[Inscritos]]</f>
        <v>#REF!</v>
      </c>
      <c r="O181" s="92">
        <v>5584</v>
      </c>
      <c r="P181" s="99" t="s">
        <v>68</v>
      </c>
      <c r="Q181" s="100"/>
      <c r="R181" s="99"/>
      <c r="S181" s="100"/>
      <c r="T181" s="100"/>
      <c r="U181" s="99"/>
      <c r="V181" s="99"/>
      <c r="W181" s="99" t="s">
        <v>74</v>
      </c>
      <c r="X181" s="93">
        <f>_xlfn.XLOOKUP(base_de_datos[[#This Row],[Materia]],Materias,Horas)/16</f>
        <v>4</v>
      </c>
      <c r="Y181" s="93">
        <f>ROUND(((base_de_datos[[#This Row],[Hora fin]]-base_de_datos[[#This Row],[Hora inicio]])*24)*(COUNTA(base_de_datos[[#This Row],[Lunes]:[Sábado]])),1)</f>
        <v>1.5</v>
      </c>
      <c r="Z181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1" s="93">
        <f ca="1">IF(base_de_datos[[#This Row],[No clase]]=OFFSET(base_de_datos[[#This Row],[No clase]],-1,0),0,1)</f>
        <v>1</v>
      </c>
      <c r="AB181" s="93">
        <f ca="1">IF(NOT(OR(base_de_datos[[#This Row],[Horas totales]]=base_de_datos[[#This Row],[HT Plan]],base_de_datos[[#This Row],[Horas totales]]="N/A")),1,0)</f>
        <v>1</v>
      </c>
      <c r="AC181" s="93" t="e">
        <f>_xlfn.XLOOKUP(base_de_datos[[#This Row],[Profesor]],Nombre,Grado)</f>
        <v>#REF!</v>
      </c>
      <c r="AD181" s="94" t="e">
        <f>_xlfn.XLOOKUP(base_de_datos[[#This Row],[Profesor]],Nombre,Tipo)</f>
        <v>#REF!</v>
      </c>
      <c r="AE181" s="93" t="str">
        <f>IF(IFERROR(VLOOKUP($C181,Planes_de_estudio[],MATCH($AE$2,Carreras,0)+2,0),"")&gt;0,IFERROR(VLOOKUP($C181,Planes_de_estudio[],MATCH($AE$2,Carreras,0)+2,0),""),"")</f>
        <v/>
      </c>
      <c r="AF181" s="93" t="str">
        <f>IF(IFERROR(VLOOKUP($C181,Planes_de_estudio[],MATCH($AF$2,Carreras,0)+2,0),"")&gt;0,IFERROR(VLOOKUP($C181,Planes_de_estudio[],MATCH($AF$2,Carreras,0)+2,0),""),"")</f>
        <v/>
      </c>
      <c r="AG181" s="93">
        <f>IF(IFERROR(VLOOKUP($C181,Planes_de_estudio[],MATCH($AG$2,Carreras,0)+2,0),"")&gt;0,IFERROR(VLOOKUP($C181,Planes_de_estudio[],MATCH($AG$2,Carreras,0)+2,0),""),"")</f>
        <v>3</v>
      </c>
      <c r="AH181" s="93" t="str">
        <f>IF(IFERROR(VLOOKUP($C181,Planes_de_estudio[],MATCH($AH$2,Carreras,0)+2,0),"")&gt;0,IFERROR(VLOOKUP($C181,Planes_de_estudio[],MATCH($AH$2,Carreras,0)+2,0),""),"")</f>
        <v/>
      </c>
      <c r="AI181" s="93" t="str">
        <f>IF(IFERROR(VLOOKUP($C181,Planes_de_estudio[],MATCH($AI$2,Carreras,0)+2,0),"")&gt;0,IFERROR(VLOOKUP($C181,Planes_de_estudio[],MATCH($AI$2,Carreras,0)+2,0),""),"")</f>
        <v/>
      </c>
      <c r="AJ181" s="93" t="str">
        <f>IF(IFERROR(VLOOKUP($C181,Planes_de_estudio[],MATCH($AJ$2,Carreras,0)+2,0),"")&gt;0,IFERROR(VLOOKUP($C181,Planes_de_estudio[],MATCH($AJ$2,Carreras,0)+2,0),""),"")</f>
        <v/>
      </c>
      <c r="AK181" s="93" t="str">
        <f>IF(IFERROR(VLOOKUP($C181,Planes_de_estudio[],MATCH($AK$2,Carreras,0)+2,0),"")&gt;0,IFERROR(VLOOKUP($C181,Planes_de_estudio[],MATCH($AK$2,Carreras,0)+2,0),""),"")</f>
        <v/>
      </c>
      <c r="AL18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8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81" s="93">
        <f>base_de_datos[[#This Row],[Pronóstico]]/25</f>
        <v>0.56000000000000005</v>
      </c>
      <c r="AO181" s="93" t="str">
        <f>VLOOKUP($C181,Planes_de_estudio[],2)</f>
        <v>COM</v>
      </c>
      <c r="AP181" s="196"/>
      <c r="AQ181" s="196"/>
      <c r="AR181" s="195">
        <v>6</v>
      </c>
      <c r="AS181" s="196"/>
      <c r="AT181" s="196"/>
      <c r="AU181" s="196"/>
      <c r="AV181" s="196"/>
      <c r="AW181" s="91"/>
      <c r="AX181" s="73"/>
    </row>
    <row r="182" spans="2:50" ht="16">
      <c r="B182" s="95" t="s">
        <v>108</v>
      </c>
      <c r="C182" s="96" t="s">
        <v>377</v>
      </c>
      <c r="D182" s="92">
        <v>1</v>
      </c>
      <c r="E182" s="97">
        <v>0.39583333333333398</v>
      </c>
      <c r="F182" s="97">
        <v>0.45833333333333098</v>
      </c>
      <c r="G182" s="92" t="s">
        <v>72</v>
      </c>
      <c r="H182" s="92" t="s">
        <v>106</v>
      </c>
      <c r="I182" s="92" t="e">
        <f>INDEX(Aulas_capacidad,MATCH(base_de_datos[[#This Row],[Aula]],Aulas,0),2)</f>
        <v>#REF!</v>
      </c>
      <c r="J182" s="90">
        <v>18</v>
      </c>
      <c r="K182" s="92" t="e">
        <f>INDEX(Aulas_capacidad,MATCH(base_de_datos[[#This Row],[Aula]],Aulas,0),4)</f>
        <v>#REF!</v>
      </c>
      <c r="L182" s="98" t="e">
        <f>base_de_datos[[#This Row],[Cap 1.5]]-base_de_datos[[#This Row],[Inscritos]]</f>
        <v>#REF!</v>
      </c>
      <c r="M182" s="98" t="e">
        <f>INDEX(Aulas_capacidad,MATCH(base_de_datos[[#This Row],[Aula]],Aulas,0),5)</f>
        <v>#REF!</v>
      </c>
      <c r="N182" s="98" t="e">
        <f>base_de_datos[[#This Row],[Cap .90]]-base_de_datos[[#This Row],[Inscritos]]</f>
        <v>#REF!</v>
      </c>
      <c r="O182" s="92">
        <v>5584</v>
      </c>
      <c r="P182" s="99"/>
      <c r="Q182" s="100"/>
      <c r="R182" s="99" t="s">
        <v>68</v>
      </c>
      <c r="S182" s="100"/>
      <c r="T182" s="100"/>
      <c r="U182" s="99"/>
      <c r="V182" s="99"/>
      <c r="W182" s="99" t="s">
        <v>74</v>
      </c>
      <c r="X182" s="93">
        <f>_xlfn.XLOOKUP(base_de_datos[[#This Row],[Materia]],Materias,Horas)/16</f>
        <v>4</v>
      </c>
      <c r="Y182" s="93">
        <f>ROUND(((base_de_datos[[#This Row],[Hora fin]]-base_de_datos[[#This Row],[Hora inicio]])*24)*(COUNTA(base_de_datos[[#This Row],[Lunes]:[Sábado]])),1)</f>
        <v>1.5</v>
      </c>
      <c r="Z182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82" s="93">
        <f ca="1">IF(base_de_datos[[#This Row],[No clase]]=OFFSET(base_de_datos[[#This Row],[No clase]],-1,0),0,1)</f>
        <v>0</v>
      </c>
      <c r="AB182" s="93">
        <f ca="1">IF(NOT(OR(base_de_datos[[#This Row],[Horas totales]]=base_de_datos[[#This Row],[HT Plan]],base_de_datos[[#This Row],[Horas totales]]="N/A")),1,0)</f>
        <v>0</v>
      </c>
      <c r="AC182" s="93" t="e">
        <f>_xlfn.XLOOKUP(base_de_datos[[#This Row],[Profesor]],Nombre,Grado)</f>
        <v>#REF!</v>
      </c>
      <c r="AD182" s="94" t="e">
        <f>_xlfn.XLOOKUP(base_de_datos[[#This Row],[Profesor]],Nombre,Tipo)</f>
        <v>#REF!</v>
      </c>
      <c r="AE182" s="93" t="str">
        <f>IF(IFERROR(VLOOKUP($C182,Planes_de_estudio[],MATCH($AE$2,Carreras,0)+2,0),"")&gt;0,IFERROR(VLOOKUP($C182,Planes_de_estudio[],MATCH($AE$2,Carreras,0)+2,0),""),"")</f>
        <v/>
      </c>
      <c r="AF182" s="93" t="str">
        <f>IF(IFERROR(VLOOKUP($C182,Planes_de_estudio[],MATCH($AF$2,Carreras,0)+2,0),"")&gt;0,IFERROR(VLOOKUP($C182,Planes_de_estudio[],MATCH($AF$2,Carreras,0)+2,0),""),"")</f>
        <v/>
      </c>
      <c r="AG182" s="93">
        <f>IF(IFERROR(VLOOKUP($C182,Planes_de_estudio[],MATCH($AG$2,Carreras,0)+2,0),"")&gt;0,IFERROR(VLOOKUP($C182,Planes_de_estudio[],MATCH($AG$2,Carreras,0)+2,0),""),"")</f>
        <v>3</v>
      </c>
      <c r="AH182" s="93" t="str">
        <f>IF(IFERROR(VLOOKUP($C182,Planes_de_estudio[],MATCH($AH$2,Carreras,0)+2,0),"")&gt;0,IFERROR(VLOOKUP($C182,Planes_de_estudio[],MATCH($AH$2,Carreras,0)+2,0),""),"")</f>
        <v/>
      </c>
      <c r="AI182" s="93" t="str">
        <f>IF(IFERROR(VLOOKUP($C182,Planes_de_estudio[],MATCH($AI$2,Carreras,0)+2,0),"")&gt;0,IFERROR(VLOOKUP($C182,Planes_de_estudio[],MATCH($AI$2,Carreras,0)+2,0),""),"")</f>
        <v/>
      </c>
      <c r="AJ182" s="93" t="str">
        <f>IF(IFERROR(VLOOKUP($C182,Planes_de_estudio[],MATCH($AJ$2,Carreras,0)+2,0),"")&gt;0,IFERROR(VLOOKUP($C182,Planes_de_estudio[],MATCH($AJ$2,Carreras,0)+2,0),""),"")</f>
        <v/>
      </c>
      <c r="AK182" s="93" t="str">
        <f>IF(IFERROR(VLOOKUP($C182,Planes_de_estudio[],MATCH($AK$2,Carreras,0)+2,0),"")&gt;0,IFERROR(VLOOKUP($C182,Planes_de_estudio[],MATCH($AK$2,Carreras,0)+2,0),""),"")</f>
        <v/>
      </c>
      <c r="AL18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8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82" s="93">
        <f>base_de_datos[[#This Row],[Pronóstico]]/25</f>
        <v>0.56000000000000005</v>
      </c>
      <c r="AO182" s="93" t="str">
        <f>VLOOKUP($C182,Planes_de_estudio[],2)</f>
        <v>COM</v>
      </c>
      <c r="AP182" s="196"/>
      <c r="AQ182" s="196"/>
      <c r="AR182" s="196"/>
      <c r="AS182" s="196"/>
      <c r="AT182" s="196"/>
      <c r="AU182" s="196"/>
      <c r="AV182" s="196"/>
      <c r="AW182" s="91"/>
      <c r="AX182" s="73"/>
    </row>
    <row r="183" spans="2:50" ht="16">
      <c r="B183" s="95" t="s">
        <v>108</v>
      </c>
      <c r="C183" s="96" t="s">
        <v>377</v>
      </c>
      <c r="D183" s="92">
        <v>1</v>
      </c>
      <c r="E183" s="97">
        <v>0.58333333333333304</v>
      </c>
      <c r="F183" s="97">
        <v>0.624999999999995</v>
      </c>
      <c r="G183" s="92" t="s">
        <v>72</v>
      </c>
      <c r="H183" s="92" t="s">
        <v>106</v>
      </c>
      <c r="I183" s="92" t="e">
        <f>INDEX(Aulas_capacidad,MATCH(base_de_datos[[#This Row],[Aula]],Aulas,0),2)</f>
        <v>#REF!</v>
      </c>
      <c r="J183" s="90">
        <v>18</v>
      </c>
      <c r="K183" s="92" t="e">
        <f>INDEX(Aulas_capacidad,MATCH(base_de_datos[[#This Row],[Aula]],Aulas,0),4)</f>
        <v>#REF!</v>
      </c>
      <c r="L183" s="98" t="e">
        <f>base_de_datos[[#This Row],[Cap 1.5]]-base_de_datos[[#This Row],[Inscritos]]</f>
        <v>#REF!</v>
      </c>
      <c r="M183" s="98" t="e">
        <f>INDEX(Aulas_capacidad,MATCH(base_de_datos[[#This Row],[Aula]],Aulas,0),5)</f>
        <v>#REF!</v>
      </c>
      <c r="N183" s="98" t="e">
        <f>base_de_datos[[#This Row],[Cap .90]]-base_de_datos[[#This Row],[Inscritos]]</f>
        <v>#REF!</v>
      </c>
      <c r="O183" s="92">
        <v>5584</v>
      </c>
      <c r="P183" s="99"/>
      <c r="Q183" s="100"/>
      <c r="R183" s="99"/>
      <c r="S183" s="100" t="s">
        <v>68</v>
      </c>
      <c r="T183" s="100"/>
      <c r="U183" s="99"/>
      <c r="V183" s="99"/>
      <c r="W183" s="99" t="s">
        <v>74</v>
      </c>
      <c r="X183" s="93">
        <f>_xlfn.XLOOKUP(base_de_datos[[#This Row],[Materia]],Materias,Horas)/16</f>
        <v>4</v>
      </c>
      <c r="Y183" s="93">
        <f>ROUND(((base_de_datos[[#This Row],[Hora fin]]-base_de_datos[[#This Row],[Hora inicio]])*24)*(COUNTA(base_de_datos[[#This Row],[Lunes]:[Sábado]])),1)</f>
        <v>1</v>
      </c>
      <c r="Z183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83" s="93">
        <f ca="1">IF(base_de_datos[[#This Row],[No clase]]=OFFSET(base_de_datos[[#This Row],[No clase]],-1,0),0,1)</f>
        <v>0</v>
      </c>
      <c r="AB183" s="93">
        <f ca="1">IF(NOT(OR(base_de_datos[[#This Row],[Horas totales]]=base_de_datos[[#This Row],[HT Plan]],base_de_datos[[#This Row],[Horas totales]]="N/A")),1,0)</f>
        <v>0</v>
      </c>
      <c r="AC183" s="93" t="e">
        <f>_xlfn.XLOOKUP(base_de_datos[[#This Row],[Profesor]],Nombre,Grado)</f>
        <v>#REF!</v>
      </c>
      <c r="AD183" s="94" t="e">
        <f>_xlfn.XLOOKUP(base_de_datos[[#This Row],[Profesor]],Nombre,Tipo)</f>
        <v>#REF!</v>
      </c>
      <c r="AE183" s="93" t="str">
        <f>IF(IFERROR(VLOOKUP($C183,Planes_de_estudio[],MATCH($AE$2,Carreras,0)+2,0),"")&gt;0,IFERROR(VLOOKUP($C183,Planes_de_estudio[],MATCH($AE$2,Carreras,0)+2,0),""),"")</f>
        <v/>
      </c>
      <c r="AF183" s="93" t="str">
        <f>IF(IFERROR(VLOOKUP($C183,Planes_de_estudio[],MATCH($AF$2,Carreras,0)+2,0),"")&gt;0,IFERROR(VLOOKUP($C183,Planes_de_estudio[],MATCH($AF$2,Carreras,0)+2,0),""),"")</f>
        <v/>
      </c>
      <c r="AG183" s="93">
        <f>IF(IFERROR(VLOOKUP($C183,Planes_de_estudio[],MATCH($AG$2,Carreras,0)+2,0),"")&gt;0,IFERROR(VLOOKUP($C183,Planes_de_estudio[],MATCH($AG$2,Carreras,0)+2,0),""),"")</f>
        <v>3</v>
      </c>
      <c r="AH183" s="93" t="str">
        <f>IF(IFERROR(VLOOKUP($C183,Planes_de_estudio[],MATCH($AH$2,Carreras,0)+2,0),"")&gt;0,IFERROR(VLOOKUP($C183,Planes_de_estudio[],MATCH($AH$2,Carreras,0)+2,0),""),"")</f>
        <v/>
      </c>
      <c r="AI183" s="93" t="str">
        <f>IF(IFERROR(VLOOKUP($C183,Planes_de_estudio[],MATCH($AI$2,Carreras,0)+2,0),"")&gt;0,IFERROR(VLOOKUP($C183,Planes_de_estudio[],MATCH($AI$2,Carreras,0)+2,0),""),"")</f>
        <v/>
      </c>
      <c r="AJ183" s="93" t="str">
        <f>IF(IFERROR(VLOOKUP($C183,Planes_de_estudio[],MATCH($AJ$2,Carreras,0)+2,0),"")&gt;0,IFERROR(VLOOKUP($C183,Planes_de_estudio[],MATCH($AJ$2,Carreras,0)+2,0),""),"")</f>
        <v/>
      </c>
      <c r="AK183" s="93" t="str">
        <f>IF(IFERROR(VLOOKUP($C183,Planes_de_estudio[],MATCH($AK$2,Carreras,0)+2,0),"")&gt;0,IFERROR(VLOOKUP($C183,Planes_de_estudio[],MATCH($AK$2,Carreras,0)+2,0),""),"")</f>
        <v/>
      </c>
      <c r="AL18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8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83" s="93">
        <f>base_de_datos[[#This Row],[Pronóstico]]/25</f>
        <v>0.56000000000000005</v>
      </c>
      <c r="AO183" s="93" t="str">
        <f>VLOOKUP($C183,Planes_de_estudio[],2)</f>
        <v>COM</v>
      </c>
      <c r="AP183" s="196"/>
      <c r="AQ183" s="196"/>
      <c r="AR183" s="196"/>
      <c r="AS183" s="196"/>
      <c r="AT183" s="196"/>
      <c r="AU183" s="196"/>
      <c r="AV183" s="196"/>
      <c r="AW183" s="91"/>
      <c r="AX183" s="73"/>
    </row>
    <row r="184" spans="2:50" ht="16">
      <c r="B184" s="95" t="s">
        <v>378</v>
      </c>
      <c r="C184" s="96" t="s">
        <v>379</v>
      </c>
      <c r="D184" s="92">
        <v>1</v>
      </c>
      <c r="E184" s="97">
        <v>0.29166666666666669</v>
      </c>
      <c r="F184" s="97">
        <v>0.374999999999999</v>
      </c>
      <c r="G184" s="92"/>
      <c r="H184" s="92" t="s">
        <v>110</v>
      </c>
      <c r="I184" s="92" t="e">
        <f>INDEX(Aulas_capacidad,MATCH(base_de_datos[[#This Row],[Aula]],Aulas,0),2)</f>
        <v>#REF!</v>
      </c>
      <c r="J184" s="90">
        <v>21</v>
      </c>
      <c r="K184" s="92" t="e">
        <f>INDEX(Aulas_capacidad,MATCH(base_de_datos[[#This Row],[Aula]],Aulas,0),4)</f>
        <v>#REF!</v>
      </c>
      <c r="L184" s="98" t="e">
        <f>base_de_datos[[#This Row],[Cap 1.5]]-base_de_datos[[#This Row],[Inscritos]]</f>
        <v>#REF!</v>
      </c>
      <c r="M184" s="98" t="e">
        <f>INDEX(Aulas_capacidad,MATCH(base_de_datos[[#This Row],[Aula]],Aulas,0),5)</f>
        <v>#REF!</v>
      </c>
      <c r="N184" s="98" t="e">
        <f>base_de_datos[[#This Row],[Cap .90]]-base_de_datos[[#This Row],[Inscritos]]</f>
        <v>#REF!</v>
      </c>
      <c r="O184" s="92">
        <v>1855</v>
      </c>
      <c r="P184" s="99" t="s">
        <v>68</v>
      </c>
      <c r="Q184" s="100"/>
      <c r="R184" s="99"/>
      <c r="S184" s="100"/>
      <c r="T184" s="100"/>
      <c r="U184" s="99"/>
      <c r="V184" s="99"/>
      <c r="W184" s="99" t="s">
        <v>101</v>
      </c>
      <c r="X184" s="93">
        <f>_xlfn.XLOOKUP(base_de_datos[[#This Row],[Materia]],Materias,Horas)/16</f>
        <v>3</v>
      </c>
      <c r="Y184" s="93">
        <f>ROUND(((base_de_datos[[#This Row],[Hora fin]]-base_de_datos[[#This Row],[Hora inicio]])*24)*(COUNTA(base_de_datos[[#This Row],[Lunes]:[Sábado]])),1)</f>
        <v>2</v>
      </c>
      <c r="Z184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4" s="93">
        <f ca="1">IF(base_de_datos[[#This Row],[No clase]]=OFFSET(base_de_datos[[#This Row],[No clase]],-1,0),0,1)</f>
        <v>1</v>
      </c>
      <c r="AB184" s="93">
        <f ca="1">IF(NOT(OR(base_de_datos[[#This Row],[Horas totales]]=base_de_datos[[#This Row],[HT Plan]],base_de_datos[[#This Row],[Horas totales]]="N/A")),1,0)</f>
        <v>0</v>
      </c>
      <c r="AC184" s="93" t="e">
        <f>_xlfn.XLOOKUP(base_de_datos[[#This Row],[Profesor]],Nombre,Grado)</f>
        <v>#REF!</v>
      </c>
      <c r="AD184" s="94" t="e">
        <f>_xlfn.XLOOKUP(base_de_datos[[#This Row],[Profesor]],Nombre,Tipo)</f>
        <v>#REF!</v>
      </c>
      <c r="AE184" s="93" t="str">
        <f>IF(IFERROR(VLOOKUP($C184,Planes_de_estudio[],MATCH($AE$2,Carreras,0)+2,0),"")&gt;0,IFERROR(VLOOKUP($C184,Planes_de_estudio[],MATCH($AE$2,Carreras,0)+2,0),""),"")</f>
        <v/>
      </c>
      <c r="AF184" s="93" t="str">
        <f>IF(IFERROR(VLOOKUP($C184,Planes_de_estudio[],MATCH($AF$2,Carreras,0)+2,0),"")&gt;0,IFERROR(VLOOKUP($C184,Planes_de_estudio[],MATCH($AF$2,Carreras,0)+2,0),""),"")</f>
        <v/>
      </c>
      <c r="AG184" s="93">
        <f>IF(IFERROR(VLOOKUP($C184,Planes_de_estudio[],MATCH($AG$2,Carreras,0)+2,0),"")&gt;0,IFERROR(VLOOKUP($C184,Planes_de_estudio[],MATCH($AG$2,Carreras,0)+2,0),""),"")</f>
        <v>1</v>
      </c>
      <c r="AH184" s="93" t="str">
        <f>IF(IFERROR(VLOOKUP($C184,Planes_de_estudio[],MATCH($AH$2,Carreras,0)+2,0),"")&gt;0,IFERROR(VLOOKUP($C184,Planes_de_estudio[],MATCH($AH$2,Carreras,0)+2,0),""),"")</f>
        <v/>
      </c>
      <c r="AI184" s="93" t="str">
        <f>IF(IFERROR(VLOOKUP($C184,Planes_de_estudio[],MATCH($AI$2,Carreras,0)+2,0),"")&gt;0,IFERROR(VLOOKUP($C184,Planes_de_estudio[],MATCH($AI$2,Carreras,0)+2,0),""),"")</f>
        <v/>
      </c>
      <c r="AJ184" s="93" t="str">
        <f>IF(IFERROR(VLOOKUP($C184,Planes_de_estudio[],MATCH($AJ$2,Carreras,0)+2,0),"")&gt;0,IFERROR(VLOOKUP($C184,Planes_de_estudio[],MATCH($AJ$2,Carreras,0)+2,0),""),"")</f>
        <v/>
      </c>
      <c r="AK184" s="93" t="str">
        <f>IF(IFERROR(VLOOKUP($C184,Planes_de_estudio[],MATCH($AK$2,Carreras,0)+2,0),"")&gt;0,IFERROR(VLOOKUP($C184,Planes_de_estudio[],MATCH($AK$2,Carreras,0)+2,0),""),"")</f>
        <v/>
      </c>
      <c r="AL18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8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23.000000000000004</v>
      </c>
      <c r="AN184" s="93">
        <f>base_de_datos[[#This Row],[Pronóstico]]/25</f>
        <v>0.92000000000000015</v>
      </c>
      <c r="AO184" s="93" t="str">
        <f>VLOOKUP($C184,Planes_de_estudio[],2)</f>
        <v>IID</v>
      </c>
      <c r="AP184" s="196"/>
      <c r="AQ184" s="196"/>
      <c r="AR184" s="195">
        <v>6</v>
      </c>
      <c r="AS184" s="196"/>
      <c r="AT184" s="196"/>
      <c r="AU184" s="196"/>
      <c r="AV184" s="196"/>
      <c r="AW184" s="91"/>
      <c r="AX184" s="73"/>
    </row>
    <row r="185" spans="2:50" ht="16">
      <c r="B185" s="95" t="s">
        <v>378</v>
      </c>
      <c r="C185" s="96" t="s">
        <v>379</v>
      </c>
      <c r="D185" s="92">
        <v>1</v>
      </c>
      <c r="E185" s="97">
        <v>0.29166666666666669</v>
      </c>
      <c r="F185" s="97">
        <v>0.33333333333333298</v>
      </c>
      <c r="G185" s="92"/>
      <c r="H185" s="92" t="s">
        <v>110</v>
      </c>
      <c r="I185" s="92" t="e">
        <f>INDEX(Aulas_capacidad,MATCH(base_de_datos[[#This Row],[Aula]],Aulas,0),2)</f>
        <v>#REF!</v>
      </c>
      <c r="J185" s="90">
        <v>21</v>
      </c>
      <c r="K185" s="92" t="e">
        <f>INDEX(Aulas_capacidad,MATCH(base_de_datos[[#This Row],[Aula]],Aulas,0),4)</f>
        <v>#REF!</v>
      </c>
      <c r="L185" s="98" t="e">
        <f>base_de_datos[[#This Row],[Cap 1.5]]-base_de_datos[[#This Row],[Inscritos]]</f>
        <v>#REF!</v>
      </c>
      <c r="M185" s="98" t="e">
        <f>INDEX(Aulas_capacidad,MATCH(base_de_datos[[#This Row],[Aula]],Aulas,0),5)</f>
        <v>#REF!</v>
      </c>
      <c r="N185" s="98" t="e">
        <f>base_de_datos[[#This Row],[Cap .90]]-base_de_datos[[#This Row],[Inscritos]]</f>
        <v>#REF!</v>
      </c>
      <c r="O185" s="92">
        <v>1855</v>
      </c>
      <c r="P185" s="99"/>
      <c r="Q185" s="100"/>
      <c r="R185" s="99" t="s">
        <v>68</v>
      </c>
      <c r="S185" s="100"/>
      <c r="T185" s="100"/>
      <c r="U185" s="99"/>
      <c r="V185" s="99"/>
      <c r="W185" s="99" t="s">
        <v>101</v>
      </c>
      <c r="X185" s="93">
        <f>_xlfn.XLOOKUP(base_de_datos[[#This Row],[Materia]],Materias,Horas)/16</f>
        <v>3</v>
      </c>
      <c r="Y185" s="93">
        <f>ROUND(((base_de_datos[[#This Row],[Hora fin]]-base_de_datos[[#This Row],[Hora inicio]])*24)*(COUNTA(base_de_datos[[#This Row],[Lunes]:[Sábado]])),1)</f>
        <v>1</v>
      </c>
      <c r="Z185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85" s="93">
        <f ca="1">IF(base_de_datos[[#This Row],[No clase]]=OFFSET(base_de_datos[[#This Row],[No clase]],-1,0),0,1)</f>
        <v>0</v>
      </c>
      <c r="AB185" s="93">
        <f ca="1">IF(NOT(OR(base_de_datos[[#This Row],[Horas totales]]=base_de_datos[[#This Row],[HT Plan]],base_de_datos[[#This Row],[Horas totales]]="N/A")),1,0)</f>
        <v>0</v>
      </c>
      <c r="AC185" s="93" t="e">
        <f>_xlfn.XLOOKUP(base_de_datos[[#This Row],[Profesor]],Nombre,Grado)</f>
        <v>#REF!</v>
      </c>
      <c r="AD185" s="94" t="e">
        <f>_xlfn.XLOOKUP(base_de_datos[[#This Row],[Profesor]],Nombre,Tipo)</f>
        <v>#REF!</v>
      </c>
      <c r="AE185" s="93" t="str">
        <f>IF(IFERROR(VLOOKUP($C185,Planes_de_estudio[],MATCH($AE$2,Carreras,0)+2,0),"")&gt;0,IFERROR(VLOOKUP($C185,Planes_de_estudio[],MATCH($AE$2,Carreras,0)+2,0),""),"")</f>
        <v/>
      </c>
      <c r="AF185" s="93" t="str">
        <f>IF(IFERROR(VLOOKUP($C185,Planes_de_estudio[],MATCH($AF$2,Carreras,0)+2,0),"")&gt;0,IFERROR(VLOOKUP($C185,Planes_de_estudio[],MATCH($AF$2,Carreras,0)+2,0),""),"")</f>
        <v/>
      </c>
      <c r="AG185" s="93">
        <f>IF(IFERROR(VLOOKUP($C185,Planes_de_estudio[],MATCH($AG$2,Carreras,0)+2,0),"")&gt;0,IFERROR(VLOOKUP($C185,Planes_de_estudio[],MATCH($AG$2,Carreras,0)+2,0),""),"")</f>
        <v>1</v>
      </c>
      <c r="AH185" s="93" t="str">
        <f>IF(IFERROR(VLOOKUP($C185,Planes_de_estudio[],MATCH($AH$2,Carreras,0)+2,0),"")&gt;0,IFERROR(VLOOKUP($C185,Planes_de_estudio[],MATCH($AH$2,Carreras,0)+2,0),""),"")</f>
        <v/>
      </c>
      <c r="AI185" s="93" t="str">
        <f>IF(IFERROR(VLOOKUP($C185,Planes_de_estudio[],MATCH($AI$2,Carreras,0)+2,0),"")&gt;0,IFERROR(VLOOKUP($C185,Planes_de_estudio[],MATCH($AI$2,Carreras,0)+2,0),""),"")</f>
        <v/>
      </c>
      <c r="AJ185" s="93" t="str">
        <f>IF(IFERROR(VLOOKUP($C185,Planes_de_estudio[],MATCH($AJ$2,Carreras,0)+2,0),"")&gt;0,IFERROR(VLOOKUP($C185,Planes_de_estudio[],MATCH($AJ$2,Carreras,0)+2,0),""),"")</f>
        <v/>
      </c>
      <c r="AK185" s="93" t="str">
        <f>IF(IFERROR(VLOOKUP($C185,Planes_de_estudio[],MATCH($AK$2,Carreras,0)+2,0),"")&gt;0,IFERROR(VLOOKUP($C185,Planes_de_estudio[],MATCH($AK$2,Carreras,0)+2,0),""),"")</f>
        <v/>
      </c>
      <c r="AL18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8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23.000000000000004</v>
      </c>
      <c r="AN185" s="93">
        <f>base_de_datos[[#This Row],[Pronóstico]]/25</f>
        <v>0.92000000000000015</v>
      </c>
      <c r="AO185" s="93" t="str">
        <f>VLOOKUP($C185,Planes_de_estudio[],2)</f>
        <v>IID</v>
      </c>
      <c r="AP185" s="196"/>
      <c r="AQ185" s="196"/>
      <c r="AR185" s="196"/>
      <c r="AS185" s="196"/>
      <c r="AT185" s="196"/>
      <c r="AU185" s="196"/>
      <c r="AV185" s="196"/>
      <c r="AW185" s="91"/>
      <c r="AX185" s="73"/>
    </row>
    <row r="186" spans="2:50" ht="16">
      <c r="B186" s="95" t="s">
        <v>380</v>
      </c>
      <c r="C186" s="96" t="s">
        <v>381</v>
      </c>
      <c r="D186" s="92">
        <v>1</v>
      </c>
      <c r="E186" s="97">
        <v>0.29166666666666669</v>
      </c>
      <c r="F186" s="97">
        <v>0.374999999999999</v>
      </c>
      <c r="G186" s="92"/>
      <c r="H186" s="92" t="s">
        <v>110</v>
      </c>
      <c r="I186" s="92" t="e">
        <f>INDEX(Aulas_capacidad,MATCH(base_de_datos[[#This Row],[Aula]],Aulas,0),2)</f>
        <v>#REF!</v>
      </c>
      <c r="J186" s="90">
        <v>17</v>
      </c>
      <c r="K186" s="92" t="e">
        <f>INDEX(Aulas_capacidad,MATCH(base_de_datos[[#This Row],[Aula]],Aulas,0),4)</f>
        <v>#REF!</v>
      </c>
      <c r="L186" s="98" t="e">
        <f>base_de_datos[[#This Row],[Cap 1.5]]-base_de_datos[[#This Row],[Inscritos]]</f>
        <v>#REF!</v>
      </c>
      <c r="M186" s="98" t="e">
        <f>INDEX(Aulas_capacidad,MATCH(base_de_datos[[#This Row],[Aula]],Aulas,0),5)</f>
        <v>#REF!</v>
      </c>
      <c r="N186" s="98" t="e">
        <f>base_de_datos[[#This Row],[Cap .90]]-base_de_datos[[#This Row],[Inscritos]]</f>
        <v>#REF!</v>
      </c>
      <c r="O186" s="92">
        <v>1858</v>
      </c>
      <c r="P186" s="99"/>
      <c r="Q186" s="100" t="s">
        <v>68</v>
      </c>
      <c r="R186" s="99"/>
      <c r="S186" s="100" t="s">
        <v>68</v>
      </c>
      <c r="T186" s="100"/>
      <c r="U186" s="99"/>
      <c r="V186" s="99"/>
      <c r="W186" s="99" t="s">
        <v>122</v>
      </c>
      <c r="X186" s="93">
        <f>_xlfn.XLOOKUP(base_de_datos[[#This Row],[Materia]],Materias,Horas)/16</f>
        <v>4</v>
      </c>
      <c r="Y186" s="93">
        <f>ROUND(((base_de_datos[[#This Row],[Hora fin]]-base_de_datos[[#This Row],[Hora inicio]])*24)*(COUNTA(base_de_datos[[#This Row],[Lunes]:[Sábado]])),1)</f>
        <v>4</v>
      </c>
      <c r="Z186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86" s="93">
        <f ca="1">IF(base_de_datos[[#This Row],[No clase]]=OFFSET(base_de_datos[[#This Row],[No clase]],-1,0),0,1)</f>
        <v>1</v>
      </c>
      <c r="AB186" s="93">
        <f ca="1">IF(NOT(OR(base_de_datos[[#This Row],[Horas totales]]=base_de_datos[[#This Row],[HT Plan]],base_de_datos[[#This Row],[Horas totales]]="N/A")),1,0)</f>
        <v>0</v>
      </c>
      <c r="AC186" s="93" t="e">
        <f>_xlfn.XLOOKUP(base_de_datos[[#This Row],[Profesor]],Nombre,Grado)</f>
        <v>#REF!</v>
      </c>
      <c r="AD186" s="94" t="e">
        <f>_xlfn.XLOOKUP(base_de_datos[[#This Row],[Profesor]],Nombre,Tipo)</f>
        <v>#REF!</v>
      </c>
      <c r="AE186" s="93" t="str">
        <f>IF(IFERROR(VLOOKUP($C186,Planes_de_estudio[],MATCH($AE$2,Carreras,0)+2,0),"")&gt;0,IFERROR(VLOOKUP($C186,Planes_de_estudio[],MATCH($AE$2,Carreras,0)+2,0),""),"")</f>
        <v/>
      </c>
      <c r="AF186" s="93" t="str">
        <f>IF(IFERROR(VLOOKUP($C186,Planes_de_estudio[],MATCH($AF$2,Carreras,0)+2,0),"")&gt;0,IFERROR(VLOOKUP($C186,Planes_de_estudio[],MATCH($AF$2,Carreras,0)+2,0),""),"")</f>
        <v/>
      </c>
      <c r="AG186" s="93">
        <f>IF(IFERROR(VLOOKUP($C186,Planes_de_estudio[],MATCH($AG$2,Carreras,0)+2,0),"")&gt;0,IFERROR(VLOOKUP($C186,Planes_de_estudio[],MATCH($AG$2,Carreras,0)+2,0),""),"")</f>
        <v>3</v>
      </c>
      <c r="AH186" s="93" t="str">
        <f>IF(IFERROR(VLOOKUP($C186,Planes_de_estudio[],MATCH($AH$2,Carreras,0)+2,0),"")&gt;0,IFERROR(VLOOKUP($C186,Planes_de_estudio[],MATCH($AH$2,Carreras,0)+2,0),""),"")</f>
        <v/>
      </c>
      <c r="AI186" s="93" t="str">
        <f>IF(IFERROR(VLOOKUP($C186,Planes_de_estudio[],MATCH($AI$2,Carreras,0)+2,0),"")&gt;0,IFERROR(VLOOKUP($C186,Planes_de_estudio[],MATCH($AI$2,Carreras,0)+2,0),""),"")</f>
        <v/>
      </c>
      <c r="AJ186" s="93" t="str">
        <f>IF(IFERROR(VLOOKUP($C186,Planes_de_estudio[],MATCH($AJ$2,Carreras,0)+2,0),"")&gt;0,IFERROR(VLOOKUP($C186,Planes_de_estudio[],MATCH($AJ$2,Carreras,0)+2,0),""),"")</f>
        <v/>
      </c>
      <c r="AK186" s="93" t="str">
        <f>IF(IFERROR(VLOOKUP($C186,Planes_de_estudio[],MATCH($AK$2,Carreras,0)+2,0),"")&gt;0,IFERROR(VLOOKUP($C186,Planes_de_estudio[],MATCH($AK$2,Carreras,0)+2,0),""),"")</f>
        <v/>
      </c>
      <c r="AL18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8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186" s="93">
        <f>base_de_datos[[#This Row],[Pronóstico]]/25</f>
        <v>0.56000000000000005</v>
      </c>
      <c r="AO186" s="93" t="str">
        <f>VLOOKUP($C186,Planes_de_estudio[],2)</f>
        <v>IID</v>
      </c>
      <c r="AP186" s="196"/>
      <c r="AQ186" s="196"/>
      <c r="AR186" s="195">
        <v>6</v>
      </c>
      <c r="AS186" s="196"/>
      <c r="AT186" s="196"/>
      <c r="AU186" s="196"/>
      <c r="AV186" s="196"/>
      <c r="AW186" s="91"/>
      <c r="AX186" s="73"/>
    </row>
    <row r="187" spans="2:50" ht="16">
      <c r="B187" s="95" t="s">
        <v>327</v>
      </c>
      <c r="C187" s="96" t="s">
        <v>382</v>
      </c>
      <c r="D187" s="92">
        <v>1</v>
      </c>
      <c r="E187" s="97">
        <v>0.79166666666666696</v>
      </c>
      <c r="F187" s="97">
        <v>0.89583333333332305</v>
      </c>
      <c r="G187" s="92"/>
      <c r="H187" s="92" t="s">
        <v>110</v>
      </c>
      <c r="I187" s="92" t="e">
        <f>INDEX(Aulas_capacidad,MATCH(base_de_datos[[#This Row],[Aula]],Aulas,0),2)</f>
        <v>#REF!</v>
      </c>
      <c r="J187" s="90">
        <v>25</v>
      </c>
      <c r="K187" s="92" t="e">
        <f>INDEX(Aulas_capacidad,MATCH(base_de_datos[[#This Row],[Aula]],Aulas,0),4)</f>
        <v>#REF!</v>
      </c>
      <c r="L187" s="98" t="e">
        <f>base_de_datos[[#This Row],[Cap 1.5]]-base_de_datos[[#This Row],[Inscritos]]</f>
        <v>#REF!</v>
      </c>
      <c r="M187" s="98" t="e">
        <f>INDEX(Aulas_capacidad,MATCH(base_de_datos[[#This Row],[Aula]],Aulas,0),5)</f>
        <v>#REF!</v>
      </c>
      <c r="N187" s="98" t="e">
        <f>base_de_datos[[#This Row],[Cap .90]]-base_de_datos[[#This Row],[Inscritos]]</f>
        <v>#REF!</v>
      </c>
      <c r="O187" s="92" t="s">
        <v>383</v>
      </c>
      <c r="P187" s="99"/>
      <c r="Q187" s="100"/>
      <c r="R187" s="99"/>
      <c r="S187" s="100" t="s">
        <v>68</v>
      </c>
      <c r="T187" s="100"/>
      <c r="U187" s="99"/>
      <c r="V187" s="99"/>
      <c r="W187" s="99" t="s">
        <v>92</v>
      </c>
      <c r="X187" s="93">
        <f>_xlfn.XLOOKUP(base_de_datos[[#This Row],[Materia]],Materias,Horas)/16</f>
        <v>5</v>
      </c>
      <c r="Y187" s="93">
        <f>ROUND(((base_de_datos[[#This Row],[Hora fin]]-base_de_datos[[#This Row],[Hora inicio]])*24)*(COUNTA(base_de_datos[[#This Row],[Lunes]:[Sábado]])),1)</f>
        <v>2.5</v>
      </c>
      <c r="Z187" s="93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87" s="93">
        <f ca="1">IF(base_de_datos[[#This Row],[No clase]]=OFFSET(base_de_datos[[#This Row],[No clase]],-1,0),0,1)</f>
        <v>1</v>
      </c>
      <c r="AB187" s="93">
        <f ca="1">IF(NOT(OR(base_de_datos[[#This Row],[Horas totales]]=base_de_datos[[#This Row],[HT Plan]],base_de_datos[[#This Row],[Horas totales]]="N/A")),1,0)</f>
        <v>0</v>
      </c>
      <c r="AC187" s="93" t="e">
        <f>_xlfn.XLOOKUP(base_de_datos[[#This Row],[Profesor]],Nombre,Grado)</f>
        <v>#REF!</v>
      </c>
      <c r="AD187" s="94" t="e">
        <f>_xlfn.XLOOKUP(base_de_datos[[#This Row],[Profesor]],Nombre,Tipo)</f>
        <v>#REF!</v>
      </c>
      <c r="AE187" s="93" t="str">
        <f>IF(IFERROR(VLOOKUP($C187,Planes_de_estudio[],MATCH($AE$2,Carreras,0)+2,0),"")&gt;0,IFERROR(VLOOKUP($C187,Planes_de_estudio[],MATCH($AE$2,Carreras,0)+2,0),""),"")</f>
        <v/>
      </c>
      <c r="AF187" s="93" t="str">
        <f>IF(IFERROR(VLOOKUP($C187,Planes_de_estudio[],MATCH($AF$2,Carreras,0)+2,0),"")&gt;0,IFERROR(VLOOKUP($C187,Planes_de_estudio[],MATCH($AF$2,Carreras,0)+2,0),""),"")</f>
        <v/>
      </c>
      <c r="AG187" s="93">
        <f>IF(IFERROR(VLOOKUP($C187,Planes_de_estudio[],MATCH($AG$2,Carreras,0)+2,0),"")&gt;0,IFERROR(VLOOKUP($C187,Planes_de_estudio[],MATCH($AG$2,Carreras,0)+2,0),""),"")</f>
        <v>5</v>
      </c>
      <c r="AH187" s="93" t="str">
        <f>IF(IFERROR(VLOOKUP($C187,Planes_de_estudio[],MATCH($AH$2,Carreras,0)+2,0),"")&gt;0,IFERROR(VLOOKUP($C187,Planes_de_estudio[],MATCH($AH$2,Carreras,0)+2,0),""),"")</f>
        <v/>
      </c>
      <c r="AI187" s="93" t="str">
        <f>IF(IFERROR(VLOOKUP($C187,Planes_de_estudio[],MATCH($AI$2,Carreras,0)+2,0),"")&gt;0,IFERROR(VLOOKUP($C187,Planes_de_estudio[],MATCH($AI$2,Carreras,0)+2,0),""),"")</f>
        <v/>
      </c>
      <c r="AJ187" s="93" t="str">
        <f>IF(IFERROR(VLOOKUP($C187,Planes_de_estudio[],MATCH($AJ$2,Carreras,0)+2,0),"")&gt;0,IFERROR(VLOOKUP($C187,Planes_de_estudio[],MATCH($AJ$2,Carreras,0)+2,0),""),"")</f>
        <v/>
      </c>
      <c r="AK187" s="93" t="str">
        <f>IF(IFERROR(VLOOKUP($C187,Planes_de_estudio[],MATCH($AK$2,Carreras,0)+2,0),"")&gt;0,IFERROR(VLOOKUP($C187,Planes_de_estudio[],MATCH($AK$2,Carreras,0)+2,0),""),"")</f>
        <v/>
      </c>
      <c r="AL18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8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30</v>
      </c>
      <c r="AN187" s="93">
        <f>base_de_datos[[#This Row],[Pronóstico]]/25</f>
        <v>1.2</v>
      </c>
      <c r="AO187" s="93" t="str">
        <f>VLOOKUP($C187,Planes_de_estudio[],2)</f>
        <v>IID</v>
      </c>
      <c r="AP187" s="196"/>
      <c r="AQ187" s="196"/>
      <c r="AR187" s="195">
        <v>6</v>
      </c>
      <c r="AS187" s="196"/>
      <c r="AT187" s="196"/>
      <c r="AU187" s="196"/>
      <c r="AV187" s="196"/>
      <c r="AW187" s="91"/>
      <c r="AX187" s="73"/>
    </row>
    <row r="188" spans="2:50" ht="16">
      <c r="B188" s="95" t="s">
        <v>380</v>
      </c>
      <c r="C188" s="96" t="s">
        <v>382</v>
      </c>
      <c r="D188" s="92">
        <v>2</v>
      </c>
      <c r="E188" s="97">
        <v>0.79166666666666696</v>
      </c>
      <c r="F188" s="97">
        <v>0.89583333333332305</v>
      </c>
      <c r="G188" s="92"/>
      <c r="H188" s="92" t="s">
        <v>370</v>
      </c>
      <c r="I188" s="92" t="e">
        <f>INDEX(Aulas_capacidad,MATCH(base_de_datos[[#This Row],[Aula]],Aulas,0),2)</f>
        <v>#REF!</v>
      </c>
      <c r="J188" s="90">
        <v>25</v>
      </c>
      <c r="K188" s="92" t="e">
        <f>INDEX(Aulas_capacidad,MATCH(base_de_datos[[#This Row],[Aula]],Aulas,0),4)</f>
        <v>#REF!</v>
      </c>
      <c r="L188" s="98" t="e">
        <f>base_de_datos[[#This Row],[Cap 1.5]]-base_de_datos[[#This Row],[Inscritos]]</f>
        <v>#REF!</v>
      </c>
      <c r="M188" s="98" t="e">
        <f>INDEX(Aulas_capacidad,MATCH(base_de_datos[[#This Row],[Aula]],Aulas,0),5)</f>
        <v>#REF!</v>
      </c>
      <c r="N188" s="98" t="e">
        <f>base_de_datos[[#This Row],[Cap .90]]-base_de_datos[[#This Row],[Inscritos]]</f>
        <v>#REF!</v>
      </c>
      <c r="O188" s="92" t="s">
        <v>383</v>
      </c>
      <c r="P188" s="99"/>
      <c r="Q188" s="100" t="s">
        <v>68</v>
      </c>
      <c r="R188" s="99"/>
      <c r="S188" s="100"/>
      <c r="T188" s="100"/>
      <c r="U188" s="99"/>
      <c r="V188" s="99"/>
      <c r="W188" s="99" t="s">
        <v>122</v>
      </c>
      <c r="X188" s="93">
        <f>_xlfn.XLOOKUP(base_de_datos[[#This Row],[Materia]],Materias,Horas)/16</f>
        <v>5</v>
      </c>
      <c r="Y188" s="93">
        <f>ROUND(((base_de_datos[[#This Row],[Hora fin]]-base_de_datos[[#This Row],[Hora inicio]])*24)*(COUNTA(base_de_datos[[#This Row],[Lunes]:[Sábado]])),1)</f>
        <v>2.5</v>
      </c>
      <c r="Z188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88" s="93">
        <f ca="1">IF(base_de_datos[[#This Row],[No clase]]=OFFSET(base_de_datos[[#This Row],[No clase]],-1,0),0,1)</f>
        <v>0</v>
      </c>
      <c r="AB188" s="93">
        <f ca="1">IF(NOT(OR(base_de_datos[[#This Row],[Horas totales]]=base_de_datos[[#This Row],[HT Plan]],base_de_datos[[#This Row],[Horas totales]]="N/A")),1,0)</f>
        <v>0</v>
      </c>
      <c r="AC188" s="93" t="e">
        <f>_xlfn.XLOOKUP(base_de_datos[[#This Row],[Profesor]],Nombre,Grado)</f>
        <v>#REF!</v>
      </c>
      <c r="AD188" s="94" t="e">
        <f>_xlfn.XLOOKUP(base_de_datos[[#This Row],[Profesor]],Nombre,Tipo)</f>
        <v>#REF!</v>
      </c>
      <c r="AE188" s="93" t="str">
        <f>IF(IFERROR(VLOOKUP($C188,Planes_de_estudio[],MATCH($AE$2,Carreras,0)+2,0),"")&gt;0,IFERROR(VLOOKUP($C188,Planes_de_estudio[],MATCH($AE$2,Carreras,0)+2,0),""),"")</f>
        <v/>
      </c>
      <c r="AF188" s="93" t="str">
        <f>IF(IFERROR(VLOOKUP($C188,Planes_de_estudio[],MATCH($AF$2,Carreras,0)+2,0),"")&gt;0,IFERROR(VLOOKUP($C188,Planes_de_estudio[],MATCH($AF$2,Carreras,0)+2,0),""),"")</f>
        <v/>
      </c>
      <c r="AG188" s="93">
        <f>IF(IFERROR(VLOOKUP($C188,Planes_de_estudio[],MATCH($AG$2,Carreras,0)+2,0),"")&gt;0,IFERROR(VLOOKUP($C188,Planes_de_estudio[],MATCH($AG$2,Carreras,0)+2,0),""),"")</f>
        <v>5</v>
      </c>
      <c r="AH188" s="93" t="str">
        <f>IF(IFERROR(VLOOKUP($C188,Planes_de_estudio[],MATCH($AH$2,Carreras,0)+2,0),"")&gt;0,IFERROR(VLOOKUP($C188,Planes_de_estudio[],MATCH($AH$2,Carreras,0)+2,0),""),"")</f>
        <v/>
      </c>
      <c r="AI188" s="93" t="str">
        <f>IF(IFERROR(VLOOKUP($C188,Planes_de_estudio[],MATCH($AI$2,Carreras,0)+2,0),"")&gt;0,IFERROR(VLOOKUP($C188,Planes_de_estudio[],MATCH($AI$2,Carreras,0)+2,0),""),"")</f>
        <v/>
      </c>
      <c r="AJ188" s="93" t="str">
        <f>IF(IFERROR(VLOOKUP($C188,Planes_de_estudio[],MATCH($AJ$2,Carreras,0)+2,0),"")&gt;0,IFERROR(VLOOKUP($C188,Planes_de_estudio[],MATCH($AJ$2,Carreras,0)+2,0),""),"")</f>
        <v/>
      </c>
      <c r="AK188" s="93" t="str">
        <f>IF(IFERROR(VLOOKUP($C188,Planes_de_estudio[],MATCH($AK$2,Carreras,0)+2,0),"")&gt;0,IFERROR(VLOOKUP($C188,Planes_de_estudio[],MATCH($AK$2,Carreras,0)+2,0),""),"")</f>
        <v/>
      </c>
      <c r="AL18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8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30</v>
      </c>
      <c r="AN188" s="93">
        <f>base_de_datos[[#This Row],[Pronóstico]]/25</f>
        <v>1.2</v>
      </c>
      <c r="AO188" s="93" t="str">
        <f>VLOOKUP($C188,Planes_de_estudio[],2)</f>
        <v>IID</v>
      </c>
      <c r="AP188" s="196"/>
      <c r="AQ188" s="196"/>
      <c r="AR188" s="196"/>
      <c r="AS188" s="196"/>
      <c r="AT188" s="196"/>
      <c r="AU188" s="196"/>
      <c r="AV188" s="196"/>
      <c r="AW188" s="91"/>
      <c r="AX188" s="73"/>
    </row>
    <row r="189" spans="2:50" ht="16">
      <c r="B189" s="95" t="s">
        <v>384</v>
      </c>
      <c r="C189" s="96" t="s">
        <v>385</v>
      </c>
      <c r="D189" s="92">
        <v>1</v>
      </c>
      <c r="E189" s="97">
        <v>0.8125</v>
      </c>
      <c r="F189" s="97">
        <v>0.89583333333332305</v>
      </c>
      <c r="G189" s="92"/>
      <c r="H189" s="92" t="s">
        <v>110</v>
      </c>
      <c r="I189" s="92" t="e">
        <f>INDEX(Aulas_capacidad,MATCH(base_de_datos[[#This Row],[Aula]],Aulas,0),2)</f>
        <v>#REF!</v>
      </c>
      <c r="J189" s="90">
        <v>24</v>
      </c>
      <c r="K189" s="92" t="e">
        <f>INDEX(Aulas_capacidad,MATCH(base_de_datos[[#This Row],[Aula]],Aulas,0),4)</f>
        <v>#REF!</v>
      </c>
      <c r="L189" s="98" t="e">
        <f>base_de_datos[[#This Row],[Cap 1.5]]-base_de_datos[[#This Row],[Inscritos]]</f>
        <v>#REF!</v>
      </c>
      <c r="M189" s="98" t="e">
        <f>INDEX(Aulas_capacidad,MATCH(base_de_datos[[#This Row],[Aula]],Aulas,0),5)</f>
        <v>#REF!</v>
      </c>
      <c r="N189" s="98" t="e">
        <f>base_de_datos[[#This Row],[Cap .90]]-base_de_datos[[#This Row],[Inscritos]]</f>
        <v>#REF!</v>
      </c>
      <c r="O189" s="92">
        <v>1860</v>
      </c>
      <c r="P189" s="99" t="s">
        <v>68</v>
      </c>
      <c r="Q189" s="100"/>
      <c r="R189" s="99"/>
      <c r="S189" s="100"/>
      <c r="T189" s="100"/>
      <c r="U189" s="99"/>
      <c r="V189" s="99"/>
      <c r="W189" s="99" t="s">
        <v>101</v>
      </c>
      <c r="X189" s="93">
        <f>_xlfn.XLOOKUP(base_de_datos[[#This Row],[Materia]],Materias,Horas)/16</f>
        <v>4</v>
      </c>
      <c r="Y189" s="93">
        <f>ROUND(((base_de_datos[[#This Row],[Hora fin]]-base_de_datos[[#This Row],[Hora inicio]])*24)*(COUNTA(base_de_datos[[#This Row],[Lunes]:[Sábado]])),1)</f>
        <v>2</v>
      </c>
      <c r="Z189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89" s="93">
        <f ca="1">IF(base_de_datos[[#This Row],[No clase]]=OFFSET(base_de_datos[[#This Row],[No clase]],-1,0),0,1)</f>
        <v>1</v>
      </c>
      <c r="AB189" s="93">
        <f ca="1">IF(NOT(OR(base_de_datos[[#This Row],[Horas totales]]=base_de_datos[[#This Row],[HT Plan]],base_de_datos[[#This Row],[Horas totales]]="N/A")),1,0)</f>
        <v>0</v>
      </c>
      <c r="AC189" s="93" t="e">
        <f>_xlfn.XLOOKUP(base_de_datos[[#This Row],[Profesor]],Nombre,Grado)</f>
        <v>#REF!</v>
      </c>
      <c r="AD189" s="94" t="e">
        <f>_xlfn.XLOOKUP(base_de_datos[[#This Row],[Profesor]],Nombre,Tipo)</f>
        <v>#REF!</v>
      </c>
      <c r="AE189" s="93" t="str">
        <f>IF(IFERROR(VLOOKUP($C189,Planes_de_estudio[],MATCH($AE$2,Carreras,0)+2,0),"")&gt;0,IFERROR(VLOOKUP($C189,Planes_de_estudio[],MATCH($AE$2,Carreras,0)+2,0),""),"")</f>
        <v/>
      </c>
      <c r="AF189" s="93" t="str">
        <f>IF(IFERROR(VLOOKUP($C189,Planes_de_estudio[],MATCH($AF$2,Carreras,0)+2,0),"")&gt;0,IFERROR(VLOOKUP($C189,Planes_de_estudio[],MATCH($AF$2,Carreras,0)+2,0),""),"")</f>
        <v/>
      </c>
      <c r="AG189" s="93">
        <f>IF(IFERROR(VLOOKUP($C189,Planes_de_estudio[],MATCH($AG$2,Carreras,0)+2,0),"")&gt;0,IFERROR(VLOOKUP($C189,Planes_de_estudio[],MATCH($AG$2,Carreras,0)+2,0),""),"")</f>
        <v>5</v>
      </c>
      <c r="AH189" s="93" t="str">
        <f>IF(IFERROR(VLOOKUP($C189,Planes_de_estudio[],MATCH($AH$2,Carreras,0)+2,0),"")&gt;0,IFERROR(VLOOKUP($C189,Planes_de_estudio[],MATCH($AH$2,Carreras,0)+2,0),""),"")</f>
        <v/>
      </c>
      <c r="AI189" s="93" t="str">
        <f>IF(IFERROR(VLOOKUP($C189,Planes_de_estudio[],MATCH($AI$2,Carreras,0)+2,0),"")&gt;0,IFERROR(VLOOKUP($C189,Planes_de_estudio[],MATCH($AI$2,Carreras,0)+2,0),""),"")</f>
        <v/>
      </c>
      <c r="AJ189" s="93" t="str">
        <f>IF(IFERROR(VLOOKUP($C189,Planes_de_estudio[],MATCH($AJ$2,Carreras,0)+2,0),"")&gt;0,IFERROR(VLOOKUP($C189,Planes_de_estudio[],MATCH($AJ$2,Carreras,0)+2,0),""),"")</f>
        <v/>
      </c>
      <c r="AK189" s="93" t="str">
        <f>IF(IFERROR(VLOOKUP($C189,Planes_de_estudio[],MATCH($AK$2,Carreras,0)+2,0),"")&gt;0,IFERROR(VLOOKUP($C189,Planes_de_estudio[],MATCH($AK$2,Carreras,0)+2,0),""),"")</f>
        <v/>
      </c>
      <c r="AL18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8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30</v>
      </c>
      <c r="AN189" s="93">
        <f>base_de_datos[[#This Row],[Pronóstico]]/25</f>
        <v>1.2</v>
      </c>
      <c r="AO189" s="93" t="str">
        <f>VLOOKUP($C189,Planes_de_estudio[],2)</f>
        <v>IID</v>
      </c>
      <c r="AP189" s="196"/>
      <c r="AQ189" s="196"/>
      <c r="AR189" s="195">
        <v>6</v>
      </c>
      <c r="AS189" s="196"/>
      <c r="AT189" s="196"/>
      <c r="AU189" s="196"/>
      <c r="AV189" s="196"/>
      <c r="AW189" s="91"/>
      <c r="AX189" s="73"/>
    </row>
    <row r="190" spans="2:50" ht="16">
      <c r="B190" s="95" t="s">
        <v>384</v>
      </c>
      <c r="C190" s="96" t="s">
        <v>385</v>
      </c>
      <c r="D190" s="92">
        <v>1</v>
      </c>
      <c r="E190" s="97">
        <v>0.66666666666666696</v>
      </c>
      <c r="F190" s="97">
        <v>0.74999999999999301</v>
      </c>
      <c r="G190" s="92"/>
      <c r="H190" s="175" t="s">
        <v>373</v>
      </c>
      <c r="I190" s="92" t="e">
        <f>INDEX(Aulas_capacidad,MATCH(base_de_datos[[#This Row],[Aula]],Aulas,0),2)</f>
        <v>#REF!</v>
      </c>
      <c r="J190" s="90">
        <v>24</v>
      </c>
      <c r="K190" s="92" t="e">
        <f>INDEX(Aulas_capacidad,MATCH(base_de_datos[[#This Row],[Aula]],Aulas,0),4)</f>
        <v>#REF!</v>
      </c>
      <c r="L190" s="98" t="e">
        <f>base_de_datos[[#This Row],[Cap 1.5]]-base_de_datos[[#This Row],[Inscritos]]</f>
        <v>#REF!</v>
      </c>
      <c r="M190" s="98" t="e">
        <f>INDEX(Aulas_capacidad,MATCH(base_de_datos[[#This Row],[Aula]],Aulas,0),5)</f>
        <v>#REF!</v>
      </c>
      <c r="N190" s="98" t="e">
        <f>base_de_datos[[#This Row],[Cap .90]]-base_de_datos[[#This Row],[Inscritos]]</f>
        <v>#REF!</v>
      </c>
      <c r="O190" s="92">
        <v>1860</v>
      </c>
      <c r="P190" s="99"/>
      <c r="Q190" s="100"/>
      <c r="R190" s="99"/>
      <c r="S190" s="100"/>
      <c r="T190" s="100" t="s">
        <v>68</v>
      </c>
      <c r="U190" s="99"/>
      <c r="V190" s="99"/>
      <c r="W190" s="99" t="s">
        <v>101</v>
      </c>
      <c r="X190" s="93">
        <f>_xlfn.XLOOKUP(base_de_datos[[#This Row],[Materia]],Materias,Horas)/16</f>
        <v>4</v>
      </c>
      <c r="Y190" s="93">
        <f>ROUND(((base_de_datos[[#This Row],[Hora fin]]-base_de_datos[[#This Row],[Hora inicio]])*24)*(COUNTA(base_de_datos[[#This Row],[Lunes]:[Sábado]])),1)</f>
        <v>2</v>
      </c>
      <c r="Z190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90" s="93">
        <f ca="1">IF(base_de_datos[[#This Row],[No clase]]=OFFSET(base_de_datos[[#This Row],[No clase]],-1,0),0,1)</f>
        <v>0</v>
      </c>
      <c r="AB190" s="93">
        <f ca="1">IF(NOT(OR(base_de_datos[[#This Row],[Horas totales]]=base_de_datos[[#This Row],[HT Plan]],base_de_datos[[#This Row],[Horas totales]]="N/A")),1,0)</f>
        <v>0</v>
      </c>
      <c r="AC190" s="93" t="e">
        <f>_xlfn.XLOOKUP(base_de_datos[[#This Row],[Profesor]],Nombre,Grado)</f>
        <v>#REF!</v>
      </c>
      <c r="AD190" s="94" t="e">
        <f>_xlfn.XLOOKUP(base_de_datos[[#This Row],[Profesor]],Nombre,Tipo)</f>
        <v>#REF!</v>
      </c>
      <c r="AE190" s="93" t="str">
        <f>IF(IFERROR(VLOOKUP($C190,Planes_de_estudio[],MATCH($AE$2,Carreras,0)+2,0),"")&gt;0,IFERROR(VLOOKUP($C190,Planes_de_estudio[],MATCH($AE$2,Carreras,0)+2,0),""),"")</f>
        <v/>
      </c>
      <c r="AF190" s="93" t="str">
        <f>IF(IFERROR(VLOOKUP($C190,Planes_de_estudio[],MATCH($AF$2,Carreras,0)+2,0),"")&gt;0,IFERROR(VLOOKUP($C190,Planes_de_estudio[],MATCH($AF$2,Carreras,0)+2,0),""),"")</f>
        <v/>
      </c>
      <c r="AG190" s="93">
        <f>IF(IFERROR(VLOOKUP($C190,Planes_de_estudio[],MATCH($AG$2,Carreras,0)+2,0),"")&gt;0,IFERROR(VLOOKUP($C190,Planes_de_estudio[],MATCH($AG$2,Carreras,0)+2,0),""),"")</f>
        <v>5</v>
      </c>
      <c r="AH190" s="93" t="str">
        <f>IF(IFERROR(VLOOKUP($C190,Planes_de_estudio[],MATCH($AH$2,Carreras,0)+2,0),"")&gt;0,IFERROR(VLOOKUP($C190,Planes_de_estudio[],MATCH($AH$2,Carreras,0)+2,0),""),"")</f>
        <v/>
      </c>
      <c r="AI190" s="93" t="str">
        <f>IF(IFERROR(VLOOKUP($C190,Planes_de_estudio[],MATCH($AI$2,Carreras,0)+2,0),"")&gt;0,IFERROR(VLOOKUP($C190,Planes_de_estudio[],MATCH($AI$2,Carreras,0)+2,0),""),"")</f>
        <v/>
      </c>
      <c r="AJ190" s="93" t="str">
        <f>IF(IFERROR(VLOOKUP($C190,Planes_de_estudio[],MATCH($AJ$2,Carreras,0)+2,0),"")&gt;0,IFERROR(VLOOKUP($C190,Planes_de_estudio[],MATCH($AJ$2,Carreras,0)+2,0),""),"")</f>
        <v/>
      </c>
      <c r="AK190" s="93" t="str">
        <f>IF(IFERROR(VLOOKUP($C190,Planes_de_estudio[],MATCH($AK$2,Carreras,0)+2,0),"")&gt;0,IFERROR(VLOOKUP($C190,Planes_de_estudio[],MATCH($AK$2,Carreras,0)+2,0),""),"")</f>
        <v/>
      </c>
      <c r="AL19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9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30</v>
      </c>
      <c r="AN190" s="93">
        <f>base_de_datos[[#This Row],[Pronóstico]]/25</f>
        <v>1.2</v>
      </c>
      <c r="AO190" s="93" t="str">
        <f>VLOOKUP($C190,Planes_de_estudio[],2)</f>
        <v>IID</v>
      </c>
      <c r="AP190" s="196"/>
      <c r="AQ190" s="196"/>
      <c r="AR190" s="196"/>
      <c r="AS190" s="196"/>
      <c r="AT190" s="196"/>
      <c r="AU190" s="196"/>
      <c r="AV190" s="196"/>
      <c r="AW190" s="91"/>
      <c r="AX190" s="73"/>
    </row>
    <row r="191" spans="2:50" ht="16">
      <c r="B191" s="95" t="s">
        <v>386</v>
      </c>
      <c r="C191" s="96" t="s">
        <v>387</v>
      </c>
      <c r="D191" s="92">
        <v>1</v>
      </c>
      <c r="E191" s="97">
        <v>0.85416666666666696</v>
      </c>
      <c r="F191" s="97">
        <v>0.91666666666665697</v>
      </c>
      <c r="G191" s="92"/>
      <c r="H191" s="92" t="s">
        <v>133</v>
      </c>
      <c r="I191" s="92" t="e">
        <f>INDEX(Aulas_capacidad,MATCH(base_de_datos[[#This Row],[Aula]],Aulas,0),2)</f>
        <v>#REF!</v>
      </c>
      <c r="J191" s="90">
        <v>19</v>
      </c>
      <c r="K191" s="92" t="e">
        <f>INDEX(Aulas_capacidad,MATCH(base_de_datos[[#This Row],[Aula]],Aulas,0),4)</f>
        <v>#REF!</v>
      </c>
      <c r="L191" s="98" t="e">
        <f>base_de_datos[[#This Row],[Cap 1.5]]-base_de_datos[[#This Row],[Inscritos]]</f>
        <v>#REF!</v>
      </c>
      <c r="M191" s="98" t="e">
        <f>INDEX(Aulas_capacidad,MATCH(base_de_datos[[#This Row],[Aula]],Aulas,0),5)</f>
        <v>#REF!</v>
      </c>
      <c r="N191" s="98" t="e">
        <f>base_de_datos[[#This Row],[Cap .90]]-base_de_datos[[#This Row],[Inscritos]]</f>
        <v>#REF!</v>
      </c>
      <c r="O191" s="92">
        <v>1862</v>
      </c>
      <c r="P191" s="99"/>
      <c r="Q191" s="100"/>
      <c r="R191" s="99" t="s">
        <v>68</v>
      </c>
      <c r="S191" s="100"/>
      <c r="T191" s="100"/>
      <c r="U191" s="99"/>
      <c r="V191" s="99" t="s">
        <v>68</v>
      </c>
      <c r="W191" s="99" t="s">
        <v>148</v>
      </c>
      <c r="X191" s="93">
        <f>_xlfn.XLOOKUP(base_de_datos[[#This Row],[Materia]],Materias,Horas)/16</f>
        <v>3</v>
      </c>
      <c r="Y191" s="93">
        <f>ROUND(((base_de_datos[[#This Row],[Hora fin]]-base_de_datos[[#This Row],[Hora inicio]])*24)*(COUNTA(base_de_datos[[#This Row],[Lunes]:[Sábado]])),1)</f>
        <v>1.5</v>
      </c>
      <c r="Z191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1" s="93">
        <f ca="1">IF(base_de_datos[[#This Row],[No clase]]=OFFSET(base_de_datos[[#This Row],[No clase]],-1,0),0,1)</f>
        <v>1</v>
      </c>
      <c r="AB191" s="93">
        <f ca="1">IF(NOT(OR(base_de_datos[[#This Row],[Horas totales]]=base_de_datos[[#This Row],[HT Plan]],base_de_datos[[#This Row],[Horas totales]]="N/A")),1,0)</f>
        <v>0</v>
      </c>
      <c r="AC191" s="93" t="e">
        <f>_xlfn.XLOOKUP(base_de_datos[[#This Row],[Profesor]],Nombre,Grado)</f>
        <v>#REF!</v>
      </c>
      <c r="AD191" s="94" t="e">
        <f>_xlfn.XLOOKUP(base_de_datos[[#This Row],[Profesor]],Nombre,Tipo)</f>
        <v>#REF!</v>
      </c>
      <c r="AE191" s="93" t="str">
        <f>IF(IFERROR(VLOOKUP($C191,Planes_de_estudio[],MATCH($AE$2,Carreras,0)+2,0),"")&gt;0,IFERROR(VLOOKUP($C191,Planes_de_estudio[],MATCH($AE$2,Carreras,0)+2,0),""),"")</f>
        <v/>
      </c>
      <c r="AF191" s="93" t="str">
        <f>IF(IFERROR(VLOOKUP($C191,Planes_de_estudio[],MATCH($AF$2,Carreras,0)+2,0),"")&gt;0,IFERROR(VLOOKUP($C191,Planes_de_estudio[],MATCH($AF$2,Carreras,0)+2,0),""),"")</f>
        <v/>
      </c>
      <c r="AG191" s="93">
        <f>IF(IFERROR(VLOOKUP($C191,Planes_de_estudio[],MATCH($AG$2,Carreras,0)+2,0),"")&gt;0,IFERROR(VLOOKUP($C191,Planes_de_estudio[],MATCH($AG$2,Carreras,0)+2,0),""),"")</f>
        <v>7</v>
      </c>
      <c r="AH191" s="93" t="str">
        <f>IF(IFERROR(VLOOKUP($C191,Planes_de_estudio[],MATCH($AH$2,Carreras,0)+2,0),"")&gt;0,IFERROR(VLOOKUP($C191,Planes_de_estudio[],MATCH($AH$2,Carreras,0)+2,0),""),"")</f>
        <v/>
      </c>
      <c r="AI191" s="93" t="str">
        <f>IF(IFERROR(VLOOKUP($C191,Planes_de_estudio[],MATCH($AI$2,Carreras,0)+2,0),"")&gt;0,IFERROR(VLOOKUP($C191,Planes_de_estudio[],MATCH($AI$2,Carreras,0)+2,0),""),"")</f>
        <v/>
      </c>
      <c r="AJ191" s="93" t="str">
        <f>IF(IFERROR(VLOOKUP($C191,Planes_de_estudio[],MATCH($AJ$2,Carreras,0)+2,0),"")&gt;0,IFERROR(VLOOKUP($C191,Planes_de_estudio[],MATCH($AJ$2,Carreras,0)+2,0),""),"")</f>
        <v/>
      </c>
      <c r="AK191" s="93" t="str">
        <f>IF(IFERROR(VLOOKUP($C191,Planes_de_estudio[],MATCH($AK$2,Carreras,0)+2,0),"")&gt;0,IFERROR(VLOOKUP($C191,Planes_de_estudio[],MATCH($AK$2,Carreras,0)+2,0),""),"")</f>
        <v/>
      </c>
      <c r="AL19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9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22</v>
      </c>
      <c r="AN191" s="93">
        <f>base_de_datos[[#This Row],[Pronóstico]]/25</f>
        <v>0.88</v>
      </c>
      <c r="AO191" s="93" t="str">
        <f>VLOOKUP($C191,Planes_de_estudio[],2)</f>
        <v>IID</v>
      </c>
      <c r="AP191" s="196"/>
      <c r="AQ191" s="196"/>
      <c r="AR191" s="195">
        <v>6</v>
      </c>
      <c r="AS191" s="196"/>
      <c r="AT191" s="196"/>
      <c r="AU191" s="196"/>
      <c r="AV191" s="196"/>
      <c r="AW191" s="91"/>
      <c r="AX191" s="73"/>
    </row>
    <row r="192" spans="2:50" ht="16">
      <c r="B192" s="95" t="s">
        <v>386</v>
      </c>
      <c r="C192" s="96" t="s">
        <v>387</v>
      </c>
      <c r="D192" s="92">
        <v>1</v>
      </c>
      <c r="E192" s="97">
        <v>0.85416666666666696</v>
      </c>
      <c r="F192" s="97">
        <v>0.91666666666665697</v>
      </c>
      <c r="G192" s="92"/>
      <c r="H192" s="92" t="s">
        <v>205</v>
      </c>
      <c r="I192" s="92" t="e">
        <f>INDEX(Aulas_capacidad,MATCH(base_de_datos[[#This Row],[Aula]],Aulas,0),2)</f>
        <v>#REF!</v>
      </c>
      <c r="J192" s="90">
        <v>19</v>
      </c>
      <c r="K192" s="92" t="e">
        <f>INDEX(Aulas_capacidad,MATCH(base_de_datos[[#This Row],[Aula]],Aulas,0),4)</f>
        <v>#REF!</v>
      </c>
      <c r="L192" s="98" t="e">
        <f>base_de_datos[[#This Row],[Cap 1.5]]-base_de_datos[[#This Row],[Inscritos]]</f>
        <v>#REF!</v>
      </c>
      <c r="M192" s="98" t="e">
        <f>INDEX(Aulas_capacidad,MATCH(base_de_datos[[#This Row],[Aula]],Aulas,0),5)</f>
        <v>#REF!</v>
      </c>
      <c r="N192" s="98" t="e">
        <f>base_de_datos[[#This Row],[Cap .90]]-base_de_datos[[#This Row],[Inscritos]]</f>
        <v>#REF!</v>
      </c>
      <c r="O192" s="92">
        <v>1862</v>
      </c>
      <c r="P192" s="99"/>
      <c r="Q192" s="100"/>
      <c r="R192" s="99"/>
      <c r="S192" s="100" t="s">
        <v>68</v>
      </c>
      <c r="T192" s="100"/>
      <c r="U192" s="99"/>
      <c r="V192" s="99" t="s">
        <v>68</v>
      </c>
      <c r="W192" s="99" t="s">
        <v>148</v>
      </c>
      <c r="X192" s="93">
        <f>_xlfn.XLOOKUP(base_de_datos[[#This Row],[Materia]],Materias,Horas)/16</f>
        <v>3</v>
      </c>
      <c r="Y192" s="93">
        <f>ROUND(((base_de_datos[[#This Row],[Hora fin]]-base_de_datos[[#This Row],[Hora inicio]])*24)*(COUNTA(base_de_datos[[#This Row],[Lunes]:[Sábado]])),1)</f>
        <v>1.5</v>
      </c>
      <c r="Z192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92" s="93">
        <f ca="1">IF(base_de_datos[[#This Row],[No clase]]=OFFSET(base_de_datos[[#This Row],[No clase]],-1,0),0,1)</f>
        <v>0</v>
      </c>
      <c r="AB192" s="93">
        <f ca="1">IF(NOT(OR(base_de_datos[[#This Row],[Horas totales]]=base_de_datos[[#This Row],[HT Plan]],base_de_datos[[#This Row],[Horas totales]]="N/A")),1,0)</f>
        <v>0</v>
      </c>
      <c r="AC192" s="93" t="e">
        <f>_xlfn.XLOOKUP(base_de_datos[[#This Row],[Profesor]],Nombre,Grado)</f>
        <v>#REF!</v>
      </c>
      <c r="AD192" s="94" t="e">
        <f>_xlfn.XLOOKUP(base_de_datos[[#This Row],[Profesor]],Nombre,Tipo)</f>
        <v>#REF!</v>
      </c>
      <c r="AE192" s="93" t="str">
        <f>IF(IFERROR(VLOOKUP($C192,Planes_de_estudio[],MATCH($AE$2,Carreras,0)+2,0),"")&gt;0,IFERROR(VLOOKUP($C192,Planes_de_estudio[],MATCH($AE$2,Carreras,0)+2,0),""),"")</f>
        <v/>
      </c>
      <c r="AF192" s="93" t="str">
        <f>IF(IFERROR(VLOOKUP($C192,Planes_de_estudio[],MATCH($AF$2,Carreras,0)+2,0),"")&gt;0,IFERROR(VLOOKUP($C192,Planes_de_estudio[],MATCH($AF$2,Carreras,0)+2,0),""),"")</f>
        <v/>
      </c>
      <c r="AG192" s="93">
        <f>IF(IFERROR(VLOOKUP($C192,Planes_de_estudio[],MATCH($AG$2,Carreras,0)+2,0),"")&gt;0,IFERROR(VLOOKUP($C192,Planes_de_estudio[],MATCH($AG$2,Carreras,0)+2,0),""),"")</f>
        <v>7</v>
      </c>
      <c r="AH192" s="93" t="str">
        <f>IF(IFERROR(VLOOKUP($C192,Planes_de_estudio[],MATCH($AH$2,Carreras,0)+2,0),"")&gt;0,IFERROR(VLOOKUP($C192,Planes_de_estudio[],MATCH($AH$2,Carreras,0)+2,0),""),"")</f>
        <v/>
      </c>
      <c r="AI192" s="93" t="str">
        <f>IF(IFERROR(VLOOKUP($C192,Planes_de_estudio[],MATCH($AI$2,Carreras,0)+2,0),"")&gt;0,IFERROR(VLOOKUP($C192,Planes_de_estudio[],MATCH($AI$2,Carreras,0)+2,0),""),"")</f>
        <v/>
      </c>
      <c r="AJ192" s="93" t="str">
        <f>IF(IFERROR(VLOOKUP($C192,Planes_de_estudio[],MATCH($AJ$2,Carreras,0)+2,0),"")&gt;0,IFERROR(VLOOKUP($C192,Planes_de_estudio[],MATCH($AJ$2,Carreras,0)+2,0),""),"")</f>
        <v/>
      </c>
      <c r="AK192" s="93" t="str">
        <f>IF(IFERROR(VLOOKUP($C192,Planes_de_estudio[],MATCH($AK$2,Carreras,0)+2,0),"")&gt;0,IFERROR(VLOOKUP($C192,Planes_de_estudio[],MATCH($AK$2,Carreras,0)+2,0),""),"")</f>
        <v/>
      </c>
      <c r="AL19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9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22</v>
      </c>
      <c r="AN192" s="93">
        <f>base_de_datos[[#This Row],[Pronóstico]]/25</f>
        <v>0.88</v>
      </c>
      <c r="AO192" s="93" t="str">
        <f>VLOOKUP($C192,Planes_de_estudio[],2)</f>
        <v>IID</v>
      </c>
      <c r="AP192" s="196"/>
      <c r="AQ192" s="196"/>
      <c r="AR192" s="196"/>
      <c r="AS192" s="196"/>
      <c r="AT192" s="196"/>
      <c r="AU192" s="196"/>
      <c r="AV192" s="196"/>
      <c r="AW192" s="91"/>
      <c r="AX192" s="73"/>
    </row>
    <row r="193" spans="2:50" ht="10.5" customHeight="1">
      <c r="B193" s="95" t="s">
        <v>388</v>
      </c>
      <c r="C193" s="96" t="s">
        <v>221</v>
      </c>
      <c r="D193" s="92">
        <v>3</v>
      </c>
      <c r="E193" s="97">
        <v>0.375</v>
      </c>
      <c r="F193" s="97">
        <v>0.45833333333333098</v>
      </c>
      <c r="G193" s="92"/>
      <c r="H193" s="92" t="s">
        <v>389</v>
      </c>
      <c r="I193" s="92" t="e">
        <f>INDEX(Aulas_capacidad,MATCH(base_de_datos[[#This Row],[Aula]],Aulas,0),2)</f>
        <v>#REF!</v>
      </c>
      <c r="J193" s="90">
        <v>24</v>
      </c>
      <c r="K193" s="92" t="e">
        <f>INDEX(Aulas_capacidad,MATCH(base_de_datos[[#This Row],[Aula]],Aulas,0),4)</f>
        <v>#REF!</v>
      </c>
      <c r="L193" s="98" t="e">
        <f>base_de_datos[[#This Row],[Cap 1.5]]-base_de_datos[[#This Row],[Inscritos]]</f>
        <v>#REF!</v>
      </c>
      <c r="M193" s="98" t="e">
        <f>INDEX(Aulas_capacidad,MATCH(base_de_datos[[#This Row],[Aula]],Aulas,0),5)</f>
        <v>#REF!</v>
      </c>
      <c r="N193" s="98" t="e">
        <f>base_de_datos[[#This Row],[Cap .90]]-base_de_datos[[#This Row],[Inscritos]]</f>
        <v>#REF!</v>
      </c>
      <c r="O193" s="92" t="s">
        <v>390</v>
      </c>
      <c r="P193" s="99"/>
      <c r="Q193" s="100" t="s">
        <v>68</v>
      </c>
      <c r="R193" s="99"/>
      <c r="S193" s="100" t="s">
        <v>68</v>
      </c>
      <c r="T193" s="100"/>
      <c r="U193" s="99"/>
      <c r="V193" s="99"/>
      <c r="W193" s="99" t="s">
        <v>92</v>
      </c>
      <c r="X193" s="93">
        <f>_xlfn.XLOOKUP(base_de_datos[[#This Row],[Materia]],Materias,Horas)/16</f>
        <v>4</v>
      </c>
      <c r="Y193" s="93">
        <f>ROUND(((base_de_datos[[#This Row],[Hora fin]]-base_de_datos[[#This Row],[Hora inicio]])*24)*(COUNTA(base_de_datos[[#This Row],[Lunes]:[Sábado]])),1)</f>
        <v>4</v>
      </c>
      <c r="Z193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93" s="93">
        <f ca="1">IF(base_de_datos[[#This Row],[No clase]]=OFFSET(base_de_datos[[#This Row],[No clase]],-1,0),0,1)</f>
        <v>1</v>
      </c>
      <c r="AB193" s="93">
        <f ca="1">IF(NOT(OR(base_de_datos[[#This Row],[Horas totales]]=base_de_datos[[#This Row],[HT Plan]],base_de_datos[[#This Row],[Horas totales]]="N/A")),1,0)</f>
        <v>0</v>
      </c>
      <c r="AC193" s="93" t="e">
        <f>_xlfn.XLOOKUP(base_de_datos[[#This Row],[Profesor]],Nombre,Grado)</f>
        <v>#REF!</v>
      </c>
      <c r="AD193" s="94" t="e">
        <f>_xlfn.XLOOKUP(base_de_datos[[#This Row],[Profesor]],Nombre,Tipo)</f>
        <v>#REF!</v>
      </c>
      <c r="AE193" s="93">
        <f>IF(IFERROR(VLOOKUP($C193,Planes_de_estudio[],MATCH($AE$2,Carreras,0)+2,0),"")&gt;0,IFERROR(VLOOKUP($C193,Planes_de_estudio[],MATCH($AE$2,Carreras,0)+2,0),""),"")</f>
        <v>1</v>
      </c>
      <c r="AF193" s="93">
        <f>IF(IFERROR(VLOOKUP($C193,Planes_de_estudio[],MATCH($AF$2,Carreras,0)+2,0),"")&gt;0,IFERROR(VLOOKUP($C193,Planes_de_estudio[],MATCH($AF$2,Carreras,0)+2,0),""),"")</f>
        <v>1</v>
      </c>
      <c r="AG193" s="93">
        <f>IF(IFERROR(VLOOKUP($C193,Planes_de_estudio[],MATCH($AG$2,Carreras,0)+2,0),"")&gt;0,IFERROR(VLOOKUP($C193,Planes_de_estudio[],MATCH($AG$2,Carreras,0)+2,0),""),"")</f>
        <v>3</v>
      </c>
      <c r="AH193" s="93">
        <f>IF(IFERROR(VLOOKUP($C193,Planes_de_estudio[],MATCH($AH$2,Carreras,0)+2,0),"")&gt;0,IFERROR(VLOOKUP($C193,Planes_de_estudio[],MATCH($AH$2,Carreras,0)+2,0),""),"")</f>
        <v>1</v>
      </c>
      <c r="AI193" s="93">
        <f>IF(IFERROR(VLOOKUP($C193,Planes_de_estudio[],MATCH($AI$2,Carreras,0)+2,0),"")&gt;0,IFERROR(VLOOKUP($C193,Planes_de_estudio[],MATCH($AI$2,Carreras,0)+2,0),""),"")</f>
        <v>1</v>
      </c>
      <c r="AJ193" s="93">
        <f>IF(IFERROR(VLOOKUP($C193,Planes_de_estudio[],MATCH($AJ$2,Carreras,0)+2,0),"")&gt;0,IFERROR(VLOOKUP($C193,Planes_de_estudio[],MATCH($AJ$2,Carreras,0)+2,0),""),"")</f>
        <v>1</v>
      </c>
      <c r="AK193" s="93">
        <f>IF(IFERROR(VLOOKUP($C193,Planes_de_estudio[],MATCH($AK$2,Carreras,0)+2,0),"")&gt;0,IFERROR(VLOOKUP($C193,Planes_de_estudio[],MATCH($AK$2,Carreras,0)+2,0),""),"")</f>
        <v>1</v>
      </c>
      <c r="AL19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9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121</v>
      </c>
      <c r="AN193" s="93">
        <f>base_de_datos[[#This Row],[Pronóstico]]/25</f>
        <v>4.84</v>
      </c>
      <c r="AO193" s="93" t="str">
        <f>VLOOKUP($C193,Planes_de_estudio[],2)</f>
        <v>MAT</v>
      </c>
      <c r="AP193" s="195">
        <v>6</v>
      </c>
      <c r="AQ193" s="195">
        <v>6</v>
      </c>
      <c r="AR193" s="195">
        <v>6</v>
      </c>
      <c r="AS193" s="195">
        <v>6</v>
      </c>
      <c r="AT193" s="195">
        <v>6</v>
      </c>
      <c r="AU193" s="195">
        <v>6</v>
      </c>
      <c r="AV193" s="195">
        <v>6</v>
      </c>
      <c r="AW193" s="91"/>
      <c r="AX193" s="73"/>
    </row>
    <row r="194" spans="2:50" ht="10.5" customHeight="1">
      <c r="B194" s="95" t="s">
        <v>391</v>
      </c>
      <c r="C194" s="96" t="s">
        <v>132</v>
      </c>
      <c r="D194" s="92">
        <v>2</v>
      </c>
      <c r="E194" s="97">
        <v>0.39583333333333398</v>
      </c>
      <c r="F194" s="97">
        <v>0.45833333333333098</v>
      </c>
      <c r="G194" s="92"/>
      <c r="H194" s="92" t="s">
        <v>205</v>
      </c>
      <c r="I194" s="92" t="e">
        <f>INDEX(Aulas_capacidad,MATCH(base_de_datos[[#This Row],[Aula]],Aulas,0),2)</f>
        <v>#REF!</v>
      </c>
      <c r="J194" s="90">
        <v>24</v>
      </c>
      <c r="K194" s="92" t="e">
        <f>INDEX(Aulas_capacidad,MATCH(base_de_datos[[#This Row],[Aula]],Aulas,0),4)</f>
        <v>#REF!</v>
      </c>
      <c r="L194" s="98" t="e">
        <f>base_de_datos[[#This Row],[Cap 1.5]]-base_de_datos[[#This Row],[Inscritos]]</f>
        <v>#REF!</v>
      </c>
      <c r="M194" s="98" t="e">
        <f>INDEX(Aulas_capacidad,MATCH(base_de_datos[[#This Row],[Aula]],Aulas,0),5)</f>
        <v>#REF!</v>
      </c>
      <c r="N194" s="98" t="e">
        <f>base_de_datos[[#This Row],[Cap .90]]-base_de_datos[[#This Row],[Inscritos]]</f>
        <v>#REF!</v>
      </c>
      <c r="O194" s="92" t="s">
        <v>392</v>
      </c>
      <c r="P194" s="99" t="s">
        <v>68</v>
      </c>
      <c r="Q194" s="100"/>
      <c r="R194" s="99"/>
      <c r="S194" s="100"/>
      <c r="T194" s="100" t="s">
        <v>68</v>
      </c>
      <c r="U194" s="99"/>
      <c r="V194" s="99"/>
      <c r="W194" s="99" t="s">
        <v>135</v>
      </c>
      <c r="X194" s="93">
        <f>_xlfn.XLOOKUP(base_de_datos[[#This Row],[Materia]],Materias,Horas)/16</f>
        <v>3</v>
      </c>
      <c r="Y194" s="93">
        <f>ROUND(((base_de_datos[[#This Row],[Hora fin]]-base_de_datos[[#This Row],[Hora inicio]])*24)*(COUNTA(base_de_datos[[#This Row],[Lunes]:[Sábado]])),1)</f>
        <v>3</v>
      </c>
      <c r="Z194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4" s="93">
        <f ca="1">IF(base_de_datos[[#This Row],[No clase]]=OFFSET(base_de_datos[[#This Row],[No clase]],-1,0),0,1)</f>
        <v>1</v>
      </c>
      <c r="AB194" s="93">
        <f ca="1">IF(NOT(OR(base_de_datos[[#This Row],[Horas totales]]=base_de_datos[[#This Row],[HT Plan]],base_de_datos[[#This Row],[Horas totales]]="N/A")),1,0)</f>
        <v>0</v>
      </c>
      <c r="AC194" s="93" t="e">
        <f>_xlfn.XLOOKUP(base_de_datos[[#This Row],[Profesor]],Nombre,Grado)</f>
        <v>#REF!</v>
      </c>
      <c r="AD194" s="94" t="e">
        <f>_xlfn.XLOOKUP(base_de_datos[[#This Row],[Profesor]],Nombre,Tipo)</f>
        <v>#REF!</v>
      </c>
      <c r="AE194" s="93">
        <f>IF(IFERROR(VLOOKUP($C194,Planes_de_estudio[],MATCH($AE$2,Carreras,0)+2,0),"")&gt;0,IFERROR(VLOOKUP($C194,Planes_de_estudio[],MATCH($AE$2,Carreras,0)+2,0),""),"")</f>
        <v>3</v>
      </c>
      <c r="AF194" s="93">
        <f>IF(IFERROR(VLOOKUP($C194,Planes_de_estudio[],MATCH($AF$2,Carreras,0)+2,0),"")&gt;0,IFERROR(VLOOKUP($C194,Planes_de_estudio[],MATCH($AF$2,Carreras,0)+2,0),""),"")</f>
        <v>3</v>
      </c>
      <c r="AG194" s="93" t="str">
        <f>IF(IFERROR(VLOOKUP($C194,Planes_de_estudio[],MATCH($AG$2,Carreras,0)+2,0),"")&gt;0,IFERROR(VLOOKUP($C194,Planes_de_estudio[],MATCH($AG$2,Carreras,0)+2,0),""),"")</f>
        <v/>
      </c>
      <c r="AH194" s="93">
        <f>IF(IFERROR(VLOOKUP($C194,Planes_de_estudio[],MATCH($AH$2,Carreras,0)+2,0),"")&gt;0,IFERROR(VLOOKUP($C194,Planes_de_estudio[],MATCH($AH$2,Carreras,0)+2,0),""),"")</f>
        <v>4</v>
      </c>
      <c r="AI194" s="93">
        <f>IF(IFERROR(VLOOKUP($C194,Planes_de_estudio[],MATCH($AI$2,Carreras,0)+2,0),"")&gt;0,IFERROR(VLOOKUP($C194,Planes_de_estudio[],MATCH($AI$2,Carreras,0)+2,0),""),"")</f>
        <v>4</v>
      </c>
      <c r="AJ194" s="93">
        <f>IF(IFERROR(VLOOKUP($C194,Planes_de_estudio[],MATCH($AJ$2,Carreras,0)+2,0),"")&gt;0,IFERROR(VLOOKUP($C194,Planes_de_estudio[],MATCH($AJ$2,Carreras,0)+2,0),""),"")</f>
        <v>4</v>
      </c>
      <c r="AK194" s="93">
        <f>IF(IFERROR(VLOOKUP($C194,Planes_de_estudio[],MATCH($AK$2,Carreras,0)+2,0),"")&gt;0,IFERROR(VLOOKUP($C194,Planes_de_estudio[],MATCH($AK$2,Carreras,0)+2,0),""),"")</f>
        <v>3</v>
      </c>
      <c r="AL19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9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51</v>
      </c>
      <c r="AN194" s="93">
        <f>base_de_datos[[#This Row],[Pronóstico]]/25</f>
        <v>2.04</v>
      </c>
      <c r="AO194" s="93" t="str">
        <f>VLOOKUP($C194,Planes_de_estudio[],2)</f>
        <v>MAT</v>
      </c>
      <c r="AP194" s="195">
        <v>6</v>
      </c>
      <c r="AQ194" s="195">
        <v>6</v>
      </c>
      <c r="AR194" s="196"/>
      <c r="AS194" s="195">
        <v>6</v>
      </c>
      <c r="AT194" s="195">
        <v>6</v>
      </c>
      <c r="AU194" s="195">
        <v>6</v>
      </c>
      <c r="AV194" s="195">
        <v>6</v>
      </c>
      <c r="AW194" s="91"/>
      <c r="AX194" s="73"/>
    </row>
    <row r="195" spans="2:50" ht="10.5" customHeight="1">
      <c r="B195" s="95" t="s">
        <v>227</v>
      </c>
      <c r="C195" s="96" t="s">
        <v>281</v>
      </c>
      <c r="D195" s="92">
        <v>2</v>
      </c>
      <c r="E195" s="97">
        <v>0.79166666666666696</v>
      </c>
      <c r="F195" s="97">
        <v>0.87499999999999001</v>
      </c>
      <c r="G195" s="92"/>
      <c r="H195" s="92" t="s">
        <v>195</v>
      </c>
      <c r="I195" s="92" t="e">
        <f>INDEX(Aulas_capacidad,MATCH(base_de_datos[[#This Row],[Aula]],Aulas,0),2)</f>
        <v>#REF!</v>
      </c>
      <c r="J195" s="90">
        <v>22</v>
      </c>
      <c r="K195" s="92" t="e">
        <f>INDEX(Aulas_capacidad,MATCH(base_de_datos[[#This Row],[Aula]],Aulas,0),4)</f>
        <v>#REF!</v>
      </c>
      <c r="L195" s="98" t="e">
        <f>base_de_datos[[#This Row],[Cap 1.5]]-base_de_datos[[#This Row],[Inscritos]]</f>
        <v>#REF!</v>
      </c>
      <c r="M195" s="98" t="e">
        <f>INDEX(Aulas_capacidad,MATCH(base_de_datos[[#This Row],[Aula]],Aulas,0),5)</f>
        <v>#REF!</v>
      </c>
      <c r="N195" s="98" t="e">
        <f>base_de_datos[[#This Row],[Cap .90]]-base_de_datos[[#This Row],[Inscritos]]</f>
        <v>#REF!</v>
      </c>
      <c r="O195" s="92" t="s">
        <v>393</v>
      </c>
      <c r="P195" s="99" t="s">
        <v>68</v>
      </c>
      <c r="Q195" s="100"/>
      <c r="R195" s="99"/>
      <c r="S195" s="100"/>
      <c r="T195" s="100"/>
      <c r="U195" s="99"/>
      <c r="V195" s="99"/>
      <c r="W195" s="99" t="s">
        <v>101</v>
      </c>
      <c r="X195" s="93">
        <f>_xlfn.XLOOKUP(base_de_datos[[#This Row],[Materia]],Materias,Horas)/16</f>
        <v>4</v>
      </c>
      <c r="Y195" s="93">
        <f>ROUND(((base_de_datos[[#This Row],[Hora fin]]-base_de_datos[[#This Row],[Hora inicio]])*24)*(COUNTA(base_de_datos[[#This Row],[Lunes]:[Sábado]])),1)</f>
        <v>2</v>
      </c>
      <c r="Z195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95" s="93">
        <f ca="1">IF(base_de_datos[[#This Row],[No clase]]=OFFSET(base_de_datos[[#This Row],[No clase]],-1,0),0,1)</f>
        <v>1</v>
      </c>
      <c r="AB195" s="93">
        <f ca="1">IF(NOT(OR(base_de_datos[[#This Row],[Horas totales]]=base_de_datos[[#This Row],[HT Plan]],base_de_datos[[#This Row],[Horas totales]]="N/A")),1,0)</f>
        <v>0</v>
      </c>
      <c r="AC195" s="93" t="e">
        <f>_xlfn.XLOOKUP(base_de_datos[[#This Row],[Profesor]],Nombre,Grado)</f>
        <v>#REF!</v>
      </c>
      <c r="AD195" s="94" t="e">
        <f>_xlfn.XLOOKUP(base_de_datos[[#This Row],[Profesor]],Nombre,Tipo)</f>
        <v>#REF!</v>
      </c>
      <c r="AE195" s="93" t="str">
        <f>IF(IFERROR(VLOOKUP($C195,Planes_de_estudio[],MATCH($AE$2,Carreras,0)+2,0),"")&gt;0,IFERROR(VLOOKUP($C195,Planes_de_estudio[],MATCH($AE$2,Carreras,0)+2,0),""),"")</f>
        <v/>
      </c>
      <c r="AF195" s="93">
        <f>IF(IFERROR(VLOOKUP($C195,Planes_de_estudio[],MATCH($AF$2,Carreras,0)+2,0),"")&gt;0,IFERROR(VLOOKUP($C195,Planes_de_estudio[],MATCH($AF$2,Carreras,0)+2,0),""),"")</f>
        <v>5</v>
      </c>
      <c r="AG195" s="93">
        <f>IF(IFERROR(VLOOKUP($C195,Planes_de_estudio[],MATCH($AG$2,Carreras,0)+2,0),"")&gt;0,IFERROR(VLOOKUP($C195,Planes_de_estudio[],MATCH($AG$2,Carreras,0)+2,0),""),"")</f>
        <v>6</v>
      </c>
      <c r="AH195" s="93">
        <f>IF(IFERROR(VLOOKUP($C195,Planes_de_estudio[],MATCH($AH$2,Carreras,0)+2,0),"")&gt;0,IFERROR(VLOOKUP($C195,Planes_de_estudio[],MATCH($AH$2,Carreras,0)+2,0),""),"")</f>
        <v>5</v>
      </c>
      <c r="AI195" s="93">
        <f>IF(IFERROR(VLOOKUP($C195,Planes_de_estudio[],MATCH($AI$2,Carreras,0)+2,0),"")&gt;0,IFERROR(VLOOKUP($C195,Planes_de_estudio[],MATCH($AI$2,Carreras,0)+2,0),""),"")</f>
        <v>4</v>
      </c>
      <c r="AJ195" s="93">
        <f>IF(IFERROR(VLOOKUP($C195,Planes_de_estudio[],MATCH($AJ$2,Carreras,0)+2,0),"")&gt;0,IFERROR(VLOOKUP($C195,Planes_de_estudio[],MATCH($AJ$2,Carreras,0)+2,0),""),"")</f>
        <v>4</v>
      </c>
      <c r="AK195" s="93">
        <f>IF(IFERROR(VLOOKUP($C195,Planes_de_estudio[],MATCH($AK$2,Carreras,0)+2,0),"")&gt;0,IFERROR(VLOOKUP($C195,Planes_de_estudio[],MATCH($AK$2,Carreras,0)+2,0),""),"")</f>
        <v>5</v>
      </c>
      <c r="AL19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9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42</v>
      </c>
      <c r="AN195" s="93">
        <f>base_de_datos[[#This Row],[Pronóstico]]/25</f>
        <v>1.68</v>
      </c>
      <c r="AO195" s="93" t="str">
        <f>VLOOKUP($C195,Planes_de_estudio[],2)</f>
        <v>MAT</v>
      </c>
      <c r="AP195" s="196"/>
      <c r="AQ195" s="195">
        <v>6</v>
      </c>
      <c r="AR195" s="195">
        <v>6</v>
      </c>
      <c r="AS195" s="195">
        <v>6</v>
      </c>
      <c r="AT195" s="195">
        <v>6</v>
      </c>
      <c r="AU195" s="195">
        <v>6</v>
      </c>
      <c r="AV195" s="195">
        <v>6</v>
      </c>
      <c r="AW195" s="91"/>
      <c r="AX195" s="73"/>
    </row>
    <row r="196" spans="2:50" ht="16">
      <c r="B196" s="95" t="s">
        <v>227</v>
      </c>
      <c r="C196" s="96" t="s">
        <v>281</v>
      </c>
      <c r="D196" s="92">
        <v>2</v>
      </c>
      <c r="E196" s="97">
        <v>0.79166666666666696</v>
      </c>
      <c r="F196" s="97">
        <v>0.87499999999999001</v>
      </c>
      <c r="G196" s="92"/>
      <c r="H196" s="92" t="s">
        <v>128</v>
      </c>
      <c r="I196" s="92" t="e">
        <f>INDEX(Aulas_capacidad,MATCH(base_de_datos[[#This Row],[Aula]],Aulas,0),2)</f>
        <v>#REF!</v>
      </c>
      <c r="J196" s="90">
        <v>22</v>
      </c>
      <c r="K196" s="92" t="e">
        <f>INDEX(Aulas_capacidad,MATCH(base_de_datos[[#This Row],[Aula]],Aulas,0),4)</f>
        <v>#REF!</v>
      </c>
      <c r="L196" s="98" t="e">
        <f>base_de_datos[[#This Row],[Cap 1.5]]-base_de_datos[[#This Row],[Inscritos]]</f>
        <v>#REF!</v>
      </c>
      <c r="M196" s="98" t="e">
        <f>INDEX(Aulas_capacidad,MATCH(base_de_datos[[#This Row],[Aula]],Aulas,0),5)</f>
        <v>#REF!</v>
      </c>
      <c r="N196" s="98" t="e">
        <f>base_de_datos[[#This Row],[Cap .90]]-base_de_datos[[#This Row],[Inscritos]]</f>
        <v>#REF!</v>
      </c>
      <c r="O196" s="92" t="s">
        <v>393</v>
      </c>
      <c r="P196" s="99"/>
      <c r="Q196" s="100"/>
      <c r="R196" s="99"/>
      <c r="S196" s="100" t="s">
        <v>68</v>
      </c>
      <c r="T196" s="100"/>
      <c r="U196" s="99"/>
      <c r="V196" s="99"/>
      <c r="W196" s="99" t="s">
        <v>101</v>
      </c>
      <c r="X196" s="93">
        <f>_xlfn.XLOOKUP(base_de_datos[[#This Row],[Materia]],Materias,Horas)/16</f>
        <v>4</v>
      </c>
      <c r="Y196" s="93">
        <f>ROUND(((base_de_datos[[#This Row],[Hora fin]]-base_de_datos[[#This Row],[Hora inicio]])*24)*(COUNTA(base_de_datos[[#This Row],[Lunes]:[Sábado]])),1)</f>
        <v>2</v>
      </c>
      <c r="Z196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96" s="93">
        <f ca="1">IF(base_de_datos[[#This Row],[No clase]]=OFFSET(base_de_datos[[#This Row],[No clase]],-1,0),0,1)</f>
        <v>0</v>
      </c>
      <c r="AB196" s="93">
        <f ca="1">IF(NOT(OR(base_de_datos[[#This Row],[Horas totales]]=base_de_datos[[#This Row],[HT Plan]],base_de_datos[[#This Row],[Horas totales]]="N/A")),1,0)</f>
        <v>0</v>
      </c>
      <c r="AC196" s="93" t="e">
        <f>_xlfn.XLOOKUP(base_de_datos[[#This Row],[Profesor]],Nombre,Grado)</f>
        <v>#REF!</v>
      </c>
      <c r="AD196" s="94" t="e">
        <f>_xlfn.XLOOKUP(base_de_datos[[#This Row],[Profesor]],Nombre,Tipo)</f>
        <v>#REF!</v>
      </c>
      <c r="AE196" s="93" t="str">
        <f>IF(IFERROR(VLOOKUP($C196,Planes_de_estudio[],MATCH($AE$2,Carreras,0)+2,0),"")&gt;0,IFERROR(VLOOKUP($C196,Planes_de_estudio[],MATCH($AE$2,Carreras,0)+2,0),""),"")</f>
        <v/>
      </c>
      <c r="AF196" s="93">
        <f>IF(IFERROR(VLOOKUP($C196,Planes_de_estudio[],MATCH($AF$2,Carreras,0)+2,0),"")&gt;0,IFERROR(VLOOKUP($C196,Planes_de_estudio[],MATCH($AF$2,Carreras,0)+2,0),""),"")</f>
        <v>5</v>
      </c>
      <c r="AG196" s="93">
        <f>IF(IFERROR(VLOOKUP($C196,Planes_de_estudio[],MATCH($AG$2,Carreras,0)+2,0),"")&gt;0,IFERROR(VLOOKUP($C196,Planes_de_estudio[],MATCH($AG$2,Carreras,0)+2,0),""),"")</f>
        <v>6</v>
      </c>
      <c r="AH196" s="93">
        <f>IF(IFERROR(VLOOKUP($C196,Planes_de_estudio[],MATCH($AH$2,Carreras,0)+2,0),"")&gt;0,IFERROR(VLOOKUP($C196,Planes_de_estudio[],MATCH($AH$2,Carreras,0)+2,0),""),"")</f>
        <v>5</v>
      </c>
      <c r="AI196" s="93">
        <f>IF(IFERROR(VLOOKUP($C196,Planes_de_estudio[],MATCH($AI$2,Carreras,0)+2,0),"")&gt;0,IFERROR(VLOOKUP($C196,Planes_de_estudio[],MATCH($AI$2,Carreras,0)+2,0),""),"")</f>
        <v>4</v>
      </c>
      <c r="AJ196" s="93">
        <f>IF(IFERROR(VLOOKUP($C196,Planes_de_estudio[],MATCH($AJ$2,Carreras,0)+2,0),"")&gt;0,IFERROR(VLOOKUP($C196,Planes_de_estudio[],MATCH($AJ$2,Carreras,0)+2,0),""),"")</f>
        <v>4</v>
      </c>
      <c r="AK196" s="93">
        <f>IF(IFERROR(VLOOKUP($C196,Planes_de_estudio[],MATCH($AK$2,Carreras,0)+2,0),"")&gt;0,IFERROR(VLOOKUP($C196,Planes_de_estudio[],MATCH($AK$2,Carreras,0)+2,0),""),"")</f>
        <v>5</v>
      </c>
      <c r="AL19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9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42</v>
      </c>
      <c r="AN196" s="93">
        <f>base_de_datos[[#This Row],[Pronóstico]]/25</f>
        <v>1.68</v>
      </c>
      <c r="AO196" s="93" t="str">
        <f>VLOOKUP($C196,Planes_de_estudio[],2)</f>
        <v>MAT</v>
      </c>
      <c r="AP196" s="196"/>
      <c r="AQ196" s="196"/>
      <c r="AR196" s="196"/>
      <c r="AS196" s="196"/>
      <c r="AT196" s="196"/>
      <c r="AU196" s="196"/>
      <c r="AV196" s="196"/>
      <c r="AW196" s="91"/>
      <c r="AX196" s="73"/>
    </row>
    <row r="197" spans="2:50" ht="16">
      <c r="B197" s="95" t="s">
        <v>394</v>
      </c>
      <c r="C197" s="96" t="s">
        <v>395</v>
      </c>
      <c r="D197" s="92">
        <v>1</v>
      </c>
      <c r="E197" s="97">
        <v>0.79166666666666696</v>
      </c>
      <c r="F197" s="97">
        <v>0.89583333333332305</v>
      </c>
      <c r="G197" s="92"/>
      <c r="H197" s="175" t="s">
        <v>119</v>
      </c>
      <c r="I197" s="92" t="e">
        <f>INDEX(Aulas_capacidad,MATCH(base_de_datos[[#This Row],[Aula]],Aulas,0),2)</f>
        <v>#REF!</v>
      </c>
      <c r="J197" s="90">
        <v>5</v>
      </c>
      <c r="K197" s="92" t="e">
        <f>INDEX(Aulas_capacidad,MATCH(base_de_datos[[#This Row],[Aula]],Aulas,0),4)</f>
        <v>#REF!</v>
      </c>
      <c r="L197" s="98" t="e">
        <f>base_de_datos[[#This Row],[Cap 1.5]]-base_de_datos[[#This Row],[Inscritos]]</f>
        <v>#REF!</v>
      </c>
      <c r="M197" s="98" t="e">
        <f>INDEX(Aulas_capacidad,MATCH(base_de_datos[[#This Row],[Aula]],Aulas,0),5)</f>
        <v>#REF!</v>
      </c>
      <c r="N197" s="98" t="e">
        <f>base_de_datos[[#This Row],[Cap .90]]-base_de_datos[[#This Row],[Inscritos]]</f>
        <v>#REF!</v>
      </c>
      <c r="O197" s="92" t="s">
        <v>396</v>
      </c>
      <c r="P197" s="99"/>
      <c r="Q197" s="100" t="s">
        <v>68</v>
      </c>
      <c r="R197" s="99"/>
      <c r="S197" s="100" t="s">
        <v>68</v>
      </c>
      <c r="T197" s="100"/>
      <c r="U197" s="99"/>
      <c r="V197" s="99"/>
      <c r="W197" s="99" t="s">
        <v>92</v>
      </c>
      <c r="X197" s="93">
        <f>_xlfn.XLOOKUP(base_de_datos[[#This Row],[Materia]],Materias,Horas)/16</f>
        <v>5</v>
      </c>
      <c r="Y197" s="93">
        <f>ROUND(((base_de_datos[[#This Row],[Hora fin]]-base_de_datos[[#This Row],[Hora inicio]])*24)*(COUNTA(base_de_datos[[#This Row],[Lunes]:[Sábado]])),1)</f>
        <v>5</v>
      </c>
      <c r="Z197" s="93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97" s="93">
        <f ca="1">IF(base_de_datos[[#This Row],[No clase]]=OFFSET(base_de_datos[[#This Row],[No clase]],-1,0),0,1)</f>
        <v>1</v>
      </c>
      <c r="AB197" s="93">
        <f ca="1">IF(NOT(OR(base_de_datos[[#This Row],[Horas totales]]=base_de_datos[[#This Row],[HT Plan]],base_de_datos[[#This Row],[Horas totales]]="N/A")),1,0)</f>
        <v>0</v>
      </c>
      <c r="AC197" s="93" t="e">
        <f>_xlfn.XLOOKUP(base_de_datos[[#This Row],[Profesor]],Nombre,Grado)</f>
        <v>#REF!</v>
      </c>
      <c r="AD197" s="94" t="e">
        <f>_xlfn.XLOOKUP(base_de_datos[[#This Row],[Profesor]],Nombre,Tipo)</f>
        <v>#REF!</v>
      </c>
      <c r="AE197" s="93" t="str">
        <f>IF(IFERROR(VLOOKUP($C197,Planes_de_estudio[],MATCH($AE$2,Carreras,0)+2,0),"")&gt;0,IFERROR(VLOOKUP($C197,Planes_de_estudio[],MATCH($AE$2,Carreras,0)+2,0),""),"")</f>
        <v/>
      </c>
      <c r="AF197" s="93" t="str">
        <f>IF(IFERROR(VLOOKUP($C197,Planes_de_estudio[],MATCH($AF$2,Carreras,0)+2,0),"")&gt;0,IFERROR(VLOOKUP($C197,Planes_de_estudio[],MATCH($AF$2,Carreras,0)+2,0),""),"")</f>
        <v/>
      </c>
      <c r="AG197" s="93" t="str">
        <f>IF(IFERROR(VLOOKUP($C197,Planes_de_estudio[],MATCH($AG$2,Carreras,0)+2,0),"")&gt;0,IFERROR(VLOOKUP($C197,Planes_de_estudio[],MATCH($AG$2,Carreras,0)+2,0),""),"")</f>
        <v/>
      </c>
      <c r="AH197" s="93" t="str">
        <f>IF(IFERROR(VLOOKUP($C197,Planes_de_estudio[],MATCH($AH$2,Carreras,0)+2,0),"")&gt;0,IFERROR(VLOOKUP($C197,Planes_de_estudio[],MATCH($AH$2,Carreras,0)+2,0),""),"")</f>
        <v/>
      </c>
      <c r="AI197" s="93">
        <f>IF(IFERROR(VLOOKUP($C197,Planes_de_estudio[],MATCH($AI$2,Carreras,0)+2,0),"")&gt;0,IFERROR(VLOOKUP($C197,Planes_de_estudio[],MATCH($AI$2,Carreras,0)+2,0),""),"")</f>
        <v>5</v>
      </c>
      <c r="AJ197" s="93" t="str">
        <f>IF(IFERROR(VLOOKUP($C197,Planes_de_estudio[],MATCH($AJ$2,Carreras,0)+2,0),"")&gt;0,IFERROR(VLOOKUP($C197,Planes_de_estudio[],MATCH($AJ$2,Carreras,0)+2,0),""),"")</f>
        <v/>
      </c>
      <c r="AK197" s="93" t="str">
        <f>IF(IFERROR(VLOOKUP($C197,Planes_de_estudio[],MATCH($AK$2,Carreras,0)+2,0),"")&gt;0,IFERROR(VLOOKUP($C197,Planes_de_estudio[],MATCH($AK$2,Carreras,0)+2,0),""),"")</f>
        <v/>
      </c>
      <c r="AL19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9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</v>
      </c>
      <c r="AN197" s="93">
        <f>base_de_datos[[#This Row],[Pronóstico]]/25</f>
        <v>0.12</v>
      </c>
      <c r="AO197" s="93" t="str">
        <f>VLOOKUP($C197,Planes_de_estudio[],2)</f>
        <v>ETF</v>
      </c>
      <c r="AP197" s="196"/>
      <c r="AQ197" s="196"/>
      <c r="AR197" s="196"/>
      <c r="AS197" s="196"/>
      <c r="AT197" s="195">
        <v>6</v>
      </c>
      <c r="AU197" s="196"/>
      <c r="AV197" s="196"/>
      <c r="AW197" s="91"/>
      <c r="AX197" s="73"/>
    </row>
    <row r="198" spans="2:50" ht="16">
      <c r="B198" s="95" t="s">
        <v>397</v>
      </c>
      <c r="C198" s="96" t="s">
        <v>398</v>
      </c>
      <c r="D198" s="92">
        <v>1</v>
      </c>
      <c r="E198" s="97">
        <v>0.79166666666666696</v>
      </c>
      <c r="F198" s="97">
        <v>0.87499999999999001</v>
      </c>
      <c r="G198" s="92"/>
      <c r="H198" s="175" t="s">
        <v>119</v>
      </c>
      <c r="I198" s="92" t="e">
        <f>INDEX(Aulas_capacidad,MATCH(base_de_datos[[#This Row],[Aula]],Aulas,0),2)</f>
        <v>#REF!</v>
      </c>
      <c r="J198" s="90">
        <v>4</v>
      </c>
      <c r="K198" s="92" t="e">
        <f>INDEX(Aulas_capacidad,MATCH(base_de_datos[[#This Row],[Aula]],Aulas,0),4)</f>
        <v>#REF!</v>
      </c>
      <c r="L198" s="98" t="e">
        <f>base_de_datos[[#This Row],[Cap 1.5]]-base_de_datos[[#This Row],[Inscritos]]</f>
        <v>#REF!</v>
      </c>
      <c r="M198" s="98" t="e">
        <f>INDEX(Aulas_capacidad,MATCH(base_de_datos[[#This Row],[Aula]],Aulas,0),5)</f>
        <v>#REF!</v>
      </c>
      <c r="N198" s="98" t="e">
        <f>base_de_datos[[#This Row],[Cap .90]]-base_de_datos[[#This Row],[Inscritos]]</f>
        <v>#REF!</v>
      </c>
      <c r="O198" s="92">
        <v>5170</v>
      </c>
      <c r="P198" s="99" t="s">
        <v>68</v>
      </c>
      <c r="Q198" s="100"/>
      <c r="R198" s="99"/>
      <c r="S198" s="100"/>
      <c r="T198" s="100"/>
      <c r="U198" s="99"/>
      <c r="V198" s="99"/>
      <c r="W198" s="99" t="s">
        <v>101</v>
      </c>
      <c r="X198" s="93">
        <f>_xlfn.XLOOKUP(base_de_datos[[#This Row],[Materia]],Materias,Horas)/16</f>
        <v>4</v>
      </c>
      <c r="Y198" s="93">
        <f>ROUND(((base_de_datos[[#This Row],[Hora fin]]-base_de_datos[[#This Row],[Hora inicio]])*24)*(COUNTA(base_de_datos[[#This Row],[Lunes]:[Sábado]])),1)</f>
        <v>2</v>
      </c>
      <c r="Z198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98" s="93">
        <f ca="1">IF(base_de_datos[[#This Row],[No clase]]=OFFSET(base_de_datos[[#This Row],[No clase]],-1,0),0,1)</f>
        <v>1</v>
      </c>
      <c r="AB198" s="93">
        <f ca="1">IF(NOT(OR(base_de_datos[[#This Row],[Horas totales]]=base_de_datos[[#This Row],[HT Plan]],base_de_datos[[#This Row],[Horas totales]]="N/A")),1,0)</f>
        <v>0</v>
      </c>
      <c r="AC198" s="93" t="e">
        <f>_xlfn.XLOOKUP(base_de_datos[[#This Row],[Profesor]],Nombre,Grado)</f>
        <v>#REF!</v>
      </c>
      <c r="AD198" s="94" t="e">
        <f>_xlfn.XLOOKUP(base_de_datos[[#This Row],[Profesor]],Nombre,Tipo)</f>
        <v>#REF!</v>
      </c>
      <c r="AE198" s="93" t="str">
        <f>IF(IFERROR(VLOOKUP($C198,Planes_de_estudio[],MATCH($AE$2,Carreras,0)+2,0),"")&gt;0,IFERROR(VLOOKUP($C198,Planes_de_estudio[],MATCH($AE$2,Carreras,0)+2,0),""),"")</f>
        <v/>
      </c>
      <c r="AF198" s="93" t="str">
        <f>IF(IFERROR(VLOOKUP($C198,Planes_de_estudio[],MATCH($AF$2,Carreras,0)+2,0),"")&gt;0,IFERROR(VLOOKUP($C198,Planes_de_estudio[],MATCH($AF$2,Carreras,0)+2,0),""),"")</f>
        <v/>
      </c>
      <c r="AG198" s="93" t="str">
        <f>IF(IFERROR(VLOOKUP($C198,Planes_de_estudio[],MATCH($AG$2,Carreras,0)+2,0),"")&gt;0,IFERROR(VLOOKUP($C198,Planes_de_estudio[],MATCH($AG$2,Carreras,0)+2,0),""),"")</f>
        <v/>
      </c>
      <c r="AH198" s="93" t="str">
        <f>IF(IFERROR(VLOOKUP($C198,Planes_de_estudio[],MATCH($AH$2,Carreras,0)+2,0),"")&gt;0,IFERROR(VLOOKUP($C198,Planes_de_estudio[],MATCH($AH$2,Carreras,0)+2,0),""),"")</f>
        <v/>
      </c>
      <c r="AI198" s="93">
        <f>IF(IFERROR(VLOOKUP($C198,Planes_de_estudio[],MATCH($AI$2,Carreras,0)+2,0),"")&gt;0,IFERROR(VLOOKUP($C198,Planes_de_estudio[],MATCH($AI$2,Carreras,0)+2,0),""),"")</f>
        <v>5</v>
      </c>
      <c r="AJ198" s="93" t="str">
        <f>IF(IFERROR(VLOOKUP($C198,Planes_de_estudio[],MATCH($AJ$2,Carreras,0)+2,0),"")&gt;0,IFERROR(VLOOKUP($C198,Planes_de_estudio[],MATCH($AJ$2,Carreras,0)+2,0),""),"")</f>
        <v/>
      </c>
      <c r="AK198" s="93" t="str">
        <f>IF(IFERROR(VLOOKUP($C198,Planes_de_estudio[],MATCH($AK$2,Carreras,0)+2,0),"")&gt;0,IFERROR(VLOOKUP($C198,Planes_de_estudio[],MATCH($AK$2,Carreras,0)+2,0),""),"")</f>
        <v/>
      </c>
      <c r="AL19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9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</v>
      </c>
      <c r="AN198" s="93">
        <f>base_de_datos[[#This Row],[Pronóstico]]/25</f>
        <v>0.12</v>
      </c>
      <c r="AO198" s="93" t="str">
        <f>VLOOKUP($C198,Planes_de_estudio[],2)</f>
        <v>ETF</v>
      </c>
      <c r="AP198" s="196"/>
      <c r="AQ198" s="196"/>
      <c r="AR198" s="196"/>
      <c r="AS198" s="196"/>
      <c r="AT198" s="195">
        <v>6</v>
      </c>
      <c r="AU198" s="196"/>
      <c r="AV198" s="196"/>
      <c r="AW198" s="91"/>
      <c r="AX198" s="73"/>
    </row>
    <row r="199" spans="2:50" ht="16">
      <c r="B199" s="95" t="s">
        <v>397</v>
      </c>
      <c r="C199" s="96" t="s">
        <v>398</v>
      </c>
      <c r="D199" s="92">
        <v>1</v>
      </c>
      <c r="E199" s="97">
        <v>0.79166666666666696</v>
      </c>
      <c r="F199" s="97">
        <v>0.87499999999999001</v>
      </c>
      <c r="G199" s="92"/>
      <c r="H199" s="175" t="s">
        <v>119</v>
      </c>
      <c r="I199" s="92" t="e">
        <f>INDEX(Aulas_capacidad,MATCH(base_de_datos[[#This Row],[Aula]],Aulas,0),2)</f>
        <v>#REF!</v>
      </c>
      <c r="J199" s="90">
        <v>4</v>
      </c>
      <c r="K199" s="92" t="e">
        <f>INDEX(Aulas_capacidad,MATCH(base_de_datos[[#This Row],[Aula]],Aulas,0),4)</f>
        <v>#REF!</v>
      </c>
      <c r="L199" s="98" t="e">
        <f>base_de_datos[[#This Row],[Cap 1.5]]-base_de_datos[[#This Row],[Inscritos]]</f>
        <v>#REF!</v>
      </c>
      <c r="M199" s="98" t="e">
        <f>INDEX(Aulas_capacidad,MATCH(base_de_datos[[#This Row],[Aula]],Aulas,0),5)</f>
        <v>#REF!</v>
      </c>
      <c r="N199" s="98" t="e">
        <f>base_de_datos[[#This Row],[Cap .90]]-base_de_datos[[#This Row],[Inscritos]]</f>
        <v>#REF!</v>
      </c>
      <c r="O199" s="92">
        <v>5170</v>
      </c>
      <c r="P199" s="99"/>
      <c r="Q199" s="100"/>
      <c r="R199" s="99" t="s">
        <v>68</v>
      </c>
      <c r="S199" s="100"/>
      <c r="T199" s="100"/>
      <c r="U199" s="99"/>
      <c r="V199" s="99"/>
      <c r="W199" s="99" t="s">
        <v>101</v>
      </c>
      <c r="X199" s="93">
        <f>_xlfn.XLOOKUP(base_de_datos[[#This Row],[Materia]],Materias,Horas)/16</f>
        <v>4</v>
      </c>
      <c r="Y199" s="93">
        <f>ROUND(((base_de_datos[[#This Row],[Hora fin]]-base_de_datos[[#This Row],[Hora inicio]])*24)*(COUNTA(base_de_datos[[#This Row],[Lunes]:[Sábado]])),1)</f>
        <v>2</v>
      </c>
      <c r="Z199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99" s="93">
        <f ca="1">IF(base_de_datos[[#This Row],[No clase]]=OFFSET(base_de_datos[[#This Row],[No clase]],-1,0),0,1)</f>
        <v>0</v>
      </c>
      <c r="AB199" s="93">
        <f ca="1">IF(NOT(OR(base_de_datos[[#This Row],[Horas totales]]=base_de_datos[[#This Row],[HT Plan]],base_de_datos[[#This Row],[Horas totales]]="N/A")),1,0)</f>
        <v>0</v>
      </c>
      <c r="AC199" s="93" t="e">
        <f>_xlfn.XLOOKUP(base_de_datos[[#This Row],[Profesor]],Nombre,Grado)</f>
        <v>#REF!</v>
      </c>
      <c r="AD199" s="94" t="e">
        <f>_xlfn.XLOOKUP(base_de_datos[[#This Row],[Profesor]],Nombre,Tipo)</f>
        <v>#REF!</v>
      </c>
      <c r="AE199" s="93" t="str">
        <f>IF(IFERROR(VLOOKUP($C199,Planes_de_estudio[],MATCH($AE$2,Carreras,0)+2,0),"")&gt;0,IFERROR(VLOOKUP($C199,Planes_de_estudio[],MATCH($AE$2,Carreras,0)+2,0),""),"")</f>
        <v/>
      </c>
      <c r="AF199" s="93" t="str">
        <f>IF(IFERROR(VLOOKUP($C199,Planes_de_estudio[],MATCH($AF$2,Carreras,0)+2,0),"")&gt;0,IFERROR(VLOOKUP($C199,Planes_de_estudio[],MATCH($AF$2,Carreras,0)+2,0),""),"")</f>
        <v/>
      </c>
      <c r="AG199" s="93" t="str">
        <f>IF(IFERROR(VLOOKUP($C199,Planes_de_estudio[],MATCH($AG$2,Carreras,0)+2,0),"")&gt;0,IFERROR(VLOOKUP($C199,Planes_de_estudio[],MATCH($AG$2,Carreras,0)+2,0),""),"")</f>
        <v/>
      </c>
      <c r="AH199" s="93" t="str">
        <f>IF(IFERROR(VLOOKUP($C199,Planes_de_estudio[],MATCH($AH$2,Carreras,0)+2,0),"")&gt;0,IFERROR(VLOOKUP($C199,Planes_de_estudio[],MATCH($AH$2,Carreras,0)+2,0),""),"")</f>
        <v/>
      </c>
      <c r="AI199" s="93">
        <f>IF(IFERROR(VLOOKUP($C199,Planes_de_estudio[],MATCH($AI$2,Carreras,0)+2,0),"")&gt;0,IFERROR(VLOOKUP($C199,Planes_de_estudio[],MATCH($AI$2,Carreras,0)+2,0),""),"")</f>
        <v>5</v>
      </c>
      <c r="AJ199" s="93" t="str">
        <f>IF(IFERROR(VLOOKUP($C199,Planes_de_estudio[],MATCH($AJ$2,Carreras,0)+2,0),"")&gt;0,IFERROR(VLOOKUP($C199,Planes_de_estudio[],MATCH($AJ$2,Carreras,0)+2,0),""),"")</f>
        <v/>
      </c>
      <c r="AK199" s="93" t="str">
        <f>IF(IFERROR(VLOOKUP($C199,Planes_de_estudio[],MATCH($AK$2,Carreras,0)+2,0),"")&gt;0,IFERROR(VLOOKUP($C199,Planes_de_estudio[],MATCH($AK$2,Carreras,0)+2,0),""),"")</f>
        <v/>
      </c>
      <c r="AL19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19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</v>
      </c>
      <c r="AN199" s="93">
        <f>base_de_datos[[#This Row],[Pronóstico]]/25</f>
        <v>0.12</v>
      </c>
      <c r="AO199" s="93" t="str">
        <f>VLOOKUP($C199,Planes_de_estudio[],2)</f>
        <v>ETF</v>
      </c>
      <c r="AP199" s="196"/>
      <c r="AQ199" s="196"/>
      <c r="AR199" s="196"/>
      <c r="AS199" s="196"/>
      <c r="AT199" s="196"/>
      <c r="AU199" s="196"/>
      <c r="AV199" s="196"/>
      <c r="AW199" s="91"/>
      <c r="AX199" s="73"/>
    </row>
    <row r="200" spans="2:50" ht="16">
      <c r="B200" s="95" t="s">
        <v>361</v>
      </c>
      <c r="C200" s="96" t="s">
        <v>399</v>
      </c>
      <c r="D200" s="92">
        <v>1</v>
      </c>
      <c r="E200" s="97">
        <v>0.79166666666666696</v>
      </c>
      <c r="F200" s="97">
        <v>0.87499999999999001</v>
      </c>
      <c r="G200" s="92"/>
      <c r="H200" s="92" t="s">
        <v>202</v>
      </c>
      <c r="I200" s="92" t="e">
        <f>INDEX(Aulas_capacidad,MATCH(base_de_datos[[#This Row],[Aula]],Aulas,0),2)</f>
        <v>#REF!</v>
      </c>
      <c r="J200" s="90">
        <v>9</v>
      </c>
      <c r="K200" s="92" t="e">
        <f>INDEX(Aulas_capacidad,MATCH(base_de_datos[[#This Row],[Aula]],Aulas,0),4)</f>
        <v>#REF!</v>
      </c>
      <c r="L200" s="98" t="e">
        <f>base_de_datos[[#This Row],[Cap 1.5]]-base_de_datos[[#This Row],[Inscritos]]</f>
        <v>#REF!</v>
      </c>
      <c r="M200" s="98" t="e">
        <f>INDEX(Aulas_capacidad,MATCH(base_de_datos[[#This Row],[Aula]],Aulas,0),5)</f>
        <v>#REF!</v>
      </c>
      <c r="N200" s="98" t="e">
        <f>base_de_datos[[#This Row],[Cap .90]]-base_de_datos[[#This Row],[Inscritos]]</f>
        <v>#REF!</v>
      </c>
      <c r="O200" s="92" t="s">
        <v>400</v>
      </c>
      <c r="P200" s="99"/>
      <c r="Q200" s="100"/>
      <c r="R200" s="99" t="s">
        <v>68</v>
      </c>
      <c r="S200" s="100"/>
      <c r="T200" s="100"/>
      <c r="U200" s="99"/>
      <c r="V200" s="99"/>
      <c r="W200" s="99" t="s">
        <v>92</v>
      </c>
      <c r="X200" s="93">
        <f>_xlfn.XLOOKUP(base_de_datos[[#This Row],[Materia]],Materias,Horas)/16</f>
        <v>4</v>
      </c>
      <c r="Y200" s="93">
        <f>ROUND(((base_de_datos[[#This Row],[Hora fin]]-base_de_datos[[#This Row],[Hora inicio]])*24)*(COUNTA(base_de_datos[[#This Row],[Lunes]:[Sábado]])),1)</f>
        <v>2</v>
      </c>
      <c r="Z200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0" s="93">
        <f ca="1">IF(base_de_datos[[#This Row],[No clase]]=OFFSET(base_de_datos[[#This Row],[No clase]],-1,0),0,1)</f>
        <v>1</v>
      </c>
      <c r="AB200" s="93">
        <f ca="1">IF(NOT(OR(base_de_datos[[#This Row],[Horas totales]]=base_de_datos[[#This Row],[HT Plan]],base_de_datos[[#This Row],[Horas totales]]="N/A")),1,0)</f>
        <v>0</v>
      </c>
      <c r="AC200" s="93" t="e">
        <f>_xlfn.XLOOKUP(base_de_datos[[#This Row],[Profesor]],Nombre,Grado)</f>
        <v>#REF!</v>
      </c>
      <c r="AD200" s="94" t="e">
        <f>_xlfn.XLOOKUP(base_de_datos[[#This Row],[Profesor]],Nombre,Tipo)</f>
        <v>#REF!</v>
      </c>
      <c r="AE200" s="93" t="str">
        <f>IF(IFERROR(VLOOKUP($C200,Planes_de_estudio[],MATCH($AE$2,Carreras,0)+2,0),"")&gt;0,IFERROR(VLOOKUP($C200,Planes_de_estudio[],MATCH($AE$2,Carreras,0)+2,0),""),"")</f>
        <v/>
      </c>
      <c r="AF200" s="93" t="str">
        <f>IF(IFERROR(VLOOKUP($C200,Planes_de_estudio[],MATCH($AF$2,Carreras,0)+2,0),"")&gt;0,IFERROR(VLOOKUP($C200,Planes_de_estudio[],MATCH($AF$2,Carreras,0)+2,0),""),"")</f>
        <v/>
      </c>
      <c r="AG200" s="93" t="str">
        <f>IF(IFERROR(VLOOKUP($C200,Planes_de_estudio[],MATCH($AG$2,Carreras,0)+2,0),"")&gt;0,IFERROR(VLOOKUP($C200,Planes_de_estudio[],MATCH($AG$2,Carreras,0)+2,0),""),"")</f>
        <v/>
      </c>
      <c r="AH200" s="93" t="str">
        <f>IF(IFERROR(VLOOKUP($C200,Planes_de_estudio[],MATCH($AH$2,Carreras,0)+2,0),"")&gt;0,IFERROR(VLOOKUP($C200,Planes_de_estudio[],MATCH($AH$2,Carreras,0)+2,0),""),"")</f>
        <v/>
      </c>
      <c r="AI200" s="93">
        <f>IF(IFERROR(VLOOKUP($C200,Planes_de_estudio[],MATCH($AI$2,Carreras,0)+2,0),"")&gt;0,IFERROR(VLOOKUP($C200,Planes_de_estudio[],MATCH($AI$2,Carreras,0)+2,0),""),"")</f>
        <v>7</v>
      </c>
      <c r="AJ200" s="93" t="str">
        <f>IF(IFERROR(VLOOKUP($C200,Planes_de_estudio[],MATCH($AJ$2,Carreras,0)+2,0),"")&gt;0,IFERROR(VLOOKUP($C200,Planes_de_estudio[],MATCH($AJ$2,Carreras,0)+2,0),""),"")</f>
        <v/>
      </c>
      <c r="AK200" s="93" t="str">
        <f>IF(IFERROR(VLOOKUP($C200,Planes_de_estudio[],MATCH($AK$2,Carreras,0)+2,0),"")&gt;0,IFERROR(VLOOKUP($C200,Planes_de_estudio[],MATCH($AK$2,Carreras,0)+2,0),""),"")</f>
        <v/>
      </c>
      <c r="AL20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0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</v>
      </c>
      <c r="AN200" s="93">
        <f>base_de_datos[[#This Row],[Pronóstico]]/25</f>
        <v>0.36</v>
      </c>
      <c r="AO200" s="93" t="str">
        <f>VLOOKUP($C200,Planes_de_estudio[],2)</f>
        <v>ETF</v>
      </c>
      <c r="AP200" s="196"/>
      <c r="AQ200" s="196"/>
      <c r="AR200" s="196"/>
      <c r="AS200" s="196"/>
      <c r="AT200" s="195">
        <v>6</v>
      </c>
      <c r="AU200" s="196"/>
      <c r="AV200" s="196"/>
      <c r="AW200" s="91"/>
      <c r="AX200" s="73"/>
    </row>
    <row r="201" spans="2:50" ht="16">
      <c r="B201" s="95" t="s">
        <v>361</v>
      </c>
      <c r="C201" s="96" t="s">
        <v>399</v>
      </c>
      <c r="D201" s="92">
        <v>1</v>
      </c>
      <c r="E201" s="97">
        <v>0.79166666666666696</v>
      </c>
      <c r="F201" s="97">
        <v>0.87499999999999001</v>
      </c>
      <c r="G201" s="92"/>
      <c r="H201" s="92" t="s">
        <v>360</v>
      </c>
      <c r="I201" s="92" t="e">
        <f>INDEX(Aulas_capacidad,MATCH(base_de_datos[[#This Row],[Aula]],Aulas,0),2)</f>
        <v>#REF!</v>
      </c>
      <c r="J201" s="90">
        <v>9</v>
      </c>
      <c r="K201" s="92" t="e">
        <f>INDEX(Aulas_capacidad,MATCH(base_de_datos[[#This Row],[Aula]],Aulas,0),4)</f>
        <v>#REF!</v>
      </c>
      <c r="L201" s="98" t="e">
        <f>base_de_datos[[#This Row],[Cap 1.5]]-base_de_datos[[#This Row],[Inscritos]]</f>
        <v>#REF!</v>
      </c>
      <c r="M201" s="98" t="e">
        <f>INDEX(Aulas_capacidad,MATCH(base_de_datos[[#This Row],[Aula]],Aulas,0),5)</f>
        <v>#REF!</v>
      </c>
      <c r="N201" s="98" t="e">
        <f>base_de_datos[[#This Row],[Cap .90]]-base_de_datos[[#This Row],[Inscritos]]</f>
        <v>#REF!</v>
      </c>
      <c r="O201" s="92" t="s">
        <v>400</v>
      </c>
      <c r="P201" s="99"/>
      <c r="Q201" s="100"/>
      <c r="R201" s="99"/>
      <c r="S201" s="100" t="s">
        <v>68</v>
      </c>
      <c r="T201" s="100"/>
      <c r="U201" s="99"/>
      <c r="V201" s="99"/>
      <c r="W201" s="99" t="s">
        <v>92</v>
      </c>
      <c r="X201" s="93">
        <f>_xlfn.XLOOKUP(base_de_datos[[#This Row],[Materia]],Materias,Horas)/16</f>
        <v>4</v>
      </c>
      <c r="Y201" s="93">
        <f>ROUND(((base_de_datos[[#This Row],[Hora fin]]-base_de_datos[[#This Row],[Hora inicio]])*24)*(COUNTA(base_de_datos[[#This Row],[Lunes]:[Sábado]])),1)</f>
        <v>2</v>
      </c>
      <c r="Z201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1" s="93">
        <f ca="1">IF(base_de_datos[[#This Row],[No clase]]=OFFSET(base_de_datos[[#This Row],[No clase]],-1,0),0,1)</f>
        <v>0</v>
      </c>
      <c r="AB201" s="93">
        <f ca="1">IF(NOT(OR(base_de_datos[[#This Row],[Horas totales]]=base_de_datos[[#This Row],[HT Plan]],base_de_datos[[#This Row],[Horas totales]]="N/A")),1,0)</f>
        <v>0</v>
      </c>
      <c r="AC201" s="93" t="e">
        <f>_xlfn.XLOOKUP(base_de_datos[[#This Row],[Profesor]],Nombre,Grado)</f>
        <v>#REF!</v>
      </c>
      <c r="AD201" s="94" t="e">
        <f>_xlfn.XLOOKUP(base_de_datos[[#This Row],[Profesor]],Nombre,Tipo)</f>
        <v>#REF!</v>
      </c>
      <c r="AE201" s="93" t="str">
        <f>IF(IFERROR(VLOOKUP($C201,Planes_de_estudio[],MATCH($AE$2,Carreras,0)+2,0),"")&gt;0,IFERROR(VLOOKUP($C201,Planes_de_estudio[],MATCH($AE$2,Carreras,0)+2,0),""),"")</f>
        <v/>
      </c>
      <c r="AF201" s="93" t="str">
        <f>IF(IFERROR(VLOOKUP($C201,Planes_de_estudio[],MATCH($AF$2,Carreras,0)+2,0),"")&gt;0,IFERROR(VLOOKUP($C201,Planes_de_estudio[],MATCH($AF$2,Carreras,0)+2,0),""),"")</f>
        <v/>
      </c>
      <c r="AG201" s="93" t="str">
        <f>IF(IFERROR(VLOOKUP($C201,Planes_de_estudio[],MATCH($AG$2,Carreras,0)+2,0),"")&gt;0,IFERROR(VLOOKUP($C201,Planes_de_estudio[],MATCH($AG$2,Carreras,0)+2,0),""),"")</f>
        <v/>
      </c>
      <c r="AH201" s="93" t="str">
        <f>IF(IFERROR(VLOOKUP($C201,Planes_de_estudio[],MATCH($AH$2,Carreras,0)+2,0),"")&gt;0,IFERROR(VLOOKUP($C201,Planes_de_estudio[],MATCH($AH$2,Carreras,0)+2,0),""),"")</f>
        <v/>
      </c>
      <c r="AI201" s="93">
        <f>IF(IFERROR(VLOOKUP($C201,Planes_de_estudio[],MATCH($AI$2,Carreras,0)+2,0),"")&gt;0,IFERROR(VLOOKUP($C201,Planes_de_estudio[],MATCH($AI$2,Carreras,0)+2,0),""),"")</f>
        <v>7</v>
      </c>
      <c r="AJ201" s="93" t="str">
        <f>IF(IFERROR(VLOOKUP($C201,Planes_de_estudio[],MATCH($AJ$2,Carreras,0)+2,0),"")&gt;0,IFERROR(VLOOKUP($C201,Planes_de_estudio[],MATCH($AJ$2,Carreras,0)+2,0),""),"")</f>
        <v/>
      </c>
      <c r="AK201" s="93" t="str">
        <f>IF(IFERROR(VLOOKUP($C201,Planes_de_estudio[],MATCH($AK$2,Carreras,0)+2,0),"")&gt;0,IFERROR(VLOOKUP($C201,Planes_de_estudio[],MATCH($AK$2,Carreras,0)+2,0),""),"")</f>
        <v/>
      </c>
      <c r="AL20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0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</v>
      </c>
      <c r="AN201" s="93">
        <f>base_de_datos[[#This Row],[Pronóstico]]/25</f>
        <v>0.36</v>
      </c>
      <c r="AO201" s="93" t="str">
        <f>VLOOKUP($C201,Planes_de_estudio[],2)</f>
        <v>ETF</v>
      </c>
      <c r="AP201" s="196"/>
      <c r="AQ201" s="196"/>
      <c r="AR201" s="196"/>
      <c r="AS201" s="196"/>
      <c r="AT201" s="196"/>
      <c r="AU201" s="196"/>
      <c r="AV201" s="196"/>
      <c r="AW201" s="91"/>
      <c r="AX201" s="73"/>
    </row>
    <row r="202" spans="2:50" ht="16">
      <c r="B202" s="95" t="s">
        <v>401</v>
      </c>
      <c r="C202" s="96" t="s">
        <v>402</v>
      </c>
      <c r="D202" s="92">
        <v>1</v>
      </c>
      <c r="E202" s="97">
        <v>0.70833333333333304</v>
      </c>
      <c r="F202" s="97">
        <v>0.79166666666665897</v>
      </c>
      <c r="G202" s="92"/>
      <c r="H202" s="175" t="s">
        <v>119</v>
      </c>
      <c r="I202" s="92" t="e">
        <f>INDEX(Aulas_capacidad,MATCH(base_de_datos[[#This Row],[Aula]],Aulas,0),2)</f>
        <v>#REF!</v>
      </c>
      <c r="J202" s="90">
        <v>10</v>
      </c>
      <c r="K202" s="92" t="e">
        <f>INDEX(Aulas_capacidad,MATCH(base_de_datos[[#This Row],[Aula]],Aulas,0),4)</f>
        <v>#REF!</v>
      </c>
      <c r="L202" s="98" t="e">
        <f>base_de_datos[[#This Row],[Cap 1.5]]-base_de_datos[[#This Row],[Inscritos]]</f>
        <v>#REF!</v>
      </c>
      <c r="M202" s="98" t="e">
        <f>INDEX(Aulas_capacidad,MATCH(base_de_datos[[#This Row],[Aula]],Aulas,0),5)</f>
        <v>#REF!</v>
      </c>
      <c r="N202" s="98" t="e">
        <f>base_de_datos[[#This Row],[Cap .90]]-base_de_datos[[#This Row],[Inscritos]]</f>
        <v>#REF!</v>
      </c>
      <c r="O202" s="92" t="s">
        <v>403</v>
      </c>
      <c r="P202" s="99"/>
      <c r="Q202" s="100"/>
      <c r="R202" s="99" t="s">
        <v>68</v>
      </c>
      <c r="S202" s="100"/>
      <c r="T202" s="100"/>
      <c r="U202" s="99"/>
      <c r="V202" s="99" t="s">
        <v>68</v>
      </c>
      <c r="W202" s="99" t="s">
        <v>148</v>
      </c>
      <c r="X202" s="93">
        <f>_xlfn.XLOOKUP(base_de_datos[[#This Row],[Materia]],Materias,Horas)/16</f>
        <v>4</v>
      </c>
      <c r="Y202" s="93">
        <f>ROUND(((base_de_datos[[#This Row],[Hora fin]]-base_de_datos[[#This Row],[Hora inicio]])*24)*(COUNTA(base_de_datos[[#This Row],[Lunes]:[Sábado]])),1)</f>
        <v>2</v>
      </c>
      <c r="Z202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2" s="93">
        <f ca="1">IF(base_de_datos[[#This Row],[No clase]]=OFFSET(base_de_datos[[#This Row],[No clase]],-1,0),0,1)</f>
        <v>1</v>
      </c>
      <c r="AB202" s="93">
        <f ca="1">IF(NOT(OR(base_de_datos[[#This Row],[Horas totales]]=base_de_datos[[#This Row],[HT Plan]],base_de_datos[[#This Row],[Horas totales]]="N/A")),1,0)</f>
        <v>0</v>
      </c>
      <c r="AC202" s="93" t="e">
        <f>_xlfn.XLOOKUP(base_de_datos[[#This Row],[Profesor]],Nombre,Grado)</f>
        <v>#REF!</v>
      </c>
      <c r="AD202" s="94" t="e">
        <f>_xlfn.XLOOKUP(base_de_datos[[#This Row],[Profesor]],Nombre,Tipo)</f>
        <v>#REF!</v>
      </c>
      <c r="AE202" s="93" t="str">
        <f>IF(IFERROR(VLOOKUP($C202,Planes_de_estudio[],MATCH($AE$2,Carreras,0)+2,0),"")&gt;0,IFERROR(VLOOKUP($C202,Planes_de_estudio[],MATCH($AE$2,Carreras,0)+2,0),""),"")</f>
        <v/>
      </c>
      <c r="AF202" s="93" t="str">
        <f>IF(IFERROR(VLOOKUP($C202,Planes_de_estudio[],MATCH($AF$2,Carreras,0)+2,0),"")&gt;0,IFERROR(VLOOKUP($C202,Planes_de_estudio[],MATCH($AF$2,Carreras,0)+2,0),""),"")</f>
        <v/>
      </c>
      <c r="AG202" s="93" t="str">
        <f>IF(IFERROR(VLOOKUP($C202,Planes_de_estudio[],MATCH($AG$2,Carreras,0)+2,0),"")&gt;0,IFERROR(VLOOKUP($C202,Planes_de_estudio[],MATCH($AG$2,Carreras,0)+2,0),""),"")</f>
        <v/>
      </c>
      <c r="AH202" s="93" t="str">
        <f>IF(IFERROR(VLOOKUP($C202,Planes_de_estudio[],MATCH($AH$2,Carreras,0)+2,0),"")&gt;0,IFERROR(VLOOKUP($C202,Planes_de_estudio[],MATCH($AH$2,Carreras,0)+2,0),""),"")</f>
        <v/>
      </c>
      <c r="AI202" s="93">
        <f>IF(IFERROR(VLOOKUP($C202,Planes_de_estudio[],MATCH($AI$2,Carreras,0)+2,0),"")&gt;0,IFERROR(VLOOKUP($C202,Planes_de_estudio[],MATCH($AI$2,Carreras,0)+2,0),""),"")</f>
        <v>7</v>
      </c>
      <c r="AJ202" s="93" t="str">
        <f>IF(IFERROR(VLOOKUP($C202,Planes_de_estudio[],MATCH($AJ$2,Carreras,0)+2,0),"")&gt;0,IFERROR(VLOOKUP($C202,Planes_de_estudio[],MATCH($AJ$2,Carreras,0)+2,0),""),"")</f>
        <v/>
      </c>
      <c r="AK202" s="93" t="str">
        <f>IF(IFERROR(VLOOKUP($C202,Planes_de_estudio[],MATCH($AK$2,Carreras,0)+2,0),"")&gt;0,IFERROR(VLOOKUP($C202,Planes_de_estudio[],MATCH($AK$2,Carreras,0)+2,0),""),"")</f>
        <v/>
      </c>
      <c r="AL20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0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</v>
      </c>
      <c r="AN202" s="93">
        <f>base_de_datos[[#This Row],[Pronóstico]]/25</f>
        <v>0.36</v>
      </c>
      <c r="AO202" s="93" t="str">
        <f>VLOOKUP($C202,Planes_de_estudio[],2)</f>
        <v>ETF</v>
      </c>
      <c r="AP202" s="196"/>
      <c r="AQ202" s="196"/>
      <c r="AR202" s="196"/>
      <c r="AS202" s="196"/>
      <c r="AT202" s="195">
        <v>6</v>
      </c>
      <c r="AU202" s="196"/>
      <c r="AV202" s="196"/>
      <c r="AW202" s="91"/>
      <c r="AX202" s="73"/>
    </row>
    <row r="203" spans="2:50" ht="16">
      <c r="B203" s="95" t="s">
        <v>401</v>
      </c>
      <c r="C203" s="96" t="s">
        <v>402</v>
      </c>
      <c r="D203" s="92">
        <v>1</v>
      </c>
      <c r="E203" s="97">
        <v>0.79166666666666696</v>
      </c>
      <c r="F203" s="97">
        <v>0.87499999999999001</v>
      </c>
      <c r="G203" s="92"/>
      <c r="H203" s="175" t="s">
        <v>87</v>
      </c>
      <c r="I203" s="92" t="e">
        <f>INDEX(Aulas_capacidad,MATCH(base_de_datos[[#This Row],[Aula]],Aulas,0),2)</f>
        <v>#REF!</v>
      </c>
      <c r="J203" s="90">
        <v>10</v>
      </c>
      <c r="K203" s="92" t="e">
        <f>INDEX(Aulas_capacidad,MATCH(base_de_datos[[#This Row],[Aula]],Aulas,0),4)</f>
        <v>#REF!</v>
      </c>
      <c r="L203" s="98" t="e">
        <f>base_de_datos[[#This Row],[Cap 1.5]]-base_de_datos[[#This Row],[Inscritos]]</f>
        <v>#REF!</v>
      </c>
      <c r="M203" s="98" t="e">
        <f>INDEX(Aulas_capacidad,MATCH(base_de_datos[[#This Row],[Aula]],Aulas,0),5)</f>
        <v>#REF!</v>
      </c>
      <c r="N203" s="98" t="e">
        <f>base_de_datos[[#This Row],[Cap .90]]-base_de_datos[[#This Row],[Inscritos]]</f>
        <v>#REF!</v>
      </c>
      <c r="O203" s="92" t="s">
        <v>403</v>
      </c>
      <c r="P203" s="99"/>
      <c r="Q203" s="100"/>
      <c r="R203" s="99"/>
      <c r="S203" s="100"/>
      <c r="T203" s="100" t="s">
        <v>68</v>
      </c>
      <c r="U203" s="99"/>
      <c r="V203" s="99" t="s">
        <v>68</v>
      </c>
      <c r="W203" s="99" t="s">
        <v>148</v>
      </c>
      <c r="X203" s="93">
        <f>_xlfn.XLOOKUP(base_de_datos[[#This Row],[Materia]],Materias,Horas)/16</f>
        <v>4</v>
      </c>
      <c r="Y203" s="93">
        <f>ROUND(((base_de_datos[[#This Row],[Hora fin]]-base_de_datos[[#This Row],[Hora inicio]])*24)*(COUNTA(base_de_datos[[#This Row],[Lunes]:[Sábado]])),1)</f>
        <v>2</v>
      </c>
      <c r="Z203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3" s="93">
        <f ca="1">IF(base_de_datos[[#This Row],[No clase]]=OFFSET(base_de_datos[[#This Row],[No clase]],-1,0),0,1)</f>
        <v>0</v>
      </c>
      <c r="AB203" s="93">
        <f ca="1">IF(NOT(OR(base_de_datos[[#This Row],[Horas totales]]=base_de_datos[[#This Row],[HT Plan]],base_de_datos[[#This Row],[Horas totales]]="N/A")),1,0)</f>
        <v>0</v>
      </c>
      <c r="AC203" s="93" t="e">
        <f>_xlfn.XLOOKUP(base_de_datos[[#This Row],[Profesor]],Nombre,Grado)</f>
        <v>#REF!</v>
      </c>
      <c r="AD203" s="94" t="e">
        <f>_xlfn.XLOOKUP(base_de_datos[[#This Row],[Profesor]],Nombre,Tipo)</f>
        <v>#REF!</v>
      </c>
      <c r="AE203" s="93" t="str">
        <f>IF(IFERROR(VLOOKUP($C203,Planes_de_estudio[],MATCH($AE$2,Carreras,0)+2,0),"")&gt;0,IFERROR(VLOOKUP($C203,Planes_de_estudio[],MATCH($AE$2,Carreras,0)+2,0),""),"")</f>
        <v/>
      </c>
      <c r="AF203" s="93" t="str">
        <f>IF(IFERROR(VLOOKUP($C203,Planes_de_estudio[],MATCH($AF$2,Carreras,0)+2,0),"")&gt;0,IFERROR(VLOOKUP($C203,Planes_de_estudio[],MATCH($AF$2,Carreras,0)+2,0),""),"")</f>
        <v/>
      </c>
      <c r="AG203" s="93" t="str">
        <f>IF(IFERROR(VLOOKUP($C203,Planes_de_estudio[],MATCH($AG$2,Carreras,0)+2,0),"")&gt;0,IFERROR(VLOOKUP($C203,Planes_de_estudio[],MATCH($AG$2,Carreras,0)+2,0),""),"")</f>
        <v/>
      </c>
      <c r="AH203" s="93" t="str">
        <f>IF(IFERROR(VLOOKUP($C203,Planes_de_estudio[],MATCH($AH$2,Carreras,0)+2,0),"")&gt;0,IFERROR(VLOOKUP($C203,Planes_de_estudio[],MATCH($AH$2,Carreras,0)+2,0),""),"")</f>
        <v/>
      </c>
      <c r="AI203" s="93">
        <f>IF(IFERROR(VLOOKUP($C203,Planes_de_estudio[],MATCH($AI$2,Carreras,0)+2,0),"")&gt;0,IFERROR(VLOOKUP($C203,Planes_de_estudio[],MATCH($AI$2,Carreras,0)+2,0),""),"")</f>
        <v>7</v>
      </c>
      <c r="AJ203" s="93" t="str">
        <f>IF(IFERROR(VLOOKUP($C203,Planes_de_estudio[],MATCH($AJ$2,Carreras,0)+2,0),"")&gt;0,IFERROR(VLOOKUP($C203,Planes_de_estudio[],MATCH($AJ$2,Carreras,0)+2,0),""),"")</f>
        <v/>
      </c>
      <c r="AK203" s="93" t="str">
        <f>IF(IFERROR(VLOOKUP($C203,Planes_de_estudio[],MATCH($AK$2,Carreras,0)+2,0),"")&gt;0,IFERROR(VLOOKUP($C203,Planes_de_estudio[],MATCH($AK$2,Carreras,0)+2,0),""),"")</f>
        <v/>
      </c>
      <c r="AL20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0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</v>
      </c>
      <c r="AN203" s="93">
        <f>base_de_datos[[#This Row],[Pronóstico]]/25</f>
        <v>0.36</v>
      </c>
      <c r="AO203" s="93" t="str">
        <f>VLOOKUP($C203,Planes_de_estudio[],2)</f>
        <v>ETF</v>
      </c>
      <c r="AP203" s="196"/>
      <c r="AQ203" s="196"/>
      <c r="AR203" s="196"/>
      <c r="AS203" s="196"/>
      <c r="AT203" s="196"/>
      <c r="AU203" s="196"/>
      <c r="AV203" s="196"/>
      <c r="AW203" s="91"/>
      <c r="AX203" s="73"/>
    </row>
    <row r="204" spans="2:50" ht="16">
      <c r="B204" s="95" t="s">
        <v>294</v>
      </c>
      <c r="C204" s="96" t="s">
        <v>404</v>
      </c>
      <c r="D204" s="92">
        <v>1</v>
      </c>
      <c r="E204" s="97">
        <v>0.29166666666666669</v>
      </c>
      <c r="F204" s="97">
        <v>0.374999999999999</v>
      </c>
      <c r="G204" s="92"/>
      <c r="H204" s="92" t="s">
        <v>106</v>
      </c>
      <c r="I204" s="92" t="e">
        <f>INDEX(Aulas_capacidad,MATCH(base_de_datos[[#This Row],[Aula]],Aulas,0),2)</f>
        <v>#REF!</v>
      </c>
      <c r="J204" s="90">
        <v>11</v>
      </c>
      <c r="K204" s="92" t="e">
        <f>INDEX(Aulas_capacidad,MATCH(base_de_datos[[#This Row],[Aula]],Aulas,0),4)</f>
        <v>#REF!</v>
      </c>
      <c r="L204" s="98" t="e">
        <f>base_de_datos[[#This Row],[Cap 1.5]]-base_de_datos[[#This Row],[Inscritos]]</f>
        <v>#REF!</v>
      </c>
      <c r="M204" s="98" t="e">
        <f>INDEX(Aulas_capacidad,MATCH(base_de_datos[[#This Row],[Aula]],Aulas,0),5)</f>
        <v>#REF!</v>
      </c>
      <c r="N204" s="98" t="e">
        <f>base_de_datos[[#This Row],[Cap .90]]-base_de_datos[[#This Row],[Inscritos]]</f>
        <v>#REF!</v>
      </c>
      <c r="O204" s="92" t="s">
        <v>405</v>
      </c>
      <c r="P204" s="99" t="s">
        <v>68</v>
      </c>
      <c r="Q204" s="100"/>
      <c r="R204" s="99" t="s">
        <v>68</v>
      </c>
      <c r="S204" s="100"/>
      <c r="T204" s="100"/>
      <c r="U204" s="99"/>
      <c r="V204" s="99"/>
      <c r="W204" s="99" t="s">
        <v>101</v>
      </c>
      <c r="X204" s="93">
        <f>_xlfn.XLOOKUP(base_de_datos[[#This Row],[Materia]],Materias,Horas)/16</f>
        <v>4</v>
      </c>
      <c r="Y204" s="93">
        <f>ROUND(((base_de_datos[[#This Row],[Hora fin]]-base_de_datos[[#This Row],[Hora inicio]])*24)*(COUNTA(base_de_datos[[#This Row],[Lunes]:[Sábado]])),1)</f>
        <v>4</v>
      </c>
      <c r="Z204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4" s="93">
        <f ca="1">IF(base_de_datos[[#This Row],[No clase]]=OFFSET(base_de_datos[[#This Row],[No clase]],-1,0),0,1)</f>
        <v>1</v>
      </c>
      <c r="AB204" s="93">
        <f ca="1">IF(NOT(OR(base_de_datos[[#This Row],[Horas totales]]=base_de_datos[[#This Row],[HT Plan]],base_de_datos[[#This Row],[Horas totales]]="N/A")),1,0)</f>
        <v>0</v>
      </c>
      <c r="AC204" s="93" t="e">
        <f>_xlfn.XLOOKUP(base_de_datos[[#This Row],[Profesor]],Nombre,Grado)</f>
        <v>#REF!</v>
      </c>
      <c r="AD204" s="94" t="e">
        <f>_xlfn.XLOOKUP(base_de_datos[[#This Row],[Profesor]],Nombre,Tipo)</f>
        <v>#REF!</v>
      </c>
      <c r="AE204" s="93">
        <f>IF(IFERROR(VLOOKUP($C204,Planes_de_estudio[],MATCH($AE$2,Carreras,0)+2,0),"")&gt;0,IFERROR(VLOOKUP($C204,Planes_de_estudio[],MATCH($AE$2,Carreras,0)+2,0),""),"")</f>
        <v>2</v>
      </c>
      <c r="AF204" s="93">
        <f>IF(IFERROR(VLOOKUP($C204,Planes_de_estudio[],MATCH($AF$2,Carreras,0)+2,0),"")&gt;0,IFERROR(VLOOKUP($C204,Planes_de_estudio[],MATCH($AF$2,Carreras,0)+2,0),""),"")</f>
        <v>2</v>
      </c>
      <c r="AG204" s="93" t="str">
        <f>IF(IFERROR(VLOOKUP($C204,Planes_de_estudio[],MATCH($AG$2,Carreras,0)+2,0),"")&gt;0,IFERROR(VLOOKUP($C204,Planes_de_estudio[],MATCH($AG$2,Carreras,0)+2,0),""),"")</f>
        <v/>
      </c>
      <c r="AH204" s="93">
        <f>IF(IFERROR(VLOOKUP($C204,Planes_de_estudio[],MATCH($AH$2,Carreras,0)+2,0),"")&gt;0,IFERROR(VLOOKUP($C204,Planes_de_estudio[],MATCH($AH$2,Carreras,0)+2,0),""),"")</f>
        <v>2</v>
      </c>
      <c r="AI204" s="93">
        <f>IF(IFERROR(VLOOKUP($C204,Planes_de_estudio[],MATCH($AI$2,Carreras,0)+2,0),"")&gt;0,IFERROR(VLOOKUP($C204,Planes_de_estudio[],MATCH($AI$2,Carreras,0)+2,0),""),"")</f>
        <v>2</v>
      </c>
      <c r="AJ204" s="93" t="str">
        <f>IF(IFERROR(VLOOKUP($C204,Planes_de_estudio[],MATCH($AJ$2,Carreras,0)+2,0),"")&gt;0,IFERROR(VLOOKUP($C204,Planes_de_estudio[],MATCH($AJ$2,Carreras,0)+2,0),""),"")</f>
        <v/>
      </c>
      <c r="AK204" s="93">
        <f>IF(IFERROR(VLOOKUP($C204,Planes_de_estudio[],MATCH($AK$2,Carreras,0)+2,0),"")&gt;0,IFERROR(VLOOKUP($C204,Planes_de_estudio[],MATCH($AK$2,Carreras,0)+2,0),""),"")</f>
        <v>2</v>
      </c>
      <c r="AL20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0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14</v>
      </c>
      <c r="AN204" s="93">
        <f>base_de_datos[[#This Row],[Pronóstico]]/25</f>
        <v>0.56000000000000005</v>
      </c>
      <c r="AO204" s="93" t="str">
        <f>VLOOKUP($C204,Planes_de_estudio[],2)</f>
        <v>COM</v>
      </c>
      <c r="AP204" s="195">
        <v>6</v>
      </c>
      <c r="AQ204" s="195">
        <v>6</v>
      </c>
      <c r="AR204" s="196"/>
      <c r="AS204" s="195">
        <v>6</v>
      </c>
      <c r="AT204" s="195">
        <v>6</v>
      </c>
      <c r="AU204" s="196"/>
      <c r="AV204" s="195">
        <v>6</v>
      </c>
      <c r="AW204" s="91"/>
      <c r="AX204" s="73"/>
    </row>
    <row r="205" spans="2:50" ht="16">
      <c r="B205" s="95" t="s">
        <v>406</v>
      </c>
      <c r="C205" s="96" t="s">
        <v>407</v>
      </c>
      <c r="D205" s="92">
        <v>1</v>
      </c>
      <c r="E205" s="97">
        <v>0.79166666666666696</v>
      </c>
      <c r="F205" s="97">
        <v>0.87499999999999001</v>
      </c>
      <c r="G205" s="92"/>
      <c r="H205" s="92" t="s">
        <v>80</v>
      </c>
      <c r="I205" s="92" t="e">
        <f>INDEX(Aulas_capacidad,MATCH(base_de_datos[[#This Row],[Aula]],Aulas,0),2)</f>
        <v>#REF!</v>
      </c>
      <c r="J205" s="90">
        <v>17</v>
      </c>
      <c r="K205" s="92" t="e">
        <f>INDEX(Aulas_capacidad,MATCH(base_de_datos[[#This Row],[Aula]],Aulas,0),4)</f>
        <v>#REF!</v>
      </c>
      <c r="L205" s="98" t="e">
        <f>base_de_datos[[#This Row],[Cap 1.5]]-base_de_datos[[#This Row],[Inscritos]]</f>
        <v>#REF!</v>
      </c>
      <c r="M205" s="98" t="e">
        <f>INDEX(Aulas_capacidad,MATCH(base_de_datos[[#This Row],[Aula]],Aulas,0),5)</f>
        <v>#REF!</v>
      </c>
      <c r="N205" s="98" t="e">
        <f>base_de_datos[[#This Row],[Cap .90]]-base_de_datos[[#This Row],[Inscritos]]</f>
        <v>#REF!</v>
      </c>
      <c r="O205" s="92" t="s">
        <v>408</v>
      </c>
      <c r="P205" s="99"/>
      <c r="Q205" s="100" t="s">
        <v>68</v>
      </c>
      <c r="R205" s="99"/>
      <c r="S205" s="100"/>
      <c r="T205" s="100"/>
      <c r="U205" s="99"/>
      <c r="V205" s="99"/>
      <c r="W205" s="99" t="s">
        <v>77</v>
      </c>
      <c r="X205" s="93">
        <f>_xlfn.XLOOKUP(base_de_datos[[#This Row],[Materia]],Materias,Horas)/16</f>
        <v>4</v>
      </c>
      <c r="Y205" s="93">
        <f>ROUND(((base_de_datos[[#This Row],[Hora fin]]-base_de_datos[[#This Row],[Hora inicio]])*24)*(COUNTA(base_de_datos[[#This Row],[Lunes]:[Sábado]])),1)</f>
        <v>2</v>
      </c>
      <c r="Z205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5" s="93">
        <f ca="1">IF(base_de_datos[[#This Row],[No clase]]=OFFSET(base_de_datos[[#This Row],[No clase]],-1,0),0,1)</f>
        <v>1</v>
      </c>
      <c r="AB205" s="93">
        <f ca="1">IF(NOT(OR(base_de_datos[[#This Row],[Horas totales]]=base_de_datos[[#This Row],[HT Plan]],base_de_datos[[#This Row],[Horas totales]]="N/A")),1,0)</f>
        <v>0</v>
      </c>
      <c r="AC205" s="93" t="e">
        <f>_xlfn.XLOOKUP(base_de_datos[[#This Row],[Profesor]],Nombre,Grado)</f>
        <v>#REF!</v>
      </c>
      <c r="AD205" s="94" t="e">
        <f>_xlfn.XLOOKUP(base_de_datos[[#This Row],[Profesor]],Nombre,Tipo)</f>
        <v>#REF!</v>
      </c>
      <c r="AE205" s="93" t="str">
        <f>IF(IFERROR(VLOOKUP($C205,Planes_de_estudio[],MATCH($AE$2,Carreras,0)+2,0),"")&gt;0,IFERROR(VLOOKUP($C205,Planes_de_estudio[],MATCH($AE$2,Carreras,0)+2,0),""),"")</f>
        <v/>
      </c>
      <c r="AF205" s="93">
        <f>IF(IFERROR(VLOOKUP($C205,Planes_de_estudio[],MATCH($AF$2,Carreras,0)+2,0),"")&gt;0,IFERROR(VLOOKUP($C205,Planes_de_estudio[],MATCH($AF$2,Carreras,0)+2,0),""),"")</f>
        <v>5</v>
      </c>
      <c r="AG205" s="93" t="str">
        <f>IF(IFERROR(VLOOKUP($C205,Planes_de_estudio[],MATCH($AG$2,Carreras,0)+2,0),"")&gt;0,IFERROR(VLOOKUP($C205,Planes_de_estudio[],MATCH($AG$2,Carreras,0)+2,0),""),"")</f>
        <v/>
      </c>
      <c r="AH205" s="93" t="str">
        <f>IF(IFERROR(VLOOKUP($C205,Planes_de_estudio[],MATCH($AH$2,Carreras,0)+2,0),"")&gt;0,IFERROR(VLOOKUP($C205,Planes_de_estudio[],MATCH($AH$2,Carreras,0)+2,0),""),"")</f>
        <v/>
      </c>
      <c r="AI205" s="93" t="str">
        <f>IF(IFERROR(VLOOKUP($C205,Planes_de_estudio[],MATCH($AI$2,Carreras,0)+2,0),"")&gt;0,IFERROR(VLOOKUP($C205,Planes_de_estudio[],MATCH($AI$2,Carreras,0)+2,0),""),"")</f>
        <v/>
      </c>
      <c r="AJ205" s="93" t="str">
        <f>IF(IFERROR(VLOOKUP($C205,Planes_de_estudio[],MATCH($AJ$2,Carreras,0)+2,0),"")&gt;0,IFERROR(VLOOKUP($C205,Planes_de_estudio[],MATCH($AJ$2,Carreras,0)+2,0),""),"")</f>
        <v/>
      </c>
      <c r="AK205" s="93" t="str">
        <f>IF(IFERROR(VLOOKUP($C205,Planes_de_estudio[],MATCH($AK$2,Carreras,0)+2,0),"")&gt;0,IFERROR(VLOOKUP($C205,Planes_de_estudio[],MATCH($AK$2,Carreras,0)+2,0),""),"")</f>
        <v/>
      </c>
      <c r="AL20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0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17</v>
      </c>
      <c r="AN205" s="93">
        <f>base_de_datos[[#This Row],[Pronóstico]]/25</f>
        <v>0.68</v>
      </c>
      <c r="AO205" s="93" t="str">
        <f>VLOOKUP($C205,Planes_de_estudio[],2)</f>
        <v>MEC</v>
      </c>
      <c r="AP205" s="196"/>
      <c r="AQ205" s="195">
        <v>6</v>
      </c>
      <c r="AR205" s="196"/>
      <c r="AS205" s="196"/>
      <c r="AT205" s="196"/>
      <c r="AU205" s="196"/>
      <c r="AV205" s="196"/>
      <c r="AW205" s="91"/>
      <c r="AX205" s="73"/>
    </row>
    <row r="206" spans="2:50" ht="16">
      <c r="B206" s="95" t="s">
        <v>406</v>
      </c>
      <c r="C206" s="96" t="s">
        <v>407</v>
      </c>
      <c r="D206" s="92">
        <v>1</v>
      </c>
      <c r="E206" s="97">
        <v>0.79166666666666696</v>
      </c>
      <c r="F206" s="97">
        <v>0.87499999999999001</v>
      </c>
      <c r="G206" s="92"/>
      <c r="H206" s="92" t="s">
        <v>310</v>
      </c>
      <c r="I206" s="92" t="e">
        <f>INDEX(Aulas_capacidad,MATCH(base_de_datos[[#This Row],[Aula]],Aulas,0),2)</f>
        <v>#REF!</v>
      </c>
      <c r="J206" s="90">
        <v>17</v>
      </c>
      <c r="K206" s="92" t="e">
        <f>INDEX(Aulas_capacidad,MATCH(base_de_datos[[#This Row],[Aula]],Aulas,0),4)</f>
        <v>#REF!</v>
      </c>
      <c r="L206" s="98" t="e">
        <f>base_de_datos[[#This Row],[Cap 1.5]]-base_de_datos[[#This Row],[Inscritos]]</f>
        <v>#REF!</v>
      </c>
      <c r="M206" s="98" t="e">
        <f>INDEX(Aulas_capacidad,MATCH(base_de_datos[[#This Row],[Aula]],Aulas,0),5)</f>
        <v>#REF!</v>
      </c>
      <c r="N206" s="98" t="e">
        <f>base_de_datos[[#This Row],[Cap .90]]-base_de_datos[[#This Row],[Inscritos]]</f>
        <v>#REF!</v>
      </c>
      <c r="O206" s="92" t="s">
        <v>408</v>
      </c>
      <c r="P206" s="99"/>
      <c r="Q206" s="100"/>
      <c r="R206" s="99" t="s">
        <v>68</v>
      </c>
      <c r="S206" s="100"/>
      <c r="T206" s="100"/>
      <c r="U206" s="99"/>
      <c r="V206" s="99"/>
      <c r="W206" s="99" t="s">
        <v>77</v>
      </c>
      <c r="X206" s="93">
        <f>_xlfn.XLOOKUP(base_de_datos[[#This Row],[Materia]],Materias,Horas)/16</f>
        <v>4</v>
      </c>
      <c r="Y206" s="93">
        <f>ROUND(((base_de_datos[[#This Row],[Hora fin]]-base_de_datos[[#This Row],[Hora inicio]])*24)*(COUNTA(base_de_datos[[#This Row],[Lunes]:[Sábado]])),1)</f>
        <v>2</v>
      </c>
      <c r="Z206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6" s="93">
        <f ca="1">IF(base_de_datos[[#This Row],[No clase]]=OFFSET(base_de_datos[[#This Row],[No clase]],-1,0),0,1)</f>
        <v>0</v>
      </c>
      <c r="AB206" s="93">
        <f ca="1">IF(NOT(OR(base_de_datos[[#This Row],[Horas totales]]=base_de_datos[[#This Row],[HT Plan]],base_de_datos[[#This Row],[Horas totales]]="N/A")),1,0)</f>
        <v>0</v>
      </c>
      <c r="AC206" s="93" t="e">
        <f>_xlfn.XLOOKUP(base_de_datos[[#This Row],[Profesor]],Nombre,Grado)</f>
        <v>#REF!</v>
      </c>
      <c r="AD206" s="94" t="e">
        <f>_xlfn.XLOOKUP(base_de_datos[[#This Row],[Profesor]],Nombre,Tipo)</f>
        <v>#REF!</v>
      </c>
      <c r="AE206" s="93" t="str">
        <f>IF(IFERROR(VLOOKUP($C206,Planes_de_estudio[],MATCH($AE$2,Carreras,0)+2,0),"")&gt;0,IFERROR(VLOOKUP($C206,Planes_de_estudio[],MATCH($AE$2,Carreras,0)+2,0),""),"")</f>
        <v/>
      </c>
      <c r="AF206" s="93">
        <f>IF(IFERROR(VLOOKUP($C206,Planes_de_estudio[],MATCH($AF$2,Carreras,0)+2,0),"")&gt;0,IFERROR(VLOOKUP($C206,Planes_de_estudio[],MATCH($AF$2,Carreras,0)+2,0),""),"")</f>
        <v>5</v>
      </c>
      <c r="AG206" s="93" t="str">
        <f>IF(IFERROR(VLOOKUP($C206,Planes_de_estudio[],MATCH($AG$2,Carreras,0)+2,0),"")&gt;0,IFERROR(VLOOKUP($C206,Planes_de_estudio[],MATCH($AG$2,Carreras,0)+2,0),""),"")</f>
        <v/>
      </c>
      <c r="AH206" s="93" t="str">
        <f>IF(IFERROR(VLOOKUP($C206,Planes_de_estudio[],MATCH($AH$2,Carreras,0)+2,0),"")&gt;0,IFERROR(VLOOKUP($C206,Planes_de_estudio[],MATCH($AH$2,Carreras,0)+2,0),""),"")</f>
        <v/>
      </c>
      <c r="AI206" s="93" t="str">
        <f>IF(IFERROR(VLOOKUP($C206,Planes_de_estudio[],MATCH($AI$2,Carreras,0)+2,0),"")&gt;0,IFERROR(VLOOKUP($C206,Planes_de_estudio[],MATCH($AI$2,Carreras,0)+2,0),""),"")</f>
        <v/>
      </c>
      <c r="AJ206" s="93" t="str">
        <f>IF(IFERROR(VLOOKUP($C206,Planes_de_estudio[],MATCH($AJ$2,Carreras,0)+2,0),"")&gt;0,IFERROR(VLOOKUP($C206,Planes_de_estudio[],MATCH($AJ$2,Carreras,0)+2,0),""),"")</f>
        <v/>
      </c>
      <c r="AK206" s="93" t="str">
        <f>IF(IFERROR(VLOOKUP($C206,Planes_de_estudio[],MATCH($AK$2,Carreras,0)+2,0),"")&gt;0,IFERROR(VLOOKUP($C206,Planes_de_estudio[],MATCH($AK$2,Carreras,0)+2,0),""),"")</f>
        <v/>
      </c>
      <c r="AL20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0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17</v>
      </c>
      <c r="AN206" s="93">
        <f>base_de_datos[[#This Row],[Pronóstico]]/25</f>
        <v>0.68</v>
      </c>
      <c r="AO206" s="93" t="str">
        <f>VLOOKUP($C206,Planes_de_estudio[],2)</f>
        <v>MEC</v>
      </c>
      <c r="AP206" s="196"/>
      <c r="AQ206" s="196"/>
      <c r="AR206" s="196"/>
      <c r="AS206" s="196"/>
      <c r="AT206" s="196"/>
      <c r="AU206" s="196"/>
      <c r="AV206" s="196"/>
      <c r="AW206" s="91"/>
      <c r="AX206" s="73"/>
    </row>
    <row r="207" spans="2:50" ht="16">
      <c r="B207" s="95" t="s">
        <v>409</v>
      </c>
      <c r="C207" s="96" t="s">
        <v>202</v>
      </c>
      <c r="D207" s="92">
        <v>4</v>
      </c>
      <c r="E207" s="97">
        <v>0.5</v>
      </c>
      <c r="F207" s="97">
        <v>0.58333333333332904</v>
      </c>
      <c r="G207" s="92"/>
      <c r="H207" s="92" t="s">
        <v>133</v>
      </c>
      <c r="I207" s="92" t="e">
        <f>INDEX(Aulas_capacidad,MATCH(base_de_datos[[#This Row],[Aula]],Aulas,0),2)</f>
        <v>#REF!</v>
      </c>
      <c r="J207" s="90">
        <v>22</v>
      </c>
      <c r="K207" s="92" t="e">
        <f>INDEX(Aulas_capacidad,MATCH(base_de_datos[[#This Row],[Aula]],Aulas,0),4)</f>
        <v>#REF!</v>
      </c>
      <c r="L207" s="98" t="e">
        <f>base_de_datos[[#This Row],[Cap 1.5]]-base_de_datos[[#This Row],[Inscritos]]</f>
        <v>#REF!</v>
      </c>
      <c r="M207" s="98" t="e">
        <f>INDEX(Aulas_capacidad,MATCH(base_de_datos[[#This Row],[Aula]],Aulas,0),5)</f>
        <v>#REF!</v>
      </c>
      <c r="N207" s="98" t="e">
        <f>base_de_datos[[#This Row],[Cap .90]]-base_de_datos[[#This Row],[Inscritos]]</f>
        <v>#REF!</v>
      </c>
      <c r="O207" s="92" t="s">
        <v>410</v>
      </c>
      <c r="P207" s="99"/>
      <c r="Q207" s="100" t="s">
        <v>68</v>
      </c>
      <c r="R207" s="99"/>
      <c r="S207" s="100"/>
      <c r="T207" s="100"/>
      <c r="U207" s="99"/>
      <c r="V207" s="99"/>
      <c r="W207" s="99" t="s">
        <v>122</v>
      </c>
      <c r="X207" s="93">
        <f>_xlfn.XLOOKUP(base_de_datos[[#This Row],[Materia]],Materias,Horas)/16</f>
        <v>4</v>
      </c>
      <c r="Y207" s="93">
        <f>ROUND(((base_de_datos[[#This Row],[Hora fin]]-base_de_datos[[#This Row],[Hora inicio]])*24)*(COUNTA(base_de_datos[[#This Row],[Lunes]:[Sábado]])),1)</f>
        <v>2</v>
      </c>
      <c r="Z207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7" s="93">
        <f ca="1">IF(base_de_datos[[#This Row],[No clase]]=OFFSET(base_de_datos[[#This Row],[No clase]],-1,0),0,1)</f>
        <v>1</v>
      </c>
      <c r="AB207" s="93">
        <f ca="1">IF(NOT(OR(base_de_datos[[#This Row],[Horas totales]]=base_de_datos[[#This Row],[HT Plan]],base_de_datos[[#This Row],[Horas totales]]="N/A")),1,0)</f>
        <v>0</v>
      </c>
      <c r="AC207" s="93" t="e">
        <f>_xlfn.XLOOKUP(base_de_datos[[#This Row],[Profesor]],Nombre,Grado)</f>
        <v>#REF!</v>
      </c>
      <c r="AD207" s="94" t="e">
        <f>_xlfn.XLOOKUP(base_de_datos[[#This Row],[Profesor]],Nombre,Tipo)</f>
        <v>#REF!</v>
      </c>
      <c r="AE207" s="93">
        <f>IF(IFERROR(VLOOKUP($C207,Planes_de_estudio[],MATCH($AE$2,Carreras,0)+2,0),"")&gt;0,IFERROR(VLOOKUP($C207,Planes_de_estudio[],MATCH($AE$2,Carreras,0)+2,0),""),"")</f>
        <v>1</v>
      </c>
      <c r="AF207" s="93">
        <f>IF(IFERROR(VLOOKUP($C207,Planes_de_estudio[],MATCH($AF$2,Carreras,0)+2,0),"")&gt;0,IFERROR(VLOOKUP($C207,Planes_de_estudio[],MATCH($AF$2,Carreras,0)+2,0),""),"")</f>
        <v>1</v>
      </c>
      <c r="AG207" s="93">
        <f>IF(IFERROR(VLOOKUP($C207,Planes_de_estudio[],MATCH($AG$2,Carreras,0)+2,0),"")&gt;0,IFERROR(VLOOKUP($C207,Planes_de_estudio[],MATCH($AG$2,Carreras,0)+2,0),""),"")</f>
        <v>2</v>
      </c>
      <c r="AH207" s="93">
        <f>IF(IFERROR(VLOOKUP($C207,Planes_de_estudio[],MATCH($AH$2,Carreras,0)+2,0),"")&gt;0,IFERROR(VLOOKUP($C207,Planes_de_estudio[],MATCH($AH$2,Carreras,0)+2,0),""),"")</f>
        <v>1</v>
      </c>
      <c r="AI207" s="93">
        <f>IF(IFERROR(VLOOKUP($C207,Planes_de_estudio[],MATCH($AI$2,Carreras,0)+2,0),"")&gt;0,IFERROR(VLOOKUP($C207,Planes_de_estudio[],MATCH($AI$2,Carreras,0)+2,0),""),"")</f>
        <v>1</v>
      </c>
      <c r="AJ207" s="93" t="str">
        <f>IF(IFERROR(VLOOKUP($C207,Planes_de_estudio[],MATCH($AJ$2,Carreras,0)+2,0),"")&gt;0,IFERROR(VLOOKUP($C207,Planes_de_estudio[],MATCH($AJ$2,Carreras,0)+2,0),""),"")</f>
        <v/>
      </c>
      <c r="AK207" s="93">
        <f>IF(IFERROR(VLOOKUP($C207,Planes_de_estudio[],MATCH($AK$2,Carreras,0)+2,0),"")&gt;0,IFERROR(VLOOKUP($C207,Planes_de_estudio[],MATCH($AK$2,Carreras,0)+2,0),""),"")</f>
        <v>1</v>
      </c>
      <c r="AL20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0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95</v>
      </c>
      <c r="AN207" s="93">
        <f>base_de_datos[[#This Row],[Pronóstico]]/25</f>
        <v>3.8</v>
      </c>
      <c r="AO207" s="93" t="str">
        <f>VLOOKUP($C207,Planes_de_estudio[],2)</f>
        <v>ETF</v>
      </c>
      <c r="AP207" s="195">
        <v>6</v>
      </c>
      <c r="AQ207" s="195">
        <v>6</v>
      </c>
      <c r="AR207" s="195">
        <v>6</v>
      </c>
      <c r="AS207" s="195">
        <v>6</v>
      </c>
      <c r="AT207" s="195">
        <v>6</v>
      </c>
      <c r="AU207" s="196"/>
      <c r="AV207" s="195">
        <v>6</v>
      </c>
      <c r="AW207" s="91"/>
      <c r="AX207" s="73"/>
    </row>
    <row r="208" spans="2:50" ht="16">
      <c r="B208" s="95" t="s">
        <v>409</v>
      </c>
      <c r="C208" s="96" t="s">
        <v>202</v>
      </c>
      <c r="D208" s="92">
        <v>4</v>
      </c>
      <c r="E208" s="97">
        <v>0.5</v>
      </c>
      <c r="F208" s="97">
        <v>0.58333333333332904</v>
      </c>
      <c r="G208" s="92"/>
      <c r="H208" s="92" t="s">
        <v>228</v>
      </c>
      <c r="I208" s="92" t="e">
        <f>INDEX(Aulas_capacidad,MATCH(base_de_datos[[#This Row],[Aula]],Aulas,0),2)</f>
        <v>#REF!</v>
      </c>
      <c r="J208" s="90">
        <v>22</v>
      </c>
      <c r="K208" s="92" t="e">
        <f>INDEX(Aulas_capacidad,MATCH(base_de_datos[[#This Row],[Aula]],Aulas,0),4)</f>
        <v>#REF!</v>
      </c>
      <c r="L208" s="98" t="e">
        <f>base_de_datos[[#This Row],[Cap 1.5]]-base_de_datos[[#This Row],[Inscritos]]</f>
        <v>#REF!</v>
      </c>
      <c r="M208" s="98" t="e">
        <f>INDEX(Aulas_capacidad,MATCH(base_de_datos[[#This Row],[Aula]],Aulas,0),5)</f>
        <v>#REF!</v>
      </c>
      <c r="N208" s="98" t="e">
        <f>base_de_datos[[#This Row],[Cap .90]]-base_de_datos[[#This Row],[Inscritos]]</f>
        <v>#REF!</v>
      </c>
      <c r="O208" s="92" t="s">
        <v>410</v>
      </c>
      <c r="P208" s="99"/>
      <c r="Q208" s="100"/>
      <c r="R208" s="99"/>
      <c r="S208" s="100"/>
      <c r="T208" s="100" t="s">
        <v>68</v>
      </c>
      <c r="U208" s="99"/>
      <c r="V208" s="99"/>
      <c r="W208" s="99" t="s">
        <v>122</v>
      </c>
      <c r="X208" s="93">
        <f>_xlfn.XLOOKUP(base_de_datos[[#This Row],[Materia]],Materias,Horas)/16</f>
        <v>4</v>
      </c>
      <c r="Y208" s="93">
        <f>ROUND(((base_de_datos[[#This Row],[Hora fin]]-base_de_datos[[#This Row],[Hora inicio]])*24)*(COUNTA(base_de_datos[[#This Row],[Lunes]:[Sábado]])),1)</f>
        <v>2</v>
      </c>
      <c r="Z208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8" s="93">
        <f ca="1">IF(base_de_datos[[#This Row],[No clase]]=OFFSET(base_de_datos[[#This Row],[No clase]],-1,0),0,1)</f>
        <v>0</v>
      </c>
      <c r="AB208" s="93">
        <f ca="1">IF(NOT(OR(base_de_datos[[#This Row],[Horas totales]]=base_de_datos[[#This Row],[HT Plan]],base_de_datos[[#This Row],[Horas totales]]="N/A")),1,0)</f>
        <v>0</v>
      </c>
      <c r="AC208" s="93" t="e">
        <f>_xlfn.XLOOKUP(base_de_datos[[#This Row],[Profesor]],Nombre,Grado)</f>
        <v>#REF!</v>
      </c>
      <c r="AD208" s="94" t="e">
        <f>_xlfn.XLOOKUP(base_de_datos[[#This Row],[Profesor]],Nombre,Tipo)</f>
        <v>#REF!</v>
      </c>
      <c r="AE208" s="93">
        <f>IF(IFERROR(VLOOKUP($C208,Planes_de_estudio[],MATCH($AE$2,Carreras,0)+2,0),"")&gt;0,IFERROR(VLOOKUP($C208,Planes_de_estudio[],MATCH($AE$2,Carreras,0)+2,0),""),"")</f>
        <v>1</v>
      </c>
      <c r="AF208" s="93">
        <f>IF(IFERROR(VLOOKUP($C208,Planes_de_estudio[],MATCH($AF$2,Carreras,0)+2,0),"")&gt;0,IFERROR(VLOOKUP($C208,Planes_de_estudio[],MATCH($AF$2,Carreras,0)+2,0),""),"")</f>
        <v>1</v>
      </c>
      <c r="AG208" s="93">
        <f>IF(IFERROR(VLOOKUP($C208,Planes_de_estudio[],MATCH($AG$2,Carreras,0)+2,0),"")&gt;0,IFERROR(VLOOKUP($C208,Planes_de_estudio[],MATCH($AG$2,Carreras,0)+2,0),""),"")</f>
        <v>2</v>
      </c>
      <c r="AH208" s="93">
        <f>IF(IFERROR(VLOOKUP($C208,Planes_de_estudio[],MATCH($AH$2,Carreras,0)+2,0),"")&gt;0,IFERROR(VLOOKUP($C208,Planes_de_estudio[],MATCH($AH$2,Carreras,0)+2,0),""),"")</f>
        <v>1</v>
      </c>
      <c r="AI208" s="93">
        <f>IF(IFERROR(VLOOKUP($C208,Planes_de_estudio[],MATCH($AI$2,Carreras,0)+2,0),"")&gt;0,IFERROR(VLOOKUP($C208,Planes_de_estudio[],MATCH($AI$2,Carreras,0)+2,0),""),"")</f>
        <v>1</v>
      </c>
      <c r="AJ208" s="93" t="str">
        <f>IF(IFERROR(VLOOKUP($C208,Planes_de_estudio[],MATCH($AJ$2,Carreras,0)+2,0),"")&gt;0,IFERROR(VLOOKUP($C208,Planes_de_estudio[],MATCH($AJ$2,Carreras,0)+2,0),""),"")</f>
        <v/>
      </c>
      <c r="AK208" s="93">
        <f>IF(IFERROR(VLOOKUP($C208,Planes_de_estudio[],MATCH($AK$2,Carreras,0)+2,0),"")&gt;0,IFERROR(VLOOKUP($C208,Planes_de_estudio[],MATCH($AK$2,Carreras,0)+2,0),""),"")</f>
        <v>1</v>
      </c>
      <c r="AL20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0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95</v>
      </c>
      <c r="AN208" s="93">
        <f>base_de_datos[[#This Row],[Pronóstico]]/25</f>
        <v>3.8</v>
      </c>
      <c r="AO208" s="93" t="str">
        <f>VLOOKUP($C208,Planes_de_estudio[],2)</f>
        <v>ETF</v>
      </c>
      <c r="AP208" s="196"/>
      <c r="AQ208" s="196"/>
      <c r="AR208" s="196"/>
      <c r="AS208" s="196"/>
      <c r="AT208" s="196"/>
      <c r="AU208" s="196"/>
      <c r="AV208" s="196"/>
      <c r="AW208" s="91"/>
      <c r="AX208" s="73"/>
    </row>
    <row r="209" spans="2:50" ht="16">
      <c r="B209" s="95" t="s">
        <v>190</v>
      </c>
      <c r="C209" s="96" t="s">
        <v>411</v>
      </c>
      <c r="D209" s="92">
        <v>1</v>
      </c>
      <c r="E209" s="97">
        <v>0.64583333333333304</v>
      </c>
      <c r="F209" s="97">
        <v>0.70833333333332704</v>
      </c>
      <c r="G209" s="92"/>
      <c r="H209" s="92" t="s">
        <v>155</v>
      </c>
      <c r="I209" s="92" t="e">
        <f>INDEX(Aulas_capacidad,MATCH(base_de_datos[[#This Row],[Aula]],Aulas,0),2)</f>
        <v>#REF!</v>
      </c>
      <c r="J209" s="90">
        <v>14</v>
      </c>
      <c r="K209" s="92" t="e">
        <f>INDEX(Aulas_capacidad,MATCH(base_de_datos[[#This Row],[Aula]],Aulas,0),4)</f>
        <v>#REF!</v>
      </c>
      <c r="L209" s="98" t="e">
        <f>base_de_datos[[#This Row],[Cap 1.5]]-base_de_datos[[#This Row],[Inscritos]]</f>
        <v>#REF!</v>
      </c>
      <c r="M209" s="98" t="e">
        <f>INDEX(Aulas_capacidad,MATCH(base_de_datos[[#This Row],[Aula]],Aulas,0),5)</f>
        <v>#REF!</v>
      </c>
      <c r="N209" s="98" t="e">
        <f>base_de_datos[[#This Row],[Cap .90]]-base_de_datos[[#This Row],[Inscritos]]</f>
        <v>#REF!</v>
      </c>
      <c r="O209" s="92">
        <v>5236</v>
      </c>
      <c r="P209" s="99"/>
      <c r="Q209" s="100" t="s">
        <v>68</v>
      </c>
      <c r="R209" s="99"/>
      <c r="S209" s="100"/>
      <c r="T209" s="100"/>
      <c r="U209" s="99"/>
      <c r="V209" s="99"/>
      <c r="W209" s="99" t="s">
        <v>122</v>
      </c>
      <c r="X209" s="93">
        <f>_xlfn.XLOOKUP(base_de_datos[[#This Row],[Materia]],Materias,Horas)/16</f>
        <v>3</v>
      </c>
      <c r="Y209" s="93">
        <f>ROUND(((base_de_datos[[#This Row],[Hora fin]]-base_de_datos[[#This Row],[Hora inicio]])*24)*(COUNTA(base_de_datos[[#This Row],[Lunes]:[Sábado]])),1)</f>
        <v>1.5</v>
      </c>
      <c r="Z209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09" s="93">
        <f ca="1">IF(base_de_datos[[#This Row],[No clase]]=OFFSET(base_de_datos[[#This Row],[No clase]],-1,0),0,1)</f>
        <v>1</v>
      </c>
      <c r="AB209" s="93">
        <f ca="1">IF(NOT(OR(base_de_datos[[#This Row],[Horas totales]]=base_de_datos[[#This Row],[HT Plan]],base_de_datos[[#This Row],[Horas totales]]="N/A")),1,0)</f>
        <v>0</v>
      </c>
      <c r="AC209" s="93" t="e">
        <f>_xlfn.XLOOKUP(base_de_datos[[#This Row],[Profesor]],Nombre,Grado)</f>
        <v>#REF!</v>
      </c>
      <c r="AD209" s="94" t="e">
        <f>_xlfn.XLOOKUP(base_de_datos[[#This Row],[Profesor]],Nombre,Tipo)</f>
        <v>#REF!</v>
      </c>
      <c r="AE209" s="93" t="str">
        <f>IF(IFERROR(VLOOKUP($C209,Planes_de_estudio[],MATCH($AE$2,Carreras,0)+2,0),"")&gt;0,IFERROR(VLOOKUP($C209,Planes_de_estudio[],MATCH($AE$2,Carreras,0)+2,0),""),"")</f>
        <v/>
      </c>
      <c r="AF209" s="93" t="str">
        <f>IF(IFERROR(VLOOKUP($C209,Planes_de_estudio[],MATCH($AF$2,Carreras,0)+2,0),"")&gt;0,IFERROR(VLOOKUP($C209,Planes_de_estudio[],MATCH($AF$2,Carreras,0)+2,0),""),"")</f>
        <v/>
      </c>
      <c r="AG209" s="93" t="str">
        <f>IF(IFERROR(VLOOKUP($C209,Planes_de_estudio[],MATCH($AG$2,Carreras,0)+2,0),"")&gt;0,IFERROR(VLOOKUP($C209,Planes_de_estudio[],MATCH($AG$2,Carreras,0)+2,0),""),"")</f>
        <v/>
      </c>
      <c r="AH209" s="93" t="str">
        <f>IF(IFERROR(VLOOKUP($C209,Planes_de_estudio[],MATCH($AH$2,Carreras,0)+2,0),"")&gt;0,IFERROR(VLOOKUP($C209,Planes_de_estudio[],MATCH($AH$2,Carreras,0)+2,0),""),"")</f>
        <v/>
      </c>
      <c r="AI209" s="93" t="str">
        <f>IF(IFERROR(VLOOKUP($C209,Planes_de_estudio[],MATCH($AI$2,Carreras,0)+2,0),"")&gt;0,IFERROR(VLOOKUP($C209,Planes_de_estudio[],MATCH($AI$2,Carreras,0)+2,0),""),"")</f>
        <v/>
      </c>
      <c r="AJ209" s="93">
        <f>IF(IFERROR(VLOOKUP($C209,Planes_de_estudio[],MATCH($AJ$2,Carreras,0)+2,0),"")&gt;0,IFERROR(VLOOKUP($C209,Planes_de_estudio[],MATCH($AJ$2,Carreras,0)+2,0),""),"")</f>
        <v>9</v>
      </c>
      <c r="AK209" s="93" t="str">
        <f>IF(IFERROR(VLOOKUP($C209,Planes_de_estudio[],MATCH($AK$2,Carreras,0)+2,0),"")&gt;0,IFERROR(VLOOKUP($C209,Planes_de_estudio[],MATCH($AK$2,Carreras,0)+2,0),""),"")</f>
        <v/>
      </c>
      <c r="AL20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0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16</v>
      </c>
      <c r="AN209" s="93">
        <f>base_de_datos[[#This Row],[Pronóstico]]/25</f>
        <v>0.64</v>
      </c>
      <c r="AO209" s="93" t="str">
        <f>VLOOKUP($C209,Planes_de_estudio[],2)</f>
        <v>ETF</v>
      </c>
      <c r="AP209" s="196"/>
      <c r="AQ209" s="196"/>
      <c r="AR209" s="196"/>
      <c r="AS209" s="196"/>
      <c r="AT209" s="196"/>
      <c r="AU209" s="195">
        <v>6</v>
      </c>
      <c r="AV209" s="196"/>
      <c r="AW209" s="91"/>
      <c r="AX209" s="73"/>
    </row>
    <row r="210" spans="2:50" ht="16">
      <c r="B210" s="95" t="s">
        <v>190</v>
      </c>
      <c r="C210" s="96" t="s">
        <v>411</v>
      </c>
      <c r="D210" s="92">
        <v>1</v>
      </c>
      <c r="E210" s="97">
        <v>0.66666666666666696</v>
      </c>
      <c r="F210" s="97">
        <v>0.72916666666665997</v>
      </c>
      <c r="G210" s="92" t="s">
        <v>72</v>
      </c>
      <c r="H210" s="92" t="s">
        <v>412</v>
      </c>
      <c r="I210" s="92" t="e">
        <f>INDEX(Aulas_capacidad,MATCH(base_de_datos[[#This Row],[Aula]],Aulas,0),2)</f>
        <v>#REF!</v>
      </c>
      <c r="J210" s="90">
        <v>14</v>
      </c>
      <c r="K210" s="92" t="e">
        <f>INDEX(Aulas_capacidad,MATCH(base_de_datos[[#This Row],[Aula]],Aulas,0),4)</f>
        <v>#REF!</v>
      </c>
      <c r="L210" s="98" t="e">
        <f>base_de_datos[[#This Row],[Cap 1.5]]-base_de_datos[[#This Row],[Inscritos]]</f>
        <v>#REF!</v>
      </c>
      <c r="M210" s="98" t="e">
        <f>INDEX(Aulas_capacidad,MATCH(base_de_datos[[#This Row],[Aula]],Aulas,0),5)</f>
        <v>#REF!</v>
      </c>
      <c r="N210" s="98" t="e">
        <f>base_de_datos[[#This Row],[Cap .90]]-base_de_datos[[#This Row],[Inscritos]]</f>
        <v>#REF!</v>
      </c>
      <c r="O210" s="92">
        <v>5236</v>
      </c>
      <c r="P210" s="99"/>
      <c r="Q210" s="100"/>
      <c r="R210" s="99"/>
      <c r="S210" s="100"/>
      <c r="T210" s="100" t="s">
        <v>68</v>
      </c>
      <c r="U210" s="99"/>
      <c r="V210" s="99"/>
      <c r="W210" s="99" t="s">
        <v>122</v>
      </c>
      <c r="X210" s="93">
        <f>_xlfn.XLOOKUP(base_de_datos[[#This Row],[Materia]],Materias,Horas)/16</f>
        <v>3</v>
      </c>
      <c r="Y210" s="93">
        <f>ROUND(((base_de_datos[[#This Row],[Hora fin]]-base_de_datos[[#This Row],[Hora inicio]])*24)*(COUNTA(base_de_datos[[#This Row],[Lunes]:[Sábado]])),1)</f>
        <v>1.5</v>
      </c>
      <c r="Z210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0" s="93">
        <f ca="1">IF(base_de_datos[[#This Row],[No clase]]=OFFSET(base_de_datos[[#This Row],[No clase]],-1,0),0,1)</f>
        <v>0</v>
      </c>
      <c r="AB210" s="93">
        <f ca="1">IF(NOT(OR(base_de_datos[[#This Row],[Horas totales]]=base_de_datos[[#This Row],[HT Plan]],base_de_datos[[#This Row],[Horas totales]]="N/A")),1,0)</f>
        <v>0</v>
      </c>
      <c r="AC210" s="93" t="e">
        <f>_xlfn.XLOOKUP(base_de_datos[[#This Row],[Profesor]],Nombre,Grado)</f>
        <v>#REF!</v>
      </c>
      <c r="AD210" s="94" t="e">
        <f>_xlfn.XLOOKUP(base_de_datos[[#This Row],[Profesor]],Nombre,Tipo)</f>
        <v>#REF!</v>
      </c>
      <c r="AE210" s="93" t="str">
        <f>IF(IFERROR(VLOOKUP($C210,Planes_de_estudio[],MATCH($AE$2,Carreras,0)+2,0),"")&gt;0,IFERROR(VLOOKUP($C210,Planes_de_estudio[],MATCH($AE$2,Carreras,0)+2,0),""),"")</f>
        <v/>
      </c>
      <c r="AF210" s="93" t="str">
        <f>IF(IFERROR(VLOOKUP($C210,Planes_de_estudio[],MATCH($AF$2,Carreras,0)+2,0),"")&gt;0,IFERROR(VLOOKUP($C210,Planes_de_estudio[],MATCH($AF$2,Carreras,0)+2,0),""),"")</f>
        <v/>
      </c>
      <c r="AG210" s="93" t="str">
        <f>IF(IFERROR(VLOOKUP($C210,Planes_de_estudio[],MATCH($AG$2,Carreras,0)+2,0),"")&gt;0,IFERROR(VLOOKUP($C210,Planes_de_estudio[],MATCH($AG$2,Carreras,0)+2,0),""),"")</f>
        <v/>
      </c>
      <c r="AH210" s="93" t="str">
        <f>IF(IFERROR(VLOOKUP($C210,Planes_de_estudio[],MATCH($AH$2,Carreras,0)+2,0),"")&gt;0,IFERROR(VLOOKUP($C210,Planes_de_estudio[],MATCH($AH$2,Carreras,0)+2,0),""),"")</f>
        <v/>
      </c>
      <c r="AI210" s="93" t="str">
        <f>IF(IFERROR(VLOOKUP($C210,Planes_de_estudio[],MATCH($AI$2,Carreras,0)+2,0),"")&gt;0,IFERROR(VLOOKUP($C210,Planes_de_estudio[],MATCH($AI$2,Carreras,0)+2,0),""),"")</f>
        <v/>
      </c>
      <c r="AJ210" s="93">
        <f>IF(IFERROR(VLOOKUP($C210,Planes_de_estudio[],MATCH($AJ$2,Carreras,0)+2,0),"")&gt;0,IFERROR(VLOOKUP($C210,Planes_de_estudio[],MATCH($AJ$2,Carreras,0)+2,0),""),"")</f>
        <v>9</v>
      </c>
      <c r="AK210" s="93" t="str">
        <f>IF(IFERROR(VLOOKUP($C210,Planes_de_estudio[],MATCH($AK$2,Carreras,0)+2,0),"")&gt;0,IFERROR(VLOOKUP($C210,Planes_de_estudio[],MATCH($AK$2,Carreras,0)+2,0),""),"")</f>
        <v/>
      </c>
      <c r="AL21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1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16</v>
      </c>
      <c r="AN210" s="93">
        <f>base_de_datos[[#This Row],[Pronóstico]]/25</f>
        <v>0.64</v>
      </c>
      <c r="AO210" s="93" t="str">
        <f>VLOOKUP($C210,Planes_de_estudio[],2)</f>
        <v>ETF</v>
      </c>
      <c r="AP210" s="196"/>
      <c r="AQ210" s="196"/>
      <c r="AR210" s="196"/>
      <c r="AS210" s="196"/>
      <c r="AT210" s="196"/>
      <c r="AU210" s="196"/>
      <c r="AV210" s="196"/>
      <c r="AW210" s="91"/>
      <c r="AX210" s="73"/>
    </row>
    <row r="211" spans="2:50" ht="16">
      <c r="B211" s="95" t="s">
        <v>225</v>
      </c>
      <c r="C211" s="96" t="s">
        <v>413</v>
      </c>
      <c r="D211" s="92">
        <v>1</v>
      </c>
      <c r="E211" s="97">
        <v>0.5</v>
      </c>
      <c r="F211" s="97">
        <v>0.58333333333332904</v>
      </c>
      <c r="G211" s="92"/>
      <c r="H211" s="92" t="s">
        <v>18</v>
      </c>
      <c r="I211" s="92" t="e">
        <f>INDEX(Aulas_capacidad,MATCH(base_de_datos[[#This Row],[Aula]],Aulas,0),2)</f>
        <v>#REF!</v>
      </c>
      <c r="J211" s="90">
        <v>13</v>
      </c>
      <c r="K211" s="92" t="e">
        <f>INDEX(Aulas_capacidad,MATCH(base_de_datos[[#This Row],[Aula]],Aulas,0),4)</f>
        <v>#REF!</v>
      </c>
      <c r="L211" s="98" t="e">
        <f>base_de_datos[[#This Row],[Cap 1.5]]-base_de_datos[[#This Row],[Inscritos]]</f>
        <v>#REF!</v>
      </c>
      <c r="M211" s="98" t="e">
        <f>INDEX(Aulas_capacidad,MATCH(base_de_datos[[#This Row],[Aula]],Aulas,0),5)</f>
        <v>#REF!</v>
      </c>
      <c r="N211" s="98" t="e">
        <f>base_de_datos[[#This Row],[Cap .90]]-base_de_datos[[#This Row],[Inscritos]]</f>
        <v>#REF!</v>
      </c>
      <c r="O211" s="92">
        <v>5250</v>
      </c>
      <c r="P211" s="99"/>
      <c r="Q211" s="100"/>
      <c r="R211" s="99"/>
      <c r="S211" s="100" t="s">
        <v>68</v>
      </c>
      <c r="T211" s="100"/>
      <c r="U211" s="99"/>
      <c r="V211" s="99"/>
      <c r="W211" s="99" t="s">
        <v>79</v>
      </c>
      <c r="X211" s="93">
        <f>_xlfn.XLOOKUP(base_de_datos[[#This Row],[Materia]],Materias,Horas)/16</f>
        <v>2</v>
      </c>
      <c r="Y211" s="93">
        <f>ROUND(((base_de_datos[[#This Row],[Hora fin]]-base_de_datos[[#This Row],[Hora inicio]])*24)*(COUNTA(base_de_datos[[#This Row],[Lunes]:[Sábado]])),1)</f>
        <v>2</v>
      </c>
      <c r="Z211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11" s="93">
        <f ca="1">IF(base_de_datos[[#This Row],[No clase]]=OFFSET(base_de_datos[[#This Row],[No clase]],-1,0),0,1)</f>
        <v>1</v>
      </c>
      <c r="AB211" s="93">
        <f ca="1">IF(NOT(OR(base_de_datos[[#This Row],[Horas totales]]=base_de_datos[[#This Row],[HT Plan]],base_de_datos[[#This Row],[Horas totales]]="N/A")),1,0)</f>
        <v>0</v>
      </c>
      <c r="AC211" s="93" t="e">
        <f>_xlfn.XLOOKUP(base_de_datos[[#This Row],[Profesor]],Nombre,Grado)</f>
        <v>#REF!</v>
      </c>
      <c r="AD211" s="94" t="e">
        <f>_xlfn.XLOOKUP(base_de_datos[[#This Row],[Profesor]],Nombre,Tipo)</f>
        <v>#REF!</v>
      </c>
      <c r="AE211" s="93" t="str">
        <f>IF(IFERROR(VLOOKUP($C211,Planes_de_estudio[],MATCH($AE$2,Carreras,0)+2,0),"")&gt;0,IFERROR(VLOOKUP($C211,Planes_de_estudio[],MATCH($AE$2,Carreras,0)+2,0),""),"")</f>
        <v/>
      </c>
      <c r="AF211" s="93" t="str">
        <f>IF(IFERROR(VLOOKUP($C211,Planes_de_estudio[],MATCH($AF$2,Carreras,0)+2,0),"")&gt;0,IFERROR(VLOOKUP($C211,Planes_de_estudio[],MATCH($AF$2,Carreras,0)+2,0),""),"")</f>
        <v/>
      </c>
      <c r="AG211" s="93" t="str">
        <f>IF(IFERROR(VLOOKUP($C211,Planes_de_estudio[],MATCH($AG$2,Carreras,0)+2,0),"")&gt;0,IFERROR(VLOOKUP($C211,Planes_de_estudio[],MATCH($AG$2,Carreras,0)+2,0),""),"")</f>
        <v/>
      </c>
      <c r="AH211" s="93" t="str">
        <f>IF(IFERROR(VLOOKUP($C211,Planes_de_estudio[],MATCH($AH$2,Carreras,0)+2,0),"")&gt;0,IFERROR(VLOOKUP($C211,Planes_de_estudio[],MATCH($AH$2,Carreras,0)+2,0),""),"")</f>
        <v/>
      </c>
      <c r="AI211" s="93" t="str">
        <f>IF(IFERROR(VLOOKUP($C211,Planes_de_estudio[],MATCH($AI$2,Carreras,0)+2,0),"")&gt;0,IFERROR(VLOOKUP($C211,Planes_de_estudio[],MATCH($AI$2,Carreras,0)+2,0),""),"")</f>
        <v/>
      </c>
      <c r="AJ211" s="93">
        <f>IF(IFERROR(VLOOKUP($C211,Planes_de_estudio[],MATCH($AJ$2,Carreras,0)+2,0),"")&gt;0,IFERROR(VLOOKUP($C211,Planes_de_estudio[],MATCH($AJ$2,Carreras,0)+2,0),""),"")</f>
        <v>5</v>
      </c>
      <c r="AK211" s="93" t="str">
        <f>IF(IFERROR(VLOOKUP($C211,Planes_de_estudio[],MATCH($AK$2,Carreras,0)+2,0),"")&gt;0,IFERROR(VLOOKUP($C211,Planes_de_estudio[],MATCH($AK$2,Carreras,0)+2,0),""),"")</f>
        <v/>
      </c>
      <c r="AL21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1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11</v>
      </c>
      <c r="AN211" s="93">
        <f>base_de_datos[[#This Row],[Pronóstico]]/25</f>
        <v>0.44</v>
      </c>
      <c r="AO211" s="93" t="str">
        <f>VLOOKUP($C211,Planes_de_estudio[],2)</f>
        <v>ETF</v>
      </c>
      <c r="AP211" s="196"/>
      <c r="AQ211" s="196"/>
      <c r="AR211" s="196"/>
      <c r="AS211" s="196"/>
      <c r="AT211" s="196"/>
      <c r="AU211" s="195">
        <v>6</v>
      </c>
      <c r="AV211" s="196"/>
      <c r="AW211" s="91"/>
      <c r="AX211" s="73"/>
    </row>
    <row r="212" spans="2:50" ht="16">
      <c r="B212" s="95" t="s">
        <v>311</v>
      </c>
      <c r="C212" s="96" t="s">
        <v>312</v>
      </c>
      <c r="D212" s="92">
        <v>1</v>
      </c>
      <c r="E212" s="97">
        <v>0.625</v>
      </c>
      <c r="F212" s="97">
        <v>0.70833333333332704</v>
      </c>
      <c r="G212" s="92"/>
      <c r="H212" s="92" t="s">
        <v>304</v>
      </c>
      <c r="I212" s="92" t="e">
        <f>INDEX(Aulas_capacidad,MATCH(base_de_datos[[#This Row],[Aula]],Aulas,0),2)</f>
        <v>#REF!</v>
      </c>
      <c r="J212" s="90">
        <v>7</v>
      </c>
      <c r="K212" s="92" t="e">
        <f>INDEX(Aulas_capacidad,MATCH(base_de_datos[[#This Row],[Aula]],Aulas,0),4)</f>
        <v>#REF!</v>
      </c>
      <c r="L212" s="98" t="e">
        <f>base_de_datos[[#This Row],[Cap 1.5]]-base_de_datos[[#This Row],[Inscritos]]</f>
        <v>#REF!</v>
      </c>
      <c r="M212" s="98" t="e">
        <f>INDEX(Aulas_capacidad,MATCH(base_de_datos[[#This Row],[Aula]],Aulas,0),5)</f>
        <v>#REF!</v>
      </c>
      <c r="N212" s="98" t="e">
        <f>base_de_datos[[#This Row],[Cap .90]]-base_de_datos[[#This Row],[Inscritos]]</f>
        <v>#REF!</v>
      </c>
      <c r="O212" s="92" t="s">
        <v>313</v>
      </c>
      <c r="P212" s="99"/>
      <c r="Q212" s="100"/>
      <c r="R212" s="99"/>
      <c r="S212" s="100" t="s">
        <v>68</v>
      </c>
      <c r="T212" s="100"/>
      <c r="U212" s="99"/>
      <c r="V212" s="99"/>
      <c r="W212" s="99" t="s">
        <v>122</v>
      </c>
      <c r="X212" s="93">
        <f>_xlfn.XLOOKUP(base_de_datos[[#This Row],[Materia]],Materias,Horas)/16</f>
        <v>4</v>
      </c>
      <c r="Y212" s="93">
        <f>ROUND(((base_de_datos[[#This Row],[Hora fin]]-base_de_datos[[#This Row],[Hora inicio]])*24)*(COUNTA(base_de_datos[[#This Row],[Lunes]:[Sábado]])),1)</f>
        <v>2</v>
      </c>
      <c r="Z212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12" s="93">
        <f ca="1">IF(base_de_datos[[#This Row],[No clase]]=OFFSET(base_de_datos[[#This Row],[No clase]],-1,0),0,1)</f>
        <v>1</v>
      </c>
      <c r="AB212" s="93">
        <f ca="1">IF(NOT(OR(base_de_datos[[#This Row],[Horas totales]]=base_de_datos[[#This Row],[HT Plan]],base_de_datos[[#This Row],[Horas totales]]="N/A")),1,0)</f>
        <v>1</v>
      </c>
      <c r="AC212" s="93" t="e">
        <f>_xlfn.XLOOKUP(base_de_datos[[#This Row],[Profesor]],Nombre,Grado)</f>
        <v>#REF!</v>
      </c>
      <c r="AD212" s="94" t="e">
        <f>_xlfn.XLOOKUP(base_de_datos[[#This Row],[Profesor]],Nombre,Tipo)</f>
        <v>#REF!</v>
      </c>
      <c r="AE212" s="93" t="str">
        <f>IF(IFERROR(VLOOKUP($C212,Planes_de_estudio[],MATCH($AE$2,Carreras,0)+2,0),"")&gt;0,IFERROR(VLOOKUP($C212,Planes_de_estudio[],MATCH($AE$2,Carreras,0)+2,0),""),"")</f>
        <v/>
      </c>
      <c r="AF212" s="93" t="str">
        <f>IF(IFERROR(VLOOKUP($C212,Planes_de_estudio[],MATCH($AF$2,Carreras,0)+2,0),"")&gt;0,IFERROR(VLOOKUP($C212,Planes_de_estudio[],MATCH($AF$2,Carreras,0)+2,0),""),"")</f>
        <v/>
      </c>
      <c r="AG212" s="93" t="str">
        <f>IF(IFERROR(VLOOKUP($C212,Planes_de_estudio[],MATCH($AG$2,Carreras,0)+2,0),"")&gt;0,IFERROR(VLOOKUP($C212,Planes_de_estudio[],MATCH($AG$2,Carreras,0)+2,0),""),"")</f>
        <v/>
      </c>
      <c r="AH212" s="93" t="str">
        <f>IF(IFERROR(VLOOKUP($C212,Planes_de_estudio[],MATCH($AH$2,Carreras,0)+2,0),"")&gt;0,IFERROR(VLOOKUP($C212,Planes_de_estudio[],MATCH($AH$2,Carreras,0)+2,0),""),"")</f>
        <v/>
      </c>
      <c r="AI212" s="93" t="str">
        <f>IF(IFERROR(VLOOKUP($C212,Planes_de_estudio[],MATCH($AI$2,Carreras,0)+2,0),"")&gt;0,IFERROR(VLOOKUP($C212,Planes_de_estudio[],MATCH($AI$2,Carreras,0)+2,0),""),"")</f>
        <v/>
      </c>
      <c r="AJ212" s="93" t="str">
        <f>IF(IFERROR(VLOOKUP($C212,Planes_de_estudio[],MATCH($AJ$2,Carreras,0)+2,0),"")&gt;0,IFERROR(VLOOKUP($C212,Planes_de_estudio[],MATCH($AJ$2,Carreras,0)+2,0),""),"")</f>
        <v/>
      </c>
      <c r="AK212" s="93">
        <f>IF(IFERROR(VLOOKUP($C212,Planes_de_estudio[],MATCH($AK$2,Carreras,0)+2,0),"")&gt;0,IFERROR(VLOOKUP($C212,Planes_de_estudio[],MATCH($AK$2,Carreras,0)+2,0),""),"")</f>
        <v>7</v>
      </c>
      <c r="AL21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1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</v>
      </c>
      <c r="AN212" s="93">
        <f>base_de_datos[[#This Row],[Pronóstico]]/25</f>
        <v>0.36</v>
      </c>
      <c r="AO212" s="93" t="str">
        <f>VLOOKUP($C212,Planes_de_estudio[],2)</f>
        <v>BIO</v>
      </c>
      <c r="AP212" s="196"/>
      <c r="AQ212" s="196"/>
      <c r="AR212" s="196"/>
      <c r="AS212" s="196"/>
      <c r="AT212" s="196"/>
      <c r="AU212" s="196"/>
      <c r="AV212" s="195">
        <v>6</v>
      </c>
      <c r="AW212" s="91"/>
      <c r="AX212" s="73"/>
    </row>
    <row r="213" spans="2:50" ht="16">
      <c r="B213" s="95" t="s">
        <v>140</v>
      </c>
      <c r="C213" s="96" t="s">
        <v>414</v>
      </c>
      <c r="D213" s="92">
        <v>1</v>
      </c>
      <c r="E213" s="97">
        <v>0.70833333333333304</v>
      </c>
      <c r="F213" s="97">
        <v>0.79166666666665897</v>
      </c>
      <c r="G213" s="92" t="s">
        <v>72</v>
      </c>
      <c r="H213" s="92" t="s">
        <v>415</v>
      </c>
      <c r="I213" s="92" t="e">
        <f>INDEX(Aulas_capacidad,MATCH(base_de_datos[[#This Row],[Aula]],Aulas,0),2)</f>
        <v>#REF!</v>
      </c>
      <c r="J213" s="90">
        <v>8</v>
      </c>
      <c r="K213" s="92" t="e">
        <f>INDEX(Aulas_capacidad,MATCH(base_de_datos[[#This Row],[Aula]],Aulas,0),4)</f>
        <v>#REF!</v>
      </c>
      <c r="L213" s="98" t="e">
        <f>base_de_datos[[#This Row],[Cap 1.5]]-base_de_datos[[#This Row],[Inscritos]]</f>
        <v>#REF!</v>
      </c>
      <c r="M213" s="98" t="e">
        <f>INDEX(Aulas_capacidad,MATCH(base_de_datos[[#This Row],[Aula]],Aulas,0),5)</f>
        <v>#REF!</v>
      </c>
      <c r="N213" s="98" t="e">
        <f>base_de_datos[[#This Row],[Cap .90]]-base_de_datos[[#This Row],[Inscritos]]</f>
        <v>#REF!</v>
      </c>
      <c r="O213" s="92" t="s">
        <v>416</v>
      </c>
      <c r="P213" s="99" t="s">
        <v>68</v>
      </c>
      <c r="Q213" s="100"/>
      <c r="R213" s="99"/>
      <c r="S213" s="100"/>
      <c r="T213" s="100"/>
      <c r="U213" s="99"/>
      <c r="V213" s="99"/>
      <c r="W213" s="99" t="s">
        <v>74</v>
      </c>
      <c r="X213" s="93">
        <f>_xlfn.XLOOKUP(base_de_datos[[#This Row],[Materia]],Materias,Horas)/16</f>
        <v>4</v>
      </c>
      <c r="Y213" s="93">
        <f>ROUND(((base_de_datos[[#This Row],[Hora fin]]-base_de_datos[[#This Row],[Hora inicio]])*24)*(COUNTA(base_de_datos[[#This Row],[Lunes]:[Sábado]])),1)</f>
        <v>2</v>
      </c>
      <c r="Z213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13" s="93">
        <f ca="1">IF(base_de_datos[[#This Row],[No clase]]=OFFSET(base_de_datos[[#This Row],[No clase]],-1,0),0,1)</f>
        <v>1</v>
      </c>
      <c r="AB213" s="93">
        <f ca="1">IF(NOT(OR(base_de_datos[[#This Row],[Horas totales]]=base_de_datos[[#This Row],[HT Plan]],base_de_datos[[#This Row],[Horas totales]]="N/A")),1,0)</f>
        <v>0</v>
      </c>
      <c r="AC213" s="93" t="e">
        <f>_xlfn.XLOOKUP(base_de_datos[[#This Row],[Profesor]],Nombre,Grado)</f>
        <v>#REF!</v>
      </c>
      <c r="AD213" s="94" t="e">
        <f>_xlfn.XLOOKUP(base_de_datos[[#This Row],[Profesor]],Nombre,Tipo)</f>
        <v>#REF!</v>
      </c>
      <c r="AE213" s="93" t="str">
        <f>IF(IFERROR(VLOOKUP($C213,Planes_de_estudio[],MATCH($AE$2,Carreras,0)+2,0),"")&gt;0,IFERROR(VLOOKUP($C213,Planes_de_estudio[],MATCH($AE$2,Carreras,0)+2,0),""),"")</f>
        <v/>
      </c>
      <c r="AF213" s="93" t="str">
        <f>IF(IFERROR(VLOOKUP($C213,Planes_de_estudio[],MATCH($AF$2,Carreras,0)+2,0),"")&gt;0,IFERROR(VLOOKUP($C213,Planes_de_estudio[],MATCH($AF$2,Carreras,0)+2,0),""),"")</f>
        <v/>
      </c>
      <c r="AG213" s="93" t="str">
        <f>IF(IFERROR(VLOOKUP($C213,Planes_de_estudio[],MATCH($AG$2,Carreras,0)+2,0),"")&gt;0,IFERROR(VLOOKUP($C213,Planes_de_estudio[],MATCH($AG$2,Carreras,0)+2,0),""),"")</f>
        <v/>
      </c>
      <c r="AH213" s="93" t="str">
        <f>IF(IFERROR(VLOOKUP($C213,Planes_de_estudio[],MATCH($AH$2,Carreras,0)+2,0),"")&gt;0,IFERROR(VLOOKUP($C213,Planes_de_estudio[],MATCH($AH$2,Carreras,0)+2,0),""),"")</f>
        <v/>
      </c>
      <c r="AI213" s="93" t="str">
        <f>IF(IFERROR(VLOOKUP($C213,Planes_de_estudio[],MATCH($AI$2,Carreras,0)+2,0),"")&gt;0,IFERROR(VLOOKUP($C213,Planes_de_estudio[],MATCH($AI$2,Carreras,0)+2,0),""),"")</f>
        <v/>
      </c>
      <c r="AJ213" s="93" t="str">
        <f>IF(IFERROR(VLOOKUP($C213,Planes_de_estudio[],MATCH($AJ$2,Carreras,0)+2,0),"")&gt;0,IFERROR(VLOOKUP($C213,Planes_de_estudio[],MATCH($AJ$2,Carreras,0)+2,0),""),"")</f>
        <v/>
      </c>
      <c r="AK213" s="93">
        <f>IF(IFERROR(VLOOKUP($C213,Planes_de_estudio[],MATCH($AK$2,Carreras,0)+2,0),"")&gt;0,IFERROR(VLOOKUP($C213,Planes_de_estudio[],MATCH($AK$2,Carreras,0)+2,0),""),"")</f>
        <v>5</v>
      </c>
      <c r="AL21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1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</v>
      </c>
      <c r="AN213" s="93">
        <f>base_de_datos[[#This Row],[Pronóstico]]/25</f>
        <v>0.12</v>
      </c>
      <c r="AO213" s="93" t="str">
        <f>VLOOKUP($C213,Planes_de_estudio[],2)</f>
        <v>BIO</v>
      </c>
      <c r="AP213" s="196"/>
      <c r="AQ213" s="196"/>
      <c r="AR213" s="196"/>
      <c r="AS213" s="196"/>
      <c r="AT213" s="196"/>
      <c r="AU213" s="196"/>
      <c r="AV213" s="195">
        <v>6</v>
      </c>
      <c r="AW213" s="91"/>
      <c r="AX213" s="73"/>
    </row>
    <row r="214" spans="2:50" ht="16">
      <c r="B214" s="95" t="s">
        <v>140</v>
      </c>
      <c r="C214" s="96" t="s">
        <v>414</v>
      </c>
      <c r="D214" s="92">
        <v>1</v>
      </c>
      <c r="E214" s="97">
        <v>0.70833333333333304</v>
      </c>
      <c r="F214" s="97">
        <v>0.79166666666665897</v>
      </c>
      <c r="G214" s="92" t="s">
        <v>72</v>
      </c>
      <c r="H214" s="92" t="s">
        <v>87</v>
      </c>
      <c r="I214" s="92" t="e">
        <f>INDEX(Aulas_capacidad,MATCH(base_de_datos[[#This Row],[Aula]],Aulas,0),2)</f>
        <v>#REF!</v>
      </c>
      <c r="J214" s="90">
        <v>8</v>
      </c>
      <c r="K214" s="92" t="e">
        <f>INDEX(Aulas_capacidad,MATCH(base_de_datos[[#This Row],[Aula]],Aulas,0),4)</f>
        <v>#REF!</v>
      </c>
      <c r="L214" s="98" t="e">
        <f>base_de_datos[[#This Row],[Cap 1.5]]-base_de_datos[[#This Row],[Inscritos]]</f>
        <v>#REF!</v>
      </c>
      <c r="M214" s="98" t="e">
        <f>INDEX(Aulas_capacidad,MATCH(base_de_datos[[#This Row],[Aula]],Aulas,0),5)</f>
        <v>#REF!</v>
      </c>
      <c r="N214" s="98" t="e">
        <f>base_de_datos[[#This Row],[Cap .90]]-base_de_datos[[#This Row],[Inscritos]]</f>
        <v>#REF!</v>
      </c>
      <c r="O214" s="92" t="s">
        <v>416</v>
      </c>
      <c r="P214" s="99"/>
      <c r="Q214" s="100" t="s">
        <v>68</v>
      </c>
      <c r="R214" s="99"/>
      <c r="S214" s="100"/>
      <c r="T214" s="100"/>
      <c r="U214" s="99"/>
      <c r="V214" s="99"/>
      <c r="W214" s="99" t="s">
        <v>74</v>
      </c>
      <c r="X214" s="93">
        <f>_xlfn.XLOOKUP(base_de_datos[[#This Row],[Materia]],Materias,Horas)/16</f>
        <v>4</v>
      </c>
      <c r="Y214" s="93">
        <f>ROUND(((base_de_datos[[#This Row],[Hora fin]]-base_de_datos[[#This Row],[Hora inicio]])*24)*(COUNTA(base_de_datos[[#This Row],[Lunes]:[Sábado]])),1)</f>
        <v>2</v>
      </c>
      <c r="Z214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4" s="93">
        <f ca="1">IF(base_de_datos[[#This Row],[No clase]]=OFFSET(base_de_datos[[#This Row],[No clase]],-1,0),0,1)</f>
        <v>0</v>
      </c>
      <c r="AB214" s="93">
        <f ca="1">IF(NOT(OR(base_de_datos[[#This Row],[Horas totales]]=base_de_datos[[#This Row],[HT Plan]],base_de_datos[[#This Row],[Horas totales]]="N/A")),1,0)</f>
        <v>0</v>
      </c>
      <c r="AC214" s="93" t="e">
        <f>_xlfn.XLOOKUP(base_de_datos[[#This Row],[Profesor]],Nombre,Grado)</f>
        <v>#REF!</v>
      </c>
      <c r="AD214" s="94" t="e">
        <f>_xlfn.XLOOKUP(base_de_datos[[#This Row],[Profesor]],Nombre,Tipo)</f>
        <v>#REF!</v>
      </c>
      <c r="AE214" s="93" t="str">
        <f>IF(IFERROR(VLOOKUP($C214,Planes_de_estudio[],MATCH($AE$2,Carreras,0)+2,0),"")&gt;0,IFERROR(VLOOKUP($C214,Planes_de_estudio[],MATCH($AE$2,Carreras,0)+2,0),""),"")</f>
        <v/>
      </c>
      <c r="AF214" s="93" t="str">
        <f>IF(IFERROR(VLOOKUP($C214,Planes_de_estudio[],MATCH($AF$2,Carreras,0)+2,0),"")&gt;0,IFERROR(VLOOKUP($C214,Planes_de_estudio[],MATCH($AF$2,Carreras,0)+2,0),""),"")</f>
        <v/>
      </c>
      <c r="AG214" s="93" t="str">
        <f>IF(IFERROR(VLOOKUP($C214,Planes_de_estudio[],MATCH($AG$2,Carreras,0)+2,0),"")&gt;0,IFERROR(VLOOKUP($C214,Planes_de_estudio[],MATCH($AG$2,Carreras,0)+2,0),""),"")</f>
        <v/>
      </c>
      <c r="AH214" s="93" t="str">
        <f>IF(IFERROR(VLOOKUP($C214,Planes_de_estudio[],MATCH($AH$2,Carreras,0)+2,0),"")&gt;0,IFERROR(VLOOKUP($C214,Planes_de_estudio[],MATCH($AH$2,Carreras,0)+2,0),""),"")</f>
        <v/>
      </c>
      <c r="AI214" s="93" t="str">
        <f>IF(IFERROR(VLOOKUP($C214,Planes_de_estudio[],MATCH($AI$2,Carreras,0)+2,0),"")&gt;0,IFERROR(VLOOKUP($C214,Planes_de_estudio[],MATCH($AI$2,Carreras,0)+2,0),""),"")</f>
        <v/>
      </c>
      <c r="AJ214" s="93" t="str">
        <f>IF(IFERROR(VLOOKUP($C214,Planes_de_estudio[],MATCH($AJ$2,Carreras,0)+2,0),"")&gt;0,IFERROR(VLOOKUP($C214,Planes_de_estudio[],MATCH($AJ$2,Carreras,0)+2,0),""),"")</f>
        <v/>
      </c>
      <c r="AK214" s="93">
        <f>IF(IFERROR(VLOOKUP($C214,Planes_de_estudio[],MATCH($AK$2,Carreras,0)+2,0),"")&gt;0,IFERROR(VLOOKUP($C214,Planes_de_estudio[],MATCH($AK$2,Carreras,0)+2,0),""),"")</f>
        <v>5</v>
      </c>
      <c r="AL21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1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3</v>
      </c>
      <c r="AN214" s="93">
        <f>base_de_datos[[#This Row],[Pronóstico]]/25</f>
        <v>0.12</v>
      </c>
      <c r="AO214" s="93" t="str">
        <f>VLOOKUP($C214,Planes_de_estudio[],2)</f>
        <v>BIO</v>
      </c>
      <c r="AP214" s="196"/>
      <c r="AQ214" s="196"/>
      <c r="AR214" s="196"/>
      <c r="AS214" s="196"/>
      <c r="AT214" s="196"/>
      <c r="AU214" s="196"/>
      <c r="AV214" s="196"/>
      <c r="AW214" s="91"/>
      <c r="AX214" s="73"/>
    </row>
    <row r="215" spans="2:50" ht="15">
      <c r="B215" s="95" t="s">
        <v>417</v>
      </c>
      <c r="C215" s="96" t="s">
        <v>201</v>
      </c>
      <c r="D215" s="92">
        <v>5</v>
      </c>
      <c r="E215" s="97">
        <v>0.5</v>
      </c>
      <c r="F215" s="97">
        <v>0.58333333333332904</v>
      </c>
      <c r="G215" s="92"/>
      <c r="H215" s="92" t="s">
        <v>279</v>
      </c>
      <c r="I215" s="92" t="e">
        <f>INDEX(Aulas_capacidad,MATCH(base_de_datos[[#This Row],[Aula]],Aulas,0),2)</f>
        <v>#REF!</v>
      </c>
      <c r="J215" s="90">
        <v>24</v>
      </c>
      <c r="K215" s="92" t="e">
        <f>INDEX(Aulas_capacidad,MATCH(base_de_datos[[#This Row],[Aula]],Aulas,0),4)</f>
        <v>#REF!</v>
      </c>
      <c r="L215" s="98" t="e">
        <f>base_de_datos[[#This Row],[Cap 1.5]]-base_de_datos[[#This Row],[Inscritos]]</f>
        <v>#REF!</v>
      </c>
      <c r="M215" s="98" t="e">
        <f>INDEX(Aulas_capacidad,MATCH(base_de_datos[[#This Row],[Aula]],Aulas,0),5)</f>
        <v>#REF!</v>
      </c>
      <c r="N215" s="98" t="e">
        <f>base_de_datos[[#This Row],[Cap .90]]-base_de_datos[[#This Row],[Inscritos]]</f>
        <v>#REF!</v>
      </c>
      <c r="O215" s="92" t="s">
        <v>418</v>
      </c>
      <c r="P215" s="99" t="s">
        <v>68</v>
      </c>
      <c r="Q215" s="100"/>
      <c r="R215" s="99" t="s">
        <v>68</v>
      </c>
      <c r="S215" s="100"/>
      <c r="T215" s="100"/>
      <c r="U215" s="99"/>
      <c r="V215" s="99"/>
      <c r="W215" s="99" t="s">
        <v>74</v>
      </c>
      <c r="X215" s="93">
        <f>_xlfn.XLOOKUP(base_de_datos[[#This Row],[Materia]],Materias,Horas)/16</f>
        <v>4</v>
      </c>
      <c r="Y215" s="93">
        <f>ROUND(((base_de_datos[[#This Row],[Hora fin]]-base_de_datos[[#This Row],[Hora inicio]])*24)*(COUNTA(base_de_datos[[#This Row],[Lunes]:[Sábado]])),1)</f>
        <v>4</v>
      </c>
      <c r="Z215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15" s="93">
        <f ca="1">IF(base_de_datos[[#This Row],[No clase]]=OFFSET(base_de_datos[[#This Row],[No clase]],-1,0),0,1)</f>
        <v>1</v>
      </c>
      <c r="AB215" s="93">
        <f ca="1">IF(NOT(OR(base_de_datos[[#This Row],[Horas totales]]=base_de_datos[[#This Row],[HT Plan]],base_de_datos[[#This Row],[Horas totales]]="N/A")),1,0)</f>
        <v>0</v>
      </c>
      <c r="AC215" s="93" t="e">
        <f>_xlfn.XLOOKUP(base_de_datos[[#This Row],[Profesor]],Nombre,Grado)</f>
        <v>#REF!</v>
      </c>
      <c r="AD215" s="94" t="e">
        <f>_xlfn.XLOOKUP(base_de_datos[[#This Row],[Profesor]],Nombre,Tipo)</f>
        <v>#REF!</v>
      </c>
      <c r="AE215" s="93">
        <f>IF(IFERROR(VLOOKUP($C215,Planes_de_estudio[],MATCH($AE$2,Carreras,0)+2,0),"")&gt;0,IFERROR(VLOOKUP($C215,Planes_de_estudio[],MATCH($AE$2,Carreras,0)+2,0),""),"")</f>
        <v>1</v>
      </c>
      <c r="AF215" s="93">
        <f>IF(IFERROR(VLOOKUP($C215,Planes_de_estudio[],MATCH($AF$2,Carreras,0)+2,0),"")&gt;0,IFERROR(VLOOKUP($C215,Planes_de_estudio[],MATCH($AF$2,Carreras,0)+2,0),""),"")</f>
        <v>1</v>
      </c>
      <c r="AG215" s="93">
        <f>IF(IFERROR(VLOOKUP($C215,Planes_de_estudio[],MATCH($AG$2,Carreras,0)+2,0),"")&gt;0,IFERROR(VLOOKUP($C215,Planes_de_estudio[],MATCH($AG$2,Carreras,0)+2,0),""),"")</f>
        <v>1</v>
      </c>
      <c r="AH215" s="93">
        <f>IF(IFERROR(VLOOKUP($C215,Planes_de_estudio[],MATCH($AH$2,Carreras,0)+2,0),"")&gt;0,IFERROR(VLOOKUP($C215,Planes_de_estudio[],MATCH($AH$2,Carreras,0)+2,0),""),"")</f>
        <v>1</v>
      </c>
      <c r="AI215" s="93">
        <f>IF(IFERROR(VLOOKUP($C215,Planes_de_estudio[],MATCH($AI$2,Carreras,0)+2,0),"")&gt;0,IFERROR(VLOOKUP($C215,Planes_de_estudio[],MATCH($AI$2,Carreras,0)+2,0),""),"")</f>
        <v>2</v>
      </c>
      <c r="AJ215" s="93">
        <f>IF(IFERROR(VLOOKUP($C215,Planes_de_estudio[],MATCH($AJ$2,Carreras,0)+2,0),"")&gt;0,IFERROR(VLOOKUP($C215,Planes_de_estudio[],MATCH($AJ$2,Carreras,0)+2,0),""),"")</f>
        <v>1</v>
      </c>
      <c r="AK215" s="93">
        <f>IF(IFERROR(VLOOKUP($C215,Planes_de_estudio[],MATCH($AK$2,Carreras,0)+2,0),"")&gt;0,IFERROR(VLOOKUP($C215,Planes_de_estudio[],MATCH($AK$2,Carreras,0)+2,0),""),"")</f>
        <v>1</v>
      </c>
      <c r="AL21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1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120</v>
      </c>
      <c r="AN215" s="93">
        <f>base_de_datos[[#This Row],[Pronóstico]]/25</f>
        <v>4.8</v>
      </c>
      <c r="AO215" s="93" t="str">
        <f>VLOOKUP($C215,Planes_de_estudio[],2)</f>
        <v>MEC</v>
      </c>
      <c r="AP215" s="195">
        <v>6</v>
      </c>
      <c r="AQ215" s="195">
        <v>6</v>
      </c>
      <c r="AR215" s="195">
        <v>6</v>
      </c>
      <c r="AS215" s="195">
        <v>6</v>
      </c>
      <c r="AT215" s="195">
        <v>6</v>
      </c>
      <c r="AU215" s="195">
        <v>6</v>
      </c>
      <c r="AV215" s="195">
        <v>6</v>
      </c>
      <c r="AW215" s="91"/>
      <c r="AX215" s="73"/>
    </row>
    <row r="216" spans="2:50" ht="16">
      <c r="B216" s="95" t="s">
        <v>419</v>
      </c>
      <c r="C216" s="96" t="s">
        <v>420</v>
      </c>
      <c r="D216" s="92">
        <v>1</v>
      </c>
      <c r="E216" s="97">
        <v>0.70833333333333304</v>
      </c>
      <c r="F216" s="97">
        <v>0.79166666666665897</v>
      </c>
      <c r="G216" s="92"/>
      <c r="H216" s="175" t="s">
        <v>106</v>
      </c>
      <c r="I216" s="92" t="e">
        <f>INDEX(Aulas_capacidad,MATCH(base_de_datos[[#This Row],[Aula]],Aulas,0),2)</f>
        <v>#REF!</v>
      </c>
      <c r="J216" s="90">
        <v>28</v>
      </c>
      <c r="K216" s="92" t="e">
        <f>INDEX(Aulas_capacidad,MATCH(base_de_datos[[#This Row],[Aula]],Aulas,0),4)</f>
        <v>#REF!</v>
      </c>
      <c r="L216" s="98" t="e">
        <f>base_de_datos[[#This Row],[Cap 1.5]]-base_de_datos[[#This Row],[Inscritos]]</f>
        <v>#REF!</v>
      </c>
      <c r="M216" s="98" t="e">
        <f>INDEX(Aulas_capacidad,MATCH(base_de_datos[[#This Row],[Aula]],Aulas,0),5)</f>
        <v>#REF!</v>
      </c>
      <c r="N216" s="98" t="e">
        <f>base_de_datos[[#This Row],[Cap .90]]-base_de_datos[[#This Row],[Inscritos]]</f>
        <v>#REF!</v>
      </c>
      <c r="O216" s="92" t="s">
        <v>421</v>
      </c>
      <c r="P216" s="99" t="s">
        <v>68</v>
      </c>
      <c r="Q216" s="100"/>
      <c r="R216" s="99"/>
      <c r="S216" s="100"/>
      <c r="T216" s="100"/>
      <c r="U216" s="99"/>
      <c r="V216" s="99"/>
      <c r="W216" s="99" t="s">
        <v>74</v>
      </c>
      <c r="X216" s="93">
        <f>_xlfn.XLOOKUP(base_de_datos[[#This Row],[Materia]],Materias,Horas)/16</f>
        <v>4</v>
      </c>
      <c r="Y216" s="93">
        <f>ROUND(((base_de_datos[[#This Row],[Hora fin]]-base_de_datos[[#This Row],[Hora inicio]])*24)*(COUNTA(base_de_datos[[#This Row],[Lunes]:[Sábado]])),1)</f>
        <v>2</v>
      </c>
      <c r="Z216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16" s="93">
        <f ca="1">IF(base_de_datos[[#This Row],[No clase]]=OFFSET(base_de_datos[[#This Row],[No clase]],-1,0),0,1)</f>
        <v>1</v>
      </c>
      <c r="AB216" s="93">
        <f ca="1">IF(NOT(OR(base_de_datos[[#This Row],[Horas totales]]=base_de_datos[[#This Row],[HT Plan]],base_de_datos[[#This Row],[Horas totales]]="N/A")),1,0)</f>
        <v>0</v>
      </c>
      <c r="AC216" s="93" t="e">
        <f>_xlfn.XLOOKUP(base_de_datos[[#This Row],[Profesor]],Nombre,Grado)</f>
        <v>#REF!</v>
      </c>
      <c r="AD216" s="94" t="e">
        <f>_xlfn.XLOOKUP(base_de_datos[[#This Row],[Profesor]],Nombre,Tipo)</f>
        <v>#REF!</v>
      </c>
      <c r="AE216" s="93">
        <f>IF(IFERROR(VLOOKUP($C216,Planes_de_estudio[],MATCH($AE$2,Carreras,0)+2,0),"")&gt;0,IFERROR(VLOOKUP($C216,Planes_de_estudio[],MATCH($AE$2,Carreras,0)+2,0),""),"")</f>
        <v>2</v>
      </c>
      <c r="AF216" s="93">
        <f>IF(IFERROR(VLOOKUP($C216,Planes_de_estudio[],MATCH($AF$2,Carreras,0)+2,0),"")&gt;0,IFERROR(VLOOKUP($C216,Planes_de_estudio[],MATCH($AF$2,Carreras,0)+2,0),""),"")</f>
        <v>5</v>
      </c>
      <c r="AG216" s="93">
        <f>IF(IFERROR(VLOOKUP($C216,Planes_de_estudio[],MATCH($AG$2,Carreras,0)+2,0),"")&gt;0,IFERROR(VLOOKUP($C216,Planes_de_estudio[],MATCH($AG$2,Carreras,0)+2,0),""),"")</f>
        <v>2</v>
      </c>
      <c r="AH216" s="93" t="str">
        <f>IF(IFERROR(VLOOKUP($C216,Planes_de_estudio[],MATCH($AH$2,Carreras,0)+2,0),"")&gt;0,IFERROR(VLOOKUP($C216,Planes_de_estudio[],MATCH($AH$2,Carreras,0)+2,0),""),"")</f>
        <v/>
      </c>
      <c r="AI216" s="93">
        <f>IF(IFERROR(VLOOKUP($C216,Planes_de_estudio[],MATCH($AI$2,Carreras,0)+2,0),"")&gt;0,IFERROR(VLOOKUP($C216,Planes_de_estudio[],MATCH($AI$2,Carreras,0)+2,0),""),"")</f>
        <v>3</v>
      </c>
      <c r="AJ216" s="93" t="str">
        <f>IF(IFERROR(VLOOKUP($C216,Planes_de_estudio[],MATCH($AJ$2,Carreras,0)+2,0),"")&gt;0,IFERROR(VLOOKUP($C216,Planes_de_estudio[],MATCH($AJ$2,Carreras,0)+2,0),""),"")</f>
        <v/>
      </c>
      <c r="AK216" s="93" t="str">
        <f>IF(IFERROR(VLOOKUP($C216,Planes_de_estudio[],MATCH($AK$2,Carreras,0)+2,0),"")&gt;0,IFERROR(VLOOKUP($C216,Planes_de_estudio[],MATCH($AK$2,Carreras,0)+2,0),""),"")</f>
        <v/>
      </c>
      <c r="AL21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1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27</v>
      </c>
      <c r="AN216" s="93">
        <f>base_de_datos[[#This Row],[Pronóstico]]/25</f>
        <v>1.08</v>
      </c>
      <c r="AO216" s="93" t="str">
        <f>VLOOKUP($C216,Planes_de_estudio[],2)</f>
        <v>MEC</v>
      </c>
      <c r="AP216" s="195">
        <v>6</v>
      </c>
      <c r="AQ216" s="195">
        <v>6</v>
      </c>
      <c r="AR216" s="195">
        <v>6</v>
      </c>
      <c r="AS216" s="196"/>
      <c r="AT216" s="195">
        <v>6</v>
      </c>
      <c r="AU216" s="196"/>
      <c r="AV216" s="196"/>
      <c r="AW216" s="91"/>
      <c r="AX216" s="73"/>
    </row>
    <row r="217" spans="2:50" ht="16">
      <c r="B217" s="95" t="s">
        <v>419</v>
      </c>
      <c r="C217" s="96" t="s">
        <v>420</v>
      </c>
      <c r="D217" s="92">
        <v>1</v>
      </c>
      <c r="E217" s="97">
        <v>0.70833333333333304</v>
      </c>
      <c r="F217" s="97">
        <v>0.79166666666665897</v>
      </c>
      <c r="G217" s="92"/>
      <c r="H217" s="175" t="s">
        <v>103</v>
      </c>
      <c r="I217" s="92" t="e">
        <f>INDEX(Aulas_capacidad,MATCH(base_de_datos[[#This Row],[Aula]],Aulas,0),2)</f>
        <v>#REF!</v>
      </c>
      <c r="J217" s="90">
        <v>28</v>
      </c>
      <c r="K217" s="92" t="e">
        <f>INDEX(Aulas_capacidad,MATCH(base_de_datos[[#This Row],[Aula]],Aulas,0),4)</f>
        <v>#REF!</v>
      </c>
      <c r="L217" s="98" t="e">
        <f>base_de_datos[[#This Row],[Cap 1.5]]-base_de_datos[[#This Row],[Inscritos]]</f>
        <v>#REF!</v>
      </c>
      <c r="M217" s="98" t="e">
        <f>INDEX(Aulas_capacidad,MATCH(base_de_datos[[#This Row],[Aula]],Aulas,0),5)</f>
        <v>#REF!</v>
      </c>
      <c r="N217" s="98" t="e">
        <f>base_de_datos[[#This Row],[Cap .90]]-base_de_datos[[#This Row],[Inscritos]]</f>
        <v>#REF!</v>
      </c>
      <c r="O217" s="92" t="s">
        <v>421</v>
      </c>
      <c r="P217" s="99"/>
      <c r="Q217" s="100"/>
      <c r="R217" s="99" t="s">
        <v>68</v>
      </c>
      <c r="S217" s="100"/>
      <c r="T217" s="100"/>
      <c r="U217" s="99"/>
      <c r="V217" s="99"/>
      <c r="W217" s="99" t="s">
        <v>74</v>
      </c>
      <c r="X217" s="93">
        <f>_xlfn.XLOOKUP(base_de_datos[[#This Row],[Materia]],Materias,Horas)/16</f>
        <v>4</v>
      </c>
      <c r="Y217" s="93">
        <f>ROUND(((base_de_datos[[#This Row],[Hora fin]]-base_de_datos[[#This Row],[Hora inicio]])*24)*(COUNTA(base_de_datos[[#This Row],[Lunes]:[Sábado]])),1)</f>
        <v>2</v>
      </c>
      <c r="Z217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7" s="93">
        <f ca="1">IF(base_de_datos[[#This Row],[No clase]]=OFFSET(base_de_datos[[#This Row],[No clase]],-1,0),0,1)</f>
        <v>0</v>
      </c>
      <c r="AB217" s="93">
        <f ca="1">IF(NOT(OR(base_de_datos[[#This Row],[Horas totales]]=base_de_datos[[#This Row],[HT Plan]],base_de_datos[[#This Row],[Horas totales]]="N/A")),1,0)</f>
        <v>0</v>
      </c>
      <c r="AC217" s="93" t="e">
        <f>_xlfn.XLOOKUP(base_de_datos[[#This Row],[Profesor]],Nombre,Grado)</f>
        <v>#REF!</v>
      </c>
      <c r="AD217" s="94" t="e">
        <f>_xlfn.XLOOKUP(base_de_datos[[#This Row],[Profesor]],Nombre,Tipo)</f>
        <v>#REF!</v>
      </c>
      <c r="AE217" s="93">
        <f>IF(IFERROR(VLOOKUP($C217,Planes_de_estudio[],MATCH($AE$2,Carreras,0)+2,0),"")&gt;0,IFERROR(VLOOKUP($C217,Planes_de_estudio[],MATCH($AE$2,Carreras,0)+2,0),""),"")</f>
        <v>2</v>
      </c>
      <c r="AF217" s="93">
        <f>IF(IFERROR(VLOOKUP($C217,Planes_de_estudio[],MATCH($AF$2,Carreras,0)+2,0),"")&gt;0,IFERROR(VLOOKUP($C217,Planes_de_estudio[],MATCH($AF$2,Carreras,0)+2,0),""),"")</f>
        <v>5</v>
      </c>
      <c r="AG217" s="93">
        <f>IF(IFERROR(VLOOKUP($C217,Planes_de_estudio[],MATCH($AG$2,Carreras,0)+2,0),"")&gt;0,IFERROR(VLOOKUP($C217,Planes_de_estudio[],MATCH($AG$2,Carreras,0)+2,0),""),"")</f>
        <v>2</v>
      </c>
      <c r="AH217" s="93" t="str">
        <f>IF(IFERROR(VLOOKUP($C217,Planes_de_estudio[],MATCH($AH$2,Carreras,0)+2,0),"")&gt;0,IFERROR(VLOOKUP($C217,Planes_de_estudio[],MATCH($AH$2,Carreras,0)+2,0),""),"")</f>
        <v/>
      </c>
      <c r="AI217" s="93">
        <f>IF(IFERROR(VLOOKUP($C217,Planes_de_estudio[],MATCH($AI$2,Carreras,0)+2,0),"")&gt;0,IFERROR(VLOOKUP($C217,Planes_de_estudio[],MATCH($AI$2,Carreras,0)+2,0),""),"")</f>
        <v>3</v>
      </c>
      <c r="AJ217" s="93" t="str">
        <f>IF(IFERROR(VLOOKUP($C217,Planes_de_estudio[],MATCH($AJ$2,Carreras,0)+2,0),"")&gt;0,IFERROR(VLOOKUP($C217,Planes_de_estudio[],MATCH($AJ$2,Carreras,0)+2,0),""),"")</f>
        <v/>
      </c>
      <c r="AK217" s="93" t="str">
        <f>IF(IFERROR(VLOOKUP($C217,Planes_de_estudio[],MATCH($AK$2,Carreras,0)+2,0),"")&gt;0,IFERROR(VLOOKUP($C217,Planes_de_estudio[],MATCH($AK$2,Carreras,0)+2,0),""),"")</f>
        <v/>
      </c>
      <c r="AL21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1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27</v>
      </c>
      <c r="AN217" s="93">
        <f>base_de_datos[[#This Row],[Pronóstico]]/25</f>
        <v>1.08</v>
      </c>
      <c r="AO217" s="93" t="str">
        <f>VLOOKUP($C217,Planes_de_estudio[],2)</f>
        <v>MEC</v>
      </c>
      <c r="AP217" s="196"/>
      <c r="AQ217" s="196"/>
      <c r="AR217" s="196"/>
      <c r="AS217" s="196"/>
      <c r="AT217" s="196"/>
      <c r="AU217" s="196"/>
      <c r="AV217" s="196"/>
      <c r="AW217" s="91"/>
      <c r="AX217" s="73"/>
    </row>
    <row r="218" spans="2:50" ht="16">
      <c r="B218" s="95" t="s">
        <v>422</v>
      </c>
      <c r="C218" s="96" t="s">
        <v>423</v>
      </c>
      <c r="D218" s="92">
        <v>1</v>
      </c>
      <c r="E218" s="97">
        <v>0.875</v>
      </c>
      <c r="F218" s="97">
        <v>0.91666666666665697</v>
      </c>
      <c r="G218" s="92"/>
      <c r="H218" s="92" t="s">
        <v>310</v>
      </c>
      <c r="I218" s="92" t="e">
        <f>INDEX(Aulas_capacidad,MATCH(base_de_datos[[#This Row],[Aula]],Aulas,0),2)</f>
        <v>#REF!</v>
      </c>
      <c r="J218" s="90">
        <v>13</v>
      </c>
      <c r="K218" s="92" t="e">
        <f>INDEX(Aulas_capacidad,MATCH(base_de_datos[[#This Row],[Aula]],Aulas,0),4)</f>
        <v>#REF!</v>
      </c>
      <c r="L218" s="98" t="e">
        <f>base_de_datos[[#This Row],[Cap 1.5]]-base_de_datos[[#This Row],[Inscritos]]</f>
        <v>#REF!</v>
      </c>
      <c r="M218" s="98" t="e">
        <f>INDEX(Aulas_capacidad,MATCH(base_de_datos[[#This Row],[Aula]],Aulas,0),5)</f>
        <v>#REF!</v>
      </c>
      <c r="N218" s="98" t="e">
        <f>base_de_datos[[#This Row],[Cap .90]]-base_de_datos[[#This Row],[Inscritos]]</f>
        <v>#REF!</v>
      </c>
      <c r="O218" s="92" t="s">
        <v>424</v>
      </c>
      <c r="P218" s="99" t="s">
        <v>68</v>
      </c>
      <c r="Q218" s="100"/>
      <c r="R218" s="99"/>
      <c r="S218" s="100"/>
      <c r="T218" s="100"/>
      <c r="U218" s="99"/>
      <c r="V218" s="99" t="s">
        <v>68</v>
      </c>
      <c r="W218" s="99" t="s">
        <v>148</v>
      </c>
      <c r="X218" s="93">
        <f>_xlfn.XLOOKUP(base_de_datos[[#This Row],[Materia]],Materias,Horas)/16</f>
        <v>3</v>
      </c>
      <c r="Y218" s="93">
        <f>ROUND(((base_de_datos[[#This Row],[Hora fin]]-base_de_datos[[#This Row],[Hora inicio]])*24)*(COUNTA(base_de_datos[[#This Row],[Lunes]:[Sábado]])),1)</f>
        <v>1</v>
      </c>
      <c r="Z218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18" s="93">
        <f ca="1">IF(base_de_datos[[#This Row],[No clase]]=OFFSET(base_de_datos[[#This Row],[No clase]],-1,0),0,1)</f>
        <v>1</v>
      </c>
      <c r="AB218" s="93">
        <f ca="1">IF(NOT(OR(base_de_datos[[#This Row],[Horas totales]]=base_de_datos[[#This Row],[HT Plan]],base_de_datos[[#This Row],[Horas totales]]="N/A")),1,0)</f>
        <v>0</v>
      </c>
      <c r="AC218" s="93" t="e">
        <f>_xlfn.XLOOKUP(base_de_datos[[#This Row],[Profesor]],Nombre,Grado)</f>
        <v>#REF!</v>
      </c>
      <c r="AD218" s="94" t="e">
        <f>_xlfn.XLOOKUP(base_de_datos[[#This Row],[Profesor]],Nombre,Tipo)</f>
        <v>#REF!</v>
      </c>
      <c r="AE218" s="93" t="str">
        <f>IF(IFERROR(VLOOKUP($C218,Planes_de_estudio[],MATCH($AE$2,Carreras,0)+2,0),"")&gt;0,IFERROR(VLOOKUP($C218,Planes_de_estudio[],MATCH($AE$2,Carreras,0)+2,0),""),"")</f>
        <v/>
      </c>
      <c r="AF218" s="93">
        <f>IF(IFERROR(VLOOKUP($C218,Planes_de_estudio[],MATCH($AF$2,Carreras,0)+2,0),"")&gt;0,IFERROR(VLOOKUP($C218,Planes_de_estudio[],MATCH($AF$2,Carreras,0)+2,0),""),"")</f>
        <v>7</v>
      </c>
      <c r="AG218" s="93" t="str">
        <f>IF(IFERROR(VLOOKUP($C218,Planes_de_estudio[],MATCH($AG$2,Carreras,0)+2,0),"")&gt;0,IFERROR(VLOOKUP($C218,Planes_de_estudio[],MATCH($AG$2,Carreras,0)+2,0),""),"")</f>
        <v/>
      </c>
      <c r="AH218" s="93" t="str">
        <f>IF(IFERROR(VLOOKUP($C218,Planes_de_estudio[],MATCH($AH$2,Carreras,0)+2,0),"")&gt;0,IFERROR(VLOOKUP($C218,Planes_de_estudio[],MATCH($AH$2,Carreras,0)+2,0),""),"")</f>
        <v/>
      </c>
      <c r="AI218" s="93" t="str">
        <f>IF(IFERROR(VLOOKUP($C218,Planes_de_estudio[],MATCH($AI$2,Carreras,0)+2,0),"")&gt;0,IFERROR(VLOOKUP($C218,Planes_de_estudio[],MATCH($AI$2,Carreras,0)+2,0),""),"")</f>
        <v/>
      </c>
      <c r="AJ218" s="93" t="str">
        <f>IF(IFERROR(VLOOKUP($C218,Planes_de_estudio[],MATCH($AJ$2,Carreras,0)+2,0),"")&gt;0,IFERROR(VLOOKUP($C218,Planes_de_estudio[],MATCH($AJ$2,Carreras,0)+2,0),""),"")</f>
        <v/>
      </c>
      <c r="AK218" s="93" t="str">
        <f>IF(IFERROR(VLOOKUP($C218,Planes_de_estudio[],MATCH($AK$2,Carreras,0)+2,0),"")&gt;0,IFERROR(VLOOKUP($C218,Planes_de_estudio[],MATCH($AK$2,Carreras,0)+2,0),""),"")</f>
        <v/>
      </c>
      <c r="AL21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1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218" s="93">
        <f>base_de_datos[[#This Row],[Pronóstico]]/25</f>
        <v>0.72</v>
      </c>
      <c r="AO218" s="93" t="str">
        <f>VLOOKUP($C218,Planes_de_estudio[],2)</f>
        <v>MEC</v>
      </c>
      <c r="AP218" s="196"/>
      <c r="AQ218" s="195">
        <v>6</v>
      </c>
      <c r="AR218" s="196"/>
      <c r="AS218" s="196"/>
      <c r="AT218" s="196"/>
      <c r="AU218" s="196"/>
      <c r="AV218" s="196"/>
      <c r="AW218" s="91"/>
      <c r="AX218" s="73"/>
    </row>
    <row r="219" spans="2:50" ht="16">
      <c r="B219" s="95" t="s">
        <v>422</v>
      </c>
      <c r="C219" s="96" t="s">
        <v>423</v>
      </c>
      <c r="D219" s="92">
        <v>1</v>
      </c>
      <c r="E219" s="97">
        <v>0.83333333333333304</v>
      </c>
      <c r="F219" s="97">
        <v>0.91666666666665697</v>
      </c>
      <c r="G219" s="92"/>
      <c r="H219" s="92" t="s">
        <v>80</v>
      </c>
      <c r="I219" s="92" t="e">
        <f>INDEX(Aulas_capacidad,MATCH(base_de_datos[[#This Row],[Aula]],Aulas,0),2)</f>
        <v>#REF!</v>
      </c>
      <c r="J219" s="90">
        <v>13</v>
      </c>
      <c r="K219" s="92" t="e">
        <f>INDEX(Aulas_capacidad,MATCH(base_de_datos[[#This Row],[Aula]],Aulas,0),4)</f>
        <v>#REF!</v>
      </c>
      <c r="L219" s="98" t="e">
        <f>base_de_datos[[#This Row],[Cap 1.5]]-base_de_datos[[#This Row],[Inscritos]]</f>
        <v>#REF!</v>
      </c>
      <c r="M219" s="98" t="e">
        <f>INDEX(Aulas_capacidad,MATCH(base_de_datos[[#This Row],[Aula]],Aulas,0),5)</f>
        <v>#REF!</v>
      </c>
      <c r="N219" s="98" t="e">
        <f>base_de_datos[[#This Row],[Cap .90]]-base_de_datos[[#This Row],[Inscritos]]</f>
        <v>#REF!</v>
      </c>
      <c r="O219" s="92" t="s">
        <v>424</v>
      </c>
      <c r="P219" s="99"/>
      <c r="Q219" s="100"/>
      <c r="R219" s="99" t="s">
        <v>68</v>
      </c>
      <c r="S219" s="100"/>
      <c r="T219" s="100"/>
      <c r="U219" s="99"/>
      <c r="V219" s="99" t="s">
        <v>68</v>
      </c>
      <c r="W219" s="99" t="s">
        <v>148</v>
      </c>
      <c r="X219" s="93">
        <f>_xlfn.XLOOKUP(base_de_datos[[#This Row],[Materia]],Materias,Horas)/16</f>
        <v>3</v>
      </c>
      <c r="Y219" s="93">
        <f>ROUND(((base_de_datos[[#This Row],[Hora fin]]-base_de_datos[[#This Row],[Hora inicio]])*24)*(COUNTA(base_de_datos[[#This Row],[Lunes]:[Sábado]])),1)</f>
        <v>2</v>
      </c>
      <c r="Z219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9" s="93">
        <f ca="1">IF(base_de_datos[[#This Row],[No clase]]=OFFSET(base_de_datos[[#This Row],[No clase]],-1,0),0,1)</f>
        <v>0</v>
      </c>
      <c r="AB219" s="93">
        <f ca="1">IF(NOT(OR(base_de_datos[[#This Row],[Horas totales]]=base_de_datos[[#This Row],[HT Plan]],base_de_datos[[#This Row],[Horas totales]]="N/A")),1,0)</f>
        <v>0</v>
      </c>
      <c r="AC219" s="93" t="e">
        <f>_xlfn.XLOOKUP(base_de_datos[[#This Row],[Profesor]],Nombre,Grado)</f>
        <v>#REF!</v>
      </c>
      <c r="AD219" s="94" t="e">
        <f>_xlfn.XLOOKUP(base_de_datos[[#This Row],[Profesor]],Nombre,Tipo)</f>
        <v>#REF!</v>
      </c>
      <c r="AE219" s="93" t="str">
        <f>IF(IFERROR(VLOOKUP($C219,Planes_de_estudio[],MATCH($AE$2,Carreras,0)+2,0),"")&gt;0,IFERROR(VLOOKUP($C219,Planes_de_estudio[],MATCH($AE$2,Carreras,0)+2,0),""),"")</f>
        <v/>
      </c>
      <c r="AF219" s="93">
        <f>IF(IFERROR(VLOOKUP($C219,Planes_de_estudio[],MATCH($AF$2,Carreras,0)+2,0),"")&gt;0,IFERROR(VLOOKUP($C219,Planes_de_estudio[],MATCH($AF$2,Carreras,0)+2,0),""),"")</f>
        <v>7</v>
      </c>
      <c r="AG219" s="93" t="str">
        <f>IF(IFERROR(VLOOKUP($C219,Planes_de_estudio[],MATCH($AG$2,Carreras,0)+2,0),"")&gt;0,IFERROR(VLOOKUP($C219,Planes_de_estudio[],MATCH($AG$2,Carreras,0)+2,0),""),"")</f>
        <v/>
      </c>
      <c r="AH219" s="93" t="str">
        <f>IF(IFERROR(VLOOKUP($C219,Planes_de_estudio[],MATCH($AH$2,Carreras,0)+2,0),"")&gt;0,IFERROR(VLOOKUP($C219,Planes_de_estudio[],MATCH($AH$2,Carreras,0)+2,0),""),"")</f>
        <v/>
      </c>
      <c r="AI219" s="93" t="str">
        <f>IF(IFERROR(VLOOKUP($C219,Planes_de_estudio[],MATCH($AI$2,Carreras,0)+2,0),"")&gt;0,IFERROR(VLOOKUP($C219,Planes_de_estudio[],MATCH($AI$2,Carreras,0)+2,0),""),"")</f>
        <v/>
      </c>
      <c r="AJ219" s="93" t="str">
        <f>IF(IFERROR(VLOOKUP($C219,Planes_de_estudio[],MATCH($AJ$2,Carreras,0)+2,0),"")&gt;0,IFERROR(VLOOKUP($C219,Planes_de_estudio[],MATCH($AJ$2,Carreras,0)+2,0),""),"")</f>
        <v/>
      </c>
      <c r="AK219" s="93" t="str">
        <f>IF(IFERROR(VLOOKUP($C219,Planes_de_estudio[],MATCH($AK$2,Carreras,0)+2,0),"")&gt;0,IFERROR(VLOOKUP($C219,Planes_de_estudio[],MATCH($AK$2,Carreras,0)+2,0),""),"")</f>
        <v/>
      </c>
      <c r="AL21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1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18</v>
      </c>
      <c r="AN219" s="93">
        <f>base_de_datos[[#This Row],[Pronóstico]]/25</f>
        <v>0.72</v>
      </c>
      <c r="AO219" s="93" t="str">
        <f>VLOOKUP($C219,Planes_de_estudio[],2)</f>
        <v>MEC</v>
      </c>
      <c r="AP219" s="196"/>
      <c r="AQ219" s="196"/>
      <c r="AR219" s="196"/>
      <c r="AS219" s="196"/>
      <c r="AT219" s="196"/>
      <c r="AU219" s="196"/>
      <c r="AV219" s="196"/>
      <c r="AW219" s="91"/>
      <c r="AX219" s="73"/>
    </row>
    <row r="220" spans="2:50" ht="16">
      <c r="B220" s="95" t="s">
        <v>406</v>
      </c>
      <c r="C220" s="96" t="s">
        <v>425</v>
      </c>
      <c r="D220" s="92">
        <v>1</v>
      </c>
      <c r="E220" s="97">
        <v>0.60416666666666696</v>
      </c>
      <c r="F220" s="97">
        <v>0.687499999999994</v>
      </c>
      <c r="G220" s="92"/>
      <c r="H220" s="92" t="s">
        <v>121</v>
      </c>
      <c r="I220" s="92" t="e">
        <f>INDEX(Aulas_capacidad,MATCH(base_de_datos[[#This Row],[Aula]],Aulas,0),2)</f>
        <v>#REF!</v>
      </c>
      <c r="J220" s="90">
        <v>23</v>
      </c>
      <c r="K220" s="92" t="e">
        <f>INDEX(Aulas_capacidad,MATCH(base_de_datos[[#This Row],[Aula]],Aulas,0),4)</f>
        <v>#REF!</v>
      </c>
      <c r="L220" s="98" t="e">
        <f>base_de_datos[[#This Row],[Cap 1.5]]-base_de_datos[[#This Row],[Inscritos]]</f>
        <v>#REF!</v>
      </c>
      <c r="M220" s="98" t="e">
        <f>INDEX(Aulas_capacidad,MATCH(base_de_datos[[#This Row],[Aula]],Aulas,0),5)</f>
        <v>#REF!</v>
      </c>
      <c r="N220" s="98" t="e">
        <f>base_de_datos[[#This Row],[Cap .90]]-base_de_datos[[#This Row],[Inscritos]]</f>
        <v>#REF!</v>
      </c>
      <c r="O220" s="92">
        <v>5377</v>
      </c>
      <c r="P220" s="99"/>
      <c r="Q220" s="100" t="s">
        <v>68</v>
      </c>
      <c r="R220" s="99"/>
      <c r="S220" s="100" t="s">
        <v>68</v>
      </c>
      <c r="T220" s="100"/>
      <c r="U220" s="99"/>
      <c r="V220" s="99"/>
      <c r="W220" s="99" t="s">
        <v>92</v>
      </c>
      <c r="X220" s="93">
        <f>_xlfn.XLOOKUP(base_de_datos[[#This Row],[Materia]],Materias,Horas)/16</f>
        <v>4</v>
      </c>
      <c r="Y220" s="93">
        <f>ROUND(((base_de_datos[[#This Row],[Hora fin]]-base_de_datos[[#This Row],[Hora inicio]])*24)*(COUNTA(base_de_datos[[#This Row],[Lunes]:[Sábado]])),1)</f>
        <v>4</v>
      </c>
      <c r="Z220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0" s="93">
        <f ca="1">IF(base_de_datos[[#This Row],[No clase]]=OFFSET(base_de_datos[[#This Row],[No clase]],-1,0),0,1)</f>
        <v>1</v>
      </c>
      <c r="AB220" s="93">
        <f ca="1">IF(NOT(OR(base_de_datos[[#This Row],[Horas totales]]=base_de_datos[[#This Row],[HT Plan]],base_de_datos[[#This Row],[Horas totales]]="N/A")),1,0)</f>
        <v>0</v>
      </c>
      <c r="AC220" s="93" t="e">
        <f>_xlfn.XLOOKUP(base_de_datos[[#This Row],[Profesor]],Nombre,Grado)</f>
        <v>#REF!</v>
      </c>
      <c r="AD220" s="94" t="e">
        <f>_xlfn.XLOOKUP(base_de_datos[[#This Row],[Profesor]],Nombre,Tipo)</f>
        <v>#REF!</v>
      </c>
      <c r="AE220" s="93">
        <f>IF(IFERROR(VLOOKUP($C220,Planes_de_estudio[],MATCH($AE$2,Carreras,0)+2,0),"")&gt;0,IFERROR(VLOOKUP($C220,Planes_de_estudio[],MATCH($AE$2,Carreras,0)+2,0),""),"")</f>
        <v>6</v>
      </c>
      <c r="AF220" s="93">
        <f>IF(IFERROR(VLOOKUP($C220,Planes_de_estudio[],MATCH($AF$2,Carreras,0)+2,0),"")&gt;0,IFERROR(VLOOKUP($C220,Planes_de_estudio[],MATCH($AF$2,Carreras,0)+2,0),""),"")</f>
        <v>6</v>
      </c>
      <c r="AG220" s="93">
        <f>IF(IFERROR(VLOOKUP($C220,Planes_de_estudio[],MATCH($AG$2,Carreras,0)+2,0),"")&gt;0,IFERROR(VLOOKUP($C220,Planes_de_estudio[],MATCH($AG$2,Carreras,0)+2,0),""),"")</f>
        <v>7</v>
      </c>
      <c r="AH220" s="93" t="str">
        <f>IF(IFERROR(VLOOKUP($C220,Planes_de_estudio[],MATCH($AH$2,Carreras,0)+2,0),"")&gt;0,IFERROR(VLOOKUP($C220,Planes_de_estudio[],MATCH($AH$2,Carreras,0)+2,0),""),"")</f>
        <v/>
      </c>
      <c r="AI220" s="93" t="str">
        <f>IF(IFERROR(VLOOKUP($C220,Planes_de_estudio[],MATCH($AI$2,Carreras,0)+2,0),"")&gt;0,IFERROR(VLOOKUP($C220,Planes_de_estudio[],MATCH($AI$2,Carreras,0)+2,0),""),"")</f>
        <v/>
      </c>
      <c r="AJ220" s="93" t="str">
        <f>IF(IFERROR(VLOOKUP($C220,Planes_de_estudio[],MATCH($AJ$2,Carreras,0)+2,0),"")&gt;0,IFERROR(VLOOKUP($C220,Planes_de_estudio[],MATCH($AJ$2,Carreras,0)+2,0),""),"")</f>
        <v/>
      </c>
      <c r="AK220" s="93" t="str">
        <f>IF(IFERROR(VLOOKUP($C220,Planes_de_estudio[],MATCH($AK$2,Carreras,0)+2,0),"")&gt;0,IFERROR(VLOOKUP($C220,Planes_de_estudio[],MATCH($AK$2,Carreras,0)+2,0),""),"")</f>
        <v/>
      </c>
      <c r="AL22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2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25</v>
      </c>
      <c r="AN220" s="93">
        <f>base_de_datos[[#This Row],[Pronóstico]]/25</f>
        <v>1</v>
      </c>
      <c r="AO220" s="93" t="str">
        <f>VLOOKUP($C220,Planes_de_estudio[],2)</f>
        <v>MEC</v>
      </c>
      <c r="AP220" s="195">
        <v>6</v>
      </c>
      <c r="AQ220" s="195">
        <v>6</v>
      </c>
      <c r="AR220" s="195">
        <v>6</v>
      </c>
      <c r="AS220" s="196"/>
      <c r="AT220" s="196"/>
      <c r="AU220" s="196"/>
      <c r="AV220" s="196"/>
      <c r="AW220" s="91"/>
      <c r="AX220" s="73"/>
    </row>
    <row r="221" spans="2:50" ht="16">
      <c r="B221" s="95" t="s">
        <v>426</v>
      </c>
      <c r="C221" s="96" t="s">
        <v>427</v>
      </c>
      <c r="D221" s="92">
        <v>1</v>
      </c>
      <c r="E221" s="97">
        <v>0.29166666666666669</v>
      </c>
      <c r="F221" s="97">
        <v>0.374999999999999</v>
      </c>
      <c r="G221" s="92"/>
      <c r="H221" s="92" t="s">
        <v>304</v>
      </c>
      <c r="I221" s="92" t="e">
        <f>INDEX(Aulas_capacidad,MATCH(base_de_datos[[#This Row],[Aula]],Aulas,0),2)</f>
        <v>#REF!</v>
      </c>
      <c r="J221" s="90">
        <v>9</v>
      </c>
      <c r="K221" s="92" t="e">
        <f>INDEX(Aulas_capacidad,MATCH(base_de_datos[[#This Row],[Aula]],Aulas,0),4)</f>
        <v>#REF!</v>
      </c>
      <c r="L221" s="98" t="e">
        <f>base_de_datos[[#This Row],[Cap 1.5]]-base_de_datos[[#This Row],[Inscritos]]</f>
        <v>#REF!</v>
      </c>
      <c r="M221" s="98" t="e">
        <f>INDEX(Aulas_capacidad,MATCH(base_de_datos[[#This Row],[Aula]],Aulas,0),5)</f>
        <v>#REF!</v>
      </c>
      <c r="N221" s="98" t="e">
        <f>base_de_datos[[#This Row],[Cap .90]]-base_de_datos[[#This Row],[Inscritos]]</f>
        <v>#REF!</v>
      </c>
      <c r="O221" s="92">
        <v>5580</v>
      </c>
      <c r="P221" s="99" t="s">
        <v>68</v>
      </c>
      <c r="Q221" s="100"/>
      <c r="R221" s="99"/>
      <c r="S221" s="100"/>
      <c r="T221" s="100"/>
      <c r="U221" s="99"/>
      <c r="V221" s="99"/>
      <c r="W221" s="99" t="s">
        <v>79</v>
      </c>
      <c r="X221" s="93">
        <f>_xlfn.XLOOKUP(base_de_datos[[#This Row],[Materia]],Materias,Horas)/16</f>
        <v>4</v>
      </c>
      <c r="Y221" s="93">
        <f>ROUND(((base_de_datos[[#This Row],[Hora fin]]-base_de_datos[[#This Row],[Hora inicio]])*24)*(COUNTA(base_de_datos[[#This Row],[Lunes]:[Sábado]])),1)</f>
        <v>2</v>
      </c>
      <c r="Z221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1" s="93">
        <f ca="1">IF(base_de_datos[[#This Row],[No clase]]=OFFSET(base_de_datos[[#This Row],[No clase]],-1,0),0,1)</f>
        <v>1</v>
      </c>
      <c r="AB221" s="93">
        <f ca="1">IF(NOT(OR(base_de_datos[[#This Row],[Horas totales]]=base_de_datos[[#This Row],[HT Plan]],base_de_datos[[#This Row],[Horas totales]]="N/A")),1,0)</f>
        <v>0</v>
      </c>
      <c r="AC221" s="93" t="e">
        <f>_xlfn.XLOOKUP(base_de_datos[[#This Row],[Profesor]],Nombre,Grado)</f>
        <v>#REF!</v>
      </c>
      <c r="AD221" s="94" t="e">
        <f>_xlfn.XLOOKUP(base_de_datos[[#This Row],[Profesor]],Nombre,Tipo)</f>
        <v>#REF!</v>
      </c>
      <c r="AE221" s="93" t="str">
        <f>IF(IFERROR(VLOOKUP($C221,Planes_de_estudio[],MATCH($AE$2,Carreras,0)+2,0),"")&gt;0,IFERROR(VLOOKUP($C221,Planes_de_estudio[],MATCH($AE$2,Carreras,0)+2,0),""),"")</f>
        <v/>
      </c>
      <c r="AF221" s="93" t="str">
        <f>IF(IFERROR(VLOOKUP($C221,Planes_de_estudio[],MATCH($AF$2,Carreras,0)+2,0),"")&gt;0,IFERROR(VLOOKUP($C221,Planes_de_estudio[],MATCH($AF$2,Carreras,0)+2,0),""),"")</f>
        <v/>
      </c>
      <c r="AG221" s="93" t="str">
        <f>IF(IFERROR(VLOOKUP($C221,Planes_de_estudio[],MATCH($AG$2,Carreras,0)+2,0),"")&gt;0,IFERROR(VLOOKUP($C221,Planes_de_estudio[],MATCH($AG$2,Carreras,0)+2,0),""),"")</f>
        <v/>
      </c>
      <c r="AH221" s="93" t="str">
        <f>IF(IFERROR(VLOOKUP($C221,Planes_de_estudio[],MATCH($AH$2,Carreras,0)+2,0),"")&gt;0,IFERROR(VLOOKUP($C221,Planes_de_estudio[],MATCH($AH$2,Carreras,0)+2,0),""),"")</f>
        <v/>
      </c>
      <c r="AI221" s="93" t="str">
        <f>IF(IFERROR(VLOOKUP($C221,Planes_de_estudio[],MATCH($AI$2,Carreras,0)+2,0),"")&gt;0,IFERROR(VLOOKUP($C221,Planes_de_estudio[],MATCH($AI$2,Carreras,0)+2,0),""),"")</f>
        <v/>
      </c>
      <c r="AJ221" s="93">
        <f>IF(IFERROR(VLOOKUP($C221,Planes_de_estudio[],MATCH($AJ$2,Carreras,0)+2,0),"")&gt;0,IFERROR(VLOOKUP($C221,Planes_de_estudio[],MATCH($AJ$2,Carreras,0)+2,0),""),"")</f>
        <v>3</v>
      </c>
      <c r="AK221" s="93" t="str">
        <f>IF(IFERROR(VLOOKUP($C221,Planes_de_estudio[],MATCH($AK$2,Carreras,0)+2,0),"")&gt;0,IFERROR(VLOOKUP($C221,Planes_de_estudio[],MATCH($AK$2,Carreras,0)+2,0),""),"")</f>
        <v/>
      </c>
      <c r="AL22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2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11</v>
      </c>
      <c r="AN221" s="93">
        <f>base_de_datos[[#This Row],[Pronóstico]]/25</f>
        <v>0.44</v>
      </c>
      <c r="AO221" s="93" t="str">
        <f>VLOOKUP($C221,Planes_de_estudio[],2)</f>
        <v>EEC</v>
      </c>
      <c r="AP221" s="196"/>
      <c r="AQ221" s="196"/>
      <c r="AR221" s="196"/>
      <c r="AS221" s="196"/>
      <c r="AT221" s="196"/>
      <c r="AU221" s="195">
        <v>6</v>
      </c>
      <c r="AV221" s="196"/>
      <c r="AW221" s="91"/>
      <c r="AX221" s="73"/>
    </row>
    <row r="222" spans="2:50" ht="16">
      <c r="B222" s="95" t="s">
        <v>426</v>
      </c>
      <c r="C222" s="96" t="s">
        <v>427</v>
      </c>
      <c r="D222" s="92">
        <v>1</v>
      </c>
      <c r="E222" s="97">
        <v>0.375</v>
      </c>
      <c r="F222" s="97">
        <v>0.45833333333333098</v>
      </c>
      <c r="G222" s="92"/>
      <c r="H222" s="92" t="s">
        <v>310</v>
      </c>
      <c r="I222" s="92" t="e">
        <f>INDEX(Aulas_capacidad,MATCH(base_de_datos[[#This Row],[Aula]],Aulas,0),2)</f>
        <v>#REF!</v>
      </c>
      <c r="J222" s="90">
        <v>9</v>
      </c>
      <c r="K222" s="92" t="e">
        <f>INDEX(Aulas_capacidad,MATCH(base_de_datos[[#This Row],[Aula]],Aulas,0),4)</f>
        <v>#REF!</v>
      </c>
      <c r="L222" s="98" t="e">
        <f>base_de_datos[[#This Row],[Cap 1.5]]-base_de_datos[[#This Row],[Inscritos]]</f>
        <v>#REF!</v>
      </c>
      <c r="M222" s="98" t="e">
        <f>INDEX(Aulas_capacidad,MATCH(base_de_datos[[#This Row],[Aula]],Aulas,0),5)</f>
        <v>#REF!</v>
      </c>
      <c r="N222" s="98" t="e">
        <f>base_de_datos[[#This Row],[Cap .90]]-base_de_datos[[#This Row],[Inscritos]]</f>
        <v>#REF!</v>
      </c>
      <c r="O222" s="92">
        <v>5580</v>
      </c>
      <c r="P222" s="99"/>
      <c r="Q222" s="100"/>
      <c r="R222" s="99"/>
      <c r="S222" s="100" t="s">
        <v>68</v>
      </c>
      <c r="T222" s="100"/>
      <c r="U222" s="99"/>
      <c r="V222" s="99"/>
      <c r="W222" s="99" t="s">
        <v>79</v>
      </c>
      <c r="X222" s="93">
        <f>_xlfn.XLOOKUP(base_de_datos[[#This Row],[Materia]],Materias,Horas)/16</f>
        <v>4</v>
      </c>
      <c r="Y222" s="93">
        <f>ROUND(((base_de_datos[[#This Row],[Hora fin]]-base_de_datos[[#This Row],[Hora inicio]])*24)*(COUNTA(base_de_datos[[#This Row],[Lunes]:[Sábado]])),1)</f>
        <v>2</v>
      </c>
      <c r="Z222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22" s="93">
        <f ca="1">IF(base_de_datos[[#This Row],[No clase]]=OFFSET(base_de_datos[[#This Row],[No clase]],-1,0),0,1)</f>
        <v>0</v>
      </c>
      <c r="AB222" s="93">
        <f ca="1">IF(NOT(OR(base_de_datos[[#This Row],[Horas totales]]=base_de_datos[[#This Row],[HT Plan]],base_de_datos[[#This Row],[Horas totales]]="N/A")),1,0)</f>
        <v>0</v>
      </c>
      <c r="AC222" s="93" t="e">
        <f>_xlfn.XLOOKUP(base_de_datos[[#This Row],[Profesor]],Nombre,Grado)</f>
        <v>#REF!</v>
      </c>
      <c r="AD222" s="94" t="e">
        <f>_xlfn.XLOOKUP(base_de_datos[[#This Row],[Profesor]],Nombre,Tipo)</f>
        <v>#REF!</v>
      </c>
      <c r="AE222" s="93" t="str">
        <f>IF(IFERROR(VLOOKUP($C222,Planes_de_estudio[],MATCH($AE$2,Carreras,0)+2,0),"")&gt;0,IFERROR(VLOOKUP($C222,Planes_de_estudio[],MATCH($AE$2,Carreras,0)+2,0),""),"")</f>
        <v/>
      </c>
      <c r="AF222" s="93" t="str">
        <f>IF(IFERROR(VLOOKUP($C222,Planes_de_estudio[],MATCH($AF$2,Carreras,0)+2,0),"")&gt;0,IFERROR(VLOOKUP($C222,Planes_de_estudio[],MATCH($AF$2,Carreras,0)+2,0),""),"")</f>
        <v/>
      </c>
      <c r="AG222" s="93" t="str">
        <f>IF(IFERROR(VLOOKUP($C222,Planes_de_estudio[],MATCH($AG$2,Carreras,0)+2,0),"")&gt;0,IFERROR(VLOOKUP($C222,Planes_de_estudio[],MATCH($AG$2,Carreras,0)+2,0),""),"")</f>
        <v/>
      </c>
      <c r="AH222" s="93" t="str">
        <f>IF(IFERROR(VLOOKUP($C222,Planes_de_estudio[],MATCH($AH$2,Carreras,0)+2,0),"")&gt;0,IFERROR(VLOOKUP($C222,Planes_de_estudio[],MATCH($AH$2,Carreras,0)+2,0),""),"")</f>
        <v/>
      </c>
      <c r="AI222" s="93" t="str">
        <f>IF(IFERROR(VLOOKUP($C222,Planes_de_estudio[],MATCH($AI$2,Carreras,0)+2,0),"")&gt;0,IFERROR(VLOOKUP($C222,Planes_de_estudio[],MATCH($AI$2,Carreras,0)+2,0),""),"")</f>
        <v/>
      </c>
      <c r="AJ222" s="93">
        <f>IF(IFERROR(VLOOKUP($C222,Planes_de_estudio[],MATCH($AJ$2,Carreras,0)+2,0),"")&gt;0,IFERROR(VLOOKUP($C222,Planes_de_estudio[],MATCH($AJ$2,Carreras,0)+2,0),""),"")</f>
        <v>3</v>
      </c>
      <c r="AK222" s="93" t="str">
        <f>IF(IFERROR(VLOOKUP($C222,Planes_de_estudio[],MATCH($AK$2,Carreras,0)+2,0),"")&gt;0,IFERROR(VLOOKUP($C222,Planes_de_estudio[],MATCH($AK$2,Carreras,0)+2,0),""),"")</f>
        <v/>
      </c>
      <c r="AL22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2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11</v>
      </c>
      <c r="AN222" s="93">
        <f>base_de_datos[[#This Row],[Pronóstico]]/25</f>
        <v>0.44</v>
      </c>
      <c r="AO222" s="93" t="str">
        <f>VLOOKUP($C222,Planes_de_estudio[],2)</f>
        <v>EEC</v>
      </c>
      <c r="AP222" s="196"/>
      <c r="AQ222" s="196"/>
      <c r="AR222" s="196"/>
      <c r="AS222" s="196"/>
      <c r="AT222" s="196"/>
      <c r="AU222" s="196"/>
      <c r="AV222" s="196"/>
      <c r="AW222" s="91"/>
      <c r="AX222" s="73"/>
    </row>
    <row r="223" spans="2:50" ht="16">
      <c r="B223" s="95" t="s">
        <v>353</v>
      </c>
      <c r="C223" s="96" t="s">
        <v>428</v>
      </c>
      <c r="D223" s="92">
        <v>1</v>
      </c>
      <c r="E223" s="97">
        <v>0.29166666666666669</v>
      </c>
      <c r="F223" s="97">
        <v>0.41666666666666502</v>
      </c>
      <c r="G223" s="92"/>
      <c r="H223" s="92" t="s">
        <v>149</v>
      </c>
      <c r="I223" s="92" t="e">
        <f>INDEX(Aulas_capacidad,MATCH(base_de_datos[[#This Row],[Aula]],Aulas,0),2)</f>
        <v>#REF!</v>
      </c>
      <c r="J223" s="90">
        <v>20</v>
      </c>
      <c r="K223" s="92" t="e">
        <f>INDEX(Aulas_capacidad,MATCH(base_de_datos[[#This Row],[Aula]],Aulas,0),4)</f>
        <v>#REF!</v>
      </c>
      <c r="L223" s="98" t="e">
        <f>base_de_datos[[#This Row],[Cap 1.5]]-base_de_datos[[#This Row],[Inscritos]]</f>
        <v>#REF!</v>
      </c>
      <c r="M223" s="98" t="e">
        <f>INDEX(Aulas_capacidad,MATCH(base_de_datos[[#This Row],[Aula]],Aulas,0),5)</f>
        <v>#REF!</v>
      </c>
      <c r="N223" s="98" t="e">
        <f>base_de_datos[[#This Row],[Cap .90]]-base_de_datos[[#This Row],[Inscritos]]</f>
        <v>#REF!</v>
      </c>
      <c r="O223" s="92" t="s">
        <v>429</v>
      </c>
      <c r="P223" s="99"/>
      <c r="Q223" s="100" t="s">
        <v>68</v>
      </c>
      <c r="R223" s="99"/>
      <c r="S223" s="100"/>
      <c r="T223" s="100"/>
      <c r="U223" s="99"/>
      <c r="V223" s="99"/>
      <c r="W223" s="99" t="s">
        <v>69</v>
      </c>
      <c r="X223" s="93">
        <f>_xlfn.XLOOKUP(base_de_datos[[#This Row],[Materia]],Materias,Horas)/16</f>
        <v>3</v>
      </c>
      <c r="Y223" s="93">
        <f>ROUND(((base_de_datos[[#This Row],[Hora fin]]-base_de_datos[[#This Row],[Hora inicio]])*24)*(COUNTA(base_de_datos[[#This Row],[Lunes]:[Sábado]])),1)</f>
        <v>3</v>
      </c>
      <c r="Z223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23" s="93">
        <f ca="1">IF(base_de_datos[[#This Row],[No clase]]=OFFSET(base_de_datos[[#This Row],[No clase]],-1,0),0,1)</f>
        <v>1</v>
      </c>
      <c r="AB223" s="93">
        <f ca="1">IF(NOT(OR(base_de_datos[[#This Row],[Horas totales]]=base_de_datos[[#This Row],[HT Plan]],base_de_datos[[#This Row],[Horas totales]]="N/A")),1,0)</f>
        <v>0</v>
      </c>
      <c r="AC223" s="93" t="e">
        <f>_xlfn.XLOOKUP(base_de_datos[[#This Row],[Profesor]],Nombre,Grado)</f>
        <v>#REF!</v>
      </c>
      <c r="AD223" s="94" t="e">
        <f>_xlfn.XLOOKUP(base_de_datos[[#This Row],[Profesor]],Nombre,Tipo)</f>
        <v>#REF!</v>
      </c>
      <c r="AE223" s="93" t="str">
        <f>IF(IFERROR(VLOOKUP($C223,Planes_de_estudio[],MATCH($AE$2,Carreras,0)+2,0),"")&gt;0,IFERROR(VLOOKUP($C223,Planes_de_estudio[],MATCH($AE$2,Carreras,0)+2,0),""),"")</f>
        <v/>
      </c>
      <c r="AF223" s="93">
        <f>IF(IFERROR(VLOOKUP($C223,Planes_de_estudio[],MATCH($AF$2,Carreras,0)+2,0),"")&gt;0,IFERROR(VLOOKUP($C223,Planes_de_estudio[],MATCH($AF$2,Carreras,0)+2,0),""),"")</f>
        <v>3</v>
      </c>
      <c r="AG223" s="93" t="str">
        <f>IF(IFERROR(VLOOKUP($C223,Planes_de_estudio[],MATCH($AG$2,Carreras,0)+2,0),"")&gt;0,IFERROR(VLOOKUP($C223,Planes_de_estudio[],MATCH($AG$2,Carreras,0)+2,0),""),"")</f>
        <v/>
      </c>
      <c r="AH223" s="93">
        <f>IF(IFERROR(VLOOKUP($C223,Planes_de_estudio[],MATCH($AH$2,Carreras,0)+2,0),"")&gt;0,IFERROR(VLOOKUP($C223,Planes_de_estudio[],MATCH($AH$2,Carreras,0)+2,0),""),"")</f>
        <v>3</v>
      </c>
      <c r="AI223" s="93">
        <f>IF(IFERROR(VLOOKUP($C223,Planes_de_estudio[],MATCH($AI$2,Carreras,0)+2,0),"")&gt;0,IFERROR(VLOOKUP($C223,Planes_de_estudio[],MATCH($AI$2,Carreras,0)+2,0),""),"")</f>
        <v>4</v>
      </c>
      <c r="AJ223" s="93" t="str">
        <f>IF(IFERROR(VLOOKUP($C223,Planes_de_estudio[],MATCH($AJ$2,Carreras,0)+2,0),"")&gt;0,IFERROR(VLOOKUP($C223,Planes_de_estudio[],MATCH($AJ$2,Carreras,0)+2,0),""),"")</f>
        <v/>
      </c>
      <c r="AK223" s="93">
        <f>IF(IFERROR(VLOOKUP($C223,Planes_de_estudio[],MATCH($AK$2,Carreras,0)+2,0),"")&gt;0,IFERROR(VLOOKUP($C223,Planes_de_estudio[],MATCH($AK$2,Carreras,0)+2,0),""),"")</f>
        <v>3</v>
      </c>
      <c r="AL22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2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58</v>
      </c>
      <c r="AN223" s="93">
        <f>base_de_datos[[#This Row],[Pronóstico]]/25</f>
        <v>2.3199999999999998</v>
      </c>
      <c r="AO223" s="93" t="str">
        <f>VLOOKUP($C223,Planes_de_estudio[],2)</f>
        <v>EEC</v>
      </c>
      <c r="AP223" s="196"/>
      <c r="AQ223" s="195">
        <v>6</v>
      </c>
      <c r="AR223" s="196"/>
      <c r="AS223" s="195">
        <v>6</v>
      </c>
      <c r="AT223" s="195">
        <v>6</v>
      </c>
      <c r="AU223" s="196"/>
      <c r="AV223" s="195">
        <v>6</v>
      </c>
      <c r="AW223" s="91"/>
      <c r="AX223" s="73"/>
    </row>
    <row r="224" spans="2:50" ht="16">
      <c r="B224" s="95" t="s">
        <v>356</v>
      </c>
      <c r="C224" s="96" t="s">
        <v>428</v>
      </c>
      <c r="D224" s="92">
        <v>2</v>
      </c>
      <c r="E224" s="97">
        <v>0.58333333333333304</v>
      </c>
      <c r="F224" s="97">
        <v>0.70833333333332704</v>
      </c>
      <c r="G224" s="92"/>
      <c r="H224" s="92" t="s">
        <v>149</v>
      </c>
      <c r="I224" s="92" t="e">
        <f>INDEX(Aulas_capacidad,MATCH(base_de_datos[[#This Row],[Aula]],Aulas,0),2)</f>
        <v>#REF!</v>
      </c>
      <c r="J224" s="90">
        <v>29</v>
      </c>
      <c r="K224" s="92" t="e">
        <f>INDEX(Aulas_capacidad,MATCH(base_de_datos[[#This Row],[Aula]],Aulas,0),4)</f>
        <v>#REF!</v>
      </c>
      <c r="L224" s="98" t="e">
        <f>base_de_datos[[#This Row],[Cap 1.5]]-base_de_datos[[#This Row],[Inscritos]]</f>
        <v>#REF!</v>
      </c>
      <c r="M224" s="98" t="e">
        <f>INDEX(Aulas_capacidad,MATCH(base_de_datos[[#This Row],[Aula]],Aulas,0),5)</f>
        <v>#REF!</v>
      </c>
      <c r="N224" s="98" t="e">
        <f>base_de_datos[[#This Row],[Cap .90]]-base_de_datos[[#This Row],[Inscritos]]</f>
        <v>#REF!</v>
      </c>
      <c r="O224" s="92" t="s">
        <v>430</v>
      </c>
      <c r="P224" s="99"/>
      <c r="Q224" s="100"/>
      <c r="R224" s="99"/>
      <c r="S224" s="100"/>
      <c r="T224" s="100" t="s">
        <v>68</v>
      </c>
      <c r="U224" s="99"/>
      <c r="V224" s="99"/>
      <c r="W224" s="99" t="s">
        <v>135</v>
      </c>
      <c r="X224" s="93">
        <f>_xlfn.XLOOKUP(base_de_datos[[#This Row],[Materia]],Materias,Horas)/16</f>
        <v>3</v>
      </c>
      <c r="Y224" s="93">
        <f>ROUND(((base_de_datos[[#This Row],[Hora fin]]-base_de_datos[[#This Row],[Hora inicio]])*24)*(COUNTA(base_de_datos[[#This Row],[Lunes]:[Sábado]])),1)</f>
        <v>3</v>
      </c>
      <c r="Z224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24" s="93">
        <f ca="1">IF(base_de_datos[[#This Row],[No clase]]=OFFSET(base_de_datos[[#This Row],[No clase]],-1,0),0,1)</f>
        <v>1</v>
      </c>
      <c r="AB224" s="93">
        <f ca="1">IF(NOT(OR(base_de_datos[[#This Row],[Horas totales]]=base_de_datos[[#This Row],[HT Plan]],base_de_datos[[#This Row],[Horas totales]]="N/A")),1,0)</f>
        <v>0</v>
      </c>
      <c r="AC224" s="93" t="e">
        <f>_xlfn.XLOOKUP(base_de_datos[[#This Row],[Profesor]],Nombre,Grado)</f>
        <v>#REF!</v>
      </c>
      <c r="AD224" s="94" t="e">
        <f>_xlfn.XLOOKUP(base_de_datos[[#This Row],[Profesor]],Nombre,Tipo)</f>
        <v>#REF!</v>
      </c>
      <c r="AE224" s="93" t="str">
        <f>IF(IFERROR(VLOOKUP($C224,Planes_de_estudio[],MATCH($AE$2,Carreras,0)+2,0),"")&gt;0,IFERROR(VLOOKUP($C224,Planes_de_estudio[],MATCH($AE$2,Carreras,0)+2,0),""),"")</f>
        <v/>
      </c>
      <c r="AF224" s="93">
        <f>IF(IFERROR(VLOOKUP($C224,Planes_de_estudio[],MATCH($AF$2,Carreras,0)+2,0),"")&gt;0,IFERROR(VLOOKUP($C224,Planes_de_estudio[],MATCH($AF$2,Carreras,0)+2,0),""),"")</f>
        <v>3</v>
      </c>
      <c r="AG224" s="93" t="str">
        <f>IF(IFERROR(VLOOKUP($C224,Planes_de_estudio[],MATCH($AG$2,Carreras,0)+2,0),"")&gt;0,IFERROR(VLOOKUP($C224,Planes_de_estudio[],MATCH($AG$2,Carreras,0)+2,0),""),"")</f>
        <v/>
      </c>
      <c r="AH224" s="93">
        <f>IF(IFERROR(VLOOKUP($C224,Planes_de_estudio[],MATCH($AH$2,Carreras,0)+2,0),"")&gt;0,IFERROR(VLOOKUP($C224,Planes_de_estudio[],MATCH($AH$2,Carreras,0)+2,0),""),"")</f>
        <v>3</v>
      </c>
      <c r="AI224" s="93">
        <f>IF(IFERROR(VLOOKUP($C224,Planes_de_estudio[],MATCH($AI$2,Carreras,0)+2,0),"")&gt;0,IFERROR(VLOOKUP($C224,Planes_de_estudio[],MATCH($AI$2,Carreras,0)+2,0),""),"")</f>
        <v>4</v>
      </c>
      <c r="AJ224" s="93" t="str">
        <f>IF(IFERROR(VLOOKUP($C224,Planes_de_estudio[],MATCH($AJ$2,Carreras,0)+2,0),"")&gt;0,IFERROR(VLOOKUP($C224,Planes_de_estudio[],MATCH($AJ$2,Carreras,0)+2,0),""),"")</f>
        <v/>
      </c>
      <c r="AK224" s="93">
        <f>IF(IFERROR(VLOOKUP($C224,Planes_de_estudio[],MATCH($AK$2,Carreras,0)+2,0),"")&gt;0,IFERROR(VLOOKUP($C224,Planes_de_estudio[],MATCH($AK$2,Carreras,0)+2,0),""),"")</f>
        <v>3</v>
      </c>
      <c r="AL22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2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58</v>
      </c>
      <c r="AN224" s="93">
        <f>base_de_datos[[#This Row],[Pronóstico]]/25</f>
        <v>2.3199999999999998</v>
      </c>
      <c r="AO224" s="93" t="str">
        <f>VLOOKUP($C224,Planes_de_estudio[],2)</f>
        <v>EEC</v>
      </c>
      <c r="AP224" s="196"/>
      <c r="AQ224" s="195">
        <v>6</v>
      </c>
      <c r="AR224" s="196"/>
      <c r="AS224" s="195">
        <v>6</v>
      </c>
      <c r="AT224" s="195">
        <v>6</v>
      </c>
      <c r="AU224" s="196"/>
      <c r="AV224" s="195">
        <v>6</v>
      </c>
      <c r="AW224" s="91"/>
      <c r="AX224" s="73"/>
    </row>
    <row r="225" spans="1:50" ht="16.5" customHeight="1">
      <c r="B225" s="95" t="s">
        <v>431</v>
      </c>
      <c r="C225" s="96" t="s">
        <v>432</v>
      </c>
      <c r="D225" s="92">
        <v>1</v>
      </c>
      <c r="E225" s="97">
        <v>0.79166666666666696</v>
      </c>
      <c r="F225" s="97">
        <v>0.91666666666665697</v>
      </c>
      <c r="G225" s="92"/>
      <c r="H225" s="175" t="s">
        <v>18</v>
      </c>
      <c r="I225" s="92" t="e">
        <f>INDEX(Aulas_capacidad,MATCH(base_de_datos[[#This Row],[Aula]],Aulas,0),2)</f>
        <v>#REF!</v>
      </c>
      <c r="J225" s="90">
        <v>14</v>
      </c>
      <c r="K225" s="92" t="e">
        <f>INDEX(Aulas_capacidad,MATCH(base_de_datos[[#This Row],[Aula]],Aulas,0),4)</f>
        <v>#REF!</v>
      </c>
      <c r="L225" s="98" t="e">
        <f>base_de_datos[[#This Row],[Cap 1.5]]-base_de_datos[[#This Row],[Inscritos]]</f>
        <v>#REF!</v>
      </c>
      <c r="M225" s="98" t="e">
        <f>INDEX(Aulas_capacidad,MATCH(base_de_datos[[#This Row],[Aula]],Aulas,0),5)</f>
        <v>#REF!</v>
      </c>
      <c r="N225" s="98" t="e">
        <f>base_de_datos[[#This Row],[Cap .90]]-base_de_datos[[#This Row],[Inscritos]]</f>
        <v>#REF!</v>
      </c>
      <c r="O225" s="92">
        <v>6397</v>
      </c>
      <c r="P225" s="99" t="s">
        <v>68</v>
      </c>
      <c r="Q225" s="100"/>
      <c r="R225" s="99"/>
      <c r="S225" s="100"/>
      <c r="T225" s="100"/>
      <c r="U225" s="99"/>
      <c r="V225" s="99"/>
      <c r="W225" s="99" t="s">
        <v>101</v>
      </c>
      <c r="X225" s="93">
        <f>_xlfn.XLOOKUP(base_de_datos[[#This Row],[Materia]],Materias,Horas)/16</f>
        <v>3</v>
      </c>
      <c r="Y225" s="93">
        <f>ROUND(((base_de_datos[[#This Row],[Hora fin]]-base_de_datos[[#This Row],[Hora inicio]])*24)*(COUNTA(base_de_datos[[#This Row],[Lunes]:[Sábado]])),1)</f>
        <v>3</v>
      </c>
      <c r="Z225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25" s="93">
        <f ca="1">IF(base_de_datos[[#This Row],[No clase]]=OFFSET(base_de_datos[[#This Row],[No clase]],-1,0),0,1)</f>
        <v>1</v>
      </c>
      <c r="AB225" s="93">
        <f ca="1">IF(NOT(OR(base_de_datos[[#This Row],[Horas totales]]=base_de_datos[[#This Row],[HT Plan]],base_de_datos[[#This Row],[Horas totales]]="N/A")),1,0)</f>
        <v>0</v>
      </c>
      <c r="AC225" s="93" t="e">
        <f>_xlfn.XLOOKUP(base_de_datos[[#This Row],[Profesor]],Nombre,Grado)</f>
        <v>#REF!</v>
      </c>
      <c r="AD225" s="94" t="e">
        <f>_xlfn.XLOOKUP(base_de_datos[[#This Row],[Profesor]],Nombre,Tipo)</f>
        <v>#REF!</v>
      </c>
      <c r="AE225" s="93" t="str">
        <f>IF(IFERROR(VLOOKUP($C225,Planes_de_estudio[],MATCH($AE$2,Carreras,0)+2,0),"")&gt;0,IFERROR(VLOOKUP($C225,Planes_de_estudio[],MATCH($AE$2,Carreras,0)+2,0),""),"")</f>
        <v/>
      </c>
      <c r="AF225" s="93" t="str">
        <f>IF(IFERROR(VLOOKUP($C225,Planes_de_estudio[],MATCH($AF$2,Carreras,0)+2,0),"")&gt;0,IFERROR(VLOOKUP($C225,Planes_de_estudio[],MATCH($AF$2,Carreras,0)+2,0),""),"")</f>
        <v/>
      </c>
      <c r="AG225" s="93" t="str">
        <f>IF(IFERROR(VLOOKUP($C225,Planes_de_estudio[],MATCH($AG$2,Carreras,0)+2,0),"")&gt;0,IFERROR(VLOOKUP($C225,Planes_de_estudio[],MATCH($AG$2,Carreras,0)+2,0),""),"")</f>
        <v/>
      </c>
      <c r="AH225" s="93" t="str">
        <f>IF(IFERROR(VLOOKUP($C225,Planes_de_estudio[],MATCH($AH$2,Carreras,0)+2,0),"")&gt;0,IFERROR(VLOOKUP($C225,Planes_de_estudio[],MATCH($AH$2,Carreras,0)+2,0),""),"")</f>
        <v/>
      </c>
      <c r="AI225" s="93" t="str">
        <f>IF(IFERROR(VLOOKUP($C225,Planes_de_estudio[],MATCH($AI$2,Carreras,0)+2,0),"")&gt;0,IFERROR(VLOOKUP($C225,Planes_de_estudio[],MATCH($AI$2,Carreras,0)+2,0),""),"")</f>
        <v/>
      </c>
      <c r="AJ225" s="93">
        <f>IF(IFERROR(VLOOKUP($C225,Planes_de_estudio[],MATCH($AJ$2,Carreras,0)+2,0),"")&gt;0,IFERROR(VLOOKUP($C225,Planes_de_estudio[],MATCH($AJ$2,Carreras,0)+2,0),""),"")</f>
        <v>9</v>
      </c>
      <c r="AK225" s="93" t="str">
        <f>IF(IFERROR(VLOOKUP($C225,Planes_de_estudio[],MATCH($AK$2,Carreras,0)+2,0),"")&gt;0,IFERROR(VLOOKUP($C225,Planes_de_estudio[],MATCH($AK$2,Carreras,0)+2,0),""),"")</f>
        <v/>
      </c>
      <c r="AL22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2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16</v>
      </c>
      <c r="AN225" s="93">
        <f>base_de_datos[[#This Row],[Pronóstico]]/25</f>
        <v>0.64</v>
      </c>
      <c r="AO225" s="93" t="str">
        <f>VLOOKUP($C225,Planes_de_estudio[],2)</f>
        <v>AIC</v>
      </c>
      <c r="AP225" s="196"/>
      <c r="AQ225" s="196"/>
      <c r="AR225" s="196"/>
      <c r="AS225" s="196"/>
      <c r="AT225" s="196"/>
      <c r="AU225" s="195">
        <v>6</v>
      </c>
      <c r="AV225" s="196"/>
      <c r="AW225" s="91"/>
      <c r="AX225" s="73"/>
    </row>
    <row r="226" spans="1:50" ht="16">
      <c r="B226" s="95" t="s">
        <v>433</v>
      </c>
      <c r="C226" s="96" t="s">
        <v>434</v>
      </c>
      <c r="D226" s="92">
        <v>1</v>
      </c>
      <c r="E226" s="97">
        <v>0.72916666666666696</v>
      </c>
      <c r="F226" s="97">
        <v>0.85416666666665797</v>
      </c>
      <c r="G226" s="92"/>
      <c r="H226" s="92" t="s">
        <v>412</v>
      </c>
      <c r="I226" s="92" t="e">
        <f>INDEX(Aulas_capacidad,MATCH(base_de_datos[[#This Row],[Aula]],Aulas,0),2)</f>
        <v>#REF!</v>
      </c>
      <c r="J226" s="90">
        <v>15</v>
      </c>
      <c r="K226" s="92" t="e">
        <f>INDEX(Aulas_capacidad,MATCH(base_de_datos[[#This Row],[Aula]],Aulas,0),4)</f>
        <v>#REF!</v>
      </c>
      <c r="L226" s="98" t="e">
        <f>base_de_datos[[#This Row],[Cap 1.5]]-base_de_datos[[#This Row],[Inscritos]]</f>
        <v>#REF!</v>
      </c>
      <c r="M226" s="98" t="e">
        <f>INDEX(Aulas_capacidad,MATCH(base_de_datos[[#This Row],[Aula]],Aulas,0),5)</f>
        <v>#REF!</v>
      </c>
      <c r="N226" s="98" t="e">
        <f>base_de_datos[[#This Row],[Cap .90]]-base_de_datos[[#This Row],[Inscritos]]</f>
        <v>#REF!</v>
      </c>
      <c r="O226" s="92">
        <v>6394</v>
      </c>
      <c r="P226" s="99"/>
      <c r="Q226" s="100"/>
      <c r="R226" s="99"/>
      <c r="S226" s="100"/>
      <c r="T226" s="100" t="s">
        <v>68</v>
      </c>
      <c r="U226" s="99"/>
      <c r="V226" s="99"/>
      <c r="W226" s="99" t="s">
        <v>135</v>
      </c>
      <c r="X226" s="93">
        <f>_xlfn.XLOOKUP(base_de_datos[[#This Row],[Materia]],Materias,Horas)/16</f>
        <v>3</v>
      </c>
      <c r="Y226" s="93">
        <f>ROUND(((base_de_datos[[#This Row],[Hora fin]]-base_de_datos[[#This Row],[Hora inicio]])*24)*(COUNTA(base_de_datos[[#This Row],[Lunes]:[Sábado]])),1)</f>
        <v>3</v>
      </c>
      <c r="Z226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26" s="93">
        <f ca="1">IF(base_de_datos[[#This Row],[No clase]]=OFFSET(base_de_datos[[#This Row],[No clase]],-1,0),0,1)</f>
        <v>1</v>
      </c>
      <c r="AB226" s="93">
        <f ca="1">IF(NOT(OR(base_de_datos[[#This Row],[Horas totales]]=base_de_datos[[#This Row],[HT Plan]],base_de_datos[[#This Row],[Horas totales]]="N/A")),1,0)</f>
        <v>0</v>
      </c>
      <c r="AC226" s="93" t="e">
        <f>_xlfn.XLOOKUP(base_de_datos[[#This Row],[Profesor]],Nombre,Grado)</f>
        <v>#REF!</v>
      </c>
      <c r="AD226" s="94" t="e">
        <f>_xlfn.XLOOKUP(base_de_datos[[#This Row],[Profesor]],Nombre,Tipo)</f>
        <v>#REF!</v>
      </c>
      <c r="AE226" s="93" t="str">
        <f>IF(IFERROR(VLOOKUP($C226,Planes_de_estudio[],MATCH($AE$2,Carreras,0)+2,0),"")&gt;0,IFERROR(VLOOKUP($C226,Planes_de_estudio[],MATCH($AE$2,Carreras,0)+2,0),""),"")</f>
        <v/>
      </c>
      <c r="AF226" s="93" t="str">
        <f>IF(IFERROR(VLOOKUP($C226,Planes_de_estudio[],MATCH($AF$2,Carreras,0)+2,0),"")&gt;0,IFERROR(VLOOKUP($C226,Planes_de_estudio[],MATCH($AF$2,Carreras,0)+2,0),""),"")</f>
        <v/>
      </c>
      <c r="AG226" s="93" t="str">
        <f>IF(IFERROR(VLOOKUP($C226,Planes_de_estudio[],MATCH($AG$2,Carreras,0)+2,0),"")&gt;0,IFERROR(VLOOKUP($C226,Planes_de_estudio[],MATCH($AG$2,Carreras,0)+2,0),""),"")</f>
        <v/>
      </c>
      <c r="AH226" s="93" t="str">
        <f>IF(IFERROR(VLOOKUP($C226,Planes_de_estudio[],MATCH($AH$2,Carreras,0)+2,0),"")&gt;0,IFERROR(VLOOKUP($C226,Planes_de_estudio[],MATCH($AH$2,Carreras,0)+2,0),""),"")</f>
        <v/>
      </c>
      <c r="AI226" s="93" t="str">
        <f>IF(IFERROR(VLOOKUP($C226,Planes_de_estudio[],MATCH($AI$2,Carreras,0)+2,0),"")&gt;0,IFERROR(VLOOKUP($C226,Planes_de_estudio[],MATCH($AI$2,Carreras,0)+2,0),""),"")</f>
        <v/>
      </c>
      <c r="AJ226" s="93">
        <f>IF(IFERROR(VLOOKUP($C226,Planes_de_estudio[],MATCH($AJ$2,Carreras,0)+2,0),"")&gt;0,IFERROR(VLOOKUP($C226,Planes_de_estudio[],MATCH($AJ$2,Carreras,0)+2,0),""),"")</f>
        <v>9</v>
      </c>
      <c r="AK226" s="93" t="str">
        <f>IF(IFERROR(VLOOKUP($C226,Planes_de_estudio[],MATCH($AK$2,Carreras,0)+2,0),"")&gt;0,IFERROR(VLOOKUP($C226,Planes_de_estudio[],MATCH($AK$2,Carreras,0)+2,0),""),"")</f>
        <v/>
      </c>
      <c r="AL22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2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16</v>
      </c>
      <c r="AN226" s="93">
        <f>base_de_datos[[#This Row],[Pronóstico]]/25</f>
        <v>0.64</v>
      </c>
      <c r="AO226" s="93" t="str">
        <f>VLOOKUP($C226,Planes_de_estudio[],2)</f>
        <v>ESC</v>
      </c>
      <c r="AP226" s="196"/>
      <c r="AQ226" s="196"/>
      <c r="AR226" s="196"/>
      <c r="AS226" s="196"/>
      <c r="AT226" s="196"/>
      <c r="AU226" s="195">
        <v>6</v>
      </c>
      <c r="AV226" s="196"/>
      <c r="AW226" s="91"/>
      <c r="AX226" s="73"/>
    </row>
    <row r="227" spans="1:50" ht="16">
      <c r="B227" s="95" t="s">
        <v>435</v>
      </c>
      <c r="C227" s="96" t="s">
        <v>436</v>
      </c>
      <c r="D227" s="92">
        <v>2</v>
      </c>
      <c r="E227" s="97">
        <v>0.70833333333333304</v>
      </c>
      <c r="F227" s="97">
        <v>0.79166666666665897</v>
      </c>
      <c r="G227" s="92"/>
      <c r="H227" s="92" t="s">
        <v>103</v>
      </c>
      <c r="I227" s="92" t="e">
        <f>INDEX(Aulas_capacidad,MATCH(base_de_datos[[#This Row],[Aula]],Aulas,0),2)</f>
        <v>#REF!</v>
      </c>
      <c r="J227" s="90">
        <v>19</v>
      </c>
      <c r="K227" s="92" t="e">
        <f>INDEX(Aulas_capacidad,MATCH(base_de_datos[[#This Row],[Aula]],Aulas,0),4)</f>
        <v>#REF!</v>
      </c>
      <c r="L227" s="98" t="e">
        <f>base_de_datos[[#This Row],[Cap 1.5]]-base_de_datos[[#This Row],[Inscritos]]</f>
        <v>#REF!</v>
      </c>
      <c r="M227" s="98" t="e">
        <f>INDEX(Aulas_capacidad,MATCH(base_de_datos[[#This Row],[Aula]],Aulas,0),5)</f>
        <v>#REF!</v>
      </c>
      <c r="N227" s="98" t="e">
        <f>base_de_datos[[#This Row],[Cap .90]]-base_de_datos[[#This Row],[Inscritos]]</f>
        <v>#REF!</v>
      </c>
      <c r="O227" s="92" t="s">
        <v>437</v>
      </c>
      <c r="P227" s="99" t="s">
        <v>68</v>
      </c>
      <c r="Q227" s="100"/>
      <c r="R227" s="99"/>
      <c r="S227" s="100"/>
      <c r="T227" s="100"/>
      <c r="U227" s="99"/>
      <c r="V227" s="99"/>
      <c r="W227" s="99" t="s">
        <v>74</v>
      </c>
      <c r="X227" s="93">
        <f>_xlfn.XLOOKUP(base_de_datos[[#This Row],[Materia]],Materias,Horas)/16</f>
        <v>4</v>
      </c>
      <c r="Y227" s="93">
        <f>ROUND(((base_de_datos[[#This Row],[Hora fin]]-base_de_datos[[#This Row],[Hora inicio]])*24)*(COUNTA(base_de_datos[[#This Row],[Lunes]:[Sábado]])),1)</f>
        <v>2</v>
      </c>
      <c r="Z227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7" s="93">
        <f ca="1">IF(base_de_datos[[#This Row],[No clase]]=OFFSET(base_de_datos[[#This Row],[No clase]],-1,0),0,1)</f>
        <v>1</v>
      </c>
      <c r="AB227" s="93">
        <f ca="1">IF(NOT(OR(base_de_datos[[#This Row],[Horas totales]]=base_de_datos[[#This Row],[HT Plan]],base_de_datos[[#This Row],[Horas totales]]="N/A")),1,0)</f>
        <v>0</v>
      </c>
      <c r="AC227" s="93" t="e">
        <f>_xlfn.XLOOKUP(base_de_datos[[#This Row],[Profesor]],Nombre,Grado)</f>
        <v>#REF!</v>
      </c>
      <c r="AD227" s="94" t="e">
        <f>_xlfn.XLOOKUP(base_de_datos[[#This Row],[Profesor]],Nombre,Tipo)</f>
        <v>#REF!</v>
      </c>
      <c r="AE227" s="93" t="str">
        <f>IF(IFERROR(VLOOKUP($C227,Planes_de_estudio[],MATCH($AE$2,Carreras,0)+2,0),"")&gt;0,IFERROR(VLOOKUP($C227,Planes_de_estudio[],MATCH($AE$2,Carreras,0)+2,0),""),"")</f>
        <v/>
      </c>
      <c r="AF227" s="93" t="str">
        <f>IF(IFERROR(VLOOKUP($C227,Planes_de_estudio[],MATCH($AF$2,Carreras,0)+2,0),"")&gt;0,IFERROR(VLOOKUP($C227,Planes_de_estudio[],MATCH($AF$2,Carreras,0)+2,0),""),"")</f>
        <v/>
      </c>
      <c r="AG227" s="93">
        <f>IF(IFERROR(VLOOKUP($C227,Planes_de_estudio[],MATCH($AG$2,Carreras,0)+2,0),"")&gt;0,IFERROR(VLOOKUP($C227,Planes_de_estudio[],MATCH($AG$2,Carreras,0)+2,0),""),"")</f>
        <v>7</v>
      </c>
      <c r="AH227" s="93">
        <f>IF(IFERROR(VLOOKUP($C227,Planes_de_estudio[],MATCH($AH$2,Carreras,0)+2,0),"")&gt;0,IFERROR(VLOOKUP($C227,Planes_de_estudio[],MATCH($AH$2,Carreras,0)+2,0),""),"")</f>
        <v>8</v>
      </c>
      <c r="AI227" s="93" t="str">
        <f>IF(IFERROR(VLOOKUP($C227,Planes_de_estudio[],MATCH($AI$2,Carreras,0)+2,0),"")&gt;0,IFERROR(VLOOKUP($C227,Planes_de_estudio[],MATCH($AI$2,Carreras,0)+2,0),""),"")</f>
        <v/>
      </c>
      <c r="AJ227" s="93" t="str">
        <f>IF(IFERROR(VLOOKUP($C227,Planes_de_estudio[],MATCH($AJ$2,Carreras,0)+2,0),"")&gt;0,IFERROR(VLOOKUP($C227,Planes_de_estudio[],MATCH($AJ$2,Carreras,0)+2,0),""),"")</f>
        <v/>
      </c>
      <c r="AK227" s="93" t="str">
        <f>IF(IFERROR(VLOOKUP($C227,Planes_de_estudio[],MATCH($AK$2,Carreras,0)+2,0),"")&gt;0,IFERROR(VLOOKUP($C227,Planes_de_estudio[],MATCH($AK$2,Carreras,0)+2,0),""),"")</f>
        <v/>
      </c>
      <c r="AL22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2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23</v>
      </c>
      <c r="AN227" s="93">
        <f>base_de_datos[[#This Row],[Pronóstico]]/25</f>
        <v>0.92</v>
      </c>
      <c r="AO227" s="93" t="str">
        <f>VLOOKUP($C227,Planes_de_estudio[],2)</f>
        <v>IID</v>
      </c>
      <c r="AP227" s="196"/>
      <c r="AQ227" s="196"/>
      <c r="AR227" s="195">
        <v>6</v>
      </c>
      <c r="AS227" s="195">
        <v>6</v>
      </c>
      <c r="AT227" s="196"/>
      <c r="AU227" s="196"/>
      <c r="AV227" s="196"/>
      <c r="AW227" s="91"/>
      <c r="AX227" s="73"/>
    </row>
    <row r="228" spans="1:50" ht="16">
      <c r="B228" s="95" t="s">
        <v>435</v>
      </c>
      <c r="C228" s="96" t="s">
        <v>436</v>
      </c>
      <c r="D228" s="92">
        <v>2</v>
      </c>
      <c r="E228" s="97">
        <v>0.79166666666666696</v>
      </c>
      <c r="F228" s="97">
        <v>0.87499999999999001</v>
      </c>
      <c r="G228" s="92"/>
      <c r="H228" s="92" t="s">
        <v>103</v>
      </c>
      <c r="I228" s="92" t="e">
        <f>INDEX(Aulas_capacidad,MATCH(base_de_datos[[#This Row],[Aula]],Aulas,0),2)</f>
        <v>#REF!</v>
      </c>
      <c r="J228" s="90">
        <v>19</v>
      </c>
      <c r="K228" s="92" t="e">
        <f>INDEX(Aulas_capacidad,MATCH(base_de_datos[[#This Row],[Aula]],Aulas,0),4)</f>
        <v>#REF!</v>
      </c>
      <c r="L228" s="98" t="e">
        <f>base_de_datos[[#This Row],[Cap 1.5]]-base_de_datos[[#This Row],[Inscritos]]</f>
        <v>#REF!</v>
      </c>
      <c r="M228" s="98" t="e">
        <f>INDEX(Aulas_capacidad,MATCH(base_de_datos[[#This Row],[Aula]],Aulas,0),5)</f>
        <v>#REF!</v>
      </c>
      <c r="N228" s="98" t="e">
        <f>base_de_datos[[#This Row],[Cap .90]]-base_de_datos[[#This Row],[Inscritos]]</f>
        <v>#REF!</v>
      </c>
      <c r="O228" s="92" t="s">
        <v>437</v>
      </c>
      <c r="P228" s="99"/>
      <c r="Q228" s="100"/>
      <c r="R228" s="99"/>
      <c r="S228" s="100"/>
      <c r="T228" s="100" t="s">
        <v>68</v>
      </c>
      <c r="U228" s="99"/>
      <c r="V228" s="99"/>
      <c r="W228" s="99" t="s">
        <v>74</v>
      </c>
      <c r="X228" s="93">
        <f>_xlfn.XLOOKUP(base_de_datos[[#This Row],[Materia]],Materias,Horas)/16</f>
        <v>4</v>
      </c>
      <c r="Y228" s="93">
        <f>ROUND(((base_de_datos[[#This Row],[Hora fin]]-base_de_datos[[#This Row],[Hora inicio]])*24)*(COUNTA(base_de_datos[[#This Row],[Lunes]:[Sábado]])),1)</f>
        <v>2</v>
      </c>
      <c r="Z228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28" s="93">
        <f ca="1">IF(base_de_datos[[#This Row],[No clase]]=OFFSET(base_de_datos[[#This Row],[No clase]],-1,0),0,1)</f>
        <v>0</v>
      </c>
      <c r="AB228" s="93">
        <f ca="1">IF(NOT(OR(base_de_datos[[#This Row],[Horas totales]]=base_de_datos[[#This Row],[HT Plan]],base_de_datos[[#This Row],[Horas totales]]="N/A")),1,0)</f>
        <v>0</v>
      </c>
      <c r="AC228" s="93" t="e">
        <f>_xlfn.XLOOKUP(base_de_datos[[#This Row],[Profesor]],Nombre,Grado)</f>
        <v>#REF!</v>
      </c>
      <c r="AD228" s="94" t="e">
        <f>_xlfn.XLOOKUP(base_de_datos[[#This Row],[Profesor]],Nombre,Tipo)</f>
        <v>#REF!</v>
      </c>
      <c r="AE228" s="93" t="str">
        <f>IF(IFERROR(VLOOKUP($C228,Planes_de_estudio[],MATCH($AE$2,Carreras,0)+2,0),"")&gt;0,IFERROR(VLOOKUP($C228,Planes_de_estudio[],MATCH($AE$2,Carreras,0)+2,0),""),"")</f>
        <v/>
      </c>
      <c r="AF228" s="93" t="str">
        <f>IF(IFERROR(VLOOKUP($C228,Planes_de_estudio[],MATCH($AF$2,Carreras,0)+2,0),"")&gt;0,IFERROR(VLOOKUP($C228,Planes_de_estudio[],MATCH($AF$2,Carreras,0)+2,0),""),"")</f>
        <v/>
      </c>
      <c r="AG228" s="93">
        <f>IF(IFERROR(VLOOKUP($C228,Planes_de_estudio[],MATCH($AG$2,Carreras,0)+2,0),"")&gt;0,IFERROR(VLOOKUP($C228,Planes_de_estudio[],MATCH($AG$2,Carreras,0)+2,0),""),"")</f>
        <v>7</v>
      </c>
      <c r="AH228" s="93">
        <f>IF(IFERROR(VLOOKUP($C228,Planes_de_estudio[],MATCH($AH$2,Carreras,0)+2,0),"")&gt;0,IFERROR(VLOOKUP($C228,Planes_de_estudio[],MATCH($AH$2,Carreras,0)+2,0),""),"")</f>
        <v>8</v>
      </c>
      <c r="AI228" s="93" t="str">
        <f>IF(IFERROR(VLOOKUP($C228,Planes_de_estudio[],MATCH($AI$2,Carreras,0)+2,0),"")&gt;0,IFERROR(VLOOKUP($C228,Planes_de_estudio[],MATCH($AI$2,Carreras,0)+2,0),""),"")</f>
        <v/>
      </c>
      <c r="AJ228" s="93" t="str">
        <f>IF(IFERROR(VLOOKUP($C228,Planes_de_estudio[],MATCH($AJ$2,Carreras,0)+2,0),"")&gt;0,IFERROR(VLOOKUP($C228,Planes_de_estudio[],MATCH($AJ$2,Carreras,0)+2,0),""),"")</f>
        <v/>
      </c>
      <c r="AK228" s="93" t="str">
        <f>IF(IFERROR(VLOOKUP($C228,Planes_de_estudio[],MATCH($AK$2,Carreras,0)+2,0),"")&gt;0,IFERROR(VLOOKUP($C228,Planes_de_estudio[],MATCH($AK$2,Carreras,0)+2,0),""),"")</f>
        <v/>
      </c>
      <c r="AL22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2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23</v>
      </c>
      <c r="AN228" s="93">
        <f>base_de_datos[[#This Row],[Pronóstico]]/25</f>
        <v>0.92</v>
      </c>
      <c r="AO228" s="93" t="str">
        <f>VLOOKUP($C228,Planes_de_estudio[],2)</f>
        <v>IID</v>
      </c>
      <c r="AP228" s="196"/>
      <c r="AQ228" s="196"/>
      <c r="AR228" s="196"/>
      <c r="AS228" s="196"/>
      <c r="AT228" s="196"/>
      <c r="AU228" s="196"/>
      <c r="AV228" s="196"/>
      <c r="AW228" s="91"/>
      <c r="AX228" s="73"/>
    </row>
    <row r="229" spans="1:50" ht="16">
      <c r="B229" s="95" t="s">
        <v>438</v>
      </c>
      <c r="C229" s="96" t="s">
        <v>439</v>
      </c>
      <c r="D229" s="92">
        <v>1</v>
      </c>
      <c r="E229" s="97">
        <v>0.70833333333333304</v>
      </c>
      <c r="F229" s="97">
        <v>0.79166666666665897</v>
      </c>
      <c r="G229" s="92"/>
      <c r="H229" s="92" t="s">
        <v>174</v>
      </c>
      <c r="I229" s="92" t="e">
        <f>INDEX(Aulas_capacidad,MATCH(base_de_datos[[#This Row],[Aula]],Aulas,0),2)</f>
        <v>#REF!</v>
      </c>
      <c r="J229" s="90">
        <v>12</v>
      </c>
      <c r="K229" s="92" t="e">
        <f>INDEX(Aulas_capacidad,MATCH(base_de_datos[[#This Row],[Aula]],Aulas,0),4)</f>
        <v>#REF!</v>
      </c>
      <c r="L229" s="98" t="e">
        <f>base_de_datos[[#This Row],[Cap 1.5]]-base_de_datos[[#This Row],[Inscritos]]</f>
        <v>#REF!</v>
      </c>
      <c r="M229" s="98" t="e">
        <f>INDEX(Aulas_capacidad,MATCH(base_de_datos[[#This Row],[Aula]],Aulas,0),5)</f>
        <v>#REF!</v>
      </c>
      <c r="N229" s="98" t="e">
        <f>base_de_datos[[#This Row],[Cap .90]]-base_de_datos[[#This Row],[Inscritos]]</f>
        <v>#REF!</v>
      </c>
      <c r="O229" s="92">
        <v>6400</v>
      </c>
      <c r="P229" s="99" t="s">
        <v>68</v>
      </c>
      <c r="Q229" s="100"/>
      <c r="R229" s="99"/>
      <c r="S229" s="100"/>
      <c r="T229" s="100"/>
      <c r="U229" s="99"/>
      <c r="V229" s="99"/>
      <c r="W229" s="99" t="s">
        <v>74</v>
      </c>
      <c r="X229" s="93">
        <f>_xlfn.XLOOKUP(base_de_datos[[#This Row],[Materia]],Materias,Horas)/16</f>
        <v>4</v>
      </c>
      <c r="Y229" s="93">
        <f>ROUND(((base_de_datos[[#This Row],[Hora fin]]-base_de_datos[[#This Row],[Hora inicio]])*24)*(COUNTA(base_de_datos[[#This Row],[Lunes]:[Sábado]])),1)</f>
        <v>2</v>
      </c>
      <c r="Z229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9" s="93">
        <f ca="1">IF(base_de_datos[[#This Row],[No clase]]=OFFSET(base_de_datos[[#This Row],[No clase]],-1,0),0,1)</f>
        <v>1</v>
      </c>
      <c r="AB229" s="93">
        <f ca="1">IF(NOT(OR(base_de_datos[[#This Row],[Horas totales]]=base_de_datos[[#This Row],[HT Plan]],base_de_datos[[#This Row],[Horas totales]]="N/A")),1,0)</f>
        <v>0</v>
      </c>
      <c r="AC229" s="93" t="e">
        <f>_xlfn.XLOOKUP(base_de_datos[[#This Row],[Profesor]],Nombre,Grado)</f>
        <v>#REF!</v>
      </c>
      <c r="AD229" s="94" t="e">
        <f>_xlfn.XLOOKUP(base_de_datos[[#This Row],[Profesor]],Nombre,Tipo)</f>
        <v>#REF!</v>
      </c>
      <c r="AE229" s="93" t="str">
        <f>IF(IFERROR(VLOOKUP($C229,Planes_de_estudio[],MATCH($AE$2,Carreras,0)+2,0),"")&gt;0,IFERROR(VLOOKUP($C229,Planes_de_estudio[],MATCH($AE$2,Carreras,0)+2,0),""),"")</f>
        <v/>
      </c>
      <c r="AF229" s="93" t="str">
        <f>IF(IFERROR(VLOOKUP($C229,Planes_de_estudio[],MATCH($AF$2,Carreras,0)+2,0),"")&gt;0,IFERROR(VLOOKUP($C229,Planes_de_estudio[],MATCH($AF$2,Carreras,0)+2,0),""),"")</f>
        <v/>
      </c>
      <c r="AG229" s="93" t="str">
        <f>IF(IFERROR(VLOOKUP($C229,Planes_de_estudio[],MATCH($AG$2,Carreras,0)+2,0),"")&gt;0,IFERROR(VLOOKUP($C229,Planes_de_estudio[],MATCH($AG$2,Carreras,0)+2,0),""),"")</f>
        <v/>
      </c>
      <c r="AH229" s="93" t="str">
        <f>IF(IFERROR(VLOOKUP($C229,Planes_de_estudio[],MATCH($AH$2,Carreras,0)+2,0),"")&gt;0,IFERROR(VLOOKUP($C229,Planes_de_estudio[],MATCH($AH$2,Carreras,0)+2,0),""),"")</f>
        <v/>
      </c>
      <c r="AI229" s="93" t="str">
        <f>IF(IFERROR(VLOOKUP($C229,Planes_de_estudio[],MATCH($AI$2,Carreras,0)+2,0),"")&gt;0,IFERROR(VLOOKUP($C229,Planes_de_estudio[],MATCH($AI$2,Carreras,0)+2,0),""),"")</f>
        <v/>
      </c>
      <c r="AJ229" s="93">
        <f>IF(IFERROR(VLOOKUP($C229,Planes_de_estudio[],MATCH($AJ$2,Carreras,0)+2,0),"")&gt;0,IFERROR(VLOOKUP($C229,Planes_de_estudio[],MATCH($AJ$2,Carreras,0)+2,0),""),"")</f>
        <v>9</v>
      </c>
      <c r="AK229" s="93" t="str">
        <f>IF(IFERROR(VLOOKUP($C229,Planes_de_estudio[],MATCH($AK$2,Carreras,0)+2,0),"")&gt;0,IFERROR(VLOOKUP($C229,Planes_de_estudio[],MATCH($AK$2,Carreras,0)+2,0),""),"")</f>
        <v/>
      </c>
      <c r="AL22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2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16</v>
      </c>
      <c r="AN229" s="93">
        <f>base_de_datos[[#This Row],[Pronóstico]]/25</f>
        <v>0.64</v>
      </c>
      <c r="AO229" s="93" t="str">
        <f>VLOOKUP($C229,Planes_de_estudio[],2)</f>
        <v>AIC</v>
      </c>
      <c r="AP229" s="196"/>
      <c r="AQ229" s="196"/>
      <c r="AR229" s="196"/>
      <c r="AS229" s="196"/>
      <c r="AT229" s="196"/>
      <c r="AU229" s="195">
        <v>6</v>
      </c>
      <c r="AV229" s="196"/>
      <c r="AW229" s="91"/>
      <c r="AX229" s="73"/>
    </row>
    <row r="230" spans="1:50" ht="16">
      <c r="B230" s="95" t="s">
        <v>438</v>
      </c>
      <c r="C230" s="96" t="s">
        <v>439</v>
      </c>
      <c r="D230" s="92">
        <v>1</v>
      </c>
      <c r="E230" s="97">
        <v>0.83333333333333304</v>
      </c>
      <c r="F230" s="97">
        <v>0.91666666666665697</v>
      </c>
      <c r="G230" s="92"/>
      <c r="H230" s="92" t="s">
        <v>142</v>
      </c>
      <c r="I230" s="92" t="e">
        <f>INDEX(Aulas_capacidad,MATCH(base_de_datos[[#This Row],[Aula]],Aulas,0),2)</f>
        <v>#REF!</v>
      </c>
      <c r="J230" s="90">
        <v>12</v>
      </c>
      <c r="K230" s="92" t="e">
        <f>INDEX(Aulas_capacidad,MATCH(base_de_datos[[#This Row],[Aula]],Aulas,0),4)</f>
        <v>#REF!</v>
      </c>
      <c r="L230" s="98" t="e">
        <f>base_de_datos[[#This Row],[Cap 1.5]]-base_de_datos[[#This Row],[Inscritos]]</f>
        <v>#REF!</v>
      </c>
      <c r="M230" s="98" t="e">
        <f>INDEX(Aulas_capacidad,MATCH(base_de_datos[[#This Row],[Aula]],Aulas,0),5)</f>
        <v>#REF!</v>
      </c>
      <c r="N230" s="98" t="e">
        <f>base_de_datos[[#This Row],[Cap .90]]-base_de_datos[[#This Row],[Inscritos]]</f>
        <v>#REF!</v>
      </c>
      <c r="O230" s="92">
        <v>6400</v>
      </c>
      <c r="P230" s="99"/>
      <c r="Q230" s="100"/>
      <c r="R230" s="99" t="s">
        <v>68</v>
      </c>
      <c r="S230" s="100"/>
      <c r="T230" s="100"/>
      <c r="U230" s="99"/>
      <c r="V230" s="99"/>
      <c r="W230" s="99" t="s">
        <v>74</v>
      </c>
      <c r="X230" s="93">
        <f>_xlfn.XLOOKUP(base_de_datos[[#This Row],[Materia]],Materias,Horas)/16</f>
        <v>4</v>
      </c>
      <c r="Y230" s="93">
        <f>ROUND(((base_de_datos[[#This Row],[Hora fin]]-base_de_datos[[#This Row],[Hora inicio]])*24)*(COUNTA(base_de_datos[[#This Row],[Lunes]:[Sábado]])),1)</f>
        <v>2</v>
      </c>
      <c r="Z230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30" s="93">
        <f ca="1">IF(base_de_datos[[#This Row],[No clase]]=OFFSET(base_de_datos[[#This Row],[No clase]],-1,0),0,1)</f>
        <v>0</v>
      </c>
      <c r="AB230" s="93">
        <f ca="1">IF(NOT(OR(base_de_datos[[#This Row],[Horas totales]]=base_de_datos[[#This Row],[HT Plan]],base_de_datos[[#This Row],[Horas totales]]="N/A")),1,0)</f>
        <v>0</v>
      </c>
      <c r="AC230" s="93" t="e">
        <f>_xlfn.XLOOKUP(base_de_datos[[#This Row],[Profesor]],Nombre,Grado)</f>
        <v>#REF!</v>
      </c>
      <c r="AD230" s="94" t="e">
        <f>_xlfn.XLOOKUP(base_de_datos[[#This Row],[Profesor]],Nombre,Tipo)</f>
        <v>#REF!</v>
      </c>
      <c r="AE230" s="93" t="str">
        <f>IF(IFERROR(VLOOKUP($C230,Planes_de_estudio[],MATCH($AE$2,Carreras,0)+2,0),"")&gt;0,IFERROR(VLOOKUP($C230,Planes_de_estudio[],MATCH($AE$2,Carreras,0)+2,0),""),"")</f>
        <v/>
      </c>
      <c r="AF230" s="93" t="str">
        <f>IF(IFERROR(VLOOKUP($C230,Planes_de_estudio[],MATCH($AF$2,Carreras,0)+2,0),"")&gt;0,IFERROR(VLOOKUP($C230,Planes_de_estudio[],MATCH($AF$2,Carreras,0)+2,0),""),"")</f>
        <v/>
      </c>
      <c r="AG230" s="93" t="str">
        <f>IF(IFERROR(VLOOKUP($C230,Planes_de_estudio[],MATCH($AG$2,Carreras,0)+2,0),"")&gt;0,IFERROR(VLOOKUP($C230,Planes_de_estudio[],MATCH($AG$2,Carreras,0)+2,0),""),"")</f>
        <v/>
      </c>
      <c r="AH230" s="93" t="str">
        <f>IF(IFERROR(VLOOKUP($C230,Planes_de_estudio[],MATCH($AH$2,Carreras,0)+2,0),"")&gt;0,IFERROR(VLOOKUP($C230,Planes_de_estudio[],MATCH($AH$2,Carreras,0)+2,0),""),"")</f>
        <v/>
      </c>
      <c r="AI230" s="93" t="str">
        <f>IF(IFERROR(VLOOKUP($C230,Planes_de_estudio[],MATCH($AI$2,Carreras,0)+2,0),"")&gt;0,IFERROR(VLOOKUP($C230,Planes_de_estudio[],MATCH($AI$2,Carreras,0)+2,0),""),"")</f>
        <v/>
      </c>
      <c r="AJ230" s="93">
        <f>IF(IFERROR(VLOOKUP($C230,Planes_de_estudio[],MATCH($AJ$2,Carreras,0)+2,0),"")&gt;0,IFERROR(VLOOKUP($C230,Planes_de_estudio[],MATCH($AJ$2,Carreras,0)+2,0),""),"")</f>
        <v>9</v>
      </c>
      <c r="AK230" s="93" t="str">
        <f>IF(IFERROR(VLOOKUP($C230,Planes_de_estudio[],MATCH($AK$2,Carreras,0)+2,0),"")&gt;0,IFERROR(VLOOKUP($C230,Planes_de_estudio[],MATCH($AK$2,Carreras,0)+2,0),""),"")</f>
        <v/>
      </c>
      <c r="AL23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3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16</v>
      </c>
      <c r="AN230" s="93">
        <f>base_de_datos[[#This Row],[Pronóstico]]/25</f>
        <v>0.64</v>
      </c>
      <c r="AO230" s="93" t="str">
        <f>VLOOKUP($C230,Planes_de_estudio[],2)</f>
        <v>AIC</v>
      </c>
      <c r="AP230" s="196"/>
      <c r="AQ230" s="196"/>
      <c r="AR230" s="196"/>
      <c r="AS230" s="196"/>
      <c r="AT230" s="196"/>
      <c r="AU230" s="196"/>
      <c r="AV230" s="196"/>
      <c r="AW230" s="91"/>
      <c r="AX230" s="73"/>
    </row>
    <row r="231" spans="1:50" ht="15">
      <c r="B231" s="95" t="s">
        <v>391</v>
      </c>
      <c r="C231" s="96" t="s">
        <v>223</v>
      </c>
      <c r="D231" s="92">
        <v>5</v>
      </c>
      <c r="E231" s="97">
        <v>0.29166666666666669</v>
      </c>
      <c r="F231" s="97">
        <v>0.374999999999999</v>
      </c>
      <c r="G231" s="92"/>
      <c r="H231" s="92" t="s">
        <v>128</v>
      </c>
      <c r="I231" s="92" t="e">
        <f>INDEX(Aulas_capacidad,MATCH(base_de_datos[[#This Row],[Aula]],Aulas,0),2)</f>
        <v>#REF!</v>
      </c>
      <c r="J231" s="90">
        <v>17</v>
      </c>
      <c r="K231" s="92" t="e">
        <f>INDEX(Aulas_capacidad,MATCH(base_de_datos[[#This Row],[Aula]],Aulas,0),4)</f>
        <v>#REF!</v>
      </c>
      <c r="L231" s="98" t="e">
        <f>base_de_datos[[#This Row],[Cap 1.5]]-base_de_datos[[#This Row],[Inscritos]]</f>
        <v>#REF!</v>
      </c>
      <c r="M231" s="98" t="e">
        <f>INDEX(Aulas_capacidad,MATCH(base_de_datos[[#This Row],[Aula]],Aulas,0),5)</f>
        <v>#REF!</v>
      </c>
      <c r="N231" s="98" t="e">
        <f>base_de_datos[[#This Row],[Cap .90]]-base_de_datos[[#This Row],[Inscritos]]</f>
        <v>#REF!</v>
      </c>
      <c r="O231" s="92" t="s">
        <v>440</v>
      </c>
      <c r="P231" s="99"/>
      <c r="Q231" s="100"/>
      <c r="R231" s="99" t="s">
        <v>68</v>
      </c>
      <c r="S231" s="100"/>
      <c r="T231" s="100" t="s">
        <v>68</v>
      </c>
      <c r="U231" s="99"/>
      <c r="V231" s="99"/>
      <c r="W231" s="99" t="s">
        <v>148</v>
      </c>
      <c r="X231" s="93">
        <f>_xlfn.XLOOKUP(base_de_datos[[#This Row],[Materia]],Materias,Horas)/16</f>
        <v>4</v>
      </c>
      <c r="Y231" s="93">
        <f>ROUND(((base_de_datos[[#This Row],[Hora fin]]-base_de_datos[[#This Row],[Hora inicio]])*24)*(COUNTA(base_de_datos[[#This Row],[Lunes]:[Sábado]])),1)</f>
        <v>4</v>
      </c>
      <c r="Z231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31" s="93">
        <f ca="1">IF(base_de_datos[[#This Row],[No clase]]=OFFSET(base_de_datos[[#This Row],[No clase]],-1,0),0,1)</f>
        <v>1</v>
      </c>
      <c r="AB231" s="93">
        <f ca="1">IF(NOT(OR(base_de_datos[[#This Row],[Horas totales]]=base_de_datos[[#This Row],[HT Plan]],base_de_datos[[#This Row],[Horas totales]]="N/A")),1,0)</f>
        <v>0</v>
      </c>
      <c r="AC231" s="93" t="e">
        <f>_xlfn.XLOOKUP(base_de_datos[[#This Row],[Profesor]],Nombre,Grado)</f>
        <v>#REF!</v>
      </c>
      <c r="AD231" s="94" t="e">
        <f>_xlfn.XLOOKUP(base_de_datos[[#This Row],[Profesor]],Nombre,Tipo)</f>
        <v>#REF!</v>
      </c>
      <c r="AE231" s="93">
        <f>IF(IFERROR(VLOOKUP($C231,Planes_de_estudio[],MATCH($AE$2,Carreras,0)+2,0),"")&gt;0,IFERROR(VLOOKUP($C231,Planes_de_estudio[],MATCH($AE$2,Carreras,0)+2,0),""),"")</f>
        <v>3</v>
      </c>
      <c r="AF231" s="93">
        <f>IF(IFERROR(VLOOKUP($C231,Planes_de_estudio[],MATCH($AF$2,Carreras,0)+2,0),"")&gt;0,IFERROR(VLOOKUP($C231,Planes_de_estudio[],MATCH($AF$2,Carreras,0)+2,0),""),"")</f>
        <v>3</v>
      </c>
      <c r="AG231" s="93">
        <f>IF(IFERROR(VLOOKUP($C231,Planes_de_estudio[],MATCH($AG$2,Carreras,0)+2,0),"")&gt;0,IFERROR(VLOOKUP($C231,Planes_de_estudio[],MATCH($AG$2,Carreras,0)+2,0),""),"")</f>
        <v>5</v>
      </c>
      <c r="AH231" s="93">
        <f>IF(IFERROR(VLOOKUP($C231,Planes_de_estudio[],MATCH($AH$2,Carreras,0)+2,0),"")&gt;0,IFERROR(VLOOKUP($C231,Planes_de_estudio[],MATCH($AH$2,Carreras,0)+2,0),""),"")</f>
        <v>3</v>
      </c>
      <c r="AI231" s="93">
        <f>IF(IFERROR(VLOOKUP($C231,Planes_de_estudio[],MATCH($AI$2,Carreras,0)+2,0),"")&gt;0,IFERROR(VLOOKUP($C231,Planes_de_estudio[],MATCH($AI$2,Carreras,0)+2,0),""),"")</f>
        <v>3</v>
      </c>
      <c r="AJ231" s="93">
        <f>IF(IFERROR(VLOOKUP($C231,Planes_de_estudio[],MATCH($AJ$2,Carreras,0)+2,0),"")&gt;0,IFERROR(VLOOKUP($C231,Planes_de_estudio[],MATCH($AJ$2,Carreras,0)+2,0),""),"")</f>
        <v>3</v>
      </c>
      <c r="AK231" s="93">
        <f>IF(IFERROR(VLOOKUP($C231,Planes_de_estudio[],MATCH($AK$2,Carreras,0)+2,0),"")&gt;0,IFERROR(VLOOKUP($C231,Planes_de_estudio[],MATCH($AK$2,Carreras,0)+2,0),""),"")</f>
        <v>3</v>
      </c>
      <c r="AL23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3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121</v>
      </c>
      <c r="AN231" s="93">
        <f>base_de_datos[[#This Row],[Pronóstico]]/25</f>
        <v>4.84</v>
      </c>
      <c r="AO231" s="93" t="str">
        <f>VLOOKUP($C231,Planes_de_estudio[],2)</f>
        <v>MAT</v>
      </c>
      <c r="AP231" s="195">
        <v>6</v>
      </c>
      <c r="AQ231" s="195">
        <v>6</v>
      </c>
      <c r="AR231" s="195">
        <v>6</v>
      </c>
      <c r="AS231" s="195">
        <v>6</v>
      </c>
      <c r="AT231" s="195">
        <v>6</v>
      </c>
      <c r="AU231" s="195">
        <v>6</v>
      </c>
      <c r="AV231" s="195">
        <v>6</v>
      </c>
      <c r="AW231" s="91"/>
      <c r="AX231" s="73"/>
    </row>
    <row r="232" spans="1:50" ht="16">
      <c r="B232" s="95" t="s">
        <v>441</v>
      </c>
      <c r="C232" s="96" t="s">
        <v>442</v>
      </c>
      <c r="D232" s="92">
        <v>1</v>
      </c>
      <c r="E232" s="97">
        <v>0.70833333333333304</v>
      </c>
      <c r="F232" s="97">
        <v>0.79166666666665897</v>
      </c>
      <c r="G232" s="92"/>
      <c r="H232" s="175" t="s">
        <v>142</v>
      </c>
      <c r="I232" s="92" t="e">
        <f>INDEX(Aulas_capacidad,MATCH(base_de_datos[[#This Row],[Aula]],Aulas,0),2)</f>
        <v>#REF!</v>
      </c>
      <c r="J232" s="180">
        <v>9</v>
      </c>
      <c r="K232" s="92" t="e">
        <f>INDEX(Aulas_capacidad,MATCH(base_de_datos[[#This Row],[Aula]],Aulas,0),4)</f>
        <v>#REF!</v>
      </c>
      <c r="L232" s="98" t="e">
        <f>base_de_datos[[#This Row],[Cap 1.5]]-base_de_datos[[#This Row],[Inscritos]]</f>
        <v>#REF!</v>
      </c>
      <c r="M232" s="98" t="e">
        <f>INDEX(Aulas_capacidad,MATCH(base_de_datos[[#This Row],[Aula]],Aulas,0),5)</f>
        <v>#REF!</v>
      </c>
      <c r="N232" s="98" t="e">
        <f>base_de_datos[[#This Row],[Cap .90]]-base_de_datos[[#This Row],[Inscritos]]</f>
        <v>#REF!</v>
      </c>
      <c r="O232" s="92" t="s">
        <v>443</v>
      </c>
      <c r="P232" s="99"/>
      <c r="Q232" s="100"/>
      <c r="R232" s="99" t="s">
        <v>68</v>
      </c>
      <c r="S232" s="100"/>
      <c r="T232" s="100"/>
      <c r="U232" s="99"/>
      <c r="V232" s="99"/>
      <c r="W232" s="99" t="s">
        <v>79</v>
      </c>
      <c r="X232" s="101">
        <f>_xlfn.XLOOKUP(base_de_datos[[#This Row],[Materia]],Materias,Horas)/16</f>
        <v>4</v>
      </c>
      <c r="Y232" s="101">
        <f>ROUND(((base_de_datos[[#This Row],[Hora fin]]-base_de_datos[[#This Row],[Hora inicio]])*24)*(COUNTA(base_de_datos[[#This Row],[Lunes]:[Sábado]])),1)</f>
        <v>2</v>
      </c>
      <c r="Z232" s="101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32" s="101">
        <f ca="1">IF(base_de_datos[[#This Row],[No clase]]=OFFSET(base_de_datos[[#This Row],[No clase]],-1,0),0,1)</f>
        <v>1</v>
      </c>
      <c r="AB232" s="101">
        <f ca="1">IF(NOT(OR(base_de_datos[[#This Row],[Horas totales]]=base_de_datos[[#This Row],[HT Plan]],base_de_datos[[#This Row],[Horas totales]]="N/A")),1,0)</f>
        <v>0</v>
      </c>
      <c r="AC232" s="101" t="e">
        <f>_xlfn.XLOOKUP(base_de_datos[[#This Row],[Profesor]],Nombre,Grado)</f>
        <v>#REF!</v>
      </c>
      <c r="AD232" s="94" t="e">
        <f>_xlfn.XLOOKUP(base_de_datos[[#This Row],[Profesor]],Nombre,Tipo)</f>
        <v>#REF!</v>
      </c>
      <c r="AE232" s="101" t="str">
        <f>IF(IFERROR(VLOOKUP($C232,Planes_de_estudio[],MATCH($AE$2,Carreras,0)+2,0),"")&gt;0,IFERROR(VLOOKUP($C232,Planes_de_estudio[],MATCH($AE$2,Carreras,0)+2,0),""),"")</f>
        <v/>
      </c>
      <c r="AF232" s="101" t="str">
        <f>IF(IFERROR(VLOOKUP($C232,Planes_de_estudio[],MATCH($AF$2,Carreras,0)+2,0),"")&gt;0,IFERROR(VLOOKUP($C232,Planes_de_estudio[],MATCH($AF$2,Carreras,0)+2,0),""),"")</f>
        <v/>
      </c>
      <c r="AG232" s="101" t="str">
        <f>IF(IFERROR(VLOOKUP($C232,Planes_de_estudio[],MATCH($AG$2,Carreras,0)+2,0),"")&gt;0,IFERROR(VLOOKUP($C232,Planes_de_estudio[],MATCH($AG$2,Carreras,0)+2,0),""),"")</f>
        <v/>
      </c>
      <c r="AH232" s="101" t="str">
        <f>IF(IFERROR(VLOOKUP($C232,Planes_de_estudio[],MATCH($AH$2,Carreras,0)+2,0),"")&gt;0,IFERROR(VLOOKUP($C232,Planes_de_estudio[],MATCH($AH$2,Carreras,0)+2,0),""),"")</f>
        <v/>
      </c>
      <c r="AI232" s="101" t="str">
        <f>IF(IFERROR(VLOOKUP($C232,Planes_de_estudio[],MATCH($AI$2,Carreras,0)+2,0),"")&gt;0,IFERROR(VLOOKUP($C232,Planes_de_estudio[],MATCH($AI$2,Carreras,0)+2,0),""),"")</f>
        <v/>
      </c>
      <c r="AJ232" s="101" t="str">
        <f>IF(IFERROR(VLOOKUP($C232,Planes_de_estudio[],MATCH($AJ$2,Carreras,0)+2,0),"")&gt;0,IFERROR(VLOOKUP($C232,Planes_de_estudio[],MATCH($AJ$2,Carreras,0)+2,0),""),"")</f>
        <v/>
      </c>
      <c r="AK232" s="101">
        <f>IF(IFERROR(VLOOKUP($C232,Planes_de_estudio[],MATCH($AK$2,Carreras,0)+2,0),"")&gt;0,IFERROR(VLOOKUP($C232,Planes_de_estudio[],MATCH($AK$2,Carreras,0)+2,0),""),"")</f>
        <v>7</v>
      </c>
      <c r="AL232" s="101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32" s="101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</v>
      </c>
      <c r="AN232" s="101">
        <f>base_de_datos[[#This Row],[Pronóstico]]/25</f>
        <v>0.36</v>
      </c>
      <c r="AO232" s="101" t="str">
        <f>VLOOKUP($C232,Planes_de_estudio[],2)</f>
        <v>EEC</v>
      </c>
      <c r="AP232" s="196"/>
      <c r="AQ232" s="196"/>
      <c r="AR232" s="196"/>
      <c r="AS232" s="196"/>
      <c r="AT232" s="196"/>
      <c r="AU232" s="196"/>
      <c r="AV232" s="195">
        <v>6</v>
      </c>
      <c r="AW232" s="179"/>
      <c r="AX232" s="178"/>
    </row>
    <row r="233" spans="1:50" ht="16">
      <c r="B233" s="95" t="s">
        <v>441</v>
      </c>
      <c r="C233" s="96" t="s">
        <v>442</v>
      </c>
      <c r="D233" s="92">
        <v>1</v>
      </c>
      <c r="E233" s="97">
        <v>0.79166666666666696</v>
      </c>
      <c r="F233" s="97">
        <v>0.87499999999999001</v>
      </c>
      <c r="G233" s="92"/>
      <c r="H233" s="92" t="s">
        <v>358</v>
      </c>
      <c r="I233" s="92" t="e">
        <f>INDEX(Aulas_capacidad,MATCH(base_de_datos[[#This Row],[Aula]],Aulas,0),2)</f>
        <v>#REF!</v>
      </c>
      <c r="J233" s="180">
        <v>9</v>
      </c>
      <c r="K233" s="92" t="e">
        <f>INDEX(Aulas_capacidad,MATCH(base_de_datos[[#This Row],[Aula]],Aulas,0),4)</f>
        <v>#REF!</v>
      </c>
      <c r="L233" s="98" t="e">
        <f>base_de_datos[[#This Row],[Cap 1.5]]-base_de_datos[[#This Row],[Inscritos]]</f>
        <v>#REF!</v>
      </c>
      <c r="M233" s="98" t="e">
        <f>INDEX(Aulas_capacidad,MATCH(base_de_datos[[#This Row],[Aula]],Aulas,0),5)</f>
        <v>#REF!</v>
      </c>
      <c r="N233" s="98" t="e">
        <f>base_de_datos[[#This Row],[Cap .90]]-base_de_datos[[#This Row],[Inscritos]]</f>
        <v>#REF!</v>
      </c>
      <c r="O233" s="92" t="s">
        <v>443</v>
      </c>
      <c r="P233" s="99"/>
      <c r="Q233" s="100"/>
      <c r="R233" s="99"/>
      <c r="S233" s="100" t="s">
        <v>68</v>
      </c>
      <c r="T233" s="100"/>
      <c r="U233" s="99"/>
      <c r="V233" s="99"/>
      <c r="W233" s="99" t="s">
        <v>79</v>
      </c>
      <c r="X233" s="101">
        <f>_xlfn.XLOOKUP(base_de_datos[[#This Row],[Materia]],Materias,Horas)/16</f>
        <v>4</v>
      </c>
      <c r="Y233" s="101">
        <f>ROUND(((base_de_datos[[#This Row],[Hora fin]]-base_de_datos[[#This Row],[Hora inicio]])*24)*(COUNTA(base_de_datos[[#This Row],[Lunes]:[Sábado]])),1)</f>
        <v>2</v>
      </c>
      <c r="Z233" s="101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33" s="101">
        <f ca="1">IF(base_de_datos[[#This Row],[No clase]]=OFFSET(base_de_datos[[#This Row],[No clase]],-1,0),0,1)</f>
        <v>0</v>
      </c>
      <c r="AB233" s="101">
        <f ca="1">IF(NOT(OR(base_de_datos[[#This Row],[Horas totales]]=base_de_datos[[#This Row],[HT Plan]],base_de_datos[[#This Row],[Horas totales]]="N/A")),1,0)</f>
        <v>0</v>
      </c>
      <c r="AC233" s="101" t="e">
        <f>_xlfn.XLOOKUP(base_de_datos[[#This Row],[Profesor]],Nombre,Grado)</f>
        <v>#REF!</v>
      </c>
      <c r="AD233" s="94" t="e">
        <f>_xlfn.XLOOKUP(base_de_datos[[#This Row],[Profesor]],Nombre,Tipo)</f>
        <v>#REF!</v>
      </c>
      <c r="AE233" s="101" t="str">
        <f>IF(IFERROR(VLOOKUP($C233,Planes_de_estudio[],MATCH($AE$2,Carreras,0)+2,0),"")&gt;0,IFERROR(VLOOKUP($C233,Planes_de_estudio[],MATCH($AE$2,Carreras,0)+2,0),""),"")</f>
        <v/>
      </c>
      <c r="AF233" s="101" t="str">
        <f>IF(IFERROR(VLOOKUP($C233,Planes_de_estudio[],MATCH($AF$2,Carreras,0)+2,0),"")&gt;0,IFERROR(VLOOKUP($C233,Planes_de_estudio[],MATCH($AF$2,Carreras,0)+2,0),""),"")</f>
        <v/>
      </c>
      <c r="AG233" s="101" t="str">
        <f>IF(IFERROR(VLOOKUP($C233,Planes_de_estudio[],MATCH($AG$2,Carreras,0)+2,0),"")&gt;0,IFERROR(VLOOKUP($C233,Planes_de_estudio[],MATCH($AG$2,Carreras,0)+2,0),""),"")</f>
        <v/>
      </c>
      <c r="AH233" s="101" t="str">
        <f>IF(IFERROR(VLOOKUP($C233,Planes_de_estudio[],MATCH($AH$2,Carreras,0)+2,0),"")&gt;0,IFERROR(VLOOKUP($C233,Planes_de_estudio[],MATCH($AH$2,Carreras,0)+2,0),""),"")</f>
        <v/>
      </c>
      <c r="AI233" s="101" t="str">
        <f>IF(IFERROR(VLOOKUP($C233,Planes_de_estudio[],MATCH($AI$2,Carreras,0)+2,0),"")&gt;0,IFERROR(VLOOKUP($C233,Planes_de_estudio[],MATCH($AI$2,Carreras,0)+2,0),""),"")</f>
        <v/>
      </c>
      <c r="AJ233" s="101" t="str">
        <f>IF(IFERROR(VLOOKUP($C233,Planes_de_estudio[],MATCH($AJ$2,Carreras,0)+2,0),"")&gt;0,IFERROR(VLOOKUP($C233,Planes_de_estudio[],MATCH($AJ$2,Carreras,0)+2,0),""),"")</f>
        <v/>
      </c>
      <c r="AK233" s="101">
        <f>IF(IFERROR(VLOOKUP($C233,Planes_de_estudio[],MATCH($AK$2,Carreras,0)+2,0),"")&gt;0,IFERROR(VLOOKUP($C233,Planes_de_estudio[],MATCH($AK$2,Carreras,0)+2,0),""),"")</f>
        <v>7</v>
      </c>
      <c r="AL233" s="101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33" s="101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9</v>
      </c>
      <c r="AN233" s="101">
        <f>base_de_datos[[#This Row],[Pronóstico]]/25</f>
        <v>0.36</v>
      </c>
      <c r="AO233" s="101" t="str">
        <f>VLOOKUP($C233,Planes_de_estudio[],2)</f>
        <v>EEC</v>
      </c>
      <c r="AP233" s="196"/>
      <c r="AQ233" s="196"/>
      <c r="AR233" s="196"/>
      <c r="AS233" s="196"/>
      <c r="AT233" s="196"/>
      <c r="AU233" s="196"/>
      <c r="AV233" s="196"/>
      <c r="AW233" s="179"/>
      <c r="AX233" s="178"/>
    </row>
    <row r="234" spans="1:50" ht="16">
      <c r="B234" s="95" t="s">
        <v>388</v>
      </c>
      <c r="C234" s="96" t="s">
        <v>444</v>
      </c>
      <c r="D234" s="92">
        <v>1</v>
      </c>
      <c r="E234" s="97">
        <v>0.39583333333333398</v>
      </c>
      <c r="F234" s="97">
        <v>0.45833333333333098</v>
      </c>
      <c r="G234" s="92"/>
      <c r="H234" s="92"/>
      <c r="I234" s="92" t="e">
        <f>INDEX(Aulas_capacidad,MATCH(base_de_datos[[#This Row],[Aula]],Aulas,0),2)</f>
        <v>#REF!</v>
      </c>
      <c r="J234" s="90">
        <v>1</v>
      </c>
      <c r="K234" s="92" t="e">
        <f>INDEX(Aulas_capacidad,MATCH(base_de_datos[[#This Row],[Aula]],Aulas,0),4)</f>
        <v>#REF!</v>
      </c>
      <c r="L234" s="98" t="e">
        <f>base_de_datos[[#This Row],[Cap 1.5]]-base_de_datos[[#This Row],[Inscritos]]</f>
        <v>#REF!</v>
      </c>
      <c r="M234" s="98" t="e">
        <f>INDEX(Aulas_capacidad,MATCH(base_de_datos[[#This Row],[Aula]],Aulas,0),5)</f>
        <v>#REF!</v>
      </c>
      <c r="N234" s="98" t="e">
        <f>base_de_datos[[#This Row],[Cap .90]]-base_de_datos[[#This Row],[Inscritos]]</f>
        <v>#REF!</v>
      </c>
      <c r="O234" s="92">
        <v>10333</v>
      </c>
      <c r="P234" s="99" t="s">
        <v>68</v>
      </c>
      <c r="Q234" s="100"/>
      <c r="R234" s="99" t="s">
        <v>68</v>
      </c>
      <c r="S234" s="100"/>
      <c r="T234" s="100"/>
      <c r="U234" s="99"/>
      <c r="V234" s="99"/>
      <c r="W234" s="99"/>
      <c r="X234" s="93">
        <f>_xlfn.XLOOKUP(base_de_datos[[#This Row],[Materia]],Materias,Horas)/16</f>
        <v>3</v>
      </c>
      <c r="Y234" s="93">
        <f>ROUND(((base_de_datos[[#This Row],[Hora fin]]-base_de_datos[[#This Row],[Hora inicio]])*24)*(COUNTA(base_de_datos[[#This Row],[Lunes]:[Sábado]])),1)</f>
        <v>3</v>
      </c>
      <c r="Z234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34" s="93">
        <f ca="1">IF(base_de_datos[[#This Row],[No clase]]=OFFSET(base_de_datos[[#This Row],[No clase]],-1,0),0,1)</f>
        <v>1</v>
      </c>
      <c r="AB234" s="93">
        <f ca="1">IF(NOT(OR(base_de_datos[[#This Row],[Horas totales]]=base_de_datos[[#This Row],[HT Plan]],base_de_datos[[#This Row],[Horas totales]]="N/A")),1,0)</f>
        <v>0</v>
      </c>
      <c r="AC234" s="93" t="e">
        <f>_xlfn.XLOOKUP(base_de_datos[[#This Row],[Profesor]],Nombre,Grado)</f>
        <v>#REF!</v>
      </c>
      <c r="AD234" s="94" t="e">
        <f>_xlfn.XLOOKUP(base_de_datos[[#This Row],[Profesor]],Nombre,Tipo)</f>
        <v>#REF!</v>
      </c>
      <c r="AE234" s="93" t="str">
        <f>IF(IFERROR(VLOOKUP($C234,Planes_de_estudio[],MATCH($AE$2,Carreras,0)+2,0),"")&gt;0,IFERROR(VLOOKUP($C234,Planes_de_estudio[],MATCH($AE$2,Carreras,0)+2,0),""),"")</f>
        <v/>
      </c>
      <c r="AF234" s="93" t="str">
        <f>IF(IFERROR(VLOOKUP($C234,Planes_de_estudio[],MATCH($AF$2,Carreras,0)+2,0),"")&gt;0,IFERROR(VLOOKUP($C234,Planes_de_estudio[],MATCH($AF$2,Carreras,0)+2,0),""),"")</f>
        <v/>
      </c>
      <c r="AG234" s="93">
        <f>IF(IFERROR(VLOOKUP($C234,Planes_de_estudio[],MATCH($AG$2,Carreras,0)+2,0),"")&gt;0,IFERROR(VLOOKUP($C234,Planes_de_estudio[],MATCH($AG$2,Carreras,0)+2,0),""),"")</f>
        <v>2</v>
      </c>
      <c r="AH234" s="93" t="str">
        <f>IF(IFERROR(VLOOKUP($C234,Planes_de_estudio[],MATCH($AH$2,Carreras,0)+2,0),"")&gt;0,IFERROR(VLOOKUP($C234,Planes_de_estudio[],MATCH($AH$2,Carreras,0)+2,0),""),"")</f>
        <v/>
      </c>
      <c r="AI234" s="93" t="str">
        <f>IF(IFERROR(VLOOKUP($C234,Planes_de_estudio[],MATCH($AI$2,Carreras,0)+2,0),"")&gt;0,IFERROR(VLOOKUP($C234,Planes_de_estudio[],MATCH($AI$2,Carreras,0)+2,0),""),"")</f>
        <v/>
      </c>
      <c r="AJ234" s="93" t="str">
        <f>IF(IFERROR(VLOOKUP($C234,Planes_de_estudio[],MATCH($AJ$2,Carreras,0)+2,0),"")&gt;0,IFERROR(VLOOKUP($C234,Planes_de_estudio[],MATCH($AJ$2,Carreras,0)+2,0),""),"")</f>
        <v/>
      </c>
      <c r="AK234" s="93" t="str">
        <f>IF(IFERROR(VLOOKUP($C234,Planes_de_estudio[],MATCH($AK$2,Carreras,0)+2,0),"")&gt;0,IFERROR(VLOOKUP($C234,Planes_de_estudio[],MATCH($AK$2,Carreras,0)+2,0),""),"")</f>
        <v/>
      </c>
      <c r="AL23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3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4</v>
      </c>
      <c r="AN234" s="93">
        <f>base_de_datos[[#This Row],[Pronóstico]]/25</f>
        <v>0.16</v>
      </c>
      <c r="AO234" s="93" t="str">
        <f>VLOOKUP($C234,Planes_de_estudio[],2)</f>
        <v>MAT</v>
      </c>
      <c r="AP234" s="196"/>
      <c r="AQ234" s="196"/>
      <c r="AR234" s="195">
        <v>6</v>
      </c>
      <c r="AS234" s="196"/>
      <c r="AT234" s="196"/>
      <c r="AU234" s="196"/>
      <c r="AV234" s="196"/>
      <c r="AW234" s="91"/>
      <c r="AX234" s="73"/>
    </row>
    <row r="235" spans="1:50" ht="14">
      <c r="B235" s="95"/>
      <c r="C235" s="172"/>
      <c r="D235" s="92"/>
      <c r="E235" s="97">
        <v>0.5</v>
      </c>
      <c r="F235" s="97">
        <v>0.58333333333332904</v>
      </c>
      <c r="G235" s="92"/>
      <c r="H235" s="173" t="s">
        <v>202</v>
      </c>
      <c r="I235" s="92" t="e">
        <f>INDEX(Aulas_capacidad,MATCH(base_de_datos[[#This Row],[Aula]],Aulas,0),2)</f>
        <v>#REF!</v>
      </c>
      <c r="J235" s="90"/>
      <c r="K235" s="92" t="e">
        <f>INDEX(Aulas_capacidad,MATCH(base_de_datos[[#This Row],[Aula]],Aulas,0),4)</f>
        <v>#REF!</v>
      </c>
      <c r="L235" s="98" t="e">
        <f>base_de_datos[[#This Row],[Cap 1.5]]-base_de_datos[[#This Row],[Inscritos]]</f>
        <v>#REF!</v>
      </c>
      <c r="M235" s="98" t="e">
        <f>INDEX(Aulas_capacidad,MATCH(base_de_datos[[#This Row],[Aula]],Aulas,0),5)</f>
        <v>#REF!</v>
      </c>
      <c r="N235" s="98" t="e">
        <f>base_de_datos[[#This Row],[Cap .90]]-base_de_datos[[#This Row],[Inscritos]]</f>
        <v>#REF!</v>
      </c>
      <c r="O235" s="92" t="s">
        <v>445</v>
      </c>
      <c r="P235" s="99"/>
      <c r="Q235" s="100"/>
      <c r="R235" s="99"/>
      <c r="S235" s="100"/>
      <c r="T235" s="100" t="s">
        <v>68</v>
      </c>
      <c r="U235" s="99"/>
      <c r="V235" s="99"/>
      <c r="W235" s="99"/>
      <c r="X235" s="93" t="e">
        <f>_xlfn.XLOOKUP(base_de_datos[[#This Row],[Materia]],Materias,Horas)/16</f>
        <v>#N/A</v>
      </c>
      <c r="Y235" s="93">
        <f>ROUND(((base_de_datos[[#This Row],[Hora fin]]-base_de_datos[[#This Row],[Hora inicio]])*24)*(COUNTA(base_de_datos[[#This Row],[Lunes]:[Sábado]])),1)</f>
        <v>2</v>
      </c>
      <c r="Z235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35" s="93">
        <f ca="1">IF(base_de_datos[[#This Row],[No clase]]=OFFSET(base_de_datos[[#This Row],[No clase]],-1,0),0,1)</f>
        <v>1</v>
      </c>
      <c r="AB235" s="93" t="e">
        <f ca="1">IF(NOT(OR(base_de_datos[[#This Row],[Horas totales]]=base_de_datos[[#This Row],[HT Plan]],base_de_datos[[#This Row],[Horas totales]]="N/A")),1,0)</f>
        <v>#N/A</v>
      </c>
      <c r="AC235" s="93" t="e">
        <f>_xlfn.XLOOKUP(base_de_datos[[#This Row],[Profesor]],Nombre,Grado)</f>
        <v>#REF!</v>
      </c>
      <c r="AD235" s="94" t="e">
        <f>_xlfn.XLOOKUP(base_de_datos[[#This Row],[Profesor]],Nombre,Tipo)</f>
        <v>#REF!</v>
      </c>
      <c r="AE235" s="93" t="str">
        <f>IF(IFERROR(VLOOKUP($C235,Planes_de_estudio[],MATCH($AE$2,Carreras,0)+2,0),"")&gt;0,IFERROR(VLOOKUP($C235,Planes_de_estudio[],MATCH($AE$2,Carreras,0)+2,0),""),"")</f>
        <v/>
      </c>
      <c r="AF235" s="93" t="str">
        <f>IF(IFERROR(VLOOKUP($C235,Planes_de_estudio[],MATCH($AF$2,Carreras,0)+2,0),"")&gt;0,IFERROR(VLOOKUP($C235,Planes_de_estudio[],MATCH($AF$2,Carreras,0)+2,0),""),"")</f>
        <v/>
      </c>
      <c r="AG235" s="93" t="str">
        <f>IF(IFERROR(VLOOKUP($C235,Planes_de_estudio[],MATCH($AG$2,Carreras,0)+2,0),"")&gt;0,IFERROR(VLOOKUP($C235,Planes_de_estudio[],MATCH($AG$2,Carreras,0)+2,0),""),"")</f>
        <v/>
      </c>
      <c r="AH235" s="93" t="str">
        <f>IF(IFERROR(VLOOKUP($C235,Planes_de_estudio[],MATCH($AH$2,Carreras,0)+2,0),"")&gt;0,IFERROR(VLOOKUP($C235,Planes_de_estudio[],MATCH($AH$2,Carreras,0)+2,0),""),"")</f>
        <v/>
      </c>
      <c r="AI235" s="93" t="str">
        <f>IF(IFERROR(VLOOKUP($C235,Planes_de_estudio[],MATCH($AI$2,Carreras,0)+2,0),"")&gt;0,IFERROR(VLOOKUP($C235,Planes_de_estudio[],MATCH($AI$2,Carreras,0)+2,0),""),"")</f>
        <v/>
      </c>
      <c r="AJ235" s="93" t="str">
        <f>IF(IFERROR(VLOOKUP($C235,Planes_de_estudio[],MATCH($AJ$2,Carreras,0)+2,0),"")&gt;0,IFERROR(VLOOKUP($C235,Planes_de_estudio[],MATCH($AJ$2,Carreras,0)+2,0),""),"")</f>
        <v/>
      </c>
      <c r="AK235" s="93" t="str">
        <f>IF(IFERROR(VLOOKUP($C235,Planes_de_estudio[],MATCH($AK$2,Carreras,0)+2,0),"")&gt;0,IFERROR(VLOOKUP($C235,Planes_de_estudio[],MATCH($AK$2,Carreras,0)+2,0),""),"")</f>
        <v/>
      </c>
      <c r="AL23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3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35" s="93">
        <f>base_de_datos[[#This Row],[Pronóstico]]/25</f>
        <v>0</v>
      </c>
      <c r="AO235" s="93" t="e">
        <f>VLOOKUP($C235,Planes_de_estudio[],2)</f>
        <v>#N/A</v>
      </c>
      <c r="AP235" s="64" t="str">
        <f ca="1">IF(AND(base_de_datos[[#This Row],[Industrial]]&lt;&gt;"",base_de_datos[[#This Row],[Misma o no]]=1),base_de_datos[[#This Row],[Índice]],"")</f>
        <v/>
      </c>
      <c r="AQ235" s="64" t="str">
        <f ca="1">IF(AND(base_de_datos[[#This Row],[Mecatrónica]]&lt;&gt;"",base_de_datos[[#This Row],[Misma o no]]=1),base_de_datos[[#This Row],[Índice]],"")</f>
        <v/>
      </c>
      <c r="AR235" s="64" t="str">
        <f ca="1">IF(AND(base_de_datos[[#This Row],[Innovación y Diseño]]&lt;&gt;"",base_de_datos[[#This Row],[Misma o no]]=1),base_de_datos[[#This Row],[Índice]],"")</f>
        <v/>
      </c>
      <c r="AS235" s="64" t="str">
        <f ca="1">IF(AND(base_de_datos[[#This Row],[Inteligencia Artificial]]&lt;&gt;"",base_de_datos[[#This Row],[Misma o no]]=1),base_de_datos[[#This Row],[Índice]],"")</f>
        <v/>
      </c>
      <c r="AT235" s="64" t="str">
        <f ca="1">IF(AND(base_de_datos[[#This Row],[Tecnologías Energéticas]]&lt;&gt;"",base_de_datos[[#This Row],[Misma o no]]=1),base_de_datos[[#This Row],[Índice]],"")</f>
        <v/>
      </c>
      <c r="AU235" s="64" t="str">
        <f ca="1">IF(AND(base_de_datos[[#This Row],[Civil y Administración]]&lt;&gt;"",base_de_datos[[#This Row],[Misma o no]]=1),base_de_datos[[#This Row],[Índice]],"")</f>
        <v/>
      </c>
      <c r="AV235" s="64" t="str">
        <f ca="1">IF(AND(base_de_datos[[#This Row],[Bioelectrónica]]&lt;&gt;"",base_de_datos[[#This Row],[Misma o no]]=1),base_de_datos[[#This Row],[Índice]],"")</f>
        <v/>
      </c>
      <c r="AW235" s="91"/>
      <c r="AX235" s="73"/>
    </row>
    <row r="236" spans="1:50" ht="14">
      <c r="B236" s="95"/>
      <c r="C236" s="172"/>
      <c r="D236" s="92"/>
      <c r="E236" s="97">
        <v>0.375</v>
      </c>
      <c r="F236" s="97">
        <v>0.45833333333333098</v>
      </c>
      <c r="G236" s="92"/>
      <c r="H236" s="173" t="s">
        <v>119</v>
      </c>
      <c r="I236" s="92" t="e">
        <f>INDEX(Aulas_capacidad,MATCH(base_de_datos[[#This Row],[Aula]],Aulas,0),2)</f>
        <v>#REF!</v>
      </c>
      <c r="J236" s="90"/>
      <c r="K236" s="92" t="e">
        <f>INDEX(Aulas_capacidad,MATCH(base_de_datos[[#This Row],[Aula]],Aulas,0),4)</f>
        <v>#REF!</v>
      </c>
      <c r="L236" s="98" t="e">
        <f>base_de_datos[[#This Row],[Cap 1.5]]-base_de_datos[[#This Row],[Inscritos]]</f>
        <v>#REF!</v>
      </c>
      <c r="M236" s="98" t="e">
        <f>INDEX(Aulas_capacidad,MATCH(base_de_datos[[#This Row],[Aula]],Aulas,0),5)</f>
        <v>#REF!</v>
      </c>
      <c r="N236" s="98" t="e">
        <f>base_de_datos[[#This Row],[Cap .90]]-base_de_datos[[#This Row],[Inscritos]]</f>
        <v>#REF!</v>
      </c>
      <c r="O236" s="92" t="s">
        <v>446</v>
      </c>
      <c r="P236" s="99" t="s">
        <v>68</v>
      </c>
      <c r="Q236" s="100"/>
      <c r="R236" s="99"/>
      <c r="S236" s="100"/>
      <c r="T236" s="100"/>
      <c r="U236" s="99"/>
      <c r="V236" s="99"/>
      <c r="W236" s="99"/>
      <c r="X236" s="93" t="e">
        <f>_xlfn.XLOOKUP(base_de_datos[[#This Row],[Materia]],Materias,Horas)/16</f>
        <v>#N/A</v>
      </c>
      <c r="Y236" s="93">
        <f>ROUND(((base_de_datos[[#This Row],[Hora fin]]-base_de_datos[[#This Row],[Hora inicio]])*24)*(COUNTA(base_de_datos[[#This Row],[Lunes]:[Sábado]])),1)</f>
        <v>2</v>
      </c>
      <c r="Z236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36" s="93">
        <f ca="1">IF(base_de_datos[[#This Row],[No clase]]=OFFSET(base_de_datos[[#This Row],[No clase]],-1,0),0,1)</f>
        <v>1</v>
      </c>
      <c r="AB236" s="93" t="e">
        <f ca="1">IF(NOT(OR(base_de_datos[[#This Row],[Horas totales]]=base_de_datos[[#This Row],[HT Plan]],base_de_datos[[#This Row],[Horas totales]]="N/A")),1,0)</f>
        <v>#N/A</v>
      </c>
      <c r="AC236" s="93" t="e">
        <f>_xlfn.XLOOKUP(base_de_datos[[#This Row],[Profesor]],Nombre,Grado)</f>
        <v>#REF!</v>
      </c>
      <c r="AD236" s="94" t="e">
        <f>_xlfn.XLOOKUP(base_de_datos[[#This Row],[Profesor]],Nombre,Tipo)</f>
        <v>#REF!</v>
      </c>
      <c r="AE236" s="93" t="str">
        <f>IF(IFERROR(VLOOKUP($C236,Planes_de_estudio[],MATCH($AE$2,Carreras,0)+2,0),"")&gt;0,IFERROR(VLOOKUP($C236,Planes_de_estudio[],MATCH($AE$2,Carreras,0)+2,0),""),"")</f>
        <v/>
      </c>
      <c r="AF236" s="93" t="str">
        <f>IF(IFERROR(VLOOKUP($C236,Planes_de_estudio[],MATCH($AF$2,Carreras,0)+2,0),"")&gt;0,IFERROR(VLOOKUP($C236,Planes_de_estudio[],MATCH($AF$2,Carreras,0)+2,0),""),"")</f>
        <v/>
      </c>
      <c r="AG236" s="93" t="str">
        <f>IF(IFERROR(VLOOKUP($C236,Planes_de_estudio[],MATCH($AG$2,Carreras,0)+2,0),"")&gt;0,IFERROR(VLOOKUP($C236,Planes_de_estudio[],MATCH($AG$2,Carreras,0)+2,0),""),"")</f>
        <v/>
      </c>
      <c r="AH236" s="93" t="str">
        <f>IF(IFERROR(VLOOKUP($C236,Planes_de_estudio[],MATCH($AH$2,Carreras,0)+2,0),"")&gt;0,IFERROR(VLOOKUP($C236,Planes_de_estudio[],MATCH($AH$2,Carreras,0)+2,0),""),"")</f>
        <v/>
      </c>
      <c r="AI236" s="93" t="str">
        <f>IF(IFERROR(VLOOKUP($C236,Planes_de_estudio[],MATCH($AI$2,Carreras,0)+2,0),"")&gt;0,IFERROR(VLOOKUP($C236,Planes_de_estudio[],MATCH($AI$2,Carreras,0)+2,0),""),"")</f>
        <v/>
      </c>
      <c r="AJ236" s="93" t="str">
        <f>IF(IFERROR(VLOOKUP($C236,Planes_de_estudio[],MATCH($AJ$2,Carreras,0)+2,0),"")&gt;0,IFERROR(VLOOKUP($C236,Planes_de_estudio[],MATCH($AJ$2,Carreras,0)+2,0),""),"")</f>
        <v/>
      </c>
      <c r="AK236" s="93" t="str">
        <f>IF(IFERROR(VLOOKUP($C236,Planes_de_estudio[],MATCH($AK$2,Carreras,0)+2,0),"")&gt;0,IFERROR(VLOOKUP($C236,Planes_de_estudio[],MATCH($AK$2,Carreras,0)+2,0),""),"")</f>
        <v/>
      </c>
      <c r="AL23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3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36" s="93">
        <f>base_de_datos[[#This Row],[Pronóstico]]/25</f>
        <v>0</v>
      </c>
      <c r="AO236" s="93" t="e">
        <f>VLOOKUP($C236,Planes_de_estudio[],2)</f>
        <v>#N/A</v>
      </c>
      <c r="AP236" s="64" t="str">
        <f ca="1">IF(AND(base_de_datos[[#This Row],[Industrial]]&lt;&gt;"",base_de_datos[[#This Row],[Misma o no]]=1),base_de_datos[[#This Row],[Índice]],"")</f>
        <v/>
      </c>
      <c r="AQ236" s="64" t="str">
        <f ca="1">IF(AND(base_de_datos[[#This Row],[Mecatrónica]]&lt;&gt;"",base_de_datos[[#This Row],[Misma o no]]=1),base_de_datos[[#This Row],[Índice]],"")</f>
        <v/>
      </c>
      <c r="AR236" s="64" t="str">
        <f ca="1">IF(AND(base_de_datos[[#This Row],[Innovación y Diseño]]&lt;&gt;"",base_de_datos[[#This Row],[Misma o no]]=1),base_de_datos[[#This Row],[Índice]],"")</f>
        <v/>
      </c>
      <c r="AS236" s="64" t="str">
        <f ca="1">IF(AND(base_de_datos[[#This Row],[Inteligencia Artificial]]&lt;&gt;"",base_de_datos[[#This Row],[Misma o no]]=1),base_de_datos[[#This Row],[Índice]],"")</f>
        <v/>
      </c>
      <c r="AT236" s="64" t="str">
        <f ca="1">IF(AND(base_de_datos[[#This Row],[Tecnologías Energéticas]]&lt;&gt;"",base_de_datos[[#This Row],[Misma o no]]=1),base_de_datos[[#This Row],[Índice]],"")</f>
        <v/>
      </c>
      <c r="AU236" s="64" t="str">
        <f ca="1">IF(AND(base_de_datos[[#This Row],[Civil y Administración]]&lt;&gt;"",base_de_datos[[#This Row],[Misma o no]]=1),base_de_datos[[#This Row],[Índice]],"")</f>
        <v/>
      </c>
      <c r="AV236" s="64" t="str">
        <f ca="1">IF(AND(base_de_datos[[#This Row],[Bioelectrónica]]&lt;&gt;"",base_de_datos[[#This Row],[Misma o no]]=1),base_de_datos[[#This Row],[Índice]],"")</f>
        <v/>
      </c>
      <c r="AW236" s="91"/>
      <c r="AX236" s="73"/>
    </row>
    <row r="237" spans="1:50" ht="14">
      <c r="B237" s="95"/>
      <c r="C237" s="172"/>
      <c r="D237" s="92"/>
      <c r="E237" s="97">
        <v>0.5</v>
      </c>
      <c r="F237" s="97">
        <v>0.58333333333332904</v>
      </c>
      <c r="G237" s="92"/>
      <c r="H237" s="173" t="s">
        <v>119</v>
      </c>
      <c r="I237" s="92" t="e">
        <f>INDEX(Aulas_capacidad,MATCH(base_de_datos[[#This Row],[Aula]],Aulas,0),2)</f>
        <v>#REF!</v>
      </c>
      <c r="J237" s="90"/>
      <c r="K237" s="92" t="e">
        <f>INDEX(Aulas_capacidad,MATCH(base_de_datos[[#This Row],[Aula]],Aulas,0),4)</f>
        <v>#REF!</v>
      </c>
      <c r="L237" s="98" t="e">
        <f>base_de_datos[[#This Row],[Cap 1.5]]-base_de_datos[[#This Row],[Inscritos]]</f>
        <v>#REF!</v>
      </c>
      <c r="M237" s="98" t="e">
        <f>INDEX(Aulas_capacidad,MATCH(base_de_datos[[#This Row],[Aula]],Aulas,0),5)</f>
        <v>#REF!</v>
      </c>
      <c r="N237" s="98" t="e">
        <f>base_de_datos[[#This Row],[Cap .90]]-base_de_datos[[#This Row],[Inscritos]]</f>
        <v>#REF!</v>
      </c>
      <c r="O237" s="92" t="s">
        <v>447</v>
      </c>
      <c r="P237" s="99" t="s">
        <v>68</v>
      </c>
      <c r="Q237" s="100"/>
      <c r="R237" s="99"/>
      <c r="S237" s="100"/>
      <c r="T237" s="100"/>
      <c r="U237" s="99"/>
      <c r="V237" s="99"/>
      <c r="W237" s="99"/>
      <c r="X237" s="93" t="e">
        <f>_xlfn.XLOOKUP(base_de_datos[[#This Row],[Materia]],Materias,Horas)/16</f>
        <v>#N/A</v>
      </c>
      <c r="Y237" s="93">
        <f>ROUND(((base_de_datos[[#This Row],[Hora fin]]-base_de_datos[[#This Row],[Hora inicio]])*24)*(COUNTA(base_de_datos[[#This Row],[Lunes]:[Sábado]])),1)</f>
        <v>2</v>
      </c>
      <c r="Z237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37" s="93">
        <f ca="1">IF(base_de_datos[[#This Row],[No clase]]=OFFSET(base_de_datos[[#This Row],[No clase]],-1,0),0,1)</f>
        <v>1</v>
      </c>
      <c r="AB237" s="93" t="e">
        <f ca="1">IF(NOT(OR(base_de_datos[[#This Row],[Horas totales]]=base_de_datos[[#This Row],[HT Plan]],base_de_datos[[#This Row],[Horas totales]]="N/A")),1,0)</f>
        <v>#N/A</v>
      </c>
      <c r="AC237" s="93" t="e">
        <f>_xlfn.XLOOKUP(base_de_datos[[#This Row],[Profesor]],Nombre,Grado)</f>
        <v>#REF!</v>
      </c>
      <c r="AD237" s="94" t="e">
        <f>_xlfn.XLOOKUP(base_de_datos[[#This Row],[Profesor]],Nombre,Tipo)</f>
        <v>#REF!</v>
      </c>
      <c r="AE237" s="93" t="str">
        <f>IF(IFERROR(VLOOKUP($C237,Planes_de_estudio[],MATCH($AE$2,Carreras,0)+2,0),"")&gt;0,IFERROR(VLOOKUP($C237,Planes_de_estudio[],MATCH($AE$2,Carreras,0)+2,0),""),"")</f>
        <v/>
      </c>
      <c r="AF237" s="93" t="str">
        <f>IF(IFERROR(VLOOKUP($C237,Planes_de_estudio[],MATCH($AF$2,Carreras,0)+2,0),"")&gt;0,IFERROR(VLOOKUP($C237,Planes_de_estudio[],MATCH($AF$2,Carreras,0)+2,0),""),"")</f>
        <v/>
      </c>
      <c r="AG237" s="93" t="str">
        <f>IF(IFERROR(VLOOKUP($C237,Planes_de_estudio[],MATCH($AG$2,Carreras,0)+2,0),"")&gt;0,IFERROR(VLOOKUP($C237,Planes_de_estudio[],MATCH($AG$2,Carreras,0)+2,0),""),"")</f>
        <v/>
      </c>
      <c r="AH237" s="93" t="str">
        <f>IF(IFERROR(VLOOKUP($C237,Planes_de_estudio[],MATCH($AH$2,Carreras,0)+2,0),"")&gt;0,IFERROR(VLOOKUP($C237,Planes_de_estudio[],MATCH($AH$2,Carreras,0)+2,0),""),"")</f>
        <v/>
      </c>
      <c r="AI237" s="93" t="str">
        <f>IF(IFERROR(VLOOKUP($C237,Planes_de_estudio[],MATCH($AI$2,Carreras,0)+2,0),"")&gt;0,IFERROR(VLOOKUP($C237,Planes_de_estudio[],MATCH($AI$2,Carreras,0)+2,0),""),"")</f>
        <v/>
      </c>
      <c r="AJ237" s="93" t="str">
        <f>IF(IFERROR(VLOOKUP($C237,Planes_de_estudio[],MATCH($AJ$2,Carreras,0)+2,0),"")&gt;0,IFERROR(VLOOKUP($C237,Planes_de_estudio[],MATCH($AJ$2,Carreras,0)+2,0),""),"")</f>
        <v/>
      </c>
      <c r="AK237" s="93" t="str">
        <f>IF(IFERROR(VLOOKUP($C237,Planes_de_estudio[],MATCH($AK$2,Carreras,0)+2,0),"")&gt;0,IFERROR(VLOOKUP($C237,Planes_de_estudio[],MATCH($AK$2,Carreras,0)+2,0),""),"")</f>
        <v/>
      </c>
      <c r="AL23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3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37" s="93">
        <f>base_de_datos[[#This Row],[Pronóstico]]/25</f>
        <v>0</v>
      </c>
      <c r="AO237" s="93" t="e">
        <f>VLOOKUP($C237,Planes_de_estudio[],2)</f>
        <v>#N/A</v>
      </c>
      <c r="AP237" s="64" t="str">
        <f ca="1">IF(AND(base_de_datos[[#This Row],[Industrial]]&lt;&gt;"",base_de_datos[[#This Row],[Misma o no]]=1),base_de_datos[[#This Row],[Índice]],"")</f>
        <v/>
      </c>
      <c r="AQ237" s="64" t="str">
        <f ca="1">IF(AND(base_de_datos[[#This Row],[Mecatrónica]]&lt;&gt;"",base_de_datos[[#This Row],[Misma o no]]=1),base_de_datos[[#This Row],[Índice]],"")</f>
        <v/>
      </c>
      <c r="AR237" s="64" t="str">
        <f ca="1">IF(AND(base_de_datos[[#This Row],[Innovación y Diseño]]&lt;&gt;"",base_de_datos[[#This Row],[Misma o no]]=1),base_de_datos[[#This Row],[Índice]],"")</f>
        <v/>
      </c>
      <c r="AS237" s="64" t="str">
        <f ca="1">IF(AND(base_de_datos[[#This Row],[Inteligencia Artificial]]&lt;&gt;"",base_de_datos[[#This Row],[Misma o no]]=1),base_de_datos[[#This Row],[Índice]],"")</f>
        <v/>
      </c>
      <c r="AT237" s="64" t="str">
        <f ca="1">IF(AND(base_de_datos[[#This Row],[Tecnologías Energéticas]]&lt;&gt;"",base_de_datos[[#This Row],[Misma o no]]=1),base_de_datos[[#This Row],[Índice]],"")</f>
        <v/>
      </c>
      <c r="AU237" s="64" t="str">
        <f ca="1">IF(AND(base_de_datos[[#This Row],[Civil y Administración]]&lt;&gt;"",base_de_datos[[#This Row],[Misma o no]]=1),base_de_datos[[#This Row],[Índice]],"")</f>
        <v/>
      </c>
      <c r="AV237" s="64" t="str">
        <f ca="1">IF(AND(base_de_datos[[#This Row],[Bioelectrónica]]&lt;&gt;"",base_de_datos[[#This Row],[Misma o no]]=1),base_de_datos[[#This Row],[Índice]],"")</f>
        <v/>
      </c>
      <c r="AW237" s="91"/>
      <c r="AX237" s="73"/>
    </row>
    <row r="238" spans="1:50" ht="14">
      <c r="B238" s="95"/>
      <c r="C238" s="172"/>
      <c r="D238" s="92"/>
      <c r="E238" s="97"/>
      <c r="F238" s="97"/>
      <c r="G238" s="92"/>
      <c r="H238" s="173" t="s">
        <v>119</v>
      </c>
      <c r="I238" s="92" t="e">
        <f>INDEX(Aulas_capacidad,MATCH(base_de_datos[[#This Row],[Aula]],Aulas,0),2)</f>
        <v>#REF!</v>
      </c>
      <c r="J238" s="90"/>
      <c r="K238" s="92" t="e">
        <f>INDEX(Aulas_capacidad,MATCH(base_de_datos[[#This Row],[Aula]],Aulas,0),4)</f>
        <v>#REF!</v>
      </c>
      <c r="L238" s="98" t="e">
        <f>base_de_datos[[#This Row],[Cap 1.5]]-base_de_datos[[#This Row],[Inscritos]]</f>
        <v>#REF!</v>
      </c>
      <c r="M238" s="98" t="e">
        <f>INDEX(Aulas_capacidad,MATCH(base_de_datos[[#This Row],[Aula]],Aulas,0),5)</f>
        <v>#REF!</v>
      </c>
      <c r="N238" s="98" t="e">
        <f>base_de_datos[[#This Row],[Cap .90]]-base_de_datos[[#This Row],[Inscritos]]</f>
        <v>#REF!</v>
      </c>
      <c r="O238" s="92" t="s">
        <v>448</v>
      </c>
      <c r="P238" s="99"/>
      <c r="Q238" s="100"/>
      <c r="R238" s="99"/>
      <c r="S238" s="100"/>
      <c r="T238" s="100"/>
      <c r="U238" s="99"/>
      <c r="V238" s="99"/>
      <c r="W238" s="99"/>
      <c r="X238" s="93" t="e">
        <f>_xlfn.XLOOKUP(base_de_datos[[#This Row],[Materia]],Materias,Horas)/16</f>
        <v>#N/A</v>
      </c>
      <c r="Y238" s="93">
        <f>ROUND(((base_de_datos[[#This Row],[Hora fin]]-base_de_datos[[#This Row],[Hora inicio]])*24)*(COUNTA(base_de_datos[[#This Row],[Lunes]:[Sábado]])),1)</f>
        <v>0</v>
      </c>
      <c r="Z238" s="93">
        <f ca="1">IF(base_de_datos[[#This Row],[Misma o no]]=0,"N/A",IF((OFFSET(base_de_datos[[#This Row],[Misma o no]],1,0))=0,base_de_datos[[#This Row],[Horas]]+(OFFSET(base_de_datos[[#This Row],[Horas]],1,0)),base_de_datos[[#This Row],[Horas]]))</f>
        <v>0</v>
      </c>
      <c r="AA238" s="93">
        <f ca="1">IF(base_de_datos[[#This Row],[No clase]]=OFFSET(base_de_datos[[#This Row],[No clase]],-1,0),0,1)</f>
        <v>1</v>
      </c>
      <c r="AB238" s="93" t="e">
        <f ca="1">IF(NOT(OR(base_de_datos[[#This Row],[Horas totales]]=base_de_datos[[#This Row],[HT Plan]],base_de_datos[[#This Row],[Horas totales]]="N/A")),1,0)</f>
        <v>#N/A</v>
      </c>
      <c r="AC238" s="93" t="e">
        <f>_xlfn.XLOOKUP(base_de_datos[[#This Row],[Profesor]],Nombre,Grado)</f>
        <v>#REF!</v>
      </c>
      <c r="AD238" s="94" t="e">
        <f>_xlfn.XLOOKUP(base_de_datos[[#This Row],[Profesor]],Nombre,Tipo)</f>
        <v>#REF!</v>
      </c>
      <c r="AE238" s="93" t="str">
        <f>IF(IFERROR(VLOOKUP($C238,Planes_de_estudio[],MATCH($AE$2,Carreras,0)+2,0),"")&gt;0,IFERROR(VLOOKUP($C238,Planes_de_estudio[],MATCH($AE$2,Carreras,0)+2,0),""),"")</f>
        <v/>
      </c>
      <c r="AF238" s="93" t="str">
        <f>IF(IFERROR(VLOOKUP($C238,Planes_de_estudio[],MATCH($AF$2,Carreras,0)+2,0),"")&gt;0,IFERROR(VLOOKUP($C238,Planes_de_estudio[],MATCH($AF$2,Carreras,0)+2,0),""),"")</f>
        <v/>
      </c>
      <c r="AG238" s="93" t="str">
        <f>IF(IFERROR(VLOOKUP($C238,Planes_de_estudio[],MATCH($AG$2,Carreras,0)+2,0),"")&gt;0,IFERROR(VLOOKUP($C238,Planes_de_estudio[],MATCH($AG$2,Carreras,0)+2,0),""),"")</f>
        <v/>
      </c>
      <c r="AH238" s="93" t="str">
        <f>IF(IFERROR(VLOOKUP($C238,Planes_de_estudio[],MATCH($AH$2,Carreras,0)+2,0),"")&gt;0,IFERROR(VLOOKUP($C238,Planes_de_estudio[],MATCH($AH$2,Carreras,0)+2,0),""),"")</f>
        <v/>
      </c>
      <c r="AI238" s="93" t="str">
        <f>IF(IFERROR(VLOOKUP($C238,Planes_de_estudio[],MATCH($AI$2,Carreras,0)+2,0),"")&gt;0,IFERROR(VLOOKUP($C238,Planes_de_estudio[],MATCH($AI$2,Carreras,0)+2,0),""),"")</f>
        <v/>
      </c>
      <c r="AJ238" s="93" t="str">
        <f>IF(IFERROR(VLOOKUP($C238,Planes_de_estudio[],MATCH($AJ$2,Carreras,0)+2,0),"")&gt;0,IFERROR(VLOOKUP($C238,Planes_de_estudio[],MATCH($AJ$2,Carreras,0)+2,0),""),"")</f>
        <v/>
      </c>
      <c r="AK238" s="93" t="str">
        <f>IF(IFERROR(VLOOKUP($C238,Planes_de_estudio[],MATCH($AK$2,Carreras,0)+2,0),"")&gt;0,IFERROR(VLOOKUP($C238,Planes_de_estudio[],MATCH($AK$2,Carreras,0)+2,0),""),"")</f>
        <v/>
      </c>
      <c r="AL23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3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38" s="93">
        <f>base_de_datos[[#This Row],[Pronóstico]]/25</f>
        <v>0</v>
      </c>
      <c r="AO238" s="93" t="e">
        <f>VLOOKUP($C238,Planes_de_estudio[],2)</f>
        <v>#N/A</v>
      </c>
      <c r="AP238" s="64" t="str">
        <f ca="1">IF(AND(base_de_datos[[#This Row],[Industrial]]&lt;&gt;"",base_de_datos[[#This Row],[Misma o no]]=1),base_de_datos[[#This Row],[Índice]],"")</f>
        <v/>
      </c>
      <c r="AQ238" s="64" t="str">
        <f ca="1">IF(AND(base_de_datos[[#This Row],[Mecatrónica]]&lt;&gt;"",base_de_datos[[#This Row],[Misma o no]]=1),base_de_datos[[#This Row],[Índice]],"")</f>
        <v/>
      </c>
      <c r="AR238" s="64" t="str">
        <f ca="1">IF(AND(base_de_datos[[#This Row],[Innovación y Diseño]]&lt;&gt;"",base_de_datos[[#This Row],[Misma o no]]=1),base_de_datos[[#This Row],[Índice]],"")</f>
        <v/>
      </c>
      <c r="AS238" s="64" t="str">
        <f ca="1">IF(AND(base_de_datos[[#This Row],[Inteligencia Artificial]]&lt;&gt;"",base_de_datos[[#This Row],[Misma o no]]=1),base_de_datos[[#This Row],[Índice]],"")</f>
        <v/>
      </c>
      <c r="AT238" s="64" t="str">
        <f ca="1">IF(AND(base_de_datos[[#This Row],[Tecnologías Energéticas]]&lt;&gt;"",base_de_datos[[#This Row],[Misma o no]]=1),base_de_datos[[#This Row],[Índice]],"")</f>
        <v/>
      </c>
      <c r="AU238" s="64" t="str">
        <f ca="1">IF(AND(base_de_datos[[#This Row],[Civil y Administración]]&lt;&gt;"",base_de_datos[[#This Row],[Misma o no]]=1),base_de_datos[[#This Row],[Índice]],"")</f>
        <v/>
      </c>
      <c r="AV238" s="64" t="str">
        <f ca="1">IF(AND(base_de_datos[[#This Row],[Bioelectrónica]]&lt;&gt;"",base_de_datos[[#This Row],[Misma o no]]=1),base_de_datos[[#This Row],[Índice]],"")</f>
        <v/>
      </c>
      <c r="AW238" s="91"/>
      <c r="AX238" s="73"/>
    </row>
    <row r="239" spans="1:50" ht="14">
      <c r="B239" s="95"/>
      <c r="C239" s="172"/>
      <c r="D239" s="92"/>
      <c r="E239" s="97">
        <v>0.5</v>
      </c>
      <c r="F239" s="97">
        <v>0.60416666666666197</v>
      </c>
      <c r="G239" s="92"/>
      <c r="H239" s="173" t="s">
        <v>119</v>
      </c>
      <c r="I239" s="92" t="e">
        <f>INDEX(Aulas_capacidad,MATCH(base_de_datos[[#This Row],[Aula]],Aulas,0),2)</f>
        <v>#REF!</v>
      </c>
      <c r="J239" s="90"/>
      <c r="K239" s="92" t="e">
        <f>INDEX(Aulas_capacidad,MATCH(base_de_datos[[#This Row],[Aula]],Aulas,0),4)</f>
        <v>#REF!</v>
      </c>
      <c r="L239" s="98" t="e">
        <f>base_de_datos[[#This Row],[Cap 1.5]]-base_de_datos[[#This Row],[Inscritos]]</f>
        <v>#REF!</v>
      </c>
      <c r="M239" s="98" t="e">
        <f>INDEX(Aulas_capacidad,MATCH(base_de_datos[[#This Row],[Aula]],Aulas,0),5)</f>
        <v>#REF!</v>
      </c>
      <c r="N239" s="98" t="e">
        <f>base_de_datos[[#This Row],[Cap .90]]-base_de_datos[[#This Row],[Inscritos]]</f>
        <v>#REF!</v>
      </c>
      <c r="O239" s="92" t="s">
        <v>449</v>
      </c>
      <c r="P239" s="99"/>
      <c r="Q239" s="100" t="s">
        <v>68</v>
      </c>
      <c r="R239" s="99"/>
      <c r="S239" s="100" t="s">
        <v>68</v>
      </c>
      <c r="T239" s="100"/>
      <c r="U239" s="99"/>
      <c r="V239" s="99"/>
      <c r="W239" s="99"/>
      <c r="X239" s="93" t="e">
        <f>_xlfn.XLOOKUP(base_de_datos[[#This Row],[Materia]],Materias,Horas)/16</f>
        <v>#N/A</v>
      </c>
      <c r="Y239" s="93">
        <f>ROUND(((base_de_datos[[#This Row],[Hora fin]]-base_de_datos[[#This Row],[Hora inicio]])*24)*(COUNTA(base_de_datos[[#This Row],[Lunes]:[Sábado]])),1)</f>
        <v>5</v>
      </c>
      <c r="Z239" s="93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239" s="93">
        <f ca="1">IF(base_de_datos[[#This Row],[No clase]]=OFFSET(base_de_datos[[#This Row],[No clase]],-1,0),0,1)</f>
        <v>1</v>
      </c>
      <c r="AB239" s="93" t="e">
        <f ca="1">IF(NOT(OR(base_de_datos[[#This Row],[Horas totales]]=base_de_datos[[#This Row],[HT Plan]],base_de_datos[[#This Row],[Horas totales]]="N/A")),1,0)</f>
        <v>#N/A</v>
      </c>
      <c r="AC239" s="93" t="e">
        <f>_xlfn.XLOOKUP(base_de_datos[[#This Row],[Profesor]],Nombre,Grado)</f>
        <v>#REF!</v>
      </c>
      <c r="AD239" s="94" t="e">
        <f>_xlfn.XLOOKUP(base_de_datos[[#This Row],[Profesor]],Nombre,Tipo)</f>
        <v>#REF!</v>
      </c>
      <c r="AE239" s="93" t="str">
        <f>IF(IFERROR(VLOOKUP($C239,Planes_de_estudio[],MATCH($AE$2,Carreras,0)+2,0),"")&gt;0,IFERROR(VLOOKUP($C239,Planes_de_estudio[],MATCH($AE$2,Carreras,0)+2,0),""),"")</f>
        <v/>
      </c>
      <c r="AF239" s="93" t="str">
        <f>IF(IFERROR(VLOOKUP($C239,Planes_de_estudio[],MATCH($AF$2,Carreras,0)+2,0),"")&gt;0,IFERROR(VLOOKUP($C239,Planes_de_estudio[],MATCH($AF$2,Carreras,0)+2,0),""),"")</f>
        <v/>
      </c>
      <c r="AG239" s="93" t="str">
        <f>IF(IFERROR(VLOOKUP($C239,Planes_de_estudio[],MATCH($AG$2,Carreras,0)+2,0),"")&gt;0,IFERROR(VLOOKUP($C239,Planes_de_estudio[],MATCH($AG$2,Carreras,0)+2,0),""),"")</f>
        <v/>
      </c>
      <c r="AH239" s="93" t="str">
        <f>IF(IFERROR(VLOOKUP($C239,Planes_de_estudio[],MATCH($AH$2,Carreras,0)+2,0),"")&gt;0,IFERROR(VLOOKUP($C239,Planes_de_estudio[],MATCH($AH$2,Carreras,0)+2,0),""),"")</f>
        <v/>
      </c>
      <c r="AI239" s="93" t="str">
        <f>IF(IFERROR(VLOOKUP($C239,Planes_de_estudio[],MATCH($AI$2,Carreras,0)+2,0),"")&gt;0,IFERROR(VLOOKUP($C239,Planes_de_estudio[],MATCH($AI$2,Carreras,0)+2,0),""),"")</f>
        <v/>
      </c>
      <c r="AJ239" s="93" t="str">
        <f>IF(IFERROR(VLOOKUP($C239,Planes_de_estudio[],MATCH($AJ$2,Carreras,0)+2,0),"")&gt;0,IFERROR(VLOOKUP($C239,Planes_de_estudio[],MATCH($AJ$2,Carreras,0)+2,0),""),"")</f>
        <v/>
      </c>
      <c r="AK239" s="93" t="str">
        <f>IF(IFERROR(VLOOKUP($C239,Planes_de_estudio[],MATCH($AK$2,Carreras,0)+2,0),"")&gt;0,IFERROR(VLOOKUP($C239,Planes_de_estudio[],MATCH($AK$2,Carreras,0)+2,0),""),"")</f>
        <v/>
      </c>
      <c r="AL23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3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39" s="93">
        <f>base_de_datos[[#This Row],[Pronóstico]]/25</f>
        <v>0</v>
      </c>
      <c r="AO239" s="93" t="e">
        <f>VLOOKUP($C239,Planes_de_estudio[],2)</f>
        <v>#N/A</v>
      </c>
      <c r="AP239" s="64" t="str">
        <f ca="1">IF(AND(base_de_datos[[#This Row],[Industrial]]&lt;&gt;"",base_de_datos[[#This Row],[Misma o no]]=1),base_de_datos[[#This Row],[Índice]],"")</f>
        <v/>
      </c>
      <c r="AQ239" s="64" t="str">
        <f ca="1">IF(AND(base_de_datos[[#This Row],[Mecatrónica]]&lt;&gt;"",base_de_datos[[#This Row],[Misma o no]]=1),base_de_datos[[#This Row],[Índice]],"")</f>
        <v/>
      </c>
      <c r="AR239" s="64" t="str">
        <f ca="1">IF(AND(base_de_datos[[#This Row],[Innovación y Diseño]]&lt;&gt;"",base_de_datos[[#This Row],[Misma o no]]=1),base_de_datos[[#This Row],[Índice]],"")</f>
        <v/>
      </c>
      <c r="AS239" s="64" t="str">
        <f ca="1">IF(AND(base_de_datos[[#This Row],[Inteligencia Artificial]]&lt;&gt;"",base_de_datos[[#This Row],[Misma o no]]=1),base_de_datos[[#This Row],[Índice]],"")</f>
        <v/>
      </c>
      <c r="AT239" s="64" t="str">
        <f ca="1">IF(AND(base_de_datos[[#This Row],[Tecnologías Energéticas]]&lt;&gt;"",base_de_datos[[#This Row],[Misma o no]]=1),base_de_datos[[#This Row],[Índice]],"")</f>
        <v/>
      </c>
      <c r="AU239" s="64" t="str">
        <f ca="1">IF(AND(base_de_datos[[#This Row],[Civil y Administración]]&lt;&gt;"",base_de_datos[[#This Row],[Misma o no]]=1),base_de_datos[[#This Row],[Índice]],"")</f>
        <v/>
      </c>
      <c r="AV239" s="64" t="str">
        <f ca="1">IF(AND(base_de_datos[[#This Row],[Bioelectrónica]]&lt;&gt;"",base_de_datos[[#This Row],[Misma o no]]=1),base_de_datos[[#This Row],[Índice]],"")</f>
        <v/>
      </c>
      <c r="AW239" s="91"/>
      <c r="AX239" s="73"/>
    </row>
    <row r="240" spans="1:50" ht="14">
      <c r="A240" s="65"/>
      <c r="B240" s="95"/>
      <c r="C240" s="172"/>
      <c r="D240" s="92"/>
      <c r="E240" s="97">
        <v>0.39583333333333398</v>
      </c>
      <c r="F240" s="97">
        <v>0.58333333333332904</v>
      </c>
      <c r="G240" s="92"/>
      <c r="H240" s="173" t="s">
        <v>119</v>
      </c>
      <c r="I240" s="92" t="e">
        <f>INDEX(Aulas_capacidad,MATCH(base_de_datos[[#This Row],[Aula]],Aulas,0),2)</f>
        <v>#REF!</v>
      </c>
      <c r="J240" s="90"/>
      <c r="K240" s="92" t="e">
        <f>INDEX(Aulas_capacidad,MATCH(base_de_datos[[#This Row],[Aula]],Aulas,0),4)</f>
        <v>#REF!</v>
      </c>
      <c r="L240" s="98" t="e">
        <f>base_de_datos[[#This Row],[Cap 1.5]]-base_de_datos[[#This Row],[Inscritos]]</f>
        <v>#REF!</v>
      </c>
      <c r="M240" s="98" t="e">
        <f>INDEX(Aulas_capacidad,MATCH(base_de_datos[[#This Row],[Aula]],Aulas,0),5)</f>
        <v>#REF!</v>
      </c>
      <c r="N240" s="98" t="e">
        <f>base_de_datos[[#This Row],[Cap .90]]-base_de_datos[[#This Row],[Inscritos]]</f>
        <v>#REF!</v>
      </c>
      <c r="O240" s="92" t="s">
        <v>450</v>
      </c>
      <c r="P240" s="99"/>
      <c r="Q240" s="100"/>
      <c r="R240" s="99"/>
      <c r="S240" s="100"/>
      <c r="T240" s="100"/>
      <c r="U240" s="99" t="s">
        <v>68</v>
      </c>
      <c r="V240" s="99"/>
      <c r="W240" s="99"/>
      <c r="X240" s="93" t="e">
        <f>_xlfn.XLOOKUP(base_de_datos[[#This Row],[Materia]],Materias,Horas)/16</f>
        <v>#N/A</v>
      </c>
      <c r="Y240" s="93">
        <f>ROUND(((base_de_datos[[#This Row],[Hora fin]]-base_de_datos[[#This Row],[Hora inicio]])*24)*(COUNTA(base_de_datos[[#This Row],[Lunes]:[Sábado]])),1)</f>
        <v>4.5</v>
      </c>
      <c r="Z240" s="93">
        <f ca="1">IF(base_de_datos[[#This Row],[Misma o no]]=0,"N/A",IF((OFFSET(base_de_datos[[#This Row],[Misma o no]],1,0))=0,base_de_datos[[#This Row],[Horas]]+(OFFSET(base_de_datos[[#This Row],[Horas]],1,0)),base_de_datos[[#This Row],[Horas]]))</f>
        <v>4.5</v>
      </c>
      <c r="AA240" s="93">
        <f ca="1">IF(base_de_datos[[#This Row],[No clase]]=OFFSET(base_de_datos[[#This Row],[No clase]],-1,0),0,1)</f>
        <v>1</v>
      </c>
      <c r="AB240" s="93" t="e">
        <f ca="1">IF(NOT(OR(base_de_datos[[#This Row],[Horas totales]]=base_de_datos[[#This Row],[HT Plan]],base_de_datos[[#This Row],[Horas totales]]="N/A")),1,0)</f>
        <v>#N/A</v>
      </c>
      <c r="AC240" s="93" t="e">
        <f>_xlfn.XLOOKUP(base_de_datos[[#This Row],[Profesor]],Nombre,Grado)</f>
        <v>#REF!</v>
      </c>
      <c r="AD240" s="94" t="e">
        <f>_xlfn.XLOOKUP(base_de_datos[[#This Row],[Profesor]],Nombre,Tipo)</f>
        <v>#REF!</v>
      </c>
      <c r="AE240" s="93" t="str">
        <f>IF(IFERROR(VLOOKUP($C240,Planes_de_estudio[],MATCH($AE$2,Carreras,0)+2,0),"")&gt;0,IFERROR(VLOOKUP($C240,Planes_de_estudio[],MATCH($AE$2,Carreras,0)+2,0),""),"")</f>
        <v/>
      </c>
      <c r="AF240" s="93" t="str">
        <f>IF(IFERROR(VLOOKUP($C240,Planes_de_estudio[],MATCH($AF$2,Carreras,0)+2,0),"")&gt;0,IFERROR(VLOOKUP($C240,Planes_de_estudio[],MATCH($AF$2,Carreras,0)+2,0),""),"")</f>
        <v/>
      </c>
      <c r="AG240" s="93" t="str">
        <f>IF(IFERROR(VLOOKUP($C240,Planes_de_estudio[],MATCH($AG$2,Carreras,0)+2,0),"")&gt;0,IFERROR(VLOOKUP($C240,Planes_de_estudio[],MATCH($AG$2,Carreras,0)+2,0),""),"")</f>
        <v/>
      </c>
      <c r="AH240" s="93" t="str">
        <f>IF(IFERROR(VLOOKUP($C240,Planes_de_estudio[],MATCH($AH$2,Carreras,0)+2,0),"")&gt;0,IFERROR(VLOOKUP($C240,Planes_de_estudio[],MATCH($AH$2,Carreras,0)+2,0),""),"")</f>
        <v/>
      </c>
      <c r="AI240" s="93" t="str">
        <f>IF(IFERROR(VLOOKUP($C240,Planes_de_estudio[],MATCH($AI$2,Carreras,0)+2,0),"")&gt;0,IFERROR(VLOOKUP($C240,Planes_de_estudio[],MATCH($AI$2,Carreras,0)+2,0),""),"")</f>
        <v/>
      </c>
      <c r="AJ240" s="93" t="str">
        <f>IF(IFERROR(VLOOKUP($C240,Planes_de_estudio[],MATCH($AJ$2,Carreras,0)+2,0),"")&gt;0,IFERROR(VLOOKUP($C240,Planes_de_estudio[],MATCH($AJ$2,Carreras,0)+2,0),""),"")</f>
        <v/>
      </c>
      <c r="AK240" s="93" t="str">
        <f>IF(IFERROR(VLOOKUP($C240,Planes_de_estudio[],MATCH($AK$2,Carreras,0)+2,0),"")&gt;0,IFERROR(VLOOKUP($C240,Planes_de_estudio[],MATCH($AK$2,Carreras,0)+2,0),""),"")</f>
        <v/>
      </c>
      <c r="AL24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4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40" s="93">
        <f>base_de_datos[[#This Row],[Pronóstico]]/25</f>
        <v>0</v>
      </c>
      <c r="AO240" s="93" t="e">
        <f>VLOOKUP($C240,Planes_de_estudio[],2)</f>
        <v>#N/A</v>
      </c>
      <c r="AP240" s="64" t="str">
        <f ca="1">IF(AND(base_de_datos[[#This Row],[Industrial]]&lt;&gt;"",base_de_datos[[#This Row],[Misma o no]]=1),base_de_datos[[#This Row],[Índice]],"")</f>
        <v/>
      </c>
      <c r="AQ240" s="64" t="str">
        <f ca="1">IF(AND(base_de_datos[[#This Row],[Mecatrónica]]&lt;&gt;"",base_de_datos[[#This Row],[Misma o no]]=1),base_de_datos[[#This Row],[Índice]],"")</f>
        <v/>
      </c>
      <c r="AR240" s="64" t="str">
        <f ca="1">IF(AND(base_de_datos[[#This Row],[Innovación y Diseño]]&lt;&gt;"",base_de_datos[[#This Row],[Misma o no]]=1),base_de_datos[[#This Row],[Índice]],"")</f>
        <v/>
      </c>
      <c r="AS240" s="64" t="str">
        <f ca="1">IF(AND(base_de_datos[[#This Row],[Inteligencia Artificial]]&lt;&gt;"",base_de_datos[[#This Row],[Misma o no]]=1),base_de_datos[[#This Row],[Índice]],"")</f>
        <v/>
      </c>
      <c r="AT240" s="64" t="str">
        <f ca="1">IF(AND(base_de_datos[[#This Row],[Tecnologías Energéticas]]&lt;&gt;"",base_de_datos[[#This Row],[Misma o no]]=1),base_de_datos[[#This Row],[Índice]],"")</f>
        <v/>
      </c>
      <c r="AU240" s="64" t="str">
        <f ca="1">IF(AND(base_de_datos[[#This Row],[Civil y Administración]]&lt;&gt;"",base_de_datos[[#This Row],[Misma o no]]=1),base_de_datos[[#This Row],[Índice]],"")</f>
        <v/>
      </c>
      <c r="AV240" s="64" t="str">
        <f ca="1">IF(AND(base_de_datos[[#This Row],[Bioelectrónica]]&lt;&gt;"",base_de_datos[[#This Row],[Misma o no]]=1),base_de_datos[[#This Row],[Índice]],"")</f>
        <v/>
      </c>
      <c r="AW240" s="91"/>
      <c r="AX240" s="73"/>
    </row>
    <row r="241" spans="1:50" ht="14">
      <c r="A241" s="65"/>
      <c r="B241" s="95"/>
      <c r="C241" s="172"/>
      <c r="D241" s="92"/>
      <c r="E241" s="97">
        <v>0.375</v>
      </c>
      <c r="F241" s="97">
        <v>0.45833333333333098</v>
      </c>
      <c r="G241" s="92"/>
      <c r="H241" s="173" t="s">
        <v>73</v>
      </c>
      <c r="I241" s="92" t="e">
        <f>INDEX(Aulas_capacidad,MATCH(base_de_datos[[#This Row],[Aula]],Aulas,0),2)</f>
        <v>#REF!</v>
      </c>
      <c r="J241" s="90"/>
      <c r="K241" s="92" t="e">
        <f>INDEX(Aulas_capacidad,MATCH(base_de_datos[[#This Row],[Aula]],Aulas,0),4)</f>
        <v>#REF!</v>
      </c>
      <c r="L241" s="98" t="e">
        <f>base_de_datos[[#This Row],[Cap 1.5]]-base_de_datos[[#This Row],[Inscritos]]</f>
        <v>#REF!</v>
      </c>
      <c r="M241" s="98" t="e">
        <f>INDEX(Aulas_capacidad,MATCH(base_de_datos[[#This Row],[Aula]],Aulas,0),5)</f>
        <v>#REF!</v>
      </c>
      <c r="N241" s="98" t="e">
        <f>base_de_datos[[#This Row],[Cap .90]]-base_de_datos[[#This Row],[Inscritos]]</f>
        <v>#REF!</v>
      </c>
      <c r="O241" s="92" t="s">
        <v>451</v>
      </c>
      <c r="P241" s="99"/>
      <c r="Q241" s="100"/>
      <c r="R241" s="99" t="s">
        <v>68</v>
      </c>
      <c r="S241" s="100"/>
      <c r="T241" s="100"/>
      <c r="U241" s="99"/>
      <c r="V241" s="99"/>
      <c r="W241" s="99"/>
      <c r="X241" s="93" t="e">
        <f>_xlfn.XLOOKUP(base_de_datos[[#This Row],[Materia]],Materias,Horas)/16</f>
        <v>#N/A</v>
      </c>
      <c r="Y241" s="93">
        <f>ROUND(((base_de_datos[[#This Row],[Hora fin]]-base_de_datos[[#This Row],[Hora inicio]])*24)*(COUNTA(base_de_datos[[#This Row],[Lunes]:[Sábado]])),1)</f>
        <v>2</v>
      </c>
      <c r="Z241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41" s="93">
        <f ca="1">IF(base_de_datos[[#This Row],[No clase]]=OFFSET(base_de_datos[[#This Row],[No clase]],-1,0),0,1)</f>
        <v>1</v>
      </c>
      <c r="AB241" s="93" t="e">
        <f ca="1">IF(NOT(OR(base_de_datos[[#This Row],[Horas totales]]=base_de_datos[[#This Row],[HT Plan]],base_de_datos[[#This Row],[Horas totales]]="N/A")),1,0)</f>
        <v>#N/A</v>
      </c>
      <c r="AC241" s="93" t="e">
        <f>_xlfn.XLOOKUP(base_de_datos[[#This Row],[Profesor]],Nombre,Grado)</f>
        <v>#REF!</v>
      </c>
      <c r="AD241" s="94" t="e">
        <f>_xlfn.XLOOKUP(base_de_datos[[#This Row],[Profesor]],Nombre,Tipo)</f>
        <v>#REF!</v>
      </c>
      <c r="AE241" s="93" t="str">
        <f>IF(IFERROR(VLOOKUP($C241,Planes_de_estudio[],MATCH($AE$2,Carreras,0)+2,0),"")&gt;0,IFERROR(VLOOKUP($C241,Planes_de_estudio[],MATCH($AE$2,Carreras,0)+2,0),""),"")</f>
        <v/>
      </c>
      <c r="AF241" s="93" t="str">
        <f>IF(IFERROR(VLOOKUP($C241,Planes_de_estudio[],MATCH($AF$2,Carreras,0)+2,0),"")&gt;0,IFERROR(VLOOKUP($C241,Planes_de_estudio[],MATCH($AF$2,Carreras,0)+2,0),""),"")</f>
        <v/>
      </c>
      <c r="AG241" s="93" t="str">
        <f>IF(IFERROR(VLOOKUP($C241,Planes_de_estudio[],MATCH($AG$2,Carreras,0)+2,0),"")&gt;0,IFERROR(VLOOKUP($C241,Planes_de_estudio[],MATCH($AG$2,Carreras,0)+2,0),""),"")</f>
        <v/>
      </c>
      <c r="AH241" s="93" t="str">
        <f>IF(IFERROR(VLOOKUP($C241,Planes_de_estudio[],MATCH($AH$2,Carreras,0)+2,0),"")&gt;0,IFERROR(VLOOKUP($C241,Planes_de_estudio[],MATCH($AH$2,Carreras,0)+2,0),""),"")</f>
        <v/>
      </c>
      <c r="AI241" s="93" t="str">
        <f>IF(IFERROR(VLOOKUP($C241,Planes_de_estudio[],MATCH($AI$2,Carreras,0)+2,0),"")&gt;0,IFERROR(VLOOKUP($C241,Planes_de_estudio[],MATCH($AI$2,Carreras,0)+2,0),""),"")</f>
        <v/>
      </c>
      <c r="AJ241" s="93" t="str">
        <f>IF(IFERROR(VLOOKUP($C241,Planes_de_estudio[],MATCH($AJ$2,Carreras,0)+2,0),"")&gt;0,IFERROR(VLOOKUP($C241,Planes_de_estudio[],MATCH($AJ$2,Carreras,0)+2,0),""),"")</f>
        <v/>
      </c>
      <c r="AK241" s="93" t="str">
        <f>IF(IFERROR(VLOOKUP($C241,Planes_de_estudio[],MATCH($AK$2,Carreras,0)+2,0),"")&gt;0,IFERROR(VLOOKUP($C241,Planes_de_estudio[],MATCH($AK$2,Carreras,0)+2,0),""),"")</f>
        <v/>
      </c>
      <c r="AL24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4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41" s="93">
        <f>base_de_datos[[#This Row],[Pronóstico]]/25</f>
        <v>0</v>
      </c>
      <c r="AO241" s="93" t="e">
        <f>VLOOKUP($C241,Planes_de_estudio[],2)</f>
        <v>#N/A</v>
      </c>
      <c r="AP241" s="64" t="str">
        <f ca="1">IF(AND(base_de_datos[[#This Row],[Industrial]]&lt;&gt;"",base_de_datos[[#This Row],[Misma o no]]=1),base_de_datos[[#This Row],[Índice]],"")</f>
        <v/>
      </c>
      <c r="AQ241" s="64" t="str">
        <f ca="1">IF(AND(base_de_datos[[#This Row],[Mecatrónica]]&lt;&gt;"",base_de_datos[[#This Row],[Misma o no]]=1),base_de_datos[[#This Row],[Índice]],"")</f>
        <v/>
      </c>
      <c r="AR241" s="64" t="str">
        <f ca="1">IF(AND(base_de_datos[[#This Row],[Innovación y Diseño]]&lt;&gt;"",base_de_datos[[#This Row],[Misma o no]]=1),base_de_datos[[#This Row],[Índice]],"")</f>
        <v/>
      </c>
      <c r="AS241" s="64" t="str">
        <f ca="1">IF(AND(base_de_datos[[#This Row],[Inteligencia Artificial]]&lt;&gt;"",base_de_datos[[#This Row],[Misma o no]]=1),base_de_datos[[#This Row],[Índice]],"")</f>
        <v/>
      </c>
      <c r="AT241" s="64" t="str">
        <f ca="1">IF(AND(base_de_datos[[#This Row],[Tecnologías Energéticas]]&lt;&gt;"",base_de_datos[[#This Row],[Misma o no]]=1),base_de_datos[[#This Row],[Índice]],"")</f>
        <v/>
      </c>
      <c r="AU241" s="64" t="str">
        <f ca="1">IF(AND(base_de_datos[[#This Row],[Civil y Administración]]&lt;&gt;"",base_de_datos[[#This Row],[Misma o no]]=1),base_de_datos[[#This Row],[Índice]],"")</f>
        <v/>
      </c>
      <c r="AV241" s="64" t="str">
        <f ca="1">IF(AND(base_de_datos[[#This Row],[Bioelectrónica]]&lt;&gt;"",base_de_datos[[#This Row],[Misma o no]]=1),base_de_datos[[#This Row],[Índice]],"")</f>
        <v/>
      </c>
      <c r="AW241" s="91"/>
      <c r="AX241" s="73"/>
    </row>
    <row r="242" spans="1:50" ht="14">
      <c r="A242" s="65"/>
      <c r="B242" s="95"/>
      <c r="C242" s="172"/>
      <c r="D242" s="92"/>
      <c r="E242" s="97">
        <v>0.33333333333333298</v>
      </c>
      <c r="F242" s="97">
        <v>0.58333333333332904</v>
      </c>
      <c r="G242" s="92"/>
      <c r="H242" s="173" t="s">
        <v>73</v>
      </c>
      <c r="I242" s="92" t="e">
        <f>INDEX(Aulas_capacidad,MATCH(base_de_datos[[#This Row],[Aula]],Aulas,0),2)</f>
        <v>#REF!</v>
      </c>
      <c r="J242" s="90"/>
      <c r="K242" s="92" t="e">
        <f>INDEX(Aulas_capacidad,MATCH(base_de_datos[[#This Row],[Aula]],Aulas,0),4)</f>
        <v>#REF!</v>
      </c>
      <c r="L242" s="98" t="e">
        <f>base_de_datos[[#This Row],[Cap 1.5]]-base_de_datos[[#This Row],[Inscritos]]</f>
        <v>#REF!</v>
      </c>
      <c r="M242" s="98" t="e">
        <f>INDEX(Aulas_capacidad,MATCH(base_de_datos[[#This Row],[Aula]],Aulas,0),5)</f>
        <v>#REF!</v>
      </c>
      <c r="N242" s="98" t="e">
        <f>base_de_datos[[#This Row],[Cap .90]]-base_de_datos[[#This Row],[Inscritos]]</f>
        <v>#REF!</v>
      </c>
      <c r="O242" s="92" t="s">
        <v>452</v>
      </c>
      <c r="P242" s="99"/>
      <c r="Q242" s="100"/>
      <c r="R242" s="99"/>
      <c r="S242" s="100"/>
      <c r="T242" s="100"/>
      <c r="U242" s="99" t="s">
        <v>68</v>
      </c>
      <c r="V242" s="99"/>
      <c r="W242" s="99"/>
      <c r="X242" s="93" t="e">
        <f>_xlfn.XLOOKUP(base_de_datos[[#This Row],[Materia]],Materias,Horas)/16</f>
        <v>#N/A</v>
      </c>
      <c r="Y242" s="93">
        <f>ROUND(((base_de_datos[[#This Row],[Hora fin]]-base_de_datos[[#This Row],[Hora inicio]])*24)*(COUNTA(base_de_datos[[#This Row],[Lunes]:[Sábado]])),1)</f>
        <v>6</v>
      </c>
      <c r="Z242" s="93">
        <f ca="1">IF(base_de_datos[[#This Row],[Misma o no]]=0,"N/A",IF((OFFSET(base_de_datos[[#This Row],[Misma o no]],1,0))=0,base_de_datos[[#This Row],[Horas]]+(OFFSET(base_de_datos[[#This Row],[Horas]],1,0)),base_de_datos[[#This Row],[Horas]]))</f>
        <v>12</v>
      </c>
      <c r="AA242" s="93">
        <f ca="1">IF(base_de_datos[[#This Row],[No clase]]=OFFSET(base_de_datos[[#This Row],[No clase]],-1,0),0,1)</f>
        <v>1</v>
      </c>
      <c r="AB242" s="93" t="e">
        <f ca="1">IF(NOT(OR(base_de_datos[[#This Row],[Horas totales]]=base_de_datos[[#This Row],[HT Plan]],base_de_datos[[#This Row],[Horas totales]]="N/A")),1,0)</f>
        <v>#N/A</v>
      </c>
      <c r="AC242" s="93" t="e">
        <f>_xlfn.XLOOKUP(base_de_datos[[#This Row],[Profesor]],Nombre,Grado)</f>
        <v>#REF!</v>
      </c>
      <c r="AD242" s="94" t="e">
        <f>_xlfn.XLOOKUP(base_de_datos[[#This Row],[Profesor]],Nombre,Tipo)</f>
        <v>#REF!</v>
      </c>
      <c r="AE242" s="93" t="str">
        <f>IF(IFERROR(VLOOKUP($C242,Planes_de_estudio[],MATCH($AE$2,Carreras,0)+2,0),"")&gt;0,IFERROR(VLOOKUP($C242,Planes_de_estudio[],MATCH($AE$2,Carreras,0)+2,0),""),"")</f>
        <v/>
      </c>
      <c r="AF242" s="93" t="str">
        <f>IF(IFERROR(VLOOKUP($C242,Planes_de_estudio[],MATCH($AF$2,Carreras,0)+2,0),"")&gt;0,IFERROR(VLOOKUP($C242,Planes_de_estudio[],MATCH($AF$2,Carreras,0)+2,0),""),"")</f>
        <v/>
      </c>
      <c r="AG242" s="93" t="str">
        <f>IF(IFERROR(VLOOKUP($C242,Planes_de_estudio[],MATCH($AG$2,Carreras,0)+2,0),"")&gt;0,IFERROR(VLOOKUP($C242,Planes_de_estudio[],MATCH($AG$2,Carreras,0)+2,0),""),"")</f>
        <v/>
      </c>
      <c r="AH242" s="93" t="str">
        <f>IF(IFERROR(VLOOKUP($C242,Planes_de_estudio[],MATCH($AH$2,Carreras,0)+2,0),"")&gt;0,IFERROR(VLOOKUP($C242,Planes_de_estudio[],MATCH($AH$2,Carreras,0)+2,0),""),"")</f>
        <v/>
      </c>
      <c r="AI242" s="93" t="str">
        <f>IF(IFERROR(VLOOKUP($C242,Planes_de_estudio[],MATCH($AI$2,Carreras,0)+2,0),"")&gt;0,IFERROR(VLOOKUP($C242,Planes_de_estudio[],MATCH($AI$2,Carreras,0)+2,0),""),"")</f>
        <v/>
      </c>
      <c r="AJ242" s="93" t="str">
        <f>IF(IFERROR(VLOOKUP($C242,Planes_de_estudio[],MATCH($AJ$2,Carreras,0)+2,0),"")&gt;0,IFERROR(VLOOKUP($C242,Planes_de_estudio[],MATCH($AJ$2,Carreras,0)+2,0),""),"")</f>
        <v/>
      </c>
      <c r="AK242" s="93" t="str">
        <f>IF(IFERROR(VLOOKUP($C242,Planes_de_estudio[],MATCH($AK$2,Carreras,0)+2,0),"")&gt;0,IFERROR(VLOOKUP($C242,Planes_de_estudio[],MATCH($AK$2,Carreras,0)+2,0),""),"")</f>
        <v/>
      </c>
      <c r="AL24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4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42" s="93">
        <f>base_de_datos[[#This Row],[Pronóstico]]/25</f>
        <v>0</v>
      </c>
      <c r="AO242" s="93" t="e">
        <f>VLOOKUP($C242,Planes_de_estudio[],2)</f>
        <v>#N/A</v>
      </c>
      <c r="AP242" s="64" t="str">
        <f ca="1">IF(AND(base_de_datos[[#This Row],[Industrial]]&lt;&gt;"",base_de_datos[[#This Row],[Misma o no]]=1),base_de_datos[[#This Row],[Índice]],"")</f>
        <v/>
      </c>
      <c r="AQ242" s="64" t="str">
        <f ca="1">IF(AND(base_de_datos[[#This Row],[Mecatrónica]]&lt;&gt;"",base_de_datos[[#This Row],[Misma o no]]=1),base_de_datos[[#This Row],[Índice]],"")</f>
        <v/>
      </c>
      <c r="AR242" s="64" t="str">
        <f ca="1">IF(AND(base_de_datos[[#This Row],[Innovación y Diseño]]&lt;&gt;"",base_de_datos[[#This Row],[Misma o no]]=1),base_de_datos[[#This Row],[Índice]],"")</f>
        <v/>
      </c>
      <c r="AS242" s="64" t="str">
        <f ca="1">IF(AND(base_de_datos[[#This Row],[Inteligencia Artificial]]&lt;&gt;"",base_de_datos[[#This Row],[Misma o no]]=1),base_de_datos[[#This Row],[Índice]],"")</f>
        <v/>
      </c>
      <c r="AT242" s="64" t="str">
        <f ca="1">IF(AND(base_de_datos[[#This Row],[Tecnologías Energéticas]]&lt;&gt;"",base_de_datos[[#This Row],[Misma o no]]=1),base_de_datos[[#This Row],[Índice]],"")</f>
        <v/>
      </c>
      <c r="AU242" s="64" t="str">
        <f ca="1">IF(AND(base_de_datos[[#This Row],[Civil y Administración]]&lt;&gt;"",base_de_datos[[#This Row],[Misma o no]]=1),base_de_datos[[#This Row],[Índice]],"")</f>
        <v/>
      </c>
      <c r="AV242" s="64" t="str">
        <f ca="1">IF(AND(base_de_datos[[#This Row],[Bioelectrónica]]&lt;&gt;"",base_de_datos[[#This Row],[Misma o no]]=1),base_de_datos[[#This Row],[Índice]],"")</f>
        <v/>
      </c>
      <c r="AW242" s="91"/>
      <c r="AX242" s="73"/>
    </row>
    <row r="243" spans="1:50" ht="14">
      <c r="A243" s="65"/>
      <c r="B243" s="95"/>
      <c r="C243" s="172"/>
      <c r="D243" s="92"/>
      <c r="E243" s="97">
        <v>0.33333333333333298</v>
      </c>
      <c r="F243" s="97">
        <v>0.58333333333332904</v>
      </c>
      <c r="G243" s="92"/>
      <c r="H243" s="173" t="s">
        <v>236</v>
      </c>
      <c r="I243" s="92" t="e">
        <f>INDEX(Aulas_capacidad,MATCH(base_de_datos[[#This Row],[Aula]],Aulas,0),2)</f>
        <v>#REF!</v>
      </c>
      <c r="J243" s="90"/>
      <c r="K243" s="92" t="e">
        <f>INDEX(Aulas_capacidad,MATCH(base_de_datos[[#This Row],[Aula]],Aulas,0),4)</f>
        <v>#REF!</v>
      </c>
      <c r="L243" s="98" t="e">
        <f>base_de_datos[[#This Row],[Cap 1.5]]-base_de_datos[[#This Row],[Inscritos]]</f>
        <v>#REF!</v>
      </c>
      <c r="M243" s="98" t="e">
        <f>INDEX(Aulas_capacidad,MATCH(base_de_datos[[#This Row],[Aula]],Aulas,0),5)</f>
        <v>#REF!</v>
      </c>
      <c r="N243" s="98" t="e">
        <f>base_de_datos[[#This Row],[Cap .90]]-base_de_datos[[#This Row],[Inscritos]]</f>
        <v>#REF!</v>
      </c>
      <c r="O243" s="92" t="s">
        <v>452</v>
      </c>
      <c r="P243" s="99"/>
      <c r="Q243" s="100"/>
      <c r="R243" s="99"/>
      <c r="S243" s="100"/>
      <c r="T243" s="100"/>
      <c r="U243" s="99" t="s">
        <v>68</v>
      </c>
      <c r="V243" s="99"/>
      <c r="W243" s="99"/>
      <c r="X243" s="93" t="e">
        <f>_xlfn.XLOOKUP(base_de_datos[[#This Row],[Materia]],Materias,Horas)/16</f>
        <v>#N/A</v>
      </c>
      <c r="Y243" s="93">
        <f>ROUND(((base_de_datos[[#This Row],[Hora fin]]-base_de_datos[[#This Row],[Hora inicio]])*24)*(COUNTA(base_de_datos[[#This Row],[Lunes]:[Sábado]])),1)</f>
        <v>6</v>
      </c>
      <c r="Z243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43" s="93">
        <f ca="1">IF(base_de_datos[[#This Row],[No clase]]=OFFSET(base_de_datos[[#This Row],[No clase]],-1,0),0,1)</f>
        <v>0</v>
      </c>
      <c r="AB243" s="93" t="e">
        <f ca="1">IF(NOT(OR(base_de_datos[[#This Row],[Horas totales]]=base_de_datos[[#This Row],[HT Plan]],base_de_datos[[#This Row],[Horas totales]]="N/A")),1,0)</f>
        <v>#N/A</v>
      </c>
      <c r="AC243" s="93" t="e">
        <f>_xlfn.XLOOKUP(base_de_datos[[#This Row],[Profesor]],Nombre,Grado)</f>
        <v>#REF!</v>
      </c>
      <c r="AD243" s="94" t="e">
        <f>_xlfn.XLOOKUP(base_de_datos[[#This Row],[Profesor]],Nombre,Tipo)</f>
        <v>#REF!</v>
      </c>
      <c r="AE243" s="93" t="str">
        <f>IF(IFERROR(VLOOKUP($C243,Planes_de_estudio[],MATCH($AE$2,Carreras,0)+2,0),"")&gt;0,IFERROR(VLOOKUP($C243,Planes_de_estudio[],MATCH($AE$2,Carreras,0)+2,0),""),"")</f>
        <v/>
      </c>
      <c r="AF243" s="93" t="str">
        <f>IF(IFERROR(VLOOKUP($C243,Planes_de_estudio[],MATCH($AF$2,Carreras,0)+2,0),"")&gt;0,IFERROR(VLOOKUP($C243,Planes_de_estudio[],MATCH($AF$2,Carreras,0)+2,0),""),"")</f>
        <v/>
      </c>
      <c r="AG243" s="93" t="str">
        <f>IF(IFERROR(VLOOKUP($C243,Planes_de_estudio[],MATCH($AG$2,Carreras,0)+2,0),"")&gt;0,IFERROR(VLOOKUP($C243,Planes_de_estudio[],MATCH($AG$2,Carreras,0)+2,0),""),"")</f>
        <v/>
      </c>
      <c r="AH243" s="93" t="str">
        <f>IF(IFERROR(VLOOKUP($C243,Planes_de_estudio[],MATCH($AH$2,Carreras,0)+2,0),"")&gt;0,IFERROR(VLOOKUP($C243,Planes_de_estudio[],MATCH($AH$2,Carreras,0)+2,0),""),"")</f>
        <v/>
      </c>
      <c r="AI243" s="93" t="str">
        <f>IF(IFERROR(VLOOKUP($C243,Planes_de_estudio[],MATCH($AI$2,Carreras,0)+2,0),"")&gt;0,IFERROR(VLOOKUP($C243,Planes_de_estudio[],MATCH($AI$2,Carreras,0)+2,0),""),"")</f>
        <v/>
      </c>
      <c r="AJ243" s="93" t="str">
        <f>IF(IFERROR(VLOOKUP($C243,Planes_de_estudio[],MATCH($AJ$2,Carreras,0)+2,0),"")&gt;0,IFERROR(VLOOKUP($C243,Planes_de_estudio[],MATCH($AJ$2,Carreras,0)+2,0),""),"")</f>
        <v/>
      </c>
      <c r="AK243" s="93" t="str">
        <f>IF(IFERROR(VLOOKUP($C243,Planes_de_estudio[],MATCH($AK$2,Carreras,0)+2,0),"")&gt;0,IFERROR(VLOOKUP($C243,Planes_de_estudio[],MATCH($AK$2,Carreras,0)+2,0),""),"")</f>
        <v/>
      </c>
      <c r="AL24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4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43" s="93">
        <f>base_de_datos[[#This Row],[Pronóstico]]/25</f>
        <v>0</v>
      </c>
      <c r="AO243" s="93" t="e">
        <f>VLOOKUP($C243,Planes_de_estudio[],2)</f>
        <v>#N/A</v>
      </c>
      <c r="AP243" s="64" t="str">
        <f ca="1">IF(AND(base_de_datos[[#This Row],[Industrial]]&lt;&gt;"",base_de_datos[[#This Row],[Misma o no]]=1),base_de_datos[[#This Row],[Índice]],"")</f>
        <v/>
      </c>
      <c r="AQ243" s="64" t="str">
        <f ca="1">IF(AND(base_de_datos[[#This Row],[Mecatrónica]]&lt;&gt;"",base_de_datos[[#This Row],[Misma o no]]=1),base_de_datos[[#This Row],[Índice]],"")</f>
        <v/>
      </c>
      <c r="AR243" s="64" t="str">
        <f ca="1">IF(AND(base_de_datos[[#This Row],[Innovación y Diseño]]&lt;&gt;"",base_de_datos[[#This Row],[Misma o no]]=1),base_de_datos[[#This Row],[Índice]],"")</f>
        <v/>
      </c>
      <c r="AS243" s="64" t="str">
        <f ca="1">IF(AND(base_de_datos[[#This Row],[Inteligencia Artificial]]&lt;&gt;"",base_de_datos[[#This Row],[Misma o no]]=1),base_de_datos[[#This Row],[Índice]],"")</f>
        <v/>
      </c>
      <c r="AT243" s="64" t="str">
        <f ca="1">IF(AND(base_de_datos[[#This Row],[Tecnologías Energéticas]]&lt;&gt;"",base_de_datos[[#This Row],[Misma o no]]=1),base_de_datos[[#This Row],[Índice]],"")</f>
        <v/>
      </c>
      <c r="AU243" s="64" t="str">
        <f ca="1">IF(AND(base_de_datos[[#This Row],[Civil y Administración]]&lt;&gt;"",base_de_datos[[#This Row],[Misma o no]]=1),base_de_datos[[#This Row],[Índice]],"")</f>
        <v/>
      </c>
      <c r="AV243" s="64" t="str">
        <f ca="1">IF(AND(base_de_datos[[#This Row],[Bioelectrónica]]&lt;&gt;"",base_de_datos[[#This Row],[Misma o no]]=1),base_de_datos[[#This Row],[Índice]],"")</f>
        <v/>
      </c>
      <c r="AW243" s="91"/>
      <c r="AX243" s="73"/>
    </row>
    <row r="244" spans="1:50" ht="14">
      <c r="A244" s="65"/>
      <c r="B244" s="95"/>
      <c r="C244" s="172"/>
      <c r="D244" s="92"/>
      <c r="E244" s="97">
        <v>0.33333333333333298</v>
      </c>
      <c r="F244" s="97">
        <v>0.58333333333332904</v>
      </c>
      <c r="G244" s="92"/>
      <c r="H244" s="173" t="s">
        <v>18</v>
      </c>
      <c r="I244" s="92" t="e">
        <f>INDEX(Aulas_capacidad,MATCH(base_de_datos[[#This Row],[Aula]],Aulas,0),2)</f>
        <v>#REF!</v>
      </c>
      <c r="J244" s="90"/>
      <c r="K244" s="92" t="e">
        <f>INDEX(Aulas_capacidad,MATCH(base_de_datos[[#This Row],[Aula]],Aulas,0),4)</f>
        <v>#REF!</v>
      </c>
      <c r="L244" s="98" t="e">
        <f>base_de_datos[[#This Row],[Cap 1.5]]-base_de_datos[[#This Row],[Inscritos]]</f>
        <v>#REF!</v>
      </c>
      <c r="M244" s="98" t="e">
        <f>INDEX(Aulas_capacidad,MATCH(base_de_datos[[#This Row],[Aula]],Aulas,0),5)</f>
        <v>#REF!</v>
      </c>
      <c r="N244" s="98" t="e">
        <f>base_de_datos[[#This Row],[Cap .90]]-base_de_datos[[#This Row],[Inscritos]]</f>
        <v>#REF!</v>
      </c>
      <c r="O244" s="92" t="s">
        <v>452</v>
      </c>
      <c r="P244" s="99"/>
      <c r="Q244" s="100"/>
      <c r="R244" s="99"/>
      <c r="S244" s="100"/>
      <c r="T244" s="100"/>
      <c r="U244" s="99" t="s">
        <v>68</v>
      </c>
      <c r="V244" s="99"/>
      <c r="W244" s="99"/>
      <c r="X244" s="93" t="e">
        <f>_xlfn.XLOOKUP(base_de_datos[[#This Row],[Materia]],Materias,Horas)/16</f>
        <v>#N/A</v>
      </c>
      <c r="Y244" s="93">
        <f>ROUND(((base_de_datos[[#This Row],[Hora fin]]-base_de_datos[[#This Row],[Hora inicio]])*24)*(COUNTA(base_de_datos[[#This Row],[Lunes]:[Sábado]])),1)</f>
        <v>6</v>
      </c>
      <c r="Z244" s="9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44" s="93">
        <f ca="1">IF(base_de_datos[[#This Row],[No clase]]=OFFSET(base_de_datos[[#This Row],[No clase]],-1,0),0,1)</f>
        <v>0</v>
      </c>
      <c r="AB244" s="93" t="e">
        <f ca="1">IF(NOT(OR(base_de_datos[[#This Row],[Horas totales]]=base_de_datos[[#This Row],[HT Plan]],base_de_datos[[#This Row],[Horas totales]]="N/A")),1,0)</f>
        <v>#N/A</v>
      </c>
      <c r="AC244" s="93" t="e">
        <f>_xlfn.XLOOKUP(base_de_datos[[#This Row],[Profesor]],Nombre,Grado)</f>
        <v>#REF!</v>
      </c>
      <c r="AD244" s="94" t="e">
        <f>_xlfn.XLOOKUP(base_de_datos[[#This Row],[Profesor]],Nombre,Tipo)</f>
        <v>#REF!</v>
      </c>
      <c r="AE244" s="93" t="str">
        <f>IF(IFERROR(VLOOKUP($C244,Planes_de_estudio[],MATCH($AE$2,Carreras,0)+2,0),"")&gt;0,IFERROR(VLOOKUP($C244,Planes_de_estudio[],MATCH($AE$2,Carreras,0)+2,0),""),"")</f>
        <v/>
      </c>
      <c r="AF244" s="93" t="str">
        <f>IF(IFERROR(VLOOKUP($C244,Planes_de_estudio[],MATCH($AF$2,Carreras,0)+2,0),"")&gt;0,IFERROR(VLOOKUP($C244,Planes_de_estudio[],MATCH($AF$2,Carreras,0)+2,0),""),"")</f>
        <v/>
      </c>
      <c r="AG244" s="93" t="str">
        <f>IF(IFERROR(VLOOKUP($C244,Planes_de_estudio[],MATCH($AG$2,Carreras,0)+2,0),"")&gt;0,IFERROR(VLOOKUP($C244,Planes_de_estudio[],MATCH($AG$2,Carreras,0)+2,0),""),"")</f>
        <v/>
      </c>
      <c r="AH244" s="93" t="str">
        <f>IF(IFERROR(VLOOKUP($C244,Planes_de_estudio[],MATCH($AH$2,Carreras,0)+2,0),"")&gt;0,IFERROR(VLOOKUP($C244,Planes_de_estudio[],MATCH($AH$2,Carreras,0)+2,0),""),"")</f>
        <v/>
      </c>
      <c r="AI244" s="93" t="str">
        <f>IF(IFERROR(VLOOKUP($C244,Planes_de_estudio[],MATCH($AI$2,Carreras,0)+2,0),"")&gt;0,IFERROR(VLOOKUP($C244,Planes_de_estudio[],MATCH($AI$2,Carreras,0)+2,0),""),"")</f>
        <v/>
      </c>
      <c r="AJ244" s="93" t="str">
        <f>IF(IFERROR(VLOOKUP($C244,Planes_de_estudio[],MATCH($AJ$2,Carreras,0)+2,0),"")&gt;0,IFERROR(VLOOKUP($C244,Planes_de_estudio[],MATCH($AJ$2,Carreras,0)+2,0),""),"")</f>
        <v/>
      </c>
      <c r="AK244" s="93" t="str">
        <f>IF(IFERROR(VLOOKUP($C244,Planes_de_estudio[],MATCH($AK$2,Carreras,0)+2,0),"")&gt;0,IFERROR(VLOOKUP($C244,Planes_de_estudio[],MATCH($AK$2,Carreras,0)+2,0),""),"")</f>
        <v/>
      </c>
      <c r="AL24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4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44" s="93">
        <f>base_de_datos[[#This Row],[Pronóstico]]/25</f>
        <v>0</v>
      </c>
      <c r="AO244" s="93" t="e">
        <f>VLOOKUP($C244,Planes_de_estudio[],2)</f>
        <v>#N/A</v>
      </c>
      <c r="AP244" s="64" t="str">
        <f ca="1">IF(AND(base_de_datos[[#This Row],[Industrial]]&lt;&gt;"",base_de_datos[[#This Row],[Misma o no]]=1),base_de_datos[[#This Row],[Índice]],"")</f>
        <v/>
      </c>
      <c r="AQ244" s="64" t="str">
        <f ca="1">IF(AND(base_de_datos[[#This Row],[Mecatrónica]]&lt;&gt;"",base_de_datos[[#This Row],[Misma o no]]=1),base_de_datos[[#This Row],[Índice]],"")</f>
        <v/>
      </c>
      <c r="AR244" s="64" t="str">
        <f ca="1">IF(AND(base_de_datos[[#This Row],[Innovación y Diseño]]&lt;&gt;"",base_de_datos[[#This Row],[Misma o no]]=1),base_de_datos[[#This Row],[Índice]],"")</f>
        <v/>
      </c>
      <c r="AS244" s="64" t="str">
        <f ca="1">IF(AND(base_de_datos[[#This Row],[Inteligencia Artificial]]&lt;&gt;"",base_de_datos[[#This Row],[Misma o no]]=1),base_de_datos[[#This Row],[Índice]],"")</f>
        <v/>
      </c>
      <c r="AT244" s="64" t="str">
        <f ca="1">IF(AND(base_de_datos[[#This Row],[Tecnologías Energéticas]]&lt;&gt;"",base_de_datos[[#This Row],[Misma o no]]=1),base_de_datos[[#This Row],[Índice]],"")</f>
        <v/>
      </c>
      <c r="AU244" s="64" t="str">
        <f ca="1">IF(AND(base_de_datos[[#This Row],[Civil y Administración]]&lt;&gt;"",base_de_datos[[#This Row],[Misma o no]]=1),base_de_datos[[#This Row],[Índice]],"")</f>
        <v/>
      </c>
      <c r="AV244" s="64" t="str">
        <f ca="1">IF(AND(base_de_datos[[#This Row],[Bioelectrónica]]&lt;&gt;"",base_de_datos[[#This Row],[Misma o no]]=1),base_de_datos[[#This Row],[Índice]],"")</f>
        <v/>
      </c>
      <c r="AW244" s="91"/>
      <c r="AX244" s="73"/>
    </row>
    <row r="245" spans="1:50" ht="14">
      <c r="A245" s="65"/>
      <c r="B245" s="95"/>
      <c r="C245" s="172"/>
      <c r="D245" s="92"/>
      <c r="E245" s="97">
        <v>0.66666666666666696</v>
      </c>
      <c r="F245" s="97">
        <v>0.79166666666665897</v>
      </c>
      <c r="G245" s="92"/>
      <c r="H245" s="173" t="s">
        <v>453</v>
      </c>
      <c r="I245" s="92" t="e">
        <f>INDEX(Aulas_capacidad,MATCH(base_de_datos[[#This Row],[Aula]],Aulas,0),2)</f>
        <v>#REF!</v>
      </c>
      <c r="J245" s="90"/>
      <c r="K245" s="92" t="e">
        <f>INDEX(Aulas_capacidad,MATCH(base_de_datos[[#This Row],[Aula]],Aulas,0),4)</f>
        <v>#REF!</v>
      </c>
      <c r="L245" s="98" t="e">
        <f>base_de_datos[[#This Row],[Cap 1.5]]-base_de_datos[[#This Row],[Inscritos]]</f>
        <v>#REF!</v>
      </c>
      <c r="M245" s="98" t="e">
        <f>INDEX(Aulas_capacidad,MATCH(base_de_datos[[#This Row],[Aula]],Aulas,0),5)</f>
        <v>#REF!</v>
      </c>
      <c r="N245" s="98" t="e">
        <f>base_de_datos[[#This Row],[Cap .90]]-base_de_datos[[#This Row],[Inscritos]]</f>
        <v>#REF!</v>
      </c>
      <c r="O245" s="92" t="s">
        <v>454</v>
      </c>
      <c r="P245" s="99"/>
      <c r="Q245" s="100"/>
      <c r="R245" s="99"/>
      <c r="S245" s="100"/>
      <c r="T245" s="100" t="s">
        <v>68</v>
      </c>
      <c r="U245" s="99"/>
      <c r="V245" s="99"/>
      <c r="W245" s="99"/>
      <c r="X245" s="93" t="e">
        <f>_xlfn.XLOOKUP(base_de_datos[[#This Row],[Materia]],Materias,Horas)/16</f>
        <v>#N/A</v>
      </c>
      <c r="Y245" s="93">
        <f>ROUND(((base_de_datos[[#This Row],[Hora fin]]-base_de_datos[[#This Row],[Hora inicio]])*24)*(COUNTA(base_de_datos[[#This Row],[Lunes]:[Sábado]])),1)</f>
        <v>3</v>
      </c>
      <c r="Z245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45" s="93">
        <f ca="1">IF(base_de_datos[[#This Row],[No clase]]=OFFSET(base_de_datos[[#This Row],[No clase]],-1,0),0,1)</f>
        <v>1</v>
      </c>
      <c r="AB245" s="93" t="e">
        <f ca="1">IF(NOT(OR(base_de_datos[[#This Row],[Horas totales]]=base_de_datos[[#This Row],[HT Plan]],base_de_datos[[#This Row],[Horas totales]]="N/A")),1,0)</f>
        <v>#N/A</v>
      </c>
      <c r="AC245" s="93" t="e">
        <f>_xlfn.XLOOKUP(base_de_datos[[#This Row],[Profesor]],Nombre,Grado)</f>
        <v>#REF!</v>
      </c>
      <c r="AD245" s="94" t="e">
        <f>_xlfn.XLOOKUP(base_de_datos[[#This Row],[Profesor]],Nombre,Tipo)</f>
        <v>#REF!</v>
      </c>
      <c r="AE245" s="93" t="str">
        <f>IF(IFERROR(VLOOKUP($C245,Planes_de_estudio[],MATCH($AE$2,Carreras,0)+2,0),"")&gt;0,IFERROR(VLOOKUP($C245,Planes_de_estudio[],MATCH($AE$2,Carreras,0)+2,0),""),"")</f>
        <v/>
      </c>
      <c r="AF245" s="93" t="str">
        <f>IF(IFERROR(VLOOKUP($C245,Planes_de_estudio[],MATCH($AF$2,Carreras,0)+2,0),"")&gt;0,IFERROR(VLOOKUP($C245,Planes_de_estudio[],MATCH($AF$2,Carreras,0)+2,0),""),"")</f>
        <v/>
      </c>
      <c r="AG245" s="93" t="str">
        <f>IF(IFERROR(VLOOKUP($C245,Planes_de_estudio[],MATCH($AG$2,Carreras,0)+2,0),"")&gt;0,IFERROR(VLOOKUP($C245,Planes_de_estudio[],MATCH($AG$2,Carreras,0)+2,0),""),"")</f>
        <v/>
      </c>
      <c r="AH245" s="93" t="str">
        <f>IF(IFERROR(VLOOKUP($C245,Planes_de_estudio[],MATCH($AH$2,Carreras,0)+2,0),"")&gt;0,IFERROR(VLOOKUP($C245,Planes_de_estudio[],MATCH($AH$2,Carreras,0)+2,0),""),"")</f>
        <v/>
      </c>
      <c r="AI245" s="93" t="str">
        <f>IF(IFERROR(VLOOKUP($C245,Planes_de_estudio[],MATCH($AI$2,Carreras,0)+2,0),"")&gt;0,IFERROR(VLOOKUP($C245,Planes_de_estudio[],MATCH($AI$2,Carreras,0)+2,0),""),"")</f>
        <v/>
      </c>
      <c r="AJ245" s="93" t="str">
        <f>IF(IFERROR(VLOOKUP($C245,Planes_de_estudio[],MATCH($AJ$2,Carreras,0)+2,0),"")&gt;0,IFERROR(VLOOKUP($C245,Planes_de_estudio[],MATCH($AJ$2,Carreras,0)+2,0),""),"")</f>
        <v/>
      </c>
      <c r="AK245" s="93" t="str">
        <f>IF(IFERROR(VLOOKUP($C245,Planes_de_estudio[],MATCH($AK$2,Carreras,0)+2,0),"")&gt;0,IFERROR(VLOOKUP($C245,Planes_de_estudio[],MATCH($AK$2,Carreras,0)+2,0),""),"")</f>
        <v/>
      </c>
      <c r="AL24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4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45" s="93">
        <f>base_de_datos[[#This Row],[Pronóstico]]/25</f>
        <v>0</v>
      </c>
      <c r="AO245" s="93" t="e">
        <f>VLOOKUP($C245,Planes_de_estudio[],2)</f>
        <v>#N/A</v>
      </c>
      <c r="AP245" s="64" t="str">
        <f ca="1">IF(AND(base_de_datos[[#This Row],[Industrial]]&lt;&gt;"",base_de_datos[[#This Row],[Misma o no]]=1),base_de_datos[[#This Row],[Índice]],"")</f>
        <v/>
      </c>
      <c r="AQ245" s="64" t="str">
        <f ca="1">IF(AND(base_de_datos[[#This Row],[Mecatrónica]]&lt;&gt;"",base_de_datos[[#This Row],[Misma o no]]=1),base_de_datos[[#This Row],[Índice]],"")</f>
        <v/>
      </c>
      <c r="AR245" s="64" t="str">
        <f ca="1">IF(AND(base_de_datos[[#This Row],[Innovación y Diseño]]&lt;&gt;"",base_de_datos[[#This Row],[Misma o no]]=1),base_de_datos[[#This Row],[Índice]],"")</f>
        <v/>
      </c>
      <c r="AS245" s="64" t="str">
        <f ca="1">IF(AND(base_de_datos[[#This Row],[Inteligencia Artificial]]&lt;&gt;"",base_de_datos[[#This Row],[Misma o no]]=1),base_de_datos[[#This Row],[Índice]],"")</f>
        <v/>
      </c>
      <c r="AT245" s="64" t="str">
        <f ca="1">IF(AND(base_de_datos[[#This Row],[Tecnologías Energéticas]]&lt;&gt;"",base_de_datos[[#This Row],[Misma o no]]=1),base_de_datos[[#This Row],[Índice]],"")</f>
        <v/>
      </c>
      <c r="AU245" s="64" t="str">
        <f ca="1">IF(AND(base_de_datos[[#This Row],[Civil y Administración]]&lt;&gt;"",base_de_datos[[#This Row],[Misma o no]]=1),base_de_datos[[#This Row],[Índice]],"")</f>
        <v/>
      </c>
      <c r="AV245" s="64" t="str">
        <f ca="1">IF(AND(base_de_datos[[#This Row],[Bioelectrónica]]&lt;&gt;"",base_de_datos[[#This Row],[Misma o no]]=1),base_de_datos[[#This Row],[Índice]],"")</f>
        <v/>
      </c>
      <c r="AW245" s="91"/>
      <c r="AX245" s="73"/>
    </row>
    <row r="246" spans="1:50" ht="14">
      <c r="A246" s="65"/>
      <c r="B246" s="95"/>
      <c r="C246" s="172"/>
      <c r="D246" s="92"/>
      <c r="E246" s="97">
        <v>0.5</v>
      </c>
      <c r="F246" s="97">
        <v>0.624999999999995</v>
      </c>
      <c r="G246" s="92"/>
      <c r="H246" s="173" t="s">
        <v>119</v>
      </c>
      <c r="I246" s="92" t="e">
        <f>INDEX(Aulas_capacidad,MATCH(base_de_datos[[#This Row],[Aula]],Aulas,0),2)</f>
        <v>#REF!</v>
      </c>
      <c r="J246" s="90"/>
      <c r="K246" s="92" t="e">
        <f>INDEX(Aulas_capacidad,MATCH(base_de_datos[[#This Row],[Aula]],Aulas,0),4)</f>
        <v>#REF!</v>
      </c>
      <c r="L246" s="98" t="e">
        <f>base_de_datos[[#This Row],[Cap 1.5]]-base_de_datos[[#This Row],[Inscritos]]</f>
        <v>#REF!</v>
      </c>
      <c r="M246" s="98" t="e">
        <f>INDEX(Aulas_capacidad,MATCH(base_de_datos[[#This Row],[Aula]],Aulas,0),5)</f>
        <v>#REF!</v>
      </c>
      <c r="N246" s="98" t="e">
        <f>base_de_datos[[#This Row],[Cap .90]]-base_de_datos[[#This Row],[Inscritos]]</f>
        <v>#REF!</v>
      </c>
      <c r="O246" s="92"/>
      <c r="P246" s="99"/>
      <c r="Q246" s="100"/>
      <c r="R246" s="99" t="s">
        <v>68</v>
      </c>
      <c r="S246" s="100"/>
      <c r="T246" s="100"/>
      <c r="U246" s="99"/>
      <c r="V246" s="99"/>
      <c r="W246" s="99"/>
      <c r="X246" s="93" t="e">
        <f>_xlfn.XLOOKUP(base_de_datos[[#This Row],[Materia]],Materias,Horas)/16</f>
        <v>#N/A</v>
      </c>
      <c r="Y246" s="93">
        <f>ROUND(((base_de_datos[[#This Row],[Hora fin]]-base_de_datos[[#This Row],[Hora inicio]])*24)*(COUNTA(base_de_datos[[#This Row],[Lunes]:[Sábado]])),1)</f>
        <v>3</v>
      </c>
      <c r="Z246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46" s="93">
        <f ca="1">IF(base_de_datos[[#This Row],[No clase]]=OFFSET(base_de_datos[[#This Row],[No clase]],-1,0),0,1)</f>
        <v>1</v>
      </c>
      <c r="AB246" s="93" t="e">
        <f ca="1">IF(NOT(OR(base_de_datos[[#This Row],[Horas totales]]=base_de_datos[[#This Row],[HT Plan]],base_de_datos[[#This Row],[Horas totales]]="N/A")),1,0)</f>
        <v>#N/A</v>
      </c>
      <c r="AC246" s="93" t="e">
        <f>_xlfn.XLOOKUP(base_de_datos[[#This Row],[Profesor]],Nombre,Grado)</f>
        <v>#REF!</v>
      </c>
      <c r="AD246" s="94" t="e">
        <f>_xlfn.XLOOKUP(base_de_datos[[#This Row],[Profesor]],Nombre,Tipo)</f>
        <v>#REF!</v>
      </c>
      <c r="AE246" s="93" t="str">
        <f>IF(IFERROR(VLOOKUP($C246,Planes_de_estudio[],MATCH($AE$2,Carreras,0)+2,0),"")&gt;0,IFERROR(VLOOKUP($C246,Planes_de_estudio[],MATCH($AE$2,Carreras,0)+2,0),""),"")</f>
        <v/>
      </c>
      <c r="AF246" s="93" t="str">
        <f>IF(IFERROR(VLOOKUP($C246,Planes_de_estudio[],MATCH($AF$2,Carreras,0)+2,0),"")&gt;0,IFERROR(VLOOKUP($C246,Planes_de_estudio[],MATCH($AF$2,Carreras,0)+2,0),""),"")</f>
        <v/>
      </c>
      <c r="AG246" s="93" t="str">
        <f>IF(IFERROR(VLOOKUP($C246,Planes_de_estudio[],MATCH($AG$2,Carreras,0)+2,0),"")&gt;0,IFERROR(VLOOKUP($C246,Planes_de_estudio[],MATCH($AG$2,Carreras,0)+2,0),""),"")</f>
        <v/>
      </c>
      <c r="AH246" s="93" t="str">
        <f>IF(IFERROR(VLOOKUP($C246,Planes_de_estudio[],MATCH($AH$2,Carreras,0)+2,0),"")&gt;0,IFERROR(VLOOKUP($C246,Planes_de_estudio[],MATCH($AH$2,Carreras,0)+2,0),""),"")</f>
        <v/>
      </c>
      <c r="AI246" s="93" t="str">
        <f>IF(IFERROR(VLOOKUP($C246,Planes_de_estudio[],MATCH($AI$2,Carreras,0)+2,0),"")&gt;0,IFERROR(VLOOKUP($C246,Planes_de_estudio[],MATCH($AI$2,Carreras,0)+2,0),""),"")</f>
        <v/>
      </c>
      <c r="AJ246" s="93" t="str">
        <f>IF(IFERROR(VLOOKUP($C246,Planes_de_estudio[],MATCH($AJ$2,Carreras,0)+2,0),"")&gt;0,IFERROR(VLOOKUP($C246,Planes_de_estudio[],MATCH($AJ$2,Carreras,0)+2,0),""),"")</f>
        <v/>
      </c>
      <c r="AK246" s="93" t="str">
        <f>IF(IFERROR(VLOOKUP($C246,Planes_de_estudio[],MATCH($AK$2,Carreras,0)+2,0),"")&gt;0,IFERROR(VLOOKUP($C246,Planes_de_estudio[],MATCH($AK$2,Carreras,0)+2,0),""),"")</f>
        <v/>
      </c>
      <c r="AL24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4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46" s="93">
        <f>base_de_datos[[#This Row],[Pronóstico]]/25</f>
        <v>0</v>
      </c>
      <c r="AO246" s="93" t="e">
        <f>VLOOKUP($C246,Planes_de_estudio[],2)</f>
        <v>#N/A</v>
      </c>
      <c r="AP246" s="64" t="str">
        <f ca="1">IF(AND(base_de_datos[[#This Row],[Industrial]]&lt;&gt;"",base_de_datos[[#This Row],[Misma o no]]=1),base_de_datos[[#This Row],[Índice]],"")</f>
        <v/>
      </c>
      <c r="AQ246" s="64" t="str">
        <f ca="1">IF(AND(base_de_datos[[#This Row],[Mecatrónica]]&lt;&gt;"",base_de_datos[[#This Row],[Misma o no]]=1),base_de_datos[[#This Row],[Índice]],"")</f>
        <v/>
      </c>
      <c r="AR246" s="64" t="str">
        <f ca="1">IF(AND(base_de_datos[[#This Row],[Innovación y Diseño]]&lt;&gt;"",base_de_datos[[#This Row],[Misma o no]]=1),base_de_datos[[#This Row],[Índice]],"")</f>
        <v/>
      </c>
      <c r="AS246" s="64" t="str">
        <f ca="1">IF(AND(base_de_datos[[#This Row],[Inteligencia Artificial]]&lt;&gt;"",base_de_datos[[#This Row],[Misma o no]]=1),base_de_datos[[#This Row],[Índice]],"")</f>
        <v/>
      </c>
      <c r="AT246" s="64" t="str">
        <f ca="1">IF(AND(base_de_datos[[#This Row],[Tecnologías Energéticas]]&lt;&gt;"",base_de_datos[[#This Row],[Misma o no]]=1),base_de_datos[[#This Row],[Índice]],"")</f>
        <v/>
      </c>
      <c r="AU246" s="64" t="str">
        <f ca="1">IF(AND(base_de_datos[[#This Row],[Civil y Administración]]&lt;&gt;"",base_de_datos[[#This Row],[Misma o no]]=1),base_de_datos[[#This Row],[Índice]],"")</f>
        <v/>
      </c>
      <c r="AV246" s="64" t="str">
        <f ca="1">IF(AND(base_de_datos[[#This Row],[Bioelectrónica]]&lt;&gt;"",base_de_datos[[#This Row],[Misma o no]]=1),base_de_datos[[#This Row],[Índice]],"")</f>
        <v/>
      </c>
      <c r="AW246" s="91"/>
      <c r="AX246" s="73"/>
    </row>
    <row r="247" spans="1:50" ht="14">
      <c r="B247" s="95"/>
      <c r="C247" s="172"/>
      <c r="D247" s="92"/>
      <c r="E247" s="97">
        <v>0.375</v>
      </c>
      <c r="F247" s="97">
        <v>0.45833333333333098</v>
      </c>
      <c r="G247" s="92"/>
      <c r="H247" s="173" t="s">
        <v>119</v>
      </c>
      <c r="I247" s="92" t="e">
        <f>INDEX(Aulas_capacidad,MATCH(base_de_datos[[#This Row],[Aula]],Aulas,0),2)</f>
        <v>#REF!</v>
      </c>
      <c r="J247" s="90"/>
      <c r="K247" s="92" t="e">
        <f>INDEX(Aulas_capacidad,MATCH(base_de_datos[[#This Row],[Aula]],Aulas,0),4)</f>
        <v>#REF!</v>
      </c>
      <c r="L247" s="98" t="e">
        <f>base_de_datos[[#This Row],[Cap 1.5]]-base_de_datos[[#This Row],[Inscritos]]</f>
        <v>#REF!</v>
      </c>
      <c r="M247" s="98" t="e">
        <f>INDEX(Aulas_capacidad,MATCH(base_de_datos[[#This Row],[Aula]],Aulas,0),5)</f>
        <v>#REF!</v>
      </c>
      <c r="N247" s="98" t="e">
        <f>base_de_datos[[#This Row],[Cap .90]]-base_de_datos[[#This Row],[Inscritos]]</f>
        <v>#REF!</v>
      </c>
      <c r="O247" s="92" t="s">
        <v>89</v>
      </c>
      <c r="P247" s="99"/>
      <c r="Q247" s="100"/>
      <c r="R247" s="99" t="s">
        <v>68</v>
      </c>
      <c r="S247" s="100"/>
      <c r="T247" s="100" t="s">
        <v>68</v>
      </c>
      <c r="U247" s="99"/>
      <c r="V247" s="99"/>
      <c r="W247" s="99"/>
      <c r="X247" s="93" t="e">
        <f>_xlfn.XLOOKUP(base_de_datos[[#This Row],[Materia]],Materias,Horas)/16</f>
        <v>#N/A</v>
      </c>
      <c r="Y247" s="93">
        <f>ROUND(((base_de_datos[[#This Row],[Hora fin]]-base_de_datos[[#This Row],[Hora inicio]])*24)*(COUNTA(base_de_datos[[#This Row],[Lunes]:[Sábado]])),1)</f>
        <v>4</v>
      </c>
      <c r="Z247" s="9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47" s="93">
        <f ca="1">IF(base_de_datos[[#This Row],[No clase]]=OFFSET(base_de_datos[[#This Row],[No clase]],-1,0),0,1)</f>
        <v>1</v>
      </c>
      <c r="AB247" s="93" t="e">
        <f ca="1">IF(NOT(OR(base_de_datos[[#This Row],[Horas totales]]=base_de_datos[[#This Row],[HT Plan]],base_de_datos[[#This Row],[Horas totales]]="N/A")),1,0)</f>
        <v>#N/A</v>
      </c>
      <c r="AC247" s="93" t="e">
        <f>_xlfn.XLOOKUP(base_de_datos[[#This Row],[Profesor]],Nombre,Grado)</f>
        <v>#REF!</v>
      </c>
      <c r="AD247" s="94" t="e">
        <f>_xlfn.XLOOKUP(base_de_datos[[#This Row],[Profesor]],Nombre,Tipo)</f>
        <v>#REF!</v>
      </c>
      <c r="AE247" s="93" t="str">
        <f>IF(IFERROR(VLOOKUP($C247,Planes_de_estudio[],MATCH($AE$2,Carreras,0)+2,0),"")&gt;0,IFERROR(VLOOKUP($C247,Planes_de_estudio[],MATCH($AE$2,Carreras,0)+2,0),""),"")</f>
        <v/>
      </c>
      <c r="AF247" s="93" t="str">
        <f>IF(IFERROR(VLOOKUP($C247,Planes_de_estudio[],MATCH($AF$2,Carreras,0)+2,0),"")&gt;0,IFERROR(VLOOKUP($C247,Planes_de_estudio[],MATCH($AF$2,Carreras,0)+2,0),""),"")</f>
        <v/>
      </c>
      <c r="AG247" s="93" t="str">
        <f>IF(IFERROR(VLOOKUP($C247,Planes_de_estudio[],MATCH($AG$2,Carreras,0)+2,0),"")&gt;0,IFERROR(VLOOKUP($C247,Planes_de_estudio[],MATCH($AG$2,Carreras,0)+2,0),""),"")</f>
        <v/>
      </c>
      <c r="AH247" s="93" t="str">
        <f>IF(IFERROR(VLOOKUP($C247,Planes_de_estudio[],MATCH($AH$2,Carreras,0)+2,0),"")&gt;0,IFERROR(VLOOKUP($C247,Planes_de_estudio[],MATCH($AH$2,Carreras,0)+2,0),""),"")</f>
        <v/>
      </c>
      <c r="AI247" s="93" t="str">
        <f>IF(IFERROR(VLOOKUP($C247,Planes_de_estudio[],MATCH($AI$2,Carreras,0)+2,0),"")&gt;0,IFERROR(VLOOKUP($C247,Planes_de_estudio[],MATCH($AI$2,Carreras,0)+2,0),""),"")</f>
        <v/>
      </c>
      <c r="AJ247" s="93" t="str">
        <f>IF(IFERROR(VLOOKUP($C247,Planes_de_estudio[],MATCH($AJ$2,Carreras,0)+2,0),"")&gt;0,IFERROR(VLOOKUP($C247,Planes_de_estudio[],MATCH($AJ$2,Carreras,0)+2,0),""),"")</f>
        <v/>
      </c>
      <c r="AK247" s="93" t="str">
        <f>IF(IFERROR(VLOOKUP($C247,Planes_de_estudio[],MATCH($AK$2,Carreras,0)+2,0),"")&gt;0,IFERROR(VLOOKUP($C247,Planes_de_estudio[],MATCH($AK$2,Carreras,0)+2,0),""),"")</f>
        <v/>
      </c>
      <c r="AL247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47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47" s="93">
        <f>base_de_datos[[#This Row],[Pronóstico]]/25</f>
        <v>0</v>
      </c>
      <c r="AO247" s="93" t="e">
        <f>VLOOKUP($C247,Planes_de_estudio[],2)</f>
        <v>#N/A</v>
      </c>
      <c r="AP247" s="64" t="str">
        <f ca="1">IF(AND(base_de_datos[[#This Row],[Industrial]]&lt;&gt;"",base_de_datos[[#This Row],[Misma o no]]=1),base_de_datos[[#This Row],[Índice]],"")</f>
        <v/>
      </c>
      <c r="AQ247" s="64" t="str">
        <f ca="1">IF(AND(base_de_datos[[#This Row],[Mecatrónica]]&lt;&gt;"",base_de_datos[[#This Row],[Misma o no]]=1),base_de_datos[[#This Row],[Índice]],"")</f>
        <v/>
      </c>
      <c r="AR247" s="64" t="str">
        <f ca="1">IF(AND(base_de_datos[[#This Row],[Innovación y Diseño]]&lt;&gt;"",base_de_datos[[#This Row],[Misma o no]]=1),base_de_datos[[#This Row],[Índice]],"")</f>
        <v/>
      </c>
      <c r="AS247" s="64" t="str">
        <f ca="1">IF(AND(base_de_datos[[#This Row],[Inteligencia Artificial]]&lt;&gt;"",base_de_datos[[#This Row],[Misma o no]]=1),base_de_datos[[#This Row],[Índice]],"")</f>
        <v/>
      </c>
      <c r="AT247" s="64" t="str">
        <f ca="1">IF(AND(base_de_datos[[#This Row],[Tecnologías Energéticas]]&lt;&gt;"",base_de_datos[[#This Row],[Misma o no]]=1),base_de_datos[[#This Row],[Índice]],"")</f>
        <v/>
      </c>
      <c r="AU247" s="64" t="str">
        <f ca="1">IF(AND(base_de_datos[[#This Row],[Civil y Administración]]&lt;&gt;"",base_de_datos[[#This Row],[Misma o no]]=1),base_de_datos[[#This Row],[Índice]],"")</f>
        <v/>
      </c>
      <c r="AV247" s="64" t="str">
        <f ca="1">IF(AND(base_de_datos[[#This Row],[Bioelectrónica]]&lt;&gt;"",base_de_datos[[#This Row],[Misma o no]]=1),base_de_datos[[#This Row],[Índice]],"")</f>
        <v/>
      </c>
      <c r="AW247" s="91"/>
      <c r="AX247" s="73"/>
    </row>
    <row r="248" spans="1:50" ht="14">
      <c r="B248" s="95"/>
      <c r="C248" s="172"/>
      <c r="D248" s="92"/>
      <c r="E248" s="97">
        <v>0.33333333333333298</v>
      </c>
      <c r="F248" s="97">
        <v>0.47916666666666402</v>
      </c>
      <c r="G248" s="92"/>
      <c r="H248" s="173" t="s">
        <v>236</v>
      </c>
      <c r="I248" s="92" t="e">
        <f>INDEX(Aulas_capacidad,MATCH(base_de_datos[[#This Row],[Aula]],Aulas,0),2)</f>
        <v>#REF!</v>
      </c>
      <c r="J248" s="90"/>
      <c r="K248" s="92" t="e">
        <f>INDEX(Aulas_capacidad,MATCH(base_de_datos[[#This Row],[Aula]],Aulas,0),4)</f>
        <v>#REF!</v>
      </c>
      <c r="L248" s="98" t="e">
        <f>base_de_datos[[#This Row],[Cap 1.5]]-base_de_datos[[#This Row],[Inscritos]]</f>
        <v>#REF!</v>
      </c>
      <c r="M248" s="98" t="e">
        <f>INDEX(Aulas_capacidad,MATCH(base_de_datos[[#This Row],[Aula]],Aulas,0),5)</f>
        <v>#REF!</v>
      </c>
      <c r="N248" s="98" t="e">
        <f>base_de_datos[[#This Row],[Cap .90]]-base_de_datos[[#This Row],[Inscritos]]</f>
        <v>#REF!</v>
      </c>
      <c r="O248" s="92" t="s">
        <v>455</v>
      </c>
      <c r="P248" s="99"/>
      <c r="Q248" s="100" t="s">
        <v>68</v>
      </c>
      <c r="R248" s="99"/>
      <c r="S248" s="100"/>
      <c r="T248" s="100"/>
      <c r="U248" s="99"/>
      <c r="V248" s="99"/>
      <c r="W248" s="99"/>
      <c r="X248" s="93" t="e">
        <f>_xlfn.XLOOKUP(base_de_datos[[#This Row],[Materia]],Materias,Horas)/16</f>
        <v>#N/A</v>
      </c>
      <c r="Y248" s="93">
        <f>ROUND(((base_de_datos[[#This Row],[Hora fin]]-base_de_datos[[#This Row],[Hora inicio]])*24)*(COUNTA(base_de_datos[[#This Row],[Lunes]:[Sábado]])),1)</f>
        <v>3.5</v>
      </c>
      <c r="Z248" s="93">
        <f ca="1">IF(base_de_datos[[#This Row],[Misma o no]]=0,"N/A",IF((OFFSET(base_de_datos[[#This Row],[Misma o no]],1,0))=0,base_de_datos[[#This Row],[Horas]]+(OFFSET(base_de_datos[[#This Row],[Horas]],1,0)),base_de_datos[[#This Row],[Horas]]))</f>
        <v>3.5</v>
      </c>
      <c r="AA248" s="93">
        <f ca="1">IF(base_de_datos[[#This Row],[No clase]]=OFFSET(base_de_datos[[#This Row],[No clase]],-1,0),0,1)</f>
        <v>1</v>
      </c>
      <c r="AB248" s="93" t="e">
        <f ca="1">IF(NOT(OR(base_de_datos[[#This Row],[Horas totales]]=base_de_datos[[#This Row],[HT Plan]],base_de_datos[[#This Row],[Horas totales]]="N/A")),1,0)</f>
        <v>#N/A</v>
      </c>
      <c r="AC248" s="93" t="e">
        <f>_xlfn.XLOOKUP(base_de_datos[[#This Row],[Profesor]],Nombre,Grado)</f>
        <v>#REF!</v>
      </c>
      <c r="AD248" s="94" t="e">
        <f>_xlfn.XLOOKUP(base_de_datos[[#This Row],[Profesor]],Nombre,Tipo)</f>
        <v>#REF!</v>
      </c>
      <c r="AE248" s="93" t="str">
        <f>IF(IFERROR(VLOOKUP($C248,Planes_de_estudio[],MATCH($AE$2,Carreras,0)+2,0),"")&gt;0,IFERROR(VLOOKUP($C248,Planes_de_estudio[],MATCH($AE$2,Carreras,0)+2,0),""),"")</f>
        <v/>
      </c>
      <c r="AF248" s="93" t="str">
        <f>IF(IFERROR(VLOOKUP($C248,Planes_de_estudio[],MATCH($AF$2,Carreras,0)+2,0),"")&gt;0,IFERROR(VLOOKUP($C248,Planes_de_estudio[],MATCH($AF$2,Carreras,0)+2,0),""),"")</f>
        <v/>
      </c>
      <c r="AG248" s="93" t="str">
        <f>IF(IFERROR(VLOOKUP($C248,Planes_de_estudio[],MATCH($AG$2,Carreras,0)+2,0),"")&gt;0,IFERROR(VLOOKUP($C248,Planes_de_estudio[],MATCH($AG$2,Carreras,0)+2,0),""),"")</f>
        <v/>
      </c>
      <c r="AH248" s="93" t="str">
        <f>IF(IFERROR(VLOOKUP($C248,Planes_de_estudio[],MATCH($AH$2,Carreras,0)+2,0),"")&gt;0,IFERROR(VLOOKUP($C248,Planes_de_estudio[],MATCH($AH$2,Carreras,0)+2,0),""),"")</f>
        <v/>
      </c>
      <c r="AI248" s="93" t="str">
        <f>IF(IFERROR(VLOOKUP($C248,Planes_de_estudio[],MATCH($AI$2,Carreras,0)+2,0),"")&gt;0,IFERROR(VLOOKUP($C248,Planes_de_estudio[],MATCH($AI$2,Carreras,0)+2,0),""),"")</f>
        <v/>
      </c>
      <c r="AJ248" s="93" t="str">
        <f>IF(IFERROR(VLOOKUP($C248,Planes_de_estudio[],MATCH($AJ$2,Carreras,0)+2,0),"")&gt;0,IFERROR(VLOOKUP($C248,Planes_de_estudio[],MATCH($AJ$2,Carreras,0)+2,0),""),"")</f>
        <v/>
      </c>
      <c r="AK248" s="93" t="str">
        <f>IF(IFERROR(VLOOKUP($C248,Planes_de_estudio[],MATCH($AK$2,Carreras,0)+2,0),"")&gt;0,IFERROR(VLOOKUP($C248,Planes_de_estudio[],MATCH($AK$2,Carreras,0)+2,0),""),"")</f>
        <v/>
      </c>
      <c r="AL248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48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48" s="93">
        <f>base_de_datos[[#This Row],[Pronóstico]]/25</f>
        <v>0</v>
      </c>
      <c r="AO248" s="93" t="e">
        <f>VLOOKUP($C248,Planes_de_estudio[],2)</f>
        <v>#N/A</v>
      </c>
      <c r="AP248" s="64" t="str">
        <f ca="1">IF(AND(base_de_datos[[#This Row],[Industrial]]&lt;&gt;"",base_de_datos[[#This Row],[Misma o no]]=1),base_de_datos[[#This Row],[Índice]],"")</f>
        <v/>
      </c>
      <c r="AQ248" s="64" t="str">
        <f ca="1">IF(AND(base_de_datos[[#This Row],[Mecatrónica]]&lt;&gt;"",base_de_datos[[#This Row],[Misma o no]]=1),base_de_datos[[#This Row],[Índice]],"")</f>
        <v/>
      </c>
      <c r="AR248" s="64" t="str">
        <f ca="1">IF(AND(base_de_datos[[#This Row],[Innovación y Diseño]]&lt;&gt;"",base_de_datos[[#This Row],[Misma o no]]=1),base_de_datos[[#This Row],[Índice]],"")</f>
        <v/>
      </c>
      <c r="AS248" s="64" t="str">
        <f ca="1">IF(AND(base_de_datos[[#This Row],[Inteligencia Artificial]]&lt;&gt;"",base_de_datos[[#This Row],[Misma o no]]=1),base_de_datos[[#This Row],[Índice]],"")</f>
        <v/>
      </c>
      <c r="AT248" s="64" t="str">
        <f ca="1">IF(AND(base_de_datos[[#This Row],[Tecnologías Energéticas]]&lt;&gt;"",base_de_datos[[#This Row],[Misma o no]]=1),base_de_datos[[#This Row],[Índice]],"")</f>
        <v/>
      </c>
      <c r="AU248" s="64" t="str">
        <f ca="1">IF(AND(base_de_datos[[#This Row],[Civil y Administración]]&lt;&gt;"",base_de_datos[[#This Row],[Misma o no]]=1),base_de_datos[[#This Row],[Índice]],"")</f>
        <v/>
      </c>
      <c r="AV248" s="64" t="str">
        <f ca="1">IF(AND(base_de_datos[[#This Row],[Bioelectrónica]]&lt;&gt;"",base_de_datos[[#This Row],[Misma o no]]=1),base_de_datos[[#This Row],[Índice]],"")</f>
        <v/>
      </c>
      <c r="AW248" s="91"/>
      <c r="AX248" s="73"/>
    </row>
    <row r="249" spans="1:50" ht="14">
      <c r="B249" s="95"/>
      <c r="C249" s="172"/>
      <c r="D249" s="92"/>
      <c r="E249" s="97">
        <v>0.375</v>
      </c>
      <c r="F249" s="97">
        <v>0.45833333333333098</v>
      </c>
      <c r="G249" s="92"/>
      <c r="H249" s="173" t="s">
        <v>73</v>
      </c>
      <c r="I249" s="92" t="e">
        <f>INDEX(Aulas_capacidad,MATCH(base_de_datos[[#This Row],[Aula]],Aulas,0),2)</f>
        <v>#REF!</v>
      </c>
      <c r="J249" s="90"/>
      <c r="K249" s="92" t="e">
        <f>INDEX(Aulas_capacidad,MATCH(base_de_datos[[#This Row],[Aula]],Aulas,0),4)</f>
        <v>#REF!</v>
      </c>
      <c r="L249" s="98" t="e">
        <f>base_de_datos[[#This Row],[Cap 1.5]]-base_de_datos[[#This Row],[Inscritos]]</f>
        <v>#REF!</v>
      </c>
      <c r="M249" s="98" t="e">
        <f>INDEX(Aulas_capacidad,MATCH(base_de_datos[[#This Row],[Aula]],Aulas,0),5)</f>
        <v>#REF!</v>
      </c>
      <c r="N249" s="98" t="e">
        <f>base_de_datos[[#This Row],[Cap .90]]-base_de_datos[[#This Row],[Inscritos]]</f>
        <v>#REF!</v>
      </c>
      <c r="O249" s="92" t="s">
        <v>456</v>
      </c>
      <c r="P249" s="99"/>
      <c r="Q249" s="100"/>
      <c r="R249" s="99" t="s">
        <v>68</v>
      </c>
      <c r="S249" s="100"/>
      <c r="T249" s="100"/>
      <c r="U249" s="99"/>
      <c r="V249" s="99"/>
      <c r="W249" s="99"/>
      <c r="X249" s="93" t="e">
        <f>_xlfn.XLOOKUP(base_de_datos[[#This Row],[Materia]],Materias,Horas)/16</f>
        <v>#N/A</v>
      </c>
      <c r="Y249" s="93">
        <f>ROUND(((base_de_datos[[#This Row],[Hora fin]]-base_de_datos[[#This Row],[Hora inicio]])*24)*(COUNTA(base_de_datos[[#This Row],[Lunes]:[Sábado]])),1)</f>
        <v>2</v>
      </c>
      <c r="Z249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49" s="93">
        <f ca="1">IF(base_de_datos[[#This Row],[No clase]]=OFFSET(base_de_datos[[#This Row],[No clase]],-1,0),0,1)</f>
        <v>1</v>
      </c>
      <c r="AB249" s="93" t="e">
        <f ca="1">IF(NOT(OR(base_de_datos[[#This Row],[Horas totales]]=base_de_datos[[#This Row],[HT Plan]],base_de_datos[[#This Row],[Horas totales]]="N/A")),1,0)</f>
        <v>#N/A</v>
      </c>
      <c r="AC249" s="93" t="e">
        <f>_xlfn.XLOOKUP(base_de_datos[[#This Row],[Profesor]],Nombre,Grado)</f>
        <v>#REF!</v>
      </c>
      <c r="AD249" s="94" t="e">
        <f>_xlfn.XLOOKUP(base_de_datos[[#This Row],[Profesor]],Nombre,Tipo)</f>
        <v>#REF!</v>
      </c>
      <c r="AE249" s="93" t="str">
        <f>IF(IFERROR(VLOOKUP($C249,Planes_de_estudio[],MATCH($AE$2,Carreras,0)+2,0),"")&gt;0,IFERROR(VLOOKUP($C249,Planes_de_estudio[],MATCH($AE$2,Carreras,0)+2,0),""),"")</f>
        <v/>
      </c>
      <c r="AF249" s="93" t="str">
        <f>IF(IFERROR(VLOOKUP($C249,Planes_de_estudio[],MATCH($AF$2,Carreras,0)+2,0),"")&gt;0,IFERROR(VLOOKUP($C249,Planes_de_estudio[],MATCH($AF$2,Carreras,0)+2,0),""),"")</f>
        <v/>
      </c>
      <c r="AG249" s="93" t="str">
        <f>IF(IFERROR(VLOOKUP($C249,Planes_de_estudio[],MATCH($AG$2,Carreras,0)+2,0),"")&gt;0,IFERROR(VLOOKUP($C249,Planes_de_estudio[],MATCH($AG$2,Carreras,0)+2,0),""),"")</f>
        <v/>
      </c>
      <c r="AH249" s="93" t="str">
        <f>IF(IFERROR(VLOOKUP($C249,Planes_de_estudio[],MATCH($AH$2,Carreras,0)+2,0),"")&gt;0,IFERROR(VLOOKUP($C249,Planes_de_estudio[],MATCH($AH$2,Carreras,0)+2,0),""),"")</f>
        <v/>
      </c>
      <c r="AI249" s="93" t="str">
        <f>IF(IFERROR(VLOOKUP($C249,Planes_de_estudio[],MATCH($AI$2,Carreras,0)+2,0),"")&gt;0,IFERROR(VLOOKUP($C249,Planes_de_estudio[],MATCH($AI$2,Carreras,0)+2,0),""),"")</f>
        <v/>
      </c>
      <c r="AJ249" s="93" t="str">
        <f>IF(IFERROR(VLOOKUP($C249,Planes_de_estudio[],MATCH($AJ$2,Carreras,0)+2,0),"")&gt;0,IFERROR(VLOOKUP($C249,Planes_de_estudio[],MATCH($AJ$2,Carreras,0)+2,0),""),"")</f>
        <v/>
      </c>
      <c r="AK249" s="93" t="str">
        <f>IF(IFERROR(VLOOKUP($C249,Planes_de_estudio[],MATCH($AK$2,Carreras,0)+2,0),"")&gt;0,IFERROR(VLOOKUP($C249,Planes_de_estudio[],MATCH($AK$2,Carreras,0)+2,0),""),"")</f>
        <v/>
      </c>
      <c r="AL249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49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49" s="93">
        <f>base_de_datos[[#This Row],[Pronóstico]]/25</f>
        <v>0</v>
      </c>
      <c r="AO249" s="93" t="e">
        <f>VLOOKUP($C249,Planes_de_estudio[],2)</f>
        <v>#N/A</v>
      </c>
      <c r="AP249" s="64" t="str">
        <f ca="1">IF(AND(base_de_datos[[#This Row],[Industrial]]&lt;&gt;"",base_de_datos[[#This Row],[Misma o no]]=1),base_de_datos[[#This Row],[Índice]],"")</f>
        <v/>
      </c>
      <c r="AQ249" s="64" t="str">
        <f ca="1">IF(AND(base_de_datos[[#This Row],[Mecatrónica]]&lt;&gt;"",base_de_datos[[#This Row],[Misma o no]]=1),base_de_datos[[#This Row],[Índice]],"")</f>
        <v/>
      </c>
      <c r="AR249" s="64" t="str">
        <f ca="1">IF(AND(base_de_datos[[#This Row],[Innovación y Diseño]]&lt;&gt;"",base_de_datos[[#This Row],[Misma o no]]=1),base_de_datos[[#This Row],[Índice]],"")</f>
        <v/>
      </c>
      <c r="AS249" s="64" t="str">
        <f ca="1">IF(AND(base_de_datos[[#This Row],[Inteligencia Artificial]]&lt;&gt;"",base_de_datos[[#This Row],[Misma o no]]=1),base_de_datos[[#This Row],[Índice]],"")</f>
        <v/>
      </c>
      <c r="AT249" s="64" t="str">
        <f ca="1">IF(AND(base_de_datos[[#This Row],[Tecnologías Energéticas]]&lt;&gt;"",base_de_datos[[#This Row],[Misma o no]]=1),base_de_datos[[#This Row],[Índice]],"")</f>
        <v/>
      </c>
      <c r="AU249" s="64" t="str">
        <f ca="1">IF(AND(base_de_datos[[#This Row],[Civil y Administración]]&lt;&gt;"",base_de_datos[[#This Row],[Misma o no]]=1),base_de_datos[[#This Row],[Índice]],"")</f>
        <v/>
      </c>
      <c r="AV249" s="64" t="str">
        <f ca="1">IF(AND(base_de_datos[[#This Row],[Bioelectrónica]]&lt;&gt;"",base_de_datos[[#This Row],[Misma o no]]=1),base_de_datos[[#This Row],[Índice]],"")</f>
        <v/>
      </c>
      <c r="AW249" s="91"/>
      <c r="AX249" s="73"/>
    </row>
    <row r="250" spans="1:50" ht="14">
      <c r="B250" s="95"/>
      <c r="C250" s="172"/>
      <c r="D250" s="92"/>
      <c r="E250" s="97">
        <v>0.66666666666666696</v>
      </c>
      <c r="F250" s="97">
        <v>0.74999999999999301</v>
      </c>
      <c r="G250" s="92"/>
      <c r="H250" s="173" t="s">
        <v>202</v>
      </c>
      <c r="I250" s="92" t="e">
        <f>INDEX(Aulas_capacidad,MATCH(base_de_datos[[#This Row],[Aula]],Aulas,0),2)</f>
        <v>#REF!</v>
      </c>
      <c r="J250" s="90"/>
      <c r="K250" s="92" t="e">
        <f>INDEX(Aulas_capacidad,MATCH(base_de_datos[[#This Row],[Aula]],Aulas,0),4)</f>
        <v>#REF!</v>
      </c>
      <c r="L250" s="98" t="e">
        <f>base_de_datos[[#This Row],[Cap 1.5]]-base_de_datos[[#This Row],[Inscritos]]</f>
        <v>#REF!</v>
      </c>
      <c r="M250" s="98" t="e">
        <f>INDEX(Aulas_capacidad,MATCH(base_de_datos[[#This Row],[Aula]],Aulas,0),5)</f>
        <v>#REF!</v>
      </c>
      <c r="N250" s="98" t="e">
        <f>base_de_datos[[#This Row],[Cap .90]]-base_de_datos[[#This Row],[Inscritos]]</f>
        <v>#REF!</v>
      </c>
      <c r="O250" s="92" t="s">
        <v>457</v>
      </c>
      <c r="P250" s="99"/>
      <c r="Q250" s="100" t="s">
        <v>68</v>
      </c>
      <c r="R250" s="99"/>
      <c r="S250" s="100"/>
      <c r="T250" s="100"/>
      <c r="U250" s="99"/>
      <c r="V250" s="99"/>
      <c r="W250" s="99"/>
      <c r="X250" s="93" t="e">
        <f>_xlfn.XLOOKUP(base_de_datos[[#This Row],[Materia]],Materias,Horas)/16</f>
        <v>#N/A</v>
      </c>
      <c r="Y250" s="93">
        <f>ROUND(((base_de_datos[[#This Row],[Hora fin]]-base_de_datos[[#This Row],[Hora inicio]])*24)*(COUNTA(base_de_datos[[#This Row],[Lunes]:[Sábado]])),1)</f>
        <v>2</v>
      </c>
      <c r="Z250" s="9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50" s="93">
        <f ca="1">IF(base_de_datos[[#This Row],[No clase]]=OFFSET(base_de_datos[[#This Row],[No clase]],-1,0),0,1)</f>
        <v>1</v>
      </c>
      <c r="AB250" s="93" t="e">
        <f ca="1">IF(NOT(OR(base_de_datos[[#This Row],[Horas totales]]=base_de_datos[[#This Row],[HT Plan]],base_de_datos[[#This Row],[Horas totales]]="N/A")),1,0)</f>
        <v>#N/A</v>
      </c>
      <c r="AC250" s="93" t="e">
        <f>_xlfn.XLOOKUP(base_de_datos[[#This Row],[Profesor]],Nombre,Grado)</f>
        <v>#REF!</v>
      </c>
      <c r="AD250" s="94" t="e">
        <f>_xlfn.XLOOKUP(base_de_datos[[#This Row],[Profesor]],Nombre,Tipo)</f>
        <v>#REF!</v>
      </c>
      <c r="AE250" s="93" t="str">
        <f>IF(IFERROR(VLOOKUP($C250,Planes_de_estudio[],MATCH($AE$2,Carreras,0)+2,0),"")&gt;0,IFERROR(VLOOKUP($C250,Planes_de_estudio[],MATCH($AE$2,Carreras,0)+2,0),""),"")</f>
        <v/>
      </c>
      <c r="AF250" s="93" t="str">
        <f>IF(IFERROR(VLOOKUP($C250,Planes_de_estudio[],MATCH($AF$2,Carreras,0)+2,0),"")&gt;0,IFERROR(VLOOKUP($C250,Planes_de_estudio[],MATCH($AF$2,Carreras,0)+2,0),""),"")</f>
        <v/>
      </c>
      <c r="AG250" s="93" t="str">
        <f>IF(IFERROR(VLOOKUP($C250,Planes_de_estudio[],MATCH($AG$2,Carreras,0)+2,0),"")&gt;0,IFERROR(VLOOKUP($C250,Planes_de_estudio[],MATCH($AG$2,Carreras,0)+2,0),""),"")</f>
        <v/>
      </c>
      <c r="AH250" s="93" t="str">
        <f>IF(IFERROR(VLOOKUP($C250,Planes_de_estudio[],MATCH($AH$2,Carreras,0)+2,0),"")&gt;0,IFERROR(VLOOKUP($C250,Planes_de_estudio[],MATCH($AH$2,Carreras,0)+2,0),""),"")</f>
        <v/>
      </c>
      <c r="AI250" s="93" t="str">
        <f>IF(IFERROR(VLOOKUP($C250,Planes_de_estudio[],MATCH($AI$2,Carreras,0)+2,0),"")&gt;0,IFERROR(VLOOKUP($C250,Planes_de_estudio[],MATCH($AI$2,Carreras,0)+2,0),""),"")</f>
        <v/>
      </c>
      <c r="AJ250" s="93" t="str">
        <f>IF(IFERROR(VLOOKUP($C250,Planes_de_estudio[],MATCH($AJ$2,Carreras,0)+2,0),"")&gt;0,IFERROR(VLOOKUP($C250,Planes_de_estudio[],MATCH($AJ$2,Carreras,0)+2,0),""),"")</f>
        <v/>
      </c>
      <c r="AK250" s="93" t="str">
        <f>IF(IFERROR(VLOOKUP($C250,Planes_de_estudio[],MATCH($AK$2,Carreras,0)+2,0),"")&gt;0,IFERROR(VLOOKUP($C250,Planes_de_estudio[],MATCH($AK$2,Carreras,0)+2,0),""),"")</f>
        <v/>
      </c>
      <c r="AL250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50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50" s="93">
        <f>base_de_datos[[#This Row],[Pronóstico]]/25</f>
        <v>0</v>
      </c>
      <c r="AO250" s="93" t="e">
        <f>VLOOKUP($C250,Planes_de_estudio[],2)</f>
        <v>#N/A</v>
      </c>
      <c r="AP250" s="64" t="str">
        <f ca="1">IF(AND(base_de_datos[[#This Row],[Industrial]]&lt;&gt;"",base_de_datos[[#This Row],[Misma o no]]=1),base_de_datos[[#This Row],[Índice]],"")</f>
        <v/>
      </c>
      <c r="AQ250" s="64" t="str">
        <f ca="1">IF(AND(base_de_datos[[#This Row],[Mecatrónica]]&lt;&gt;"",base_de_datos[[#This Row],[Misma o no]]=1),base_de_datos[[#This Row],[Índice]],"")</f>
        <v/>
      </c>
      <c r="AR250" s="64" t="str">
        <f ca="1">IF(AND(base_de_datos[[#This Row],[Innovación y Diseño]]&lt;&gt;"",base_de_datos[[#This Row],[Misma o no]]=1),base_de_datos[[#This Row],[Índice]],"")</f>
        <v/>
      </c>
      <c r="AS250" s="64" t="str">
        <f ca="1">IF(AND(base_de_datos[[#This Row],[Inteligencia Artificial]]&lt;&gt;"",base_de_datos[[#This Row],[Misma o no]]=1),base_de_datos[[#This Row],[Índice]],"")</f>
        <v/>
      </c>
      <c r="AT250" s="64" t="str">
        <f ca="1">IF(AND(base_de_datos[[#This Row],[Tecnologías Energéticas]]&lt;&gt;"",base_de_datos[[#This Row],[Misma o no]]=1),base_de_datos[[#This Row],[Índice]],"")</f>
        <v/>
      </c>
      <c r="AU250" s="64" t="str">
        <f ca="1">IF(AND(base_de_datos[[#This Row],[Civil y Administración]]&lt;&gt;"",base_de_datos[[#This Row],[Misma o no]]=1),base_de_datos[[#This Row],[Índice]],"")</f>
        <v/>
      </c>
      <c r="AV250" s="64" t="str">
        <f ca="1">IF(AND(base_de_datos[[#This Row],[Bioelectrónica]]&lt;&gt;"",base_de_datos[[#This Row],[Misma o no]]=1),base_de_datos[[#This Row],[Índice]],"")</f>
        <v/>
      </c>
      <c r="AW250" s="91"/>
      <c r="AX250" s="73"/>
    </row>
    <row r="251" spans="1:50" ht="29">
      <c r="B251" s="95"/>
      <c r="C251" s="172"/>
      <c r="D251" s="92"/>
      <c r="E251" s="97">
        <v>0.33333333333333298</v>
      </c>
      <c r="F251" s="97">
        <v>0.58333333333332904</v>
      </c>
      <c r="G251" s="92"/>
      <c r="H251" s="173" t="s">
        <v>67</v>
      </c>
      <c r="I251" s="92" t="e">
        <f>INDEX(Aulas_capacidad,MATCH(base_de_datos[[#This Row],[Aula]],Aulas,0),2)</f>
        <v>#REF!</v>
      </c>
      <c r="J251" s="90"/>
      <c r="K251" s="92" t="e">
        <f>INDEX(Aulas_capacidad,MATCH(base_de_datos[[#This Row],[Aula]],Aulas,0),4)</f>
        <v>#REF!</v>
      </c>
      <c r="L251" s="98" t="e">
        <f>base_de_datos[[#This Row],[Cap 1.5]]-base_de_datos[[#This Row],[Inscritos]]</f>
        <v>#REF!</v>
      </c>
      <c r="M251" s="98" t="e">
        <f>INDEX(Aulas_capacidad,MATCH(base_de_datos[[#This Row],[Aula]],Aulas,0),5)</f>
        <v>#REF!</v>
      </c>
      <c r="N251" s="98" t="e">
        <f>base_de_datos[[#This Row],[Cap .90]]-base_de_datos[[#This Row],[Inscritos]]</f>
        <v>#REF!</v>
      </c>
      <c r="O251" t="s">
        <v>458</v>
      </c>
      <c r="P251" s="99"/>
      <c r="Q251" s="100"/>
      <c r="R251" s="99"/>
      <c r="S251" s="100"/>
      <c r="T251" s="100"/>
      <c r="U251" s="99" t="s">
        <v>68</v>
      </c>
      <c r="V251" s="99"/>
      <c r="W251" s="99"/>
      <c r="X251" s="93" t="e">
        <f>_xlfn.XLOOKUP(base_de_datos[[#This Row],[Materia]],Materias,Horas)/16</f>
        <v>#N/A</v>
      </c>
      <c r="Y251" s="93">
        <f>ROUND(((base_de_datos[[#This Row],[Hora fin]]-base_de_datos[[#This Row],[Hora inicio]])*24)*(COUNTA(base_de_datos[[#This Row],[Lunes]:[Sábado]])),1)</f>
        <v>6</v>
      </c>
      <c r="Z251" s="93">
        <f ca="1">IF(base_de_datos[[#This Row],[Misma o no]]=0,"N/A",IF((OFFSET(base_de_datos[[#This Row],[Misma o no]],1,0))=0,base_de_datos[[#This Row],[Horas]]+(OFFSET(base_de_datos[[#This Row],[Horas]],1,0)),base_de_datos[[#This Row],[Horas]]))</f>
        <v>6</v>
      </c>
      <c r="AA251" s="93">
        <f ca="1">IF(base_de_datos[[#This Row],[No clase]]=OFFSET(base_de_datos[[#This Row],[No clase]],-1,0),0,1)</f>
        <v>1</v>
      </c>
      <c r="AB251" s="93" t="e">
        <f ca="1">IF(NOT(OR(base_de_datos[[#This Row],[Horas totales]]=base_de_datos[[#This Row],[HT Plan]],base_de_datos[[#This Row],[Horas totales]]="N/A")),1,0)</f>
        <v>#N/A</v>
      </c>
      <c r="AC251" s="93" t="e">
        <f>_xlfn.XLOOKUP(base_de_datos[[#This Row],[Profesor]],Nombre,Grado)</f>
        <v>#REF!</v>
      </c>
      <c r="AD251" s="94" t="e">
        <f>_xlfn.XLOOKUP(base_de_datos[[#This Row],[Profesor]],Nombre,Tipo)</f>
        <v>#REF!</v>
      </c>
      <c r="AE251" s="93" t="str">
        <f>IF(IFERROR(VLOOKUP($C251,Planes_de_estudio[],MATCH($AE$2,Carreras,0)+2,0),"")&gt;0,IFERROR(VLOOKUP($C251,Planes_de_estudio[],MATCH($AE$2,Carreras,0)+2,0),""),"")</f>
        <v/>
      </c>
      <c r="AF251" s="93" t="str">
        <f>IF(IFERROR(VLOOKUP($C251,Planes_de_estudio[],MATCH($AF$2,Carreras,0)+2,0),"")&gt;0,IFERROR(VLOOKUP($C251,Planes_de_estudio[],MATCH($AF$2,Carreras,0)+2,0),""),"")</f>
        <v/>
      </c>
      <c r="AG251" s="93" t="str">
        <f>IF(IFERROR(VLOOKUP($C251,Planes_de_estudio[],MATCH($AG$2,Carreras,0)+2,0),"")&gt;0,IFERROR(VLOOKUP($C251,Planes_de_estudio[],MATCH($AG$2,Carreras,0)+2,0),""),"")</f>
        <v/>
      </c>
      <c r="AH251" s="93" t="str">
        <f>IF(IFERROR(VLOOKUP($C251,Planes_de_estudio[],MATCH($AH$2,Carreras,0)+2,0),"")&gt;0,IFERROR(VLOOKUP($C251,Planes_de_estudio[],MATCH($AH$2,Carreras,0)+2,0),""),"")</f>
        <v/>
      </c>
      <c r="AI251" s="93" t="str">
        <f>IF(IFERROR(VLOOKUP($C251,Planes_de_estudio[],MATCH($AI$2,Carreras,0)+2,0),"")&gt;0,IFERROR(VLOOKUP($C251,Planes_de_estudio[],MATCH($AI$2,Carreras,0)+2,0),""),"")</f>
        <v/>
      </c>
      <c r="AJ251" s="93" t="str">
        <f>IF(IFERROR(VLOOKUP($C251,Planes_de_estudio[],MATCH($AJ$2,Carreras,0)+2,0),"")&gt;0,IFERROR(VLOOKUP($C251,Planes_de_estudio[],MATCH($AJ$2,Carreras,0)+2,0),""),"")</f>
        <v/>
      </c>
      <c r="AK251" s="93" t="str">
        <f>IF(IFERROR(VLOOKUP($C251,Planes_de_estudio[],MATCH($AK$2,Carreras,0)+2,0),"")&gt;0,IFERROR(VLOOKUP($C251,Planes_de_estudio[],MATCH($AK$2,Carreras,0)+2,0),""),"")</f>
        <v/>
      </c>
      <c r="AL251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51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51" s="93">
        <f>base_de_datos[[#This Row],[Pronóstico]]/25</f>
        <v>0</v>
      </c>
      <c r="AO251" s="93" t="e">
        <f>VLOOKUP($C251,Planes_de_estudio[],2)</f>
        <v>#N/A</v>
      </c>
      <c r="AP251" s="64" t="str">
        <f ca="1">IF(AND(base_de_datos[[#This Row],[Industrial]]&lt;&gt;"",base_de_datos[[#This Row],[Misma o no]]=1),base_de_datos[[#This Row],[Índice]],"")</f>
        <v/>
      </c>
      <c r="AQ251" s="64" t="str">
        <f ca="1">IF(AND(base_de_datos[[#This Row],[Mecatrónica]]&lt;&gt;"",base_de_datos[[#This Row],[Misma o no]]=1),base_de_datos[[#This Row],[Índice]],"")</f>
        <v/>
      </c>
      <c r="AR251" s="64" t="str">
        <f ca="1">IF(AND(base_de_datos[[#This Row],[Innovación y Diseño]]&lt;&gt;"",base_de_datos[[#This Row],[Misma o no]]=1),base_de_datos[[#This Row],[Índice]],"")</f>
        <v/>
      </c>
      <c r="AS251" s="64" t="str">
        <f ca="1">IF(AND(base_de_datos[[#This Row],[Inteligencia Artificial]]&lt;&gt;"",base_de_datos[[#This Row],[Misma o no]]=1),base_de_datos[[#This Row],[Índice]],"")</f>
        <v/>
      </c>
      <c r="AT251" s="64" t="str">
        <f ca="1">IF(AND(base_de_datos[[#This Row],[Tecnologías Energéticas]]&lt;&gt;"",base_de_datos[[#This Row],[Misma o no]]=1),base_de_datos[[#This Row],[Índice]],"")</f>
        <v/>
      </c>
      <c r="AU251" s="64" t="str">
        <f ca="1">IF(AND(base_de_datos[[#This Row],[Civil y Administración]]&lt;&gt;"",base_de_datos[[#This Row],[Misma o no]]=1),base_de_datos[[#This Row],[Índice]],"")</f>
        <v/>
      </c>
      <c r="AV251" s="64" t="str">
        <f ca="1">IF(AND(base_de_datos[[#This Row],[Bioelectrónica]]&lt;&gt;"",base_de_datos[[#This Row],[Misma o no]]=1),base_de_datos[[#This Row],[Índice]],"")</f>
        <v/>
      </c>
      <c r="AW251" s="91"/>
      <c r="AX251" s="73"/>
    </row>
    <row r="252" spans="1:50" ht="14">
      <c r="B252" s="95"/>
      <c r="C252" s="172"/>
      <c r="D252" s="92"/>
      <c r="E252" s="97">
        <v>0.58333333333333304</v>
      </c>
      <c r="F252" s="97">
        <v>0.624999999999995</v>
      </c>
      <c r="G252" s="173"/>
      <c r="H252" s="173" t="s">
        <v>119</v>
      </c>
      <c r="I252" s="92" t="e">
        <f>INDEX(Aulas_capacidad,MATCH(base_de_datos[[#This Row],[Aula]],Aulas,0),2)</f>
        <v>#REF!</v>
      </c>
      <c r="J252" s="90"/>
      <c r="K252" s="92" t="e">
        <f>INDEX(Aulas_capacidad,MATCH(base_de_datos[[#This Row],[Aula]],Aulas,0),4)</f>
        <v>#REF!</v>
      </c>
      <c r="L252" s="98" t="e">
        <f>base_de_datos[[#This Row],[Cap 1.5]]-base_de_datos[[#This Row],[Inscritos]]</f>
        <v>#REF!</v>
      </c>
      <c r="M252" s="98" t="e">
        <f>INDEX(Aulas_capacidad,MATCH(base_de_datos[[#This Row],[Aula]],Aulas,0),5)</f>
        <v>#REF!</v>
      </c>
      <c r="N252" s="98" t="e">
        <f>base_de_datos[[#This Row],[Cap .90]]-base_de_datos[[#This Row],[Inscritos]]</f>
        <v>#REF!</v>
      </c>
      <c r="O252" s="92" t="s">
        <v>459</v>
      </c>
      <c r="P252" s="99"/>
      <c r="Q252" s="100"/>
      <c r="R252" s="99" t="s">
        <v>68</v>
      </c>
      <c r="S252" s="100"/>
      <c r="T252" s="100"/>
      <c r="U252" s="99"/>
      <c r="V252" s="99"/>
      <c r="W252" s="99"/>
      <c r="X252" s="93" t="e">
        <f>_xlfn.XLOOKUP(base_de_datos[[#This Row],[Materia]],Materias,Horas)/16</f>
        <v>#N/A</v>
      </c>
      <c r="Y252" s="93">
        <f>ROUND(((base_de_datos[[#This Row],[Hora fin]]-base_de_datos[[#This Row],[Hora inicio]])*24)*(COUNTA(base_de_datos[[#This Row],[Lunes]:[Sábado]])),1)</f>
        <v>1</v>
      </c>
      <c r="Z252" s="93">
        <f ca="1">IF(base_de_datos[[#This Row],[Misma o no]]=0,"N/A",IF((OFFSET(base_de_datos[[#This Row],[Misma o no]],1,0))=0,base_de_datos[[#This Row],[Horas]]+(OFFSET(base_de_datos[[#This Row],[Horas]],1,0)),base_de_datos[[#This Row],[Horas]]))</f>
        <v>1</v>
      </c>
      <c r="AA252" s="93">
        <f ca="1">IF(base_de_datos[[#This Row],[No clase]]=OFFSET(base_de_datos[[#This Row],[No clase]],-1,0),0,1)</f>
        <v>1</v>
      </c>
      <c r="AB252" s="93" t="e">
        <f ca="1">IF(NOT(OR(base_de_datos[[#This Row],[Horas totales]]=base_de_datos[[#This Row],[HT Plan]],base_de_datos[[#This Row],[Horas totales]]="N/A")),1,0)</f>
        <v>#N/A</v>
      </c>
      <c r="AC252" s="93" t="e">
        <f>_xlfn.XLOOKUP(base_de_datos[[#This Row],[Profesor]],Nombre,Grado)</f>
        <v>#REF!</v>
      </c>
      <c r="AD252" s="94" t="e">
        <f>_xlfn.XLOOKUP(base_de_datos[[#This Row],[Profesor]],Nombre,Tipo)</f>
        <v>#REF!</v>
      </c>
      <c r="AE252" s="93" t="str">
        <f>IF(IFERROR(VLOOKUP($C252,Planes_de_estudio[],MATCH($AE$2,Carreras,0)+2,0),"")&gt;0,IFERROR(VLOOKUP($C252,Planes_de_estudio[],MATCH($AE$2,Carreras,0)+2,0),""),"")</f>
        <v/>
      </c>
      <c r="AF252" s="93" t="str">
        <f>IF(IFERROR(VLOOKUP($C252,Planes_de_estudio[],MATCH($AF$2,Carreras,0)+2,0),"")&gt;0,IFERROR(VLOOKUP($C252,Planes_de_estudio[],MATCH($AF$2,Carreras,0)+2,0),""),"")</f>
        <v/>
      </c>
      <c r="AG252" s="93" t="str">
        <f>IF(IFERROR(VLOOKUP($C252,Planes_de_estudio[],MATCH($AG$2,Carreras,0)+2,0),"")&gt;0,IFERROR(VLOOKUP($C252,Planes_de_estudio[],MATCH($AG$2,Carreras,0)+2,0),""),"")</f>
        <v/>
      </c>
      <c r="AH252" s="93" t="str">
        <f>IF(IFERROR(VLOOKUP($C252,Planes_de_estudio[],MATCH($AH$2,Carreras,0)+2,0),"")&gt;0,IFERROR(VLOOKUP($C252,Planes_de_estudio[],MATCH($AH$2,Carreras,0)+2,0),""),"")</f>
        <v/>
      </c>
      <c r="AI252" s="93" t="str">
        <f>IF(IFERROR(VLOOKUP($C252,Planes_de_estudio[],MATCH($AI$2,Carreras,0)+2,0),"")&gt;0,IFERROR(VLOOKUP($C252,Planes_de_estudio[],MATCH($AI$2,Carreras,0)+2,0),""),"")</f>
        <v/>
      </c>
      <c r="AJ252" s="93" t="str">
        <f>IF(IFERROR(VLOOKUP($C252,Planes_de_estudio[],MATCH($AJ$2,Carreras,0)+2,0),"")&gt;0,IFERROR(VLOOKUP($C252,Planes_de_estudio[],MATCH($AJ$2,Carreras,0)+2,0),""),"")</f>
        <v/>
      </c>
      <c r="AK252" s="93" t="str">
        <f>IF(IFERROR(VLOOKUP($C252,Planes_de_estudio[],MATCH($AK$2,Carreras,0)+2,0),"")&gt;0,IFERROR(VLOOKUP($C252,Planes_de_estudio[],MATCH($AK$2,Carreras,0)+2,0),""),"")</f>
        <v/>
      </c>
      <c r="AL252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52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52" s="93">
        <f>base_de_datos[[#This Row],[Pronóstico]]/25</f>
        <v>0</v>
      </c>
      <c r="AO252" s="93" t="e">
        <f>VLOOKUP($C252,Planes_de_estudio[],2)</f>
        <v>#N/A</v>
      </c>
      <c r="AP252" s="64" t="str">
        <f ca="1">IF(AND(base_de_datos[[#This Row],[Industrial]]&lt;&gt;"",base_de_datos[[#This Row],[Misma o no]]=1),base_de_datos[[#This Row],[Índice]],"")</f>
        <v/>
      </c>
      <c r="AQ252" s="64" t="str">
        <f ca="1">IF(AND(base_de_datos[[#This Row],[Mecatrónica]]&lt;&gt;"",base_de_datos[[#This Row],[Misma o no]]=1),base_de_datos[[#This Row],[Índice]],"")</f>
        <v/>
      </c>
      <c r="AR252" s="64" t="str">
        <f ca="1">IF(AND(base_de_datos[[#This Row],[Innovación y Diseño]]&lt;&gt;"",base_de_datos[[#This Row],[Misma o no]]=1),base_de_datos[[#This Row],[Índice]],"")</f>
        <v/>
      </c>
      <c r="AS252" s="64" t="str">
        <f ca="1">IF(AND(base_de_datos[[#This Row],[Inteligencia Artificial]]&lt;&gt;"",base_de_datos[[#This Row],[Misma o no]]=1),base_de_datos[[#This Row],[Índice]],"")</f>
        <v/>
      </c>
      <c r="AT252" s="64" t="str">
        <f ca="1">IF(AND(base_de_datos[[#This Row],[Tecnologías Energéticas]]&lt;&gt;"",base_de_datos[[#This Row],[Misma o no]]=1),base_de_datos[[#This Row],[Índice]],"")</f>
        <v/>
      </c>
      <c r="AU252" s="64" t="str">
        <f ca="1">IF(AND(base_de_datos[[#This Row],[Civil y Administración]]&lt;&gt;"",base_de_datos[[#This Row],[Misma o no]]=1),base_de_datos[[#This Row],[Índice]],"")</f>
        <v/>
      </c>
      <c r="AV252" s="64" t="str">
        <f ca="1">IF(AND(base_de_datos[[#This Row],[Bioelectrónica]]&lt;&gt;"",base_de_datos[[#This Row],[Misma o no]]=1),base_de_datos[[#This Row],[Índice]],"")</f>
        <v/>
      </c>
      <c r="AW252" s="91"/>
      <c r="AX252" s="73"/>
    </row>
    <row r="253" spans="1:50" ht="14">
      <c r="B253" s="95"/>
      <c r="C253" s="172"/>
      <c r="D253" s="92"/>
      <c r="E253" s="97">
        <v>0.45833333333333398</v>
      </c>
      <c r="F253" s="97">
        <v>0.58333333333332904</v>
      </c>
      <c r="G253" s="173"/>
      <c r="H253" s="173" t="s">
        <v>119</v>
      </c>
      <c r="I253" s="92" t="e">
        <f>INDEX(Aulas_capacidad,MATCH(base_de_datos[[#This Row],[Aula]],Aulas,0),2)</f>
        <v>#REF!</v>
      </c>
      <c r="J253" s="90"/>
      <c r="K253" s="92" t="e">
        <f>INDEX(Aulas_capacidad,MATCH(base_de_datos[[#This Row],[Aula]],Aulas,0),4)</f>
        <v>#REF!</v>
      </c>
      <c r="L253" s="98" t="e">
        <f>base_de_datos[[#This Row],[Cap 1.5]]-base_de_datos[[#This Row],[Inscritos]]</f>
        <v>#REF!</v>
      </c>
      <c r="M253" s="98" t="e">
        <f>INDEX(Aulas_capacidad,MATCH(base_de_datos[[#This Row],[Aula]],Aulas,0),5)</f>
        <v>#REF!</v>
      </c>
      <c r="N253" s="98" t="e">
        <f>base_de_datos[[#This Row],[Cap .90]]-base_de_datos[[#This Row],[Inscritos]]</f>
        <v>#REF!</v>
      </c>
      <c r="O253" s="92" t="s">
        <v>460</v>
      </c>
      <c r="P253" s="99"/>
      <c r="Q253" s="100"/>
      <c r="R253" s="99" t="s">
        <v>68</v>
      </c>
      <c r="S253" s="100"/>
      <c r="T253" s="100"/>
      <c r="U253" s="99"/>
      <c r="V253" s="99"/>
      <c r="W253" s="99"/>
      <c r="X253" s="93" t="e">
        <f>_xlfn.XLOOKUP(base_de_datos[[#This Row],[Materia]],Materias,Horas)/16</f>
        <v>#N/A</v>
      </c>
      <c r="Y253" s="93">
        <f>ROUND(((base_de_datos[[#This Row],[Hora fin]]-base_de_datos[[#This Row],[Hora inicio]])*24)*(COUNTA(base_de_datos[[#This Row],[Lunes]:[Sábado]])),1)</f>
        <v>3</v>
      </c>
      <c r="Z253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53" s="93">
        <f ca="1">IF(base_de_datos[[#This Row],[No clase]]=OFFSET(base_de_datos[[#This Row],[No clase]],-1,0),0,1)</f>
        <v>1</v>
      </c>
      <c r="AB253" s="93" t="e">
        <f ca="1">IF(NOT(OR(base_de_datos[[#This Row],[Horas totales]]=base_de_datos[[#This Row],[HT Plan]],base_de_datos[[#This Row],[Horas totales]]="N/A")),1,0)</f>
        <v>#N/A</v>
      </c>
      <c r="AC253" s="93" t="e">
        <f>_xlfn.XLOOKUP(base_de_datos[[#This Row],[Profesor]],Nombre,Grado)</f>
        <v>#REF!</v>
      </c>
      <c r="AD253" s="94" t="e">
        <f>_xlfn.XLOOKUP(base_de_datos[[#This Row],[Profesor]],Nombre,Tipo)</f>
        <v>#REF!</v>
      </c>
      <c r="AE253" s="93" t="str">
        <f>IF(IFERROR(VLOOKUP($C253,Planes_de_estudio[],MATCH($AE$2,Carreras,0)+2,0),"")&gt;0,IFERROR(VLOOKUP($C253,Planes_de_estudio[],MATCH($AE$2,Carreras,0)+2,0),""),"")</f>
        <v/>
      </c>
      <c r="AF253" s="93" t="str">
        <f>IF(IFERROR(VLOOKUP($C253,Planes_de_estudio[],MATCH($AF$2,Carreras,0)+2,0),"")&gt;0,IFERROR(VLOOKUP($C253,Planes_de_estudio[],MATCH($AF$2,Carreras,0)+2,0),""),"")</f>
        <v/>
      </c>
      <c r="AG253" s="93" t="str">
        <f>IF(IFERROR(VLOOKUP($C253,Planes_de_estudio[],MATCH($AG$2,Carreras,0)+2,0),"")&gt;0,IFERROR(VLOOKUP($C253,Planes_de_estudio[],MATCH($AG$2,Carreras,0)+2,0),""),"")</f>
        <v/>
      </c>
      <c r="AH253" s="93" t="str">
        <f>IF(IFERROR(VLOOKUP($C253,Planes_de_estudio[],MATCH($AH$2,Carreras,0)+2,0),"")&gt;0,IFERROR(VLOOKUP($C253,Planes_de_estudio[],MATCH($AH$2,Carreras,0)+2,0),""),"")</f>
        <v/>
      </c>
      <c r="AI253" s="93" t="str">
        <f>IF(IFERROR(VLOOKUP($C253,Planes_de_estudio[],MATCH($AI$2,Carreras,0)+2,0),"")&gt;0,IFERROR(VLOOKUP($C253,Planes_de_estudio[],MATCH($AI$2,Carreras,0)+2,0),""),"")</f>
        <v/>
      </c>
      <c r="AJ253" s="93" t="str">
        <f>IF(IFERROR(VLOOKUP($C253,Planes_de_estudio[],MATCH($AJ$2,Carreras,0)+2,0),"")&gt;0,IFERROR(VLOOKUP($C253,Planes_de_estudio[],MATCH($AJ$2,Carreras,0)+2,0),""),"")</f>
        <v/>
      </c>
      <c r="AK253" s="93" t="str">
        <f>IF(IFERROR(VLOOKUP($C253,Planes_de_estudio[],MATCH($AK$2,Carreras,0)+2,0),"")&gt;0,IFERROR(VLOOKUP($C253,Planes_de_estudio[],MATCH($AK$2,Carreras,0)+2,0),""),"")</f>
        <v/>
      </c>
      <c r="AL253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53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53" s="93">
        <f>base_de_datos[[#This Row],[Pronóstico]]/25</f>
        <v>0</v>
      </c>
      <c r="AO253" s="93" t="e">
        <f>VLOOKUP($C253,Planes_de_estudio[],2)</f>
        <v>#N/A</v>
      </c>
      <c r="AP253" s="64" t="str">
        <f ca="1">IF(AND(base_de_datos[[#This Row],[Industrial]]&lt;&gt;"",base_de_datos[[#This Row],[Misma o no]]=1),base_de_datos[[#This Row],[Índice]],"")</f>
        <v/>
      </c>
      <c r="AQ253" s="64" t="str">
        <f ca="1">IF(AND(base_de_datos[[#This Row],[Mecatrónica]]&lt;&gt;"",base_de_datos[[#This Row],[Misma o no]]=1),base_de_datos[[#This Row],[Índice]],"")</f>
        <v/>
      </c>
      <c r="AR253" s="64" t="str">
        <f ca="1">IF(AND(base_de_datos[[#This Row],[Innovación y Diseño]]&lt;&gt;"",base_de_datos[[#This Row],[Misma o no]]=1),base_de_datos[[#This Row],[Índice]],"")</f>
        <v/>
      </c>
      <c r="AS253" s="64" t="str">
        <f ca="1">IF(AND(base_de_datos[[#This Row],[Inteligencia Artificial]]&lt;&gt;"",base_de_datos[[#This Row],[Misma o no]]=1),base_de_datos[[#This Row],[Índice]],"")</f>
        <v/>
      </c>
      <c r="AT253" s="64" t="str">
        <f ca="1">IF(AND(base_de_datos[[#This Row],[Tecnologías Energéticas]]&lt;&gt;"",base_de_datos[[#This Row],[Misma o no]]=1),base_de_datos[[#This Row],[Índice]],"")</f>
        <v/>
      </c>
      <c r="AU253" s="64" t="str">
        <f ca="1">IF(AND(base_de_datos[[#This Row],[Civil y Administración]]&lt;&gt;"",base_de_datos[[#This Row],[Misma o no]]=1),base_de_datos[[#This Row],[Índice]],"")</f>
        <v/>
      </c>
      <c r="AV253" s="64" t="str">
        <f ca="1">IF(AND(base_de_datos[[#This Row],[Bioelectrónica]]&lt;&gt;"",base_de_datos[[#This Row],[Misma o no]]=1),base_de_datos[[#This Row],[Índice]],"")</f>
        <v/>
      </c>
      <c r="AW253" s="91"/>
      <c r="AX253" s="73"/>
    </row>
    <row r="254" spans="1:50" ht="14">
      <c r="B254" s="95"/>
      <c r="C254" s="172"/>
      <c r="D254" s="92"/>
      <c r="E254" s="97">
        <v>0.66666666666666696</v>
      </c>
      <c r="F254" s="97">
        <v>0.79166666666665897</v>
      </c>
      <c r="G254" s="173"/>
      <c r="H254" s="173" t="s">
        <v>18</v>
      </c>
      <c r="I254" s="92" t="e">
        <f>INDEX(Aulas_capacidad,MATCH(base_de_datos[[#This Row],[Aula]],Aulas,0),2)</f>
        <v>#REF!</v>
      </c>
      <c r="J254" s="90"/>
      <c r="K254" s="92" t="e">
        <f>INDEX(Aulas_capacidad,MATCH(base_de_datos[[#This Row],[Aula]],Aulas,0),4)</f>
        <v>#REF!</v>
      </c>
      <c r="L254" s="98" t="e">
        <f>base_de_datos[[#This Row],[Cap 1.5]]-base_de_datos[[#This Row],[Inscritos]]</f>
        <v>#REF!</v>
      </c>
      <c r="M254" s="98" t="e">
        <f>INDEX(Aulas_capacidad,MATCH(base_de_datos[[#This Row],[Aula]],Aulas,0),5)</f>
        <v>#REF!</v>
      </c>
      <c r="N254" s="98" t="e">
        <f>base_de_datos[[#This Row],[Cap .90]]-base_de_datos[[#This Row],[Inscritos]]</f>
        <v>#REF!</v>
      </c>
      <c r="O254" s="92" t="s">
        <v>461</v>
      </c>
      <c r="P254" s="99"/>
      <c r="Q254" s="100"/>
      <c r="R254" s="99"/>
      <c r="S254" s="100" t="s">
        <v>68</v>
      </c>
      <c r="T254" s="100"/>
      <c r="U254" s="99"/>
      <c r="V254" s="99"/>
      <c r="W254" s="99"/>
      <c r="X254" s="93" t="e">
        <f>_xlfn.XLOOKUP(base_de_datos[[#This Row],[Materia]],Materias,Horas)/16</f>
        <v>#N/A</v>
      </c>
      <c r="Y254" s="93">
        <f>ROUND(((base_de_datos[[#This Row],[Hora fin]]-base_de_datos[[#This Row],[Hora inicio]])*24)*(COUNTA(base_de_datos[[#This Row],[Lunes]:[Sábado]])),1)</f>
        <v>3</v>
      </c>
      <c r="Z254" s="9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254" s="93">
        <f ca="1">IF(base_de_datos[[#This Row],[No clase]]=OFFSET(base_de_datos[[#This Row],[No clase]],-1,0),0,1)</f>
        <v>1</v>
      </c>
      <c r="AB254" s="93" t="e">
        <f ca="1">IF(NOT(OR(base_de_datos[[#This Row],[Horas totales]]=base_de_datos[[#This Row],[HT Plan]],base_de_datos[[#This Row],[Horas totales]]="N/A")),1,0)</f>
        <v>#N/A</v>
      </c>
      <c r="AC254" s="93" t="e">
        <f>_xlfn.XLOOKUP(base_de_datos[[#This Row],[Profesor]],Nombre,Grado)</f>
        <v>#REF!</v>
      </c>
      <c r="AD254" s="94" t="e">
        <f>_xlfn.XLOOKUP(base_de_datos[[#This Row],[Profesor]],Nombre,Tipo)</f>
        <v>#REF!</v>
      </c>
      <c r="AE254" s="93" t="str">
        <f>IF(IFERROR(VLOOKUP($C254,Planes_de_estudio[],MATCH($AE$2,Carreras,0)+2,0),"")&gt;0,IFERROR(VLOOKUP($C254,Planes_de_estudio[],MATCH($AE$2,Carreras,0)+2,0),""),"")</f>
        <v/>
      </c>
      <c r="AF254" s="93" t="str">
        <f>IF(IFERROR(VLOOKUP($C254,Planes_de_estudio[],MATCH($AF$2,Carreras,0)+2,0),"")&gt;0,IFERROR(VLOOKUP($C254,Planes_de_estudio[],MATCH($AF$2,Carreras,0)+2,0),""),"")</f>
        <v/>
      </c>
      <c r="AG254" s="93" t="str">
        <f>IF(IFERROR(VLOOKUP($C254,Planes_de_estudio[],MATCH($AG$2,Carreras,0)+2,0),"")&gt;0,IFERROR(VLOOKUP($C254,Planes_de_estudio[],MATCH($AG$2,Carreras,0)+2,0),""),"")</f>
        <v/>
      </c>
      <c r="AH254" s="93" t="str">
        <f>IF(IFERROR(VLOOKUP($C254,Planes_de_estudio[],MATCH($AH$2,Carreras,0)+2,0),"")&gt;0,IFERROR(VLOOKUP($C254,Planes_de_estudio[],MATCH($AH$2,Carreras,0)+2,0),""),"")</f>
        <v/>
      </c>
      <c r="AI254" s="93" t="str">
        <f>IF(IFERROR(VLOOKUP($C254,Planes_de_estudio[],MATCH($AI$2,Carreras,0)+2,0),"")&gt;0,IFERROR(VLOOKUP($C254,Planes_de_estudio[],MATCH($AI$2,Carreras,0)+2,0),""),"")</f>
        <v/>
      </c>
      <c r="AJ254" s="93" t="str">
        <f>IF(IFERROR(VLOOKUP($C254,Planes_de_estudio[],MATCH($AJ$2,Carreras,0)+2,0),"")&gt;0,IFERROR(VLOOKUP($C254,Planes_de_estudio[],MATCH($AJ$2,Carreras,0)+2,0),""),"")</f>
        <v/>
      </c>
      <c r="AK254" s="93" t="str">
        <f>IF(IFERROR(VLOOKUP($C254,Planes_de_estudio[],MATCH($AK$2,Carreras,0)+2,0),"")&gt;0,IFERROR(VLOOKUP($C254,Planes_de_estudio[],MATCH($AK$2,Carreras,0)+2,0),""),"")</f>
        <v/>
      </c>
      <c r="AL254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54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54" s="93">
        <f>base_de_datos[[#This Row],[Pronóstico]]/25</f>
        <v>0</v>
      </c>
      <c r="AO254" s="93" t="e">
        <f>VLOOKUP($C254,Planes_de_estudio[],2)</f>
        <v>#N/A</v>
      </c>
      <c r="AP254" s="64" t="str">
        <f ca="1">IF(AND(base_de_datos[[#This Row],[Industrial]]&lt;&gt;"",base_de_datos[[#This Row],[Misma o no]]=1),base_de_datos[[#This Row],[Índice]],"")</f>
        <v/>
      </c>
      <c r="AQ254" s="64" t="str">
        <f ca="1">IF(AND(base_de_datos[[#This Row],[Mecatrónica]]&lt;&gt;"",base_de_datos[[#This Row],[Misma o no]]=1),base_de_datos[[#This Row],[Índice]],"")</f>
        <v/>
      </c>
      <c r="AR254" s="64" t="str">
        <f ca="1">IF(AND(base_de_datos[[#This Row],[Innovación y Diseño]]&lt;&gt;"",base_de_datos[[#This Row],[Misma o no]]=1),base_de_datos[[#This Row],[Índice]],"")</f>
        <v/>
      </c>
      <c r="AS254" s="64" t="str">
        <f ca="1">IF(AND(base_de_datos[[#This Row],[Inteligencia Artificial]]&lt;&gt;"",base_de_datos[[#This Row],[Misma o no]]=1),base_de_datos[[#This Row],[Índice]],"")</f>
        <v/>
      </c>
      <c r="AT254" s="64" t="str">
        <f ca="1">IF(AND(base_de_datos[[#This Row],[Tecnologías Energéticas]]&lt;&gt;"",base_de_datos[[#This Row],[Misma o no]]=1),base_de_datos[[#This Row],[Índice]],"")</f>
        <v/>
      </c>
      <c r="AU254" s="64" t="str">
        <f ca="1">IF(AND(base_de_datos[[#This Row],[Civil y Administración]]&lt;&gt;"",base_de_datos[[#This Row],[Misma o no]]=1),base_de_datos[[#This Row],[Índice]],"")</f>
        <v/>
      </c>
      <c r="AV254" s="64" t="str">
        <f ca="1">IF(AND(base_de_datos[[#This Row],[Bioelectrónica]]&lt;&gt;"",base_de_datos[[#This Row],[Misma o no]]=1),base_de_datos[[#This Row],[Índice]],"")</f>
        <v/>
      </c>
      <c r="AW254" s="91"/>
      <c r="AX254" s="73"/>
    </row>
    <row r="255" spans="1:50" ht="14">
      <c r="B255" s="95"/>
      <c r="C255" s="172"/>
      <c r="D255" s="92"/>
      <c r="E255" s="97">
        <v>0.35416666666666702</v>
      </c>
      <c r="F255" s="97">
        <v>0.499999999999997</v>
      </c>
      <c r="G255" s="173"/>
      <c r="H255" s="173" t="s">
        <v>110</v>
      </c>
      <c r="I255" s="173" t="e">
        <f>INDEX(Aulas_capacidad,MATCH(base_de_datos[[#This Row],[Aula]],Aulas,0),2)</f>
        <v>#REF!</v>
      </c>
      <c r="J255" s="181"/>
      <c r="K255" s="173" t="e">
        <f>INDEX(Aulas_capacidad,MATCH(base_de_datos[[#This Row],[Aula]],Aulas,0),4)</f>
        <v>#REF!</v>
      </c>
      <c r="L255" s="182" t="e">
        <f>base_de_datos[[#This Row],[Cap 1.5]]-base_de_datos[[#This Row],[Inscritos]]</f>
        <v>#REF!</v>
      </c>
      <c r="M255" s="182" t="e">
        <f>INDEX(Aulas_capacidad,MATCH(base_de_datos[[#This Row],[Aula]],Aulas,0),5)</f>
        <v>#REF!</v>
      </c>
      <c r="N255" s="182" t="e">
        <f>base_de_datos[[#This Row],[Cap .90]]-base_de_datos[[#This Row],[Inscritos]]</f>
        <v>#REF!</v>
      </c>
      <c r="O255" s="92" t="s">
        <v>462</v>
      </c>
      <c r="P255" s="99"/>
      <c r="Q255" s="100"/>
      <c r="R255" s="99"/>
      <c r="S255" s="100"/>
      <c r="T255" s="100" t="s">
        <v>68</v>
      </c>
      <c r="U255" s="99"/>
      <c r="V255" s="99"/>
      <c r="W255" s="99"/>
      <c r="X255" s="93" t="e">
        <f>_xlfn.XLOOKUP(base_de_datos[[#This Row],[Materia]],Materias,Horas)/16</f>
        <v>#N/A</v>
      </c>
      <c r="Y255" s="93">
        <f>ROUND(((base_de_datos[[#This Row],[Hora fin]]-base_de_datos[[#This Row],[Hora inicio]])*24)*(COUNTA(base_de_datos[[#This Row],[Lunes]:[Sábado]])),1)</f>
        <v>3.5</v>
      </c>
      <c r="Z255" s="93">
        <f ca="1">IF(base_de_datos[[#This Row],[Misma o no]]=0,"N/A",IF((OFFSET(base_de_datos[[#This Row],[Misma o no]],1,0))=0,base_de_datos[[#This Row],[Horas]]+(OFFSET(base_de_datos[[#This Row],[Horas]],1,0)),base_de_datos[[#This Row],[Horas]]))</f>
        <v>3.5</v>
      </c>
      <c r="AA255" s="93">
        <f ca="1">IF(base_de_datos[[#This Row],[No clase]]=OFFSET(base_de_datos[[#This Row],[No clase]],-1,0),0,1)</f>
        <v>1</v>
      </c>
      <c r="AB255" s="93" t="e">
        <f ca="1">IF(NOT(OR(base_de_datos[[#This Row],[Horas totales]]=base_de_datos[[#This Row],[HT Plan]],base_de_datos[[#This Row],[Horas totales]]="N/A")),1,0)</f>
        <v>#N/A</v>
      </c>
      <c r="AC255" s="93" t="e">
        <f>_xlfn.XLOOKUP(base_de_datos[[#This Row],[Profesor]],Nombre,Grado)</f>
        <v>#REF!</v>
      </c>
      <c r="AD255" s="94" t="e">
        <f>_xlfn.XLOOKUP(base_de_datos[[#This Row],[Profesor]],Nombre,Tipo)</f>
        <v>#REF!</v>
      </c>
      <c r="AE255" s="93" t="str">
        <f>IF(IFERROR(VLOOKUP($C255,Planes_de_estudio[],MATCH($AE$2,Carreras,0)+2,0),"")&gt;0,IFERROR(VLOOKUP($C255,Planes_de_estudio[],MATCH($AE$2,Carreras,0)+2,0),""),"")</f>
        <v/>
      </c>
      <c r="AF255" s="93" t="str">
        <f>IF(IFERROR(VLOOKUP($C255,Planes_de_estudio[],MATCH($AF$2,Carreras,0)+2,0),"")&gt;0,IFERROR(VLOOKUP($C255,Planes_de_estudio[],MATCH($AF$2,Carreras,0)+2,0),""),"")</f>
        <v/>
      </c>
      <c r="AG255" s="93" t="str">
        <f>IF(IFERROR(VLOOKUP($C255,Planes_de_estudio[],MATCH($AG$2,Carreras,0)+2,0),"")&gt;0,IFERROR(VLOOKUP($C255,Planes_de_estudio[],MATCH($AG$2,Carreras,0)+2,0),""),"")</f>
        <v/>
      </c>
      <c r="AH255" s="93" t="str">
        <f>IF(IFERROR(VLOOKUP($C255,Planes_de_estudio[],MATCH($AH$2,Carreras,0)+2,0),"")&gt;0,IFERROR(VLOOKUP($C255,Planes_de_estudio[],MATCH($AH$2,Carreras,0)+2,0),""),"")</f>
        <v/>
      </c>
      <c r="AI255" s="93" t="str">
        <f>IF(IFERROR(VLOOKUP($C255,Planes_de_estudio[],MATCH($AI$2,Carreras,0)+2,0),"")&gt;0,IFERROR(VLOOKUP($C255,Planes_de_estudio[],MATCH($AI$2,Carreras,0)+2,0),""),"")</f>
        <v/>
      </c>
      <c r="AJ255" s="93" t="str">
        <f>IF(IFERROR(VLOOKUP($C255,Planes_de_estudio[],MATCH($AJ$2,Carreras,0)+2,0),"")&gt;0,IFERROR(VLOOKUP($C255,Planes_de_estudio[],MATCH($AJ$2,Carreras,0)+2,0),""),"")</f>
        <v/>
      </c>
      <c r="AK255" s="93" t="str">
        <f>IF(IFERROR(VLOOKUP($C255,Planes_de_estudio[],MATCH($AK$2,Carreras,0)+2,0),"")&gt;0,IFERROR(VLOOKUP($C255,Planes_de_estudio[],MATCH($AK$2,Carreras,0)+2,0),""),"")</f>
        <v/>
      </c>
      <c r="AL255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55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55" s="93">
        <f>base_de_datos[[#This Row],[Pronóstico]]/25</f>
        <v>0</v>
      </c>
      <c r="AO255" s="93" t="e">
        <f>VLOOKUP($C255,Planes_de_estudio[],2)</f>
        <v>#N/A</v>
      </c>
      <c r="AP255" s="64" t="str">
        <f ca="1">IF(AND(base_de_datos[[#This Row],[Industrial]]&lt;&gt;"",base_de_datos[[#This Row],[Misma o no]]=1),base_de_datos[[#This Row],[Índice]],"")</f>
        <v/>
      </c>
      <c r="AQ255" s="64" t="str">
        <f ca="1">IF(AND(base_de_datos[[#This Row],[Mecatrónica]]&lt;&gt;"",base_de_datos[[#This Row],[Misma o no]]=1),base_de_datos[[#This Row],[Índice]],"")</f>
        <v/>
      </c>
      <c r="AR255" s="64" t="str">
        <f ca="1">IF(AND(base_de_datos[[#This Row],[Innovación y Diseño]]&lt;&gt;"",base_de_datos[[#This Row],[Misma o no]]=1),base_de_datos[[#This Row],[Índice]],"")</f>
        <v/>
      </c>
      <c r="AS255" s="64" t="str">
        <f ca="1">IF(AND(base_de_datos[[#This Row],[Inteligencia Artificial]]&lt;&gt;"",base_de_datos[[#This Row],[Misma o no]]=1),base_de_datos[[#This Row],[Índice]],"")</f>
        <v/>
      </c>
      <c r="AT255" s="64" t="str">
        <f ca="1">IF(AND(base_de_datos[[#This Row],[Tecnologías Energéticas]]&lt;&gt;"",base_de_datos[[#This Row],[Misma o no]]=1),base_de_datos[[#This Row],[Índice]],"")</f>
        <v/>
      </c>
      <c r="AU255" s="64" t="str">
        <f ca="1">IF(AND(base_de_datos[[#This Row],[Civil y Administración]]&lt;&gt;"",base_de_datos[[#This Row],[Misma o no]]=1),base_de_datos[[#This Row],[Índice]],"")</f>
        <v/>
      </c>
      <c r="AV255" s="64" t="str">
        <f ca="1">IF(AND(base_de_datos[[#This Row],[Bioelectrónica]]&lt;&gt;"",base_de_datos[[#This Row],[Misma o no]]=1),base_de_datos[[#This Row],[Índice]],"")</f>
        <v/>
      </c>
      <c r="AW255" s="91"/>
      <c r="AX255" s="73"/>
    </row>
    <row r="256" spans="1:50" ht="14">
      <c r="B256" s="95"/>
      <c r="C256" s="96"/>
      <c r="D256" s="92"/>
      <c r="E256" s="97"/>
      <c r="F256" s="97"/>
      <c r="G256" s="92"/>
      <c r="H256" s="92"/>
      <c r="I256" s="92"/>
      <c r="J256" s="90"/>
      <c r="K256" s="92"/>
      <c r="L256" s="182"/>
      <c r="M256" s="182"/>
      <c r="N256" s="182"/>
      <c r="O256" s="92"/>
      <c r="P256" s="99"/>
      <c r="Q256" s="100"/>
      <c r="R256" s="99"/>
      <c r="S256" s="100"/>
      <c r="T256" s="100"/>
      <c r="U256" s="99"/>
      <c r="V256" s="99"/>
      <c r="W256" s="99"/>
      <c r="X256" s="93" t="e">
        <f>_xlfn.XLOOKUP(base_de_datos[[#This Row],[Materia]],Materias,Horas)/16</f>
        <v>#N/A</v>
      </c>
      <c r="Y256" s="93">
        <f>ROUND(((base_de_datos[[#This Row],[Hora fin]]-base_de_datos[[#This Row],[Hora inicio]])*24)*(COUNTA(base_de_datos[[#This Row],[Lunes]:[Sábado]])),1)</f>
        <v>0</v>
      </c>
      <c r="Z256" s="93">
        <f ca="1">IF(base_de_datos[[#This Row],[Misma o no]]=0,"N/A",IF((OFFSET(base_de_datos[[#This Row],[Misma o no]],1,0))=0,base_de_datos[[#This Row],[Horas]]+(OFFSET(base_de_datos[[#This Row],[Horas]],1,0)),base_de_datos[[#This Row],[Horas]]))</f>
        <v>0</v>
      </c>
      <c r="AA256" s="93">
        <f ca="1">IF(base_de_datos[[#This Row],[No clase]]=OFFSET(base_de_datos[[#This Row],[No clase]],-1,0),0,1)</f>
        <v>1</v>
      </c>
      <c r="AB256" s="93" t="e">
        <f ca="1">IF(NOT(OR(base_de_datos[[#This Row],[Horas totales]]=base_de_datos[[#This Row],[HT Plan]],base_de_datos[[#This Row],[Horas totales]]="N/A")),1,0)</f>
        <v>#N/A</v>
      </c>
      <c r="AC256" s="93" t="e">
        <f>_xlfn.XLOOKUP(base_de_datos[[#This Row],[Profesor]],Nombre,Grado)</f>
        <v>#REF!</v>
      </c>
      <c r="AD256" s="94" t="e">
        <f>_xlfn.XLOOKUP(base_de_datos[[#This Row],[Profesor]],Nombre,Tipo)</f>
        <v>#REF!</v>
      </c>
      <c r="AE256" s="93" t="str">
        <f>IF(IFERROR(VLOOKUP($C256,Planes_de_estudio[],MATCH($AE$2,Carreras,0)+2,0),"")&gt;0,IFERROR(VLOOKUP($C256,Planes_de_estudio[],MATCH($AE$2,Carreras,0)+2,0),""),"")</f>
        <v/>
      </c>
      <c r="AF256" s="93" t="str">
        <f>IF(IFERROR(VLOOKUP($C256,Planes_de_estudio[],MATCH($AF$2,Carreras,0)+2,0),"")&gt;0,IFERROR(VLOOKUP($C256,Planes_de_estudio[],MATCH($AF$2,Carreras,0)+2,0),""),"")</f>
        <v/>
      </c>
      <c r="AG256" s="93" t="str">
        <f>IF(IFERROR(VLOOKUP($C256,Planes_de_estudio[],MATCH($AG$2,Carreras,0)+2,0),"")&gt;0,IFERROR(VLOOKUP($C256,Planes_de_estudio[],MATCH($AG$2,Carreras,0)+2,0),""),"")</f>
        <v/>
      </c>
      <c r="AH256" s="93" t="str">
        <f>IF(IFERROR(VLOOKUP($C256,Planes_de_estudio[],MATCH($AH$2,Carreras,0)+2,0),"")&gt;0,IFERROR(VLOOKUP($C256,Planes_de_estudio[],MATCH($AH$2,Carreras,0)+2,0),""),"")</f>
        <v/>
      </c>
      <c r="AI256" s="93" t="str">
        <f>IF(IFERROR(VLOOKUP($C256,Planes_de_estudio[],MATCH($AI$2,Carreras,0)+2,0),"")&gt;0,IFERROR(VLOOKUP($C256,Planes_de_estudio[],MATCH($AI$2,Carreras,0)+2,0),""),"")</f>
        <v/>
      </c>
      <c r="AJ256" s="93" t="str">
        <f>IF(IFERROR(VLOOKUP($C256,Planes_de_estudio[],MATCH($AJ$2,Carreras,0)+2,0),"")&gt;0,IFERROR(VLOOKUP($C256,Planes_de_estudio[],MATCH($AJ$2,Carreras,0)+2,0),""),"")</f>
        <v/>
      </c>
      <c r="AK256" s="93" t="str">
        <f>IF(IFERROR(VLOOKUP($C256,Planes_de_estudio[],MATCH($AK$2,Carreras,0)+2,0),"")&gt;0,IFERROR(VLOOKUP($C256,Planes_de_estudio[],MATCH($AK$2,Carreras,0)+2,0),""),"")</f>
        <v/>
      </c>
      <c r="AL256" s="9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#REF!</v>
      </c>
      <c r="AM256" s="93">
        <f>IFERROR(INDEX(Pronostico!$D$3:$J$23,MATCH(base_de_datos[[#This Row],[Industrial]],Pronostico!$C$3:$C$23,0),1),0)+IFERROR(INDEX(Pronostico!$D$3:$J$23,MATCH(base_de_datos[[#This Row],[Mecatrónica]],Pronostico!$C$3:$C$23,0),2),0)+IFERROR(INDEX(Pronostico!$D$3:$J$23,MATCH(base_de_datos[[#This Row],[Innovación y Diseño]],Pronostico!$C$3:$C$23,0),3),0)+IFERROR(INDEX(Pronostico!$D$3:$J$23,MATCH(base_de_datos[[#This Row],[Inteligencia Artificial]],Pronostico!$C$3:$C$23,0),4),0)+IFERROR(INDEX(Pronostico!$D$3:$J$23,MATCH(base_de_datos[[#This Row],[Tecnologías Energéticas]],Pronostico!$C$3:$C$23,0),5),0)+IFERROR(INDEX(Pronostico!$D$3:$J$23,MATCH(base_de_datos[[#This Row],[Civil y Administración]],Pronostico!$C$3:$C$23,0),6),0)+IFERROR(INDEX(Pronostico!$D$3:$J$23,MATCH(base_de_datos[[#This Row],[Bioelectrónica]],Pronostico!$C$3:$C$23,0),7),0)</f>
        <v>0</v>
      </c>
      <c r="AN256" s="93">
        <f>base_de_datos[[#This Row],[Pronóstico]]/25</f>
        <v>0</v>
      </c>
      <c r="AO256" s="93" t="e">
        <f>VLOOKUP($C256,Planes_de_estudio[],2)</f>
        <v>#N/A</v>
      </c>
      <c r="AP256" s="64" t="str">
        <f ca="1">IF(AND(base_de_datos[[#This Row],[Industrial]]&lt;&gt;"",base_de_datos[[#This Row],[Misma o no]]=1),base_de_datos[[#This Row],[Índice]],"")</f>
        <v/>
      </c>
      <c r="AQ256" s="64" t="str">
        <f ca="1">IF(AND(base_de_datos[[#This Row],[Mecatrónica]]&lt;&gt;"",base_de_datos[[#This Row],[Misma o no]]=1),base_de_datos[[#This Row],[Índice]],"")</f>
        <v/>
      </c>
      <c r="AR256" s="64" t="str">
        <f ca="1">IF(AND(base_de_datos[[#This Row],[Innovación y Diseño]]&lt;&gt;"",base_de_datos[[#This Row],[Misma o no]]=1),base_de_datos[[#This Row],[Índice]],"")</f>
        <v/>
      </c>
      <c r="AS256" s="64" t="str">
        <f ca="1">IF(AND(base_de_datos[[#This Row],[Inteligencia Artificial]]&lt;&gt;"",base_de_datos[[#This Row],[Misma o no]]=1),base_de_datos[[#This Row],[Índice]],"")</f>
        <v/>
      </c>
      <c r="AT256" s="64" t="str">
        <f ca="1">IF(AND(base_de_datos[[#This Row],[Tecnologías Energéticas]]&lt;&gt;"",base_de_datos[[#This Row],[Misma o no]]=1),base_de_datos[[#This Row],[Índice]],"")</f>
        <v/>
      </c>
      <c r="AU256" s="64" t="str">
        <f ca="1">IF(AND(base_de_datos[[#This Row],[Civil y Administración]]&lt;&gt;"",base_de_datos[[#This Row],[Misma o no]]=1),base_de_datos[[#This Row],[Índice]],"")</f>
        <v/>
      </c>
      <c r="AV256" s="64" t="str">
        <f ca="1">IF(AND(base_de_datos[[#This Row],[Bioelectrónica]]&lt;&gt;"",base_de_datos[[#This Row],[Misma o no]]=1),base_de_datos[[#This Row],[Índice]],"")</f>
        <v/>
      </c>
      <c r="AW256" s="91"/>
      <c r="AX256" s="73"/>
    </row>
    <row r="257" spans="2:50" ht="14">
      <c r="AX257" s="5"/>
    </row>
    <row r="258" spans="2:50" ht="14">
      <c r="W258" s="65"/>
      <c r="AX258" s="5"/>
    </row>
    <row r="259" spans="2:50" ht="14">
      <c r="B259" s="5" t="s">
        <v>463</v>
      </c>
      <c r="J259" s="65"/>
      <c r="W259" s="65"/>
      <c r="AX259" s="5"/>
    </row>
    <row r="260" spans="2:50" ht="14">
      <c r="B260"/>
      <c r="W260" s="65"/>
      <c r="AX260" s="5"/>
    </row>
    <row r="261" spans="2:50" ht="14">
      <c r="D261" s="65" t="s">
        <v>463</v>
      </c>
      <c r="W261" s="65"/>
      <c r="AX261" s="5"/>
    </row>
    <row r="262" spans="2:50" ht="14">
      <c r="W262" s="65"/>
      <c r="AX262" s="5"/>
    </row>
    <row r="263" spans="2:50" ht="14">
      <c r="AX263" s="5"/>
    </row>
    <row r="264" spans="2:50" ht="14">
      <c r="AX264" s="5"/>
    </row>
    <row r="265" spans="2:50" ht="14">
      <c r="B265" s="77"/>
      <c r="AX265" s="5"/>
    </row>
    <row r="266" spans="2:50" ht="14">
      <c r="AX266" s="5"/>
    </row>
    <row r="267" spans="2:50" ht="14">
      <c r="AX267" s="5"/>
    </row>
    <row r="268" spans="2:50" ht="14">
      <c r="AX268" s="5"/>
    </row>
    <row r="269" spans="2:50" ht="14">
      <c r="AX269" s="5"/>
    </row>
    <row r="270" spans="2:50" ht="14">
      <c r="AX270" s="5"/>
    </row>
    <row r="271" spans="2:50" ht="14">
      <c r="AX271" s="5"/>
    </row>
    <row r="272" spans="2:50" ht="14">
      <c r="AX272" s="5"/>
    </row>
    <row r="273" spans="50:50" ht="14">
      <c r="AX273" s="5"/>
    </row>
    <row r="274" spans="50:50" ht="14">
      <c r="AX274" s="5"/>
    </row>
    <row r="275" spans="50:50" ht="14">
      <c r="AX275" s="5"/>
    </row>
    <row r="276" spans="50:50" ht="14">
      <c r="AX276" s="5"/>
    </row>
    <row r="277" spans="50:50" ht="14">
      <c r="AX277" s="5"/>
    </row>
    <row r="278" spans="50:50" ht="14">
      <c r="AX278" s="5"/>
    </row>
    <row r="279" spans="50:50" ht="14">
      <c r="AX279" s="5"/>
    </row>
    <row r="280" spans="50:50" ht="14">
      <c r="AX280" s="5"/>
    </row>
    <row r="281" spans="50:50" ht="14">
      <c r="AX281" s="5"/>
    </row>
    <row r="282" spans="50:50" ht="14">
      <c r="AX282" s="5"/>
    </row>
    <row r="283" spans="50:50" ht="14">
      <c r="AX283" s="5"/>
    </row>
    <row r="284" spans="50:50" ht="14">
      <c r="AX284" s="5"/>
    </row>
    <row r="285" spans="50:50" ht="14">
      <c r="AX285" s="5"/>
    </row>
    <row r="286" spans="50:50" ht="14">
      <c r="AX286" s="5"/>
    </row>
    <row r="287" spans="50:50" ht="14">
      <c r="AX287" s="5"/>
    </row>
    <row r="288" spans="50:50" ht="14">
      <c r="AX288" s="5"/>
    </row>
    <row r="289" spans="50:50" ht="14">
      <c r="AX289" s="5"/>
    </row>
    <row r="290" spans="50:50" ht="14">
      <c r="AX290" s="5"/>
    </row>
    <row r="291" spans="50:50" ht="14">
      <c r="AX291" s="5"/>
    </row>
    <row r="292" spans="50:50" ht="14">
      <c r="AX292" s="5"/>
    </row>
    <row r="293" spans="50:50" ht="14">
      <c r="AX293" s="5"/>
    </row>
    <row r="294" spans="50:50" ht="14">
      <c r="AX294" s="5"/>
    </row>
    <row r="295" spans="50:50" ht="14">
      <c r="AX295" s="5"/>
    </row>
    <row r="296" spans="50:50" ht="14">
      <c r="AX296" s="5"/>
    </row>
    <row r="297" spans="50:50" ht="14">
      <c r="AX297" s="5"/>
    </row>
    <row r="298" spans="50:50" ht="14">
      <c r="AX298" s="5"/>
    </row>
    <row r="299" spans="50:50" ht="14">
      <c r="AX299" s="5"/>
    </row>
    <row r="300" spans="50:50" ht="14">
      <c r="AX300" s="5"/>
    </row>
    <row r="301" spans="50:50" ht="14">
      <c r="AX301" s="5"/>
    </row>
    <row r="302" spans="50:50" ht="14">
      <c r="AX302" s="5"/>
    </row>
    <row r="303" spans="50:50" ht="14">
      <c r="AX303" s="5"/>
    </row>
    <row r="304" spans="50:50" ht="14">
      <c r="AX304" s="5"/>
    </row>
    <row r="305" spans="50:50" ht="14">
      <c r="AX305" s="5"/>
    </row>
    <row r="306" spans="50:50" ht="14">
      <c r="AX306" s="5"/>
    </row>
    <row r="307" spans="50:50" ht="14">
      <c r="AX307" s="5"/>
    </row>
    <row r="308" spans="50:50" ht="14">
      <c r="AX308" s="5"/>
    </row>
    <row r="309" spans="50:50" ht="14">
      <c r="AX309" s="5"/>
    </row>
    <row r="310" spans="50:50" ht="14">
      <c r="AX310" s="5"/>
    </row>
    <row r="311" spans="50:50" ht="14">
      <c r="AX311" s="5"/>
    </row>
    <row r="312" spans="50:50" ht="14">
      <c r="AX312" s="5"/>
    </row>
    <row r="313" spans="50:50" ht="14">
      <c r="AX313" s="5"/>
    </row>
    <row r="314" spans="50:50" ht="14">
      <c r="AX314" s="5"/>
    </row>
    <row r="315" spans="50:50" ht="14">
      <c r="AX315" s="5"/>
    </row>
    <row r="316" spans="50:50" ht="14">
      <c r="AX316" s="5"/>
    </row>
    <row r="317" spans="50:50" ht="14">
      <c r="AX317" s="5"/>
    </row>
    <row r="318" spans="50:50" ht="14">
      <c r="AX318" s="5"/>
    </row>
    <row r="319" spans="50:50" ht="14">
      <c r="AX319" s="5"/>
    </row>
    <row r="320" spans="50:50" ht="14">
      <c r="AX320" s="5"/>
    </row>
    <row r="321" spans="50:50" ht="14">
      <c r="AX321" s="5"/>
    </row>
    <row r="322" spans="50:50" ht="14">
      <c r="AX322" s="5"/>
    </row>
    <row r="323" spans="50:50" ht="14">
      <c r="AX323" s="5"/>
    </row>
    <row r="324" spans="50:50" ht="14">
      <c r="AX324" s="5"/>
    </row>
    <row r="325" spans="50:50" ht="14">
      <c r="AX325" s="5"/>
    </row>
    <row r="326" spans="50:50" ht="14">
      <c r="AX326" s="5"/>
    </row>
    <row r="327" spans="50:50" ht="14">
      <c r="AX327" s="5"/>
    </row>
    <row r="328" spans="50:50" ht="14">
      <c r="AX328" s="5"/>
    </row>
    <row r="329" spans="50:50" ht="14">
      <c r="AX329" s="5"/>
    </row>
    <row r="330" spans="50:50" ht="14">
      <c r="AX330" s="5"/>
    </row>
    <row r="331" spans="50:50" ht="14">
      <c r="AX331" s="5"/>
    </row>
    <row r="332" spans="50:50" ht="14">
      <c r="AX332" s="5"/>
    </row>
    <row r="333" spans="50:50" ht="14">
      <c r="AX333" s="5"/>
    </row>
    <row r="334" spans="50:50" ht="14">
      <c r="AX334" s="5"/>
    </row>
    <row r="335" spans="50:50" ht="14">
      <c r="AX335" s="5"/>
    </row>
    <row r="336" spans="50:50" ht="14">
      <c r="AX336" s="5"/>
    </row>
    <row r="337" spans="50:50" ht="14">
      <c r="AX337" s="5"/>
    </row>
    <row r="338" spans="50:50" ht="14">
      <c r="AX338" s="5"/>
    </row>
    <row r="339" spans="50:50" ht="14">
      <c r="AX339" s="5"/>
    </row>
    <row r="340" spans="50:50" ht="14">
      <c r="AX340" s="5"/>
    </row>
    <row r="341" spans="50:50" ht="14">
      <c r="AX341" s="5"/>
    </row>
    <row r="342" spans="50:50" ht="14">
      <c r="AX342" s="5"/>
    </row>
    <row r="343" spans="50:50" ht="14">
      <c r="AX343" s="5"/>
    </row>
    <row r="344" spans="50:50" ht="14">
      <c r="AX344" s="5"/>
    </row>
    <row r="345" spans="50:50" ht="14">
      <c r="AX345" s="5"/>
    </row>
    <row r="346" spans="50:50" ht="14">
      <c r="AX346" s="5"/>
    </row>
    <row r="347" spans="50:50" ht="14">
      <c r="AX347" s="5"/>
    </row>
    <row r="348" spans="50:50" ht="14">
      <c r="AX348" s="5"/>
    </row>
    <row r="349" spans="50:50" ht="14">
      <c r="AX349" s="5"/>
    </row>
    <row r="350" spans="50:50" ht="14">
      <c r="AX350" s="5"/>
    </row>
    <row r="351" spans="50:50" ht="14">
      <c r="AX351" s="5"/>
    </row>
    <row r="352" spans="50:50" ht="14">
      <c r="AX352" s="5"/>
    </row>
    <row r="353" spans="50:50" ht="14">
      <c r="AX353" s="5"/>
    </row>
    <row r="354" spans="50:50" ht="14">
      <c r="AX354" s="5"/>
    </row>
    <row r="355" spans="50:50" ht="14">
      <c r="AX355" s="5"/>
    </row>
    <row r="356" spans="50:50" ht="14">
      <c r="AX356" s="5"/>
    </row>
    <row r="357" spans="50:50" ht="14">
      <c r="AX357" s="5"/>
    </row>
    <row r="358" spans="50:50" ht="14">
      <c r="AX358" s="5"/>
    </row>
    <row r="359" spans="50:50" ht="14">
      <c r="AX359" s="5"/>
    </row>
    <row r="360" spans="50:50" ht="14">
      <c r="AX360" s="5"/>
    </row>
    <row r="361" spans="50:50" ht="14">
      <c r="AX361" s="5"/>
    </row>
    <row r="362" spans="50:50" ht="14">
      <c r="AX362" s="5"/>
    </row>
    <row r="363" spans="50:50" ht="14">
      <c r="AX363" s="5"/>
    </row>
    <row r="364" spans="50:50" ht="14">
      <c r="AX364" s="5"/>
    </row>
    <row r="365" spans="50:50" ht="14">
      <c r="AX365" s="5"/>
    </row>
    <row r="366" spans="50:50" ht="14">
      <c r="AX366" s="5"/>
    </row>
    <row r="367" spans="50:50" ht="14">
      <c r="AX367" s="5"/>
    </row>
    <row r="368" spans="50:50" ht="14">
      <c r="AX368" s="5"/>
    </row>
    <row r="369" spans="50:50" ht="14">
      <c r="AX369" s="5"/>
    </row>
    <row r="370" spans="50:50" ht="14">
      <c r="AX370" s="5"/>
    </row>
    <row r="371" spans="50:50" ht="14">
      <c r="AX371" s="5"/>
    </row>
    <row r="372" spans="50:50" ht="14">
      <c r="AX372" s="5"/>
    </row>
    <row r="373" spans="50:50" ht="14">
      <c r="AX373" s="5"/>
    </row>
    <row r="374" spans="50:50" ht="14">
      <c r="AX374" s="5"/>
    </row>
    <row r="375" spans="50:50" ht="14">
      <c r="AX375" s="5"/>
    </row>
    <row r="376" spans="50:50" ht="14">
      <c r="AX376" s="5"/>
    </row>
    <row r="377" spans="50:50" ht="14">
      <c r="AX377" s="5"/>
    </row>
    <row r="378" spans="50:50" ht="14">
      <c r="AX378" s="5"/>
    </row>
    <row r="379" spans="50:50" ht="14">
      <c r="AX379" s="5"/>
    </row>
    <row r="380" spans="50:50" ht="14">
      <c r="AX380" s="5"/>
    </row>
    <row r="381" spans="50:50" ht="14">
      <c r="AX381" s="5"/>
    </row>
    <row r="382" spans="50:50" ht="14">
      <c r="AX382" s="5"/>
    </row>
    <row r="383" spans="50:50" ht="14">
      <c r="AX383" s="5"/>
    </row>
    <row r="384" spans="50:50" ht="14">
      <c r="AX384" s="5"/>
    </row>
    <row r="385" spans="50:50" ht="14">
      <c r="AX385" s="5"/>
    </row>
    <row r="386" spans="50:50" ht="14">
      <c r="AX386" s="5"/>
    </row>
    <row r="387" spans="50:50" ht="14">
      <c r="AX387" s="5"/>
    </row>
    <row r="388" spans="50:50" ht="14">
      <c r="AX388" s="5"/>
    </row>
    <row r="389" spans="50:50" ht="14">
      <c r="AX389" s="5"/>
    </row>
    <row r="390" spans="50:50" ht="14">
      <c r="AX390" s="5"/>
    </row>
    <row r="391" spans="50:50" ht="14">
      <c r="AX391" s="5"/>
    </row>
    <row r="392" spans="50:50" ht="14">
      <c r="AX392" s="5"/>
    </row>
    <row r="393" spans="50:50" ht="14">
      <c r="AX393" s="5"/>
    </row>
    <row r="394" spans="50:50" ht="14">
      <c r="AX394" s="5"/>
    </row>
    <row r="395" spans="50:50" ht="14">
      <c r="AX395" s="5"/>
    </row>
    <row r="396" spans="50:50" ht="14">
      <c r="AX396" s="5"/>
    </row>
    <row r="397" spans="50:50" ht="14">
      <c r="AX397" s="5"/>
    </row>
    <row r="398" spans="50:50" ht="14">
      <c r="AX398" s="5"/>
    </row>
    <row r="399" spans="50:50" ht="14">
      <c r="AX399" s="5"/>
    </row>
    <row r="400" spans="50:50" ht="14">
      <c r="AX400" s="5"/>
    </row>
    <row r="401" spans="50:50" ht="14">
      <c r="AX401" s="5"/>
    </row>
    <row r="402" spans="50:50" ht="14">
      <c r="AX402" s="5"/>
    </row>
    <row r="403" spans="50:50" ht="14">
      <c r="AX403" s="5"/>
    </row>
    <row r="404" spans="50:50" ht="14">
      <c r="AX404" s="5"/>
    </row>
    <row r="405" spans="50:50" ht="14">
      <c r="AX405" s="5"/>
    </row>
    <row r="406" spans="50:50" ht="14">
      <c r="AX406" s="5"/>
    </row>
    <row r="407" spans="50:50" ht="14">
      <c r="AX407" s="5"/>
    </row>
    <row r="408" spans="50:50" ht="14">
      <c r="AX408" s="5"/>
    </row>
    <row r="409" spans="50:50" ht="14">
      <c r="AX409" s="5"/>
    </row>
    <row r="410" spans="50:50" ht="14">
      <c r="AX410" s="5"/>
    </row>
    <row r="411" spans="50:50" ht="14">
      <c r="AX411" s="5"/>
    </row>
    <row r="412" spans="50:50" ht="14">
      <c r="AX412" s="5"/>
    </row>
    <row r="413" spans="50:50" ht="14">
      <c r="AX413" s="5"/>
    </row>
    <row r="414" spans="50:50" ht="14">
      <c r="AX414" s="5"/>
    </row>
    <row r="415" spans="50:50" ht="14">
      <c r="AX415" s="5"/>
    </row>
    <row r="416" spans="50:50" ht="14">
      <c r="AX416" s="5"/>
    </row>
    <row r="417" spans="50:50" ht="14">
      <c r="AX417" s="5"/>
    </row>
    <row r="418" spans="50:50" ht="14">
      <c r="AX418" s="5"/>
    </row>
    <row r="419" spans="50:50" ht="14">
      <c r="AX419" s="5"/>
    </row>
    <row r="420" spans="50:50" ht="14">
      <c r="AX420" s="5"/>
    </row>
    <row r="421" spans="50:50" ht="14">
      <c r="AX421" s="5"/>
    </row>
    <row r="422" spans="50:50" ht="14">
      <c r="AX422" s="5"/>
    </row>
    <row r="423" spans="50:50" ht="14">
      <c r="AX423" s="5"/>
    </row>
    <row r="424" spans="50:50" ht="14">
      <c r="AX424" s="5"/>
    </row>
    <row r="425" spans="50:50" ht="14">
      <c r="AX425" s="5"/>
    </row>
    <row r="426" spans="50:50" ht="14">
      <c r="AX426" s="5"/>
    </row>
    <row r="427" spans="50:50" ht="14">
      <c r="AX427" s="5"/>
    </row>
    <row r="428" spans="50:50" ht="14">
      <c r="AX428" s="5"/>
    </row>
    <row r="429" spans="50:50" ht="14">
      <c r="AX429" s="5"/>
    </row>
    <row r="430" spans="50:50" ht="14">
      <c r="AX430" s="5"/>
    </row>
    <row r="431" spans="50:50" ht="14">
      <c r="AX431" s="5"/>
    </row>
    <row r="432" spans="50:50" ht="14">
      <c r="AX432" s="5"/>
    </row>
    <row r="433" spans="50:50" ht="14">
      <c r="AX433" s="5"/>
    </row>
    <row r="434" spans="50:50" ht="14">
      <c r="AX434" s="5"/>
    </row>
    <row r="435" spans="50:50" ht="14">
      <c r="AX435" s="5"/>
    </row>
  </sheetData>
  <phoneticPr fontId="7" type="noConversion"/>
  <conditionalFormatting sqref="N3:W10 N11:V12 N13:W250 N251:N256 P251:W256 J3:J256 L3:L256 B3:H256">
    <cfRule type="expression" dxfId="181" priority="84">
      <formula>$AB3=1</formula>
    </cfRule>
  </conditionalFormatting>
  <conditionalFormatting sqref="N3:N256 L3:L256">
    <cfRule type="cellIs" dxfId="180" priority="7" operator="greaterThan">
      <formula>2</formula>
    </cfRule>
    <cfRule type="cellIs" dxfId="179" priority="8" operator="lessThan">
      <formula>0</formula>
    </cfRule>
  </conditionalFormatting>
  <conditionalFormatting sqref="W11">
    <cfRule type="expression" dxfId="178" priority="269">
      <formula>$AB12=1</formula>
    </cfRule>
  </conditionalFormatting>
  <dataValidations count="7">
    <dataValidation type="list" allowBlank="1" showInputMessage="1" showErrorMessage="1" sqref="C3:C256" xr:uid="{00000000-0002-0000-0200-000000000000}">
      <formula1>Materias</formula1>
    </dataValidation>
    <dataValidation type="list" allowBlank="1" showInputMessage="1" showErrorMessage="1" sqref="B3:B256" xr:uid="{00000000-0002-0000-0200-000003000000}">
      <formula1>Nombre</formula1>
    </dataValidation>
    <dataValidation type="list" allowBlank="1" showInputMessage="1" showErrorMessage="1" sqref="E3:E256" xr:uid="{00000000-0002-0000-0200-000001000000}">
      <formula1>Hora_de_inicio</formula1>
    </dataValidation>
    <dataValidation type="list" allowBlank="1" showInputMessage="1" showErrorMessage="1" sqref="F3:F256" xr:uid="{00000000-0002-0000-0200-000002000000}">
      <formula1>Hora_de_fin</formula1>
    </dataValidation>
    <dataValidation type="list" allowBlank="1" showInputMessage="1" showErrorMessage="1" sqref="G3:G256" xr:uid="{DDF96C4B-EC40-4C67-9088-68D9CAFEAB1C}">
      <formula1>"si, no"</formula1>
    </dataValidation>
    <dataValidation type="list" allowBlank="1" showInputMessage="1" showErrorMessage="1" sqref="P3:V256" xr:uid="{00000000-0002-0000-0200-000005000000}">
      <formula1>"x"</formula1>
    </dataValidation>
    <dataValidation type="list" allowBlank="1" showInputMessage="1" showErrorMessage="1" sqref="H3:H256" xr:uid="{D74DA713-C8A4-402E-86ED-EDBCA37C25D4}">
      <formula1>Aulas</formula1>
    </dataValidation>
  </dataValidations>
  <pageMargins left="0.25" right="0.25" top="0.75" bottom="0.75" header="0.3" footer="0.3"/>
  <pageSetup scale="48" fitToHeight="0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E9C6-5CB8-4C73-BDE9-EEACFEC910F9}">
  <dimension ref="B2:P13"/>
  <sheetViews>
    <sheetView zoomScale="87" zoomScaleNormal="87" workbookViewId="0">
      <selection activeCell="C9" sqref="C9:E9"/>
    </sheetView>
  </sheetViews>
  <sheetFormatPr baseColWidth="10" defaultColWidth="10.6640625" defaultRowHeight="13"/>
  <cols>
    <col min="2" max="2" width="14" customWidth="1"/>
    <col min="4" max="4" width="10.83203125" bestFit="1" customWidth="1"/>
    <col min="5" max="5" width="11.5" bestFit="1" customWidth="1"/>
    <col min="6" max="6" width="9.33203125" customWidth="1"/>
    <col min="7" max="7" width="21.5" bestFit="1" customWidth="1"/>
    <col min="10" max="10" width="12.83203125" customWidth="1"/>
  </cols>
  <sheetData>
    <row r="2" spans="2:16" ht="48">
      <c r="B2" s="35" t="s">
        <v>16</v>
      </c>
      <c r="C2" s="35" t="s">
        <v>51</v>
      </c>
      <c r="D2" s="35" t="s">
        <v>464</v>
      </c>
      <c r="E2" s="35" t="s">
        <v>465</v>
      </c>
      <c r="G2" s="35" t="s">
        <v>11</v>
      </c>
      <c r="H2" s="35" t="s">
        <v>466</v>
      </c>
      <c r="I2" s="35" t="s">
        <v>464</v>
      </c>
      <c r="J2" s="35" t="s">
        <v>465</v>
      </c>
      <c r="L2" s="35" t="s">
        <v>467</v>
      </c>
      <c r="M2" s="35" t="s">
        <v>40</v>
      </c>
      <c r="N2" s="35" t="s">
        <v>468</v>
      </c>
      <c r="O2" s="35" t="s">
        <v>15</v>
      </c>
      <c r="P2" s="35" t="s">
        <v>468</v>
      </c>
    </row>
    <row r="3" spans="2:16" ht="14">
      <c r="B3" s="34" t="s">
        <v>469</v>
      </c>
      <c r="C3" s="40" t="e">
        <f ca="1">SUMIFS(base_de_datos[Índice],base_de_datos[Academia],B3,base_de_datos[Misma o no],1)/COUNTIFS(base_de_datos[Academia],B3,base_de_datos[Misma o no],1)</f>
        <v>#REF!</v>
      </c>
      <c r="D3" s="78">
        <f ca="1">SUMIFS(base_de_datos[Misma o no],base_de_datos[Misma o no],1,base_de_datos[Grado de profesor],"SNI",base_de_datos[Academia],B3)/SUMIF(base_de_datos[Academia],B3,base_de_datos[Misma o no])</f>
        <v>0</v>
      </c>
      <c r="E3" s="78">
        <f ca="1">SUMIFS(base_de_datos[HT Plan],base_de_datos[Misma o no],1,base_de_datos[Grado de profesor],"SNI",base_de_datos[Academia],B3)/SUMIFS(base_de_datos[HT Plan],base_de_datos[Misma o no],1,base_de_datos[Academia],B3)</f>
        <v>0</v>
      </c>
      <c r="G3" t="s">
        <v>45</v>
      </c>
      <c r="H3" s="39" t="e">
        <f>base_de_datos[[#Totals],[ICA II]]</f>
        <v>#REF!</v>
      </c>
      <c r="I3" s="78">
        <f ca="1">SUMIFS(base_de_datos[Misma o no],base_de_datos[Misma o no],1,base_de_datos[Grado de profesor],"SNI",base_de_datos[Industrial],"&gt;0")/SUMIF(base_de_datos[Industrial],"&gt;0",base_de_datos[Misma o no])</f>
        <v>0</v>
      </c>
      <c r="J3" s="78">
        <f ca="1">SUMIFS(base_de_datos[HT Plan],base_de_datos[Misma o no],1,base_de_datos[Grado de profesor],"SNI",base_de_datos[Industrial],"&gt;0")/SUMIFS(base_de_datos[HT Plan],base_de_datos[Misma o no],1,base_de_datos[Industrial],"&gt;0")</f>
        <v>0</v>
      </c>
      <c r="L3" s="37" t="s">
        <v>470</v>
      </c>
      <c r="M3" s="82">
        <f>SUMIF(base_de_datos[Tipo],L3,base_de_datos[Horas totales])</f>
        <v>0</v>
      </c>
      <c r="N3" s="84">
        <f t="shared" ref="N3:N8" ca="1" si="0">M3/$M$8</f>
        <v>0</v>
      </c>
      <c r="O3" s="88">
        <f>SUMIF(base_de_datos[Tipo],L3,base_de_datos[Misma o no])</f>
        <v>0</v>
      </c>
      <c r="P3" s="84">
        <f t="shared" ref="P3:P8" ca="1" si="1">O3/$O$8</f>
        <v>0</v>
      </c>
    </row>
    <row r="4" spans="2:16" ht="14">
      <c r="B4" s="36" t="s">
        <v>471</v>
      </c>
      <c r="C4" s="43" t="e">
        <f ca="1">SUMIFS(base_de_datos[Índice],base_de_datos[Academia],B4,base_de_datos[Misma o no],1)/COUNTIFS(base_de_datos[Academia],B4,base_de_datos[Misma o no],1)</f>
        <v>#REF!</v>
      </c>
      <c r="D4" s="79">
        <f ca="1">SUMIFS(base_de_datos[Misma o no],base_de_datos[Misma o no],1,base_de_datos[Grado de profesor],"SNI",base_de_datos[Academia],B4)/SUMIF(base_de_datos[Academia],B4,base_de_datos[Misma o no])</f>
        <v>0</v>
      </c>
      <c r="E4" s="79">
        <f ca="1">SUMIFS(base_de_datos[HT Plan],base_de_datos[Misma o no],1,base_de_datos[Grado de profesor],"SNI",base_de_datos[Academia],B4)/SUMIFS(base_de_datos[HT Plan],base_de_datos[Misma o no],1,base_de_datos[Academia],B4)</f>
        <v>0</v>
      </c>
      <c r="G4" s="37" t="s">
        <v>46</v>
      </c>
      <c r="H4" s="41" t="e">
        <f>base_de_datos[[#Totals],[ICA IM]]</f>
        <v>#REF!</v>
      </c>
      <c r="I4" s="79">
        <f ca="1">SUMIFS(base_de_datos[Misma o no],base_de_datos[Misma o no],1,base_de_datos[Grado de profesor],"SNI",base_de_datos[Mecatrónica],"&gt;0")/SUMIF(base_de_datos[Mecatrónica],"&gt;0",base_de_datos[Misma o no])</f>
        <v>0</v>
      </c>
      <c r="J4" s="79">
        <f ca="1">SUMIFS(base_de_datos[HT Plan],base_de_datos[Misma o no],1,base_de_datos[Grado de profesor],"SNI",base_de_datos[Mecatrónica],"&gt;0")/SUMIFS(base_de_datos[HT Plan],base_de_datos[Misma o no],1,base_de_datos[Mecatrónica],"&gt;0")</f>
        <v>0</v>
      </c>
      <c r="L4" t="s">
        <v>472</v>
      </c>
      <c r="M4" s="81">
        <f>SUMIF(base_de_datos[Tipo],L4,base_de_datos[Horas totales])</f>
        <v>0</v>
      </c>
      <c r="N4" s="83">
        <f t="shared" ca="1" si="0"/>
        <v>0</v>
      </c>
      <c r="O4" s="89">
        <f>SUMIF(base_de_datos[Tipo],L4,base_de_datos[Misma o no])</f>
        <v>0</v>
      </c>
      <c r="P4" s="83">
        <f t="shared" ca="1" si="1"/>
        <v>0</v>
      </c>
    </row>
    <row r="5" spans="2:16" ht="14">
      <c r="B5" s="34" t="s">
        <v>473</v>
      </c>
      <c r="C5" s="40" t="e">
        <f ca="1">SUMIFS(base_de_datos[Índice],base_de_datos[Academia],B5,base_de_datos[Misma o no],1)/COUNTIFS(base_de_datos[Academia],B5,base_de_datos[Misma o no],1)</f>
        <v>#REF!</v>
      </c>
      <c r="D5" s="78">
        <f ca="1">SUMIFS(base_de_datos[Misma o no],base_de_datos[Misma o no],1,base_de_datos[Grado de profesor],"SNI",base_de_datos[Academia],B5)/SUMIF(base_de_datos[Academia],B5,base_de_datos[Misma o no])</f>
        <v>0</v>
      </c>
      <c r="E5" s="78">
        <f ca="1">SUMIFS(base_de_datos[HT Plan],base_de_datos[Misma o no],1,base_de_datos[Grado de profesor],"SNI",base_de_datos[Academia],B5)/SUMIFS(base_de_datos[HT Plan],base_de_datos[Misma o no],1,base_de_datos[Academia],B5)</f>
        <v>0</v>
      </c>
      <c r="G5" t="s">
        <v>47</v>
      </c>
      <c r="H5" s="39" t="e">
        <f>base_de_datos[[#Totals],[ICA IID]]</f>
        <v>#REF!</v>
      </c>
      <c r="I5" s="78">
        <f ca="1">SUMIFS(base_de_datos[Misma o no],base_de_datos[Misma o no],1,base_de_datos[Grado de profesor],"SNI",base_de_datos[Innovación y Diseño],"&gt;0")/SUMIF(base_de_datos[Innovación y Diseño],"&gt;0",base_de_datos[Misma o no])</f>
        <v>0</v>
      </c>
      <c r="J5" s="78">
        <f ca="1">SUMIFS(base_de_datos[HT Plan],base_de_datos[Misma o no],1,base_de_datos[Grado de profesor],"SNI",base_de_datos[Innovación y Diseño],"&gt;0")/SUMIFS(base_de_datos[HT Plan],base_de_datos[Misma o no],1,base_de_datos[Innovación y Diseño],"&gt;0")</f>
        <v>0</v>
      </c>
      <c r="L5" s="37" t="s">
        <v>474</v>
      </c>
      <c r="M5" s="82">
        <f>SUMIF(base_de_datos[Tipo],L5,base_de_datos[Horas totales])</f>
        <v>0</v>
      </c>
      <c r="N5" s="84">
        <f t="shared" ca="1" si="0"/>
        <v>0</v>
      </c>
      <c r="O5" s="88">
        <f>SUMIF(base_de_datos[Tipo],L5,base_de_datos[Misma o no])</f>
        <v>0</v>
      </c>
      <c r="P5" s="84">
        <f t="shared" ca="1" si="1"/>
        <v>0</v>
      </c>
    </row>
    <row r="6" spans="2:16" ht="14">
      <c r="B6" s="36" t="s">
        <v>475</v>
      </c>
      <c r="C6" s="43" t="e">
        <f ca="1">SUMIFS(base_de_datos[Índice],base_de_datos[Academia],B6,base_de_datos[Misma o no],1)/COUNTIFS(base_de_datos[Academia],B6,base_de_datos[Misma o no],1)</f>
        <v>#REF!</v>
      </c>
      <c r="D6" s="79">
        <f ca="1">SUMIFS(base_de_datos[Misma o no],base_de_datos[Misma o no],1,base_de_datos[Grado de profesor],"SNI",base_de_datos[Academia],B6)/SUMIF(base_de_datos[Academia],B6,base_de_datos[Misma o no])</f>
        <v>0</v>
      </c>
      <c r="E6" s="79">
        <f ca="1">SUMIFS(base_de_datos[HT Plan],base_de_datos[Misma o no],1,base_de_datos[Grado de profesor],"SNI",base_de_datos[Academia],B6)/SUMIFS(base_de_datos[HT Plan],base_de_datos[Misma o no],1,base_de_datos[Academia],B6)</f>
        <v>0</v>
      </c>
      <c r="G6" s="37" t="s">
        <v>48</v>
      </c>
      <c r="H6" s="41" t="e">
        <f>base_de_datos[[#Totals],[ICA IIA]]</f>
        <v>#REF!</v>
      </c>
      <c r="I6" s="79">
        <f ca="1">SUMIFS(base_de_datos[Misma o no],base_de_datos[Misma o no],1,base_de_datos[Grado de profesor],"SNI",base_de_datos[Inteligencia Artificial],"&gt;0")/SUMIF(base_de_datos[Inteligencia Artificial],"&gt;0",base_de_datos[Misma o no])</f>
        <v>0</v>
      </c>
      <c r="J6" s="79">
        <f ca="1">SUMIFS(base_de_datos[HT Plan],base_de_datos[Misma o no],1,base_de_datos[Grado de profesor],"SNI",base_de_datos[Inteligencia Artificial],"&gt;0")/SUMIFS(base_de_datos[HT Plan],base_de_datos[Misma o no],1,base_de_datos[Inteligencia Artificial],"&gt;0")</f>
        <v>0</v>
      </c>
      <c r="L6" t="s">
        <v>476</v>
      </c>
      <c r="M6" s="81">
        <f>SUMIF(base_de_datos[Tipo],L6,base_de_datos[Horas totales])</f>
        <v>0</v>
      </c>
      <c r="N6" s="83">
        <f t="shared" ca="1" si="0"/>
        <v>0</v>
      </c>
      <c r="O6" s="89">
        <f>SUMIF(base_de_datos[Tipo],L6,base_de_datos[Misma o no])</f>
        <v>0</v>
      </c>
      <c r="P6" s="83">
        <f t="shared" ca="1" si="1"/>
        <v>0</v>
      </c>
    </row>
    <row r="7" spans="2:16" ht="14">
      <c r="B7" s="34" t="s">
        <v>477</v>
      </c>
      <c r="C7" s="40" t="e">
        <f ca="1">SUMIFS(base_de_datos[Índice],base_de_datos[Academia],B7,base_de_datos[Misma o no],1)/COUNTIFS(base_de_datos[Academia],B7,base_de_datos[Misma o no],1)</f>
        <v>#REF!</v>
      </c>
      <c r="D7" s="78">
        <f ca="1">SUMIFS(base_de_datos[Misma o no],base_de_datos[Misma o no],1,base_de_datos[Grado de profesor],"SNI",base_de_datos[Academia],B7)/SUMIF(base_de_datos[Academia],B7,base_de_datos[Misma o no])</f>
        <v>0</v>
      </c>
      <c r="E7" s="78">
        <f ca="1">SUMIFS(base_de_datos[HT Plan],base_de_datos[Misma o no],1,base_de_datos[Grado de profesor],"SNI",base_de_datos[Academia],B7)/SUMIFS(base_de_datos[HT Plan],base_de_datos[Misma o no],1,base_de_datos[Academia],B7)</f>
        <v>0</v>
      </c>
      <c r="G7" t="s">
        <v>49</v>
      </c>
      <c r="H7" s="39" t="e">
        <f>base_de_datos[[#Totals],[ICA ITE]]</f>
        <v>#REF!</v>
      </c>
      <c r="I7" s="78">
        <f ca="1">SUMIFS(base_de_datos[Misma o no],base_de_datos[Misma o no],1,base_de_datos[Grado de profesor],"SNI",base_de_datos[Tecnologías Energéticas],"&gt;0")/SUMIF(base_de_datos[Tecnologías Energéticas],"&gt;0",base_de_datos[Misma o no])</f>
        <v>0</v>
      </c>
      <c r="J7" s="78">
        <f ca="1">SUMIFS(base_de_datos[HT Plan],base_de_datos[Misma o no],1,base_de_datos[Grado de profesor],"SNI",base_de_datos[Tecnologías Energéticas],"&gt;0")/SUMIFS(base_de_datos[HT Plan],base_de_datos[Misma o no],1,base_de_datos[Tecnologías Energéticas],"&gt;0")</f>
        <v>0</v>
      </c>
      <c r="L7" s="37" t="s">
        <v>478</v>
      </c>
      <c r="M7" s="82">
        <f>SUMIF(base_de_datos[Tipo],L7,base_de_datos[Horas totales])</f>
        <v>0</v>
      </c>
      <c r="N7" s="84">
        <f t="shared" ca="1" si="0"/>
        <v>0</v>
      </c>
      <c r="O7" s="88">
        <f>SUMIF(base_de_datos[Tipo],L7,base_de_datos[Misma o no])</f>
        <v>0</v>
      </c>
      <c r="P7" s="84">
        <f t="shared" ca="1" si="1"/>
        <v>0</v>
      </c>
    </row>
    <row r="8" spans="2:16" ht="14">
      <c r="B8" s="36" t="s">
        <v>479</v>
      </c>
      <c r="C8" s="43" t="e">
        <f ca="1">SUMIFS(base_de_datos[Índice],base_de_datos[Academia],B8,base_de_datos[Misma o no],1)/COUNTIFS(base_de_datos[Academia],B8,base_de_datos[Misma o no],1)</f>
        <v>#REF!</v>
      </c>
      <c r="D8" s="79">
        <f ca="1">SUMIFS(base_de_datos[Misma o no],base_de_datos[Misma o no],1,base_de_datos[Grado de profesor],"SNI",base_de_datos[Academia],B8)/SUMIF(base_de_datos[Academia],B8,base_de_datos[Misma o no])</f>
        <v>0</v>
      </c>
      <c r="E8" s="79">
        <f ca="1">SUMIFS(base_de_datos[HT Plan],base_de_datos[Misma o no],1,base_de_datos[Grado de profesor],"SNI",base_de_datos[Academia],B8)/SUMIFS(base_de_datos[HT Plan],base_de_datos[Misma o no],1,base_de_datos[Academia],B8)</f>
        <v>0</v>
      </c>
      <c r="G8" s="37" t="s">
        <v>50</v>
      </c>
      <c r="H8" s="41" t="e">
        <f>base_de_datos[[#Totals],[ICA ICA]]</f>
        <v>#REF!</v>
      </c>
      <c r="I8" s="79">
        <f ca="1">SUMIFS(base_de_datos[Misma o no],base_de_datos[Misma o no],1,base_de_datos[Grado de profesor],"SNI",base_de_datos[Civil y Administración],"&gt;0")/SUMIF(base_de_datos[Civil y Administración],"&gt;0",base_de_datos[Misma o no])</f>
        <v>0</v>
      </c>
      <c r="J8" s="79">
        <f ca="1">SUMIFS(base_de_datos[HT Plan],base_de_datos[Misma o no],1,base_de_datos[Grado de profesor],"SNI",base_de_datos[Civil y Administración],"&gt;0")/SUMIFS(base_de_datos[HT Plan],base_de_datos[Misma o no],1,base_de_datos[Civil y Administración],"&gt;0")</f>
        <v>0</v>
      </c>
      <c r="L8" s="85" t="s">
        <v>480</v>
      </c>
      <c r="M8" s="86">
        <f ca="1">SUM(base_de_datos[Horas totales])</f>
        <v>642.5</v>
      </c>
      <c r="N8" s="87">
        <f t="shared" ca="1" si="0"/>
        <v>1</v>
      </c>
      <c r="O8" s="86">
        <f ca="1">SUM(base_de_datos[Misma o no])</f>
        <v>186</v>
      </c>
      <c r="P8" s="87">
        <f t="shared" ca="1" si="1"/>
        <v>1</v>
      </c>
    </row>
    <row r="9" spans="2:16" ht="14">
      <c r="B9" s="34" t="s">
        <v>481</v>
      </c>
      <c r="C9" s="40" t="e">
        <f ca="1">SUMIFS(base_de_datos[Índice],base_de_datos[Academia],B9,base_de_datos[Misma o no],1)/COUNTIFS(base_de_datos[Academia],B9,base_de_datos[Misma o no],1)</f>
        <v>#REF!</v>
      </c>
      <c r="D9" s="78">
        <f ca="1">SUMIFS(base_de_datos[Misma o no],base_de_datos[Misma o no],1,base_de_datos[Grado de profesor],"SNI",base_de_datos[Academia],B9)/SUMIF(base_de_datos[Academia],B9,base_de_datos[Misma o no])</f>
        <v>0</v>
      </c>
      <c r="E9" s="78">
        <f ca="1">SUMIFS(base_de_datos[HT Plan],base_de_datos[Misma o no],1,base_de_datos[Grado de profesor],"SNI",base_de_datos[Academia],B9)/SUMIFS(base_de_datos[HT Plan],base_de_datos[Misma o no],1,base_de_datos[Academia],B9)</f>
        <v>0</v>
      </c>
      <c r="G9" t="s">
        <v>12</v>
      </c>
      <c r="H9" s="39" t="e">
        <f>base_de_datos[[#Totals],[ICA IBE]]</f>
        <v>#REF!</v>
      </c>
      <c r="I9" s="78">
        <f ca="1">SUMIFS(base_de_datos[Misma o no],base_de_datos[Misma o no],1,base_de_datos[Grado de profesor],"SNI",base_de_datos[Bioelectrónica],"&gt;0")/SUMIF(base_de_datos[Bioelectrónica],"&gt;0",base_de_datos[Misma o no])</f>
        <v>0</v>
      </c>
      <c r="J9" s="78">
        <f ca="1">SUMIFS(base_de_datos[HT Plan],base_de_datos[Misma o no],1,base_de_datos[Grado de profesor],"SNI",base_de_datos[Bioelectrónica],"&gt;0")/SUMIFS(base_de_datos[HT Plan],base_de_datos[Misma o no],1,base_de_datos[Bioelectrónica],"&gt;0")</f>
        <v>0</v>
      </c>
    </row>
    <row r="10" spans="2:16" ht="14">
      <c r="B10" s="36" t="s">
        <v>482</v>
      </c>
      <c r="C10" s="43" t="e">
        <f ca="1">SUMIFS(base_de_datos[Índice],base_de_datos[Academia],B10,base_de_datos[Misma o no],1)/COUNTIFS(base_de_datos[Academia],B10,base_de_datos[Misma o no],1)</f>
        <v>#REF!</v>
      </c>
      <c r="D10" s="79">
        <f ca="1">SUMIFS(base_de_datos[Misma o no],base_de_datos[Misma o no],1,base_de_datos[Grado de profesor],"SNI",base_de_datos[Academia],B10)/SUMIF(base_de_datos[Academia],B10,base_de_datos[Misma o no])</f>
        <v>0</v>
      </c>
      <c r="E10" s="79">
        <f ca="1">SUMIFS(base_de_datos[HT Plan],base_de_datos[Misma o no],1,base_de_datos[Grado de profesor],"SNI",base_de_datos[Academia],B10)/SUMIFS(base_de_datos[HT Plan],base_de_datos[Misma o no],1,base_de_datos[Academia],B10)</f>
        <v>0</v>
      </c>
      <c r="H10" s="39"/>
      <c r="I10" s="39"/>
      <c r="J10" s="39"/>
    </row>
    <row r="11" spans="2:16" ht="16">
      <c r="B11" s="34" t="s">
        <v>329</v>
      </c>
      <c r="C11" s="40" t="e">
        <f ca="1">SUMIFS(base_de_datos[Índice],base_de_datos[Academia],B11,base_de_datos[Misma o no],1)/COUNTIFS(base_de_datos[Academia],B11,base_de_datos[Misma o no],1)</f>
        <v>#REF!</v>
      </c>
      <c r="D11" s="78">
        <f ca="1">SUMIFS(base_de_datos[Misma o no],base_de_datos[Misma o no],1,base_de_datos[Grado de profesor],"SNI",base_de_datos[Academia],B11)/SUMIF(base_de_datos[Academia],B11,base_de_datos[Misma o no])</f>
        <v>0</v>
      </c>
      <c r="E11" s="78">
        <f ca="1">SUMIFS(base_de_datos[HT Plan],base_de_datos[Misma o no],1,base_de_datos[Grado de profesor],"SNI",base_de_datos[Academia],B11)/SUMIFS(base_de_datos[HT Plan],base_de_datos[Misma o no],1,base_de_datos[Academia],B11)</f>
        <v>0</v>
      </c>
      <c r="G11" s="38" t="s">
        <v>483</v>
      </c>
      <c r="H11" s="42" t="e">
        <f ca="1">SUMIFS(base_de_datos[Índice],base_de_datos[Misma o no],1)/COUNTIF(base_de_datos[Misma o no],1)</f>
        <v>#REF!</v>
      </c>
      <c r="I11" s="80">
        <f ca="1">SUMIFS(base_de_datos[Misma o no],base_de_datos[Misma o no],1,base_de_datos[Grado de profesor],"SNI")/SUM(base_de_datos[Misma o no])</f>
        <v>0</v>
      </c>
      <c r="J11" s="80" t="e">
        <f ca="1">SUMIFS(base_de_datos[HT Plan],base_de_datos[Misma o no],1,base_de_datos[Grado de profesor],"SNI")/SUMIF(base_de_datos[Misma o no],1,base_de_datos[HT Plan])</f>
        <v>#N/A</v>
      </c>
    </row>
    <row r="12" spans="2:16" ht="14">
      <c r="B12" s="36" t="s">
        <v>484</v>
      </c>
      <c r="C12" s="43" t="e">
        <f ca="1">SUMIFS(base_de_datos[Índice],base_de_datos[Academia],B12,base_de_datos[Misma o no],1)/COUNTIFS(base_de_datos[Academia],B12,base_de_datos[Misma o no],1)</f>
        <v>#REF!</v>
      </c>
      <c r="D12" s="79">
        <f ca="1">SUMIFS(base_de_datos[Misma o no],base_de_datos[Misma o no],1,base_de_datos[Grado de profesor],"SNI",base_de_datos[Academia],B12)/SUMIF(base_de_datos[Academia],B12,base_de_datos[Misma o no])</f>
        <v>0</v>
      </c>
      <c r="E12" s="79">
        <f ca="1">SUMIFS(base_de_datos[HT Plan],base_de_datos[Misma o no],1,base_de_datos[Grado de profesor],"SNI",base_de_datos[Academia],B12)/SUMIFS(base_de_datos[HT Plan],base_de_datos[Misma o no],1,base_de_datos[Academia],B12)</f>
        <v>0</v>
      </c>
    </row>
    <row r="13" spans="2:16" ht="14">
      <c r="B13" s="34" t="s">
        <v>485</v>
      </c>
      <c r="C13" s="40" t="e">
        <f ca="1">SUMIFS(base_de_datos[Índice],base_de_datos[Academia],B13,base_de_datos[Misma o no],1)/COUNTIFS(base_de_datos[Academia],B13,base_de_datos[Misma o no],1)</f>
        <v>#REF!</v>
      </c>
      <c r="D13" s="78">
        <f ca="1">SUMIFS(base_de_datos[Misma o no],base_de_datos[Misma o no],1,base_de_datos[Grado de profesor],"SNI",base_de_datos[Academia],B13)/SUMIF(base_de_datos[Academia],B13,base_de_datos[Misma o no])</f>
        <v>0</v>
      </c>
      <c r="E13" s="78">
        <f ca="1">SUMIFS(base_de_datos[HT Plan],base_de_datos[Misma o no],1,base_de_datos[Grado de profesor],"SNI",base_de_datos[Academia],B13)/SUMIFS(base_de_datos[HT Plan],base_de_datos[Misma o no],1,base_de_datos[Academia],B13)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798D-AC52-41B6-B077-F699E82ADE43}">
  <sheetPr codeName="Hoja7"/>
  <dimension ref="B2:AA55"/>
  <sheetViews>
    <sheetView workbookViewId="0">
      <selection activeCell="I13" sqref="I13"/>
    </sheetView>
  </sheetViews>
  <sheetFormatPr baseColWidth="10" defaultColWidth="10.6640625" defaultRowHeight="14"/>
  <cols>
    <col min="1" max="1" width="4.33203125" style="1" customWidth="1"/>
    <col min="2" max="3" width="6.6640625" style="1" customWidth="1"/>
    <col min="4" max="10" width="10" style="1" customWidth="1"/>
    <col min="11" max="12" width="7" style="1" customWidth="1"/>
    <col min="13" max="13" width="8" style="5" customWidth="1"/>
    <col min="14" max="20" width="10.6640625" style="5"/>
    <col min="21" max="26" width="10.6640625" style="1"/>
    <col min="27" max="27" width="11.5" style="1" bestFit="1" customWidth="1"/>
    <col min="28" max="16384" width="10.6640625" style="1"/>
  </cols>
  <sheetData>
    <row r="2" spans="2:27" ht="78" customHeight="1">
      <c r="B2" s="19">
        <v>1222</v>
      </c>
      <c r="C2" s="19">
        <v>1228</v>
      </c>
      <c r="D2" s="19" t="s">
        <v>45</v>
      </c>
      <c r="E2" s="20" t="s">
        <v>46</v>
      </c>
      <c r="F2" s="19" t="s">
        <v>47</v>
      </c>
      <c r="G2" s="20" t="s">
        <v>48</v>
      </c>
      <c r="H2" s="19" t="s">
        <v>49</v>
      </c>
      <c r="I2" s="20" t="s">
        <v>50</v>
      </c>
      <c r="J2" s="19" t="s">
        <v>12</v>
      </c>
      <c r="K2" s="19" t="s">
        <v>497</v>
      </c>
      <c r="L2" s="19" t="s">
        <v>498</v>
      </c>
    </row>
    <row r="3" spans="2:27">
      <c r="B3" s="21">
        <v>0</v>
      </c>
      <c r="C3" s="21">
        <v>1</v>
      </c>
      <c r="D3" s="102">
        <f>0.8*30</f>
        <v>24</v>
      </c>
      <c r="E3" s="102">
        <f>0.8*25</f>
        <v>20</v>
      </c>
      <c r="F3" s="102">
        <f>0.8*29-0.2</f>
        <v>23.000000000000004</v>
      </c>
      <c r="G3" s="102">
        <f>0.8*35</f>
        <v>28</v>
      </c>
      <c r="H3" s="102">
        <f>0.8*14-0.2</f>
        <v>11.000000000000002</v>
      </c>
      <c r="I3" s="102">
        <f>0.8*20</f>
        <v>16</v>
      </c>
      <c r="J3" s="102">
        <f>0.8*10</f>
        <v>8</v>
      </c>
      <c r="K3" s="102">
        <f>SUM(D3:J3)</f>
        <v>130</v>
      </c>
      <c r="L3" s="102">
        <v>1228</v>
      </c>
      <c r="Z3" s="1">
        <v>163</v>
      </c>
      <c r="AA3" s="1">
        <v>100</v>
      </c>
    </row>
    <row r="4" spans="2:27" hidden="1">
      <c r="B4" s="103"/>
      <c r="C4" s="103"/>
      <c r="D4" s="104"/>
      <c r="E4" s="104"/>
      <c r="F4" s="104"/>
      <c r="G4" s="104"/>
      <c r="H4" s="104"/>
      <c r="I4" s="104"/>
      <c r="J4" s="104"/>
      <c r="K4" s="104"/>
      <c r="L4" s="2"/>
    </row>
    <row r="5" spans="2:27">
      <c r="B5" s="103"/>
      <c r="C5" s="103"/>
      <c r="D5" s="104"/>
      <c r="E5" s="104"/>
      <c r="F5" s="104"/>
      <c r="G5" s="104"/>
      <c r="H5" s="104"/>
      <c r="I5" s="104"/>
      <c r="J5" s="104"/>
      <c r="K5" s="2"/>
      <c r="L5" s="2"/>
      <c r="Z5" s="1">
        <v>130</v>
      </c>
    </row>
    <row r="6" spans="2:27">
      <c r="B6" s="21">
        <v>1</v>
      </c>
      <c r="C6" s="21">
        <v>2</v>
      </c>
      <c r="D6" s="2">
        <v>2</v>
      </c>
      <c r="E6" s="2">
        <v>2</v>
      </c>
      <c r="F6" s="2">
        <v>4</v>
      </c>
      <c r="G6" s="2">
        <v>5</v>
      </c>
      <c r="H6" s="2">
        <v>1</v>
      </c>
      <c r="I6" s="2">
        <v>0</v>
      </c>
      <c r="J6" s="2">
        <v>4</v>
      </c>
      <c r="K6" s="2">
        <f t="shared" ref="K6:K23" si="0">SUM(D6:J6)</f>
        <v>18</v>
      </c>
      <c r="L6" s="2">
        <v>1222</v>
      </c>
    </row>
    <row r="7" spans="2:27" ht="16.5" customHeight="1">
      <c r="B7" s="21"/>
      <c r="C7" s="21"/>
      <c r="D7" s="2"/>
      <c r="E7" s="2"/>
      <c r="F7" s="2"/>
      <c r="G7" s="2"/>
      <c r="H7" s="2"/>
      <c r="I7" s="2"/>
      <c r="J7" s="2"/>
      <c r="K7" s="2"/>
      <c r="L7" s="2"/>
    </row>
    <row r="8" spans="2:27">
      <c r="B8" s="21">
        <v>2</v>
      </c>
      <c r="C8" s="21">
        <v>3</v>
      </c>
      <c r="D8" s="2">
        <v>18</v>
      </c>
      <c r="E8" s="2">
        <v>17</v>
      </c>
      <c r="F8" s="2">
        <v>14</v>
      </c>
      <c r="G8" s="2">
        <v>31</v>
      </c>
      <c r="H8" s="2">
        <v>4</v>
      </c>
      <c r="I8" s="2">
        <v>11</v>
      </c>
      <c r="J8" s="2">
        <v>10</v>
      </c>
      <c r="K8" s="2">
        <f t="shared" si="0"/>
        <v>105</v>
      </c>
      <c r="L8" s="2">
        <v>1218</v>
      </c>
    </row>
    <row r="9" spans="2:27" hidden="1">
      <c r="B9" s="21"/>
      <c r="C9" s="21"/>
      <c r="D9" s="2"/>
      <c r="E9" s="2"/>
      <c r="F9" s="2"/>
      <c r="G9" s="2"/>
      <c r="H9" s="2"/>
      <c r="I9" s="2"/>
      <c r="J9" s="2"/>
      <c r="K9" s="2"/>
      <c r="L9" s="2"/>
    </row>
    <row r="10" spans="2:27" ht="15" customHeight="1">
      <c r="B10" s="21"/>
      <c r="C10" s="21"/>
      <c r="D10" s="2"/>
      <c r="E10" s="2"/>
      <c r="F10" s="2"/>
      <c r="G10" s="2"/>
      <c r="H10" s="2"/>
      <c r="I10" s="2"/>
      <c r="J10" s="2"/>
      <c r="K10" s="2"/>
      <c r="L10" s="2"/>
    </row>
    <row r="11" spans="2:27" ht="13.5" customHeight="1">
      <c r="B11" s="21">
        <v>3</v>
      </c>
      <c r="C11" s="21">
        <v>4</v>
      </c>
      <c r="D11" s="2">
        <v>2</v>
      </c>
      <c r="E11" s="2">
        <v>4</v>
      </c>
      <c r="F11" s="2">
        <v>2</v>
      </c>
      <c r="G11" s="2">
        <v>2</v>
      </c>
      <c r="H11" s="2">
        <v>0</v>
      </c>
      <c r="I11" s="2">
        <v>4</v>
      </c>
      <c r="J11" s="2">
        <v>1</v>
      </c>
      <c r="K11" s="2">
        <f t="shared" si="0"/>
        <v>15</v>
      </c>
      <c r="L11" s="2">
        <v>1212</v>
      </c>
    </row>
    <row r="12" spans="2:27">
      <c r="B12" s="21"/>
      <c r="C12" s="21"/>
      <c r="D12" s="2"/>
      <c r="E12" s="2"/>
      <c r="F12" s="2"/>
      <c r="G12" s="2"/>
      <c r="H12" s="2"/>
      <c r="I12" s="2"/>
      <c r="J12" s="2"/>
      <c r="K12" s="2"/>
      <c r="L12" s="2"/>
    </row>
    <row r="13" spans="2:27">
      <c r="B13" s="21">
        <v>4</v>
      </c>
      <c r="C13" s="21">
        <v>5</v>
      </c>
      <c r="D13" s="2">
        <v>23</v>
      </c>
      <c r="E13" s="2">
        <v>17</v>
      </c>
      <c r="F13" s="2">
        <v>30</v>
      </c>
      <c r="G13" s="2">
        <v>18</v>
      </c>
      <c r="H13" s="2">
        <v>3</v>
      </c>
      <c r="I13" s="2">
        <v>11</v>
      </c>
      <c r="J13" s="2">
        <v>3</v>
      </c>
      <c r="K13" s="2">
        <f t="shared" si="0"/>
        <v>105</v>
      </c>
      <c r="L13" s="2">
        <v>1208</v>
      </c>
    </row>
    <row r="14" spans="2:27">
      <c r="B14" s="21"/>
      <c r="C14" s="21"/>
      <c r="D14" s="2"/>
      <c r="E14" s="2"/>
      <c r="F14" s="2"/>
      <c r="G14" s="2"/>
      <c r="H14" s="2"/>
      <c r="I14" s="2"/>
      <c r="J14" s="2"/>
      <c r="K14" s="2"/>
      <c r="L14" s="2"/>
    </row>
    <row r="15" spans="2:27" ht="21.75" customHeight="1">
      <c r="B15" s="21">
        <v>5</v>
      </c>
      <c r="C15" s="21">
        <v>6</v>
      </c>
      <c r="D15" s="2">
        <v>3</v>
      </c>
      <c r="E15" s="2">
        <v>0</v>
      </c>
      <c r="F15" s="2">
        <v>0</v>
      </c>
      <c r="G15" s="2">
        <v>1</v>
      </c>
      <c r="H15" s="2">
        <v>0</v>
      </c>
      <c r="I15" s="2">
        <v>1</v>
      </c>
      <c r="J15" s="2">
        <v>3</v>
      </c>
      <c r="K15" s="2">
        <f t="shared" si="0"/>
        <v>8</v>
      </c>
      <c r="L15" s="2">
        <v>1202</v>
      </c>
    </row>
    <row r="16" spans="2:27" ht="13.5" customHeight="1">
      <c r="B16" s="21"/>
      <c r="C16" s="21"/>
      <c r="D16" s="2"/>
      <c r="E16" s="2"/>
      <c r="F16" s="2"/>
      <c r="G16" s="2"/>
      <c r="H16" s="2"/>
      <c r="I16" s="2"/>
      <c r="J16" s="2"/>
      <c r="K16" s="2"/>
      <c r="L16" s="2"/>
    </row>
    <row r="17" spans="2:12">
      <c r="B17" s="21">
        <v>6</v>
      </c>
      <c r="C17" s="21">
        <v>7</v>
      </c>
      <c r="D17" s="2">
        <v>24</v>
      </c>
      <c r="E17" s="2">
        <v>18</v>
      </c>
      <c r="F17" s="2">
        <v>22</v>
      </c>
      <c r="G17" s="2">
        <v>24</v>
      </c>
      <c r="H17" s="2">
        <v>9</v>
      </c>
      <c r="I17" s="2">
        <v>14</v>
      </c>
      <c r="J17" s="2">
        <v>9</v>
      </c>
      <c r="K17" s="2">
        <f t="shared" si="0"/>
        <v>120</v>
      </c>
      <c r="L17" s="2">
        <v>1198</v>
      </c>
    </row>
    <row r="18" spans="2:12">
      <c r="B18" s="21"/>
      <c r="C18" s="21"/>
      <c r="D18" s="2"/>
      <c r="E18" s="2"/>
      <c r="F18" s="2"/>
      <c r="G18" s="2"/>
      <c r="H18" s="2"/>
      <c r="I18" s="2"/>
      <c r="J18" s="2"/>
      <c r="K18" s="2"/>
      <c r="L18" s="2"/>
    </row>
    <row r="19" spans="2:12">
      <c r="B19" s="21">
        <v>7</v>
      </c>
      <c r="C19" s="21">
        <v>8</v>
      </c>
      <c r="D19" s="2">
        <v>2</v>
      </c>
      <c r="E19" s="2">
        <v>0</v>
      </c>
      <c r="F19" s="2">
        <v>0</v>
      </c>
      <c r="G19" s="2">
        <v>1</v>
      </c>
      <c r="H19" s="2">
        <v>0</v>
      </c>
      <c r="I19" s="2">
        <v>0</v>
      </c>
      <c r="J19" s="2">
        <v>0</v>
      </c>
      <c r="K19" s="2">
        <f>SUM(D19:J19)</f>
        <v>3</v>
      </c>
      <c r="L19" s="2">
        <v>1192</v>
      </c>
    </row>
    <row r="20" spans="2:12">
      <c r="B20" s="21"/>
      <c r="C20" s="21"/>
      <c r="D20" s="2"/>
      <c r="E20" s="2"/>
      <c r="F20" s="2"/>
      <c r="G20" s="2"/>
      <c r="H20" s="2"/>
      <c r="I20" s="2"/>
      <c r="J20" s="2"/>
      <c r="K20" s="2"/>
      <c r="L20" s="2"/>
    </row>
    <row r="21" spans="2:12">
      <c r="B21" s="21">
        <v>8</v>
      </c>
      <c r="C21" s="21">
        <v>9</v>
      </c>
      <c r="D21" s="2"/>
      <c r="E21" s="2"/>
      <c r="F21" s="2"/>
      <c r="G21" s="2"/>
      <c r="H21" s="2"/>
      <c r="I21" s="2">
        <v>16</v>
      </c>
      <c r="J21" s="2"/>
      <c r="K21" s="2">
        <f>SUM(D21:J21)</f>
        <v>16</v>
      </c>
      <c r="L21" s="2"/>
    </row>
    <row r="22" spans="2:12">
      <c r="B22" s="21"/>
      <c r="C22" s="21"/>
      <c r="D22" s="2"/>
      <c r="E22" s="2"/>
      <c r="F22" s="2"/>
      <c r="G22" s="2"/>
      <c r="H22" s="2"/>
      <c r="I22" s="2"/>
      <c r="J22" s="2"/>
      <c r="K22" s="2"/>
      <c r="L22" s="2"/>
    </row>
    <row r="23" spans="2:12">
      <c r="B23" s="21">
        <v>9</v>
      </c>
      <c r="C23" s="21">
        <v>10</v>
      </c>
      <c r="D23" s="2"/>
      <c r="E23" s="2"/>
      <c r="F23" s="2"/>
      <c r="G23" s="2"/>
      <c r="H23" s="2"/>
      <c r="I23" s="2">
        <v>2</v>
      </c>
      <c r="J23" s="2"/>
      <c r="K23" s="2">
        <f t="shared" si="0"/>
        <v>2</v>
      </c>
      <c r="L23" s="2"/>
    </row>
    <row r="26" spans="2:12" ht="38.25" customHeight="1">
      <c r="D26" s="191" t="s">
        <v>499</v>
      </c>
      <c r="E26" s="191"/>
      <c r="F26" s="191"/>
      <c r="G26" s="191"/>
      <c r="H26" s="191"/>
      <c r="I26" s="191"/>
      <c r="J26" s="108"/>
      <c r="K26" s="108"/>
      <c r="L26" s="108"/>
    </row>
    <row r="27" spans="2:12" ht="38.25" customHeight="1">
      <c r="B27" s="107"/>
      <c r="D27" s="107" t="s">
        <v>500</v>
      </c>
      <c r="E27" s="192" t="s">
        <v>501</v>
      </c>
      <c r="F27" s="192"/>
      <c r="G27" s="192"/>
      <c r="H27" s="2" t="s">
        <v>502</v>
      </c>
      <c r="I27" s="2" t="s">
        <v>503</v>
      </c>
      <c r="J27" s="106"/>
      <c r="K27" s="106"/>
      <c r="L27" s="106"/>
    </row>
    <row r="28" spans="2:12" ht="38.25" customHeight="1">
      <c r="D28" s="109" t="s">
        <v>504</v>
      </c>
      <c r="E28" s="190" t="s">
        <v>505</v>
      </c>
      <c r="F28" s="190"/>
      <c r="G28" s="190"/>
      <c r="H28" s="2" t="s">
        <v>506</v>
      </c>
      <c r="I28" s="2" t="s">
        <v>507</v>
      </c>
      <c r="J28" s="106"/>
      <c r="K28" s="106"/>
      <c r="L28" s="106"/>
    </row>
    <row r="29" spans="2:12" ht="38.25" customHeight="1">
      <c r="D29" s="110" t="s">
        <v>508</v>
      </c>
      <c r="E29" s="190" t="s">
        <v>509</v>
      </c>
      <c r="F29" s="190"/>
      <c r="G29" s="190"/>
      <c r="H29" s="2" t="s">
        <v>510</v>
      </c>
      <c r="I29" s="2" t="s">
        <v>503</v>
      </c>
      <c r="J29" s="106"/>
      <c r="K29" s="106"/>
      <c r="L29" s="106"/>
    </row>
    <row r="30" spans="2:12" ht="38.25" customHeight="1">
      <c r="D30" s="110" t="s">
        <v>511</v>
      </c>
      <c r="E30" s="190" t="s">
        <v>512</v>
      </c>
      <c r="F30" s="190"/>
      <c r="G30" s="190"/>
      <c r="H30" s="2" t="s">
        <v>510</v>
      </c>
      <c r="I30" s="2" t="s">
        <v>503</v>
      </c>
      <c r="J30" s="106"/>
      <c r="K30" s="106"/>
      <c r="L30" s="106"/>
    </row>
    <row r="31" spans="2:12" ht="38.25" customHeight="1">
      <c r="D31" s="110" t="s">
        <v>513</v>
      </c>
      <c r="E31" s="190" t="s">
        <v>514</v>
      </c>
      <c r="F31" s="190"/>
      <c r="G31" s="190"/>
      <c r="H31" s="2" t="s">
        <v>515</v>
      </c>
      <c r="I31" s="2" t="s">
        <v>503</v>
      </c>
      <c r="J31" s="106"/>
      <c r="K31" s="106"/>
      <c r="L31" s="106"/>
    </row>
    <row r="32" spans="2:12" ht="38.25" customHeight="1">
      <c r="D32" s="106"/>
      <c r="E32" s="106"/>
      <c r="F32" s="106"/>
      <c r="G32" s="106"/>
      <c r="H32" s="106"/>
      <c r="I32" s="106"/>
      <c r="J32" s="106"/>
      <c r="K32" s="106"/>
      <c r="L32" s="106"/>
    </row>
    <row r="33" spans="2:12" ht="38.25" customHeight="1">
      <c r="D33" s="106"/>
      <c r="E33" s="106"/>
      <c r="F33" s="106"/>
      <c r="G33" s="106"/>
      <c r="H33" s="106"/>
      <c r="I33" s="106"/>
      <c r="J33" s="106"/>
      <c r="K33" s="106"/>
      <c r="L33" s="106"/>
    </row>
    <row r="34" spans="2:12" ht="38.25" customHeight="1">
      <c r="D34" s="106"/>
      <c r="E34" s="106"/>
      <c r="F34" s="106"/>
      <c r="G34" s="106"/>
      <c r="H34" s="106"/>
      <c r="I34" s="106"/>
      <c r="J34" s="106"/>
      <c r="K34" s="106"/>
      <c r="L34" s="106"/>
    </row>
    <row r="35" spans="2:12" ht="38.25" customHeight="1">
      <c r="D35" s="106"/>
      <c r="E35" s="106"/>
      <c r="F35" s="106"/>
      <c r="G35" s="106"/>
      <c r="H35" s="106"/>
      <c r="I35" s="106"/>
      <c r="J35" s="106"/>
      <c r="K35" s="106"/>
      <c r="L35" s="106"/>
    </row>
    <row r="36" spans="2:12" ht="38.25" customHeight="1">
      <c r="D36" s="106"/>
      <c r="E36" s="106"/>
      <c r="F36" s="106"/>
      <c r="G36" s="106"/>
      <c r="H36" s="106"/>
      <c r="I36" s="106"/>
      <c r="J36" s="106"/>
      <c r="K36" s="106"/>
      <c r="L36" s="106"/>
    </row>
    <row r="37" spans="2:12" ht="38.25" customHeight="1">
      <c r="D37" s="106"/>
      <c r="E37" s="106"/>
      <c r="F37" s="106"/>
      <c r="G37" s="106"/>
      <c r="H37" s="106"/>
      <c r="I37" s="106"/>
      <c r="J37" s="106"/>
      <c r="K37" s="106"/>
      <c r="L37" s="106"/>
    </row>
    <row r="38" spans="2:12" ht="37.5" customHeight="1"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</row>
    <row r="40" spans="2:12" ht="21" customHeight="1">
      <c r="D40" s="105"/>
      <c r="E40" s="105"/>
      <c r="F40" s="105"/>
      <c r="G40" s="105"/>
      <c r="H40" s="105"/>
      <c r="I40" s="105"/>
      <c r="J40" s="105"/>
    </row>
    <row r="42" spans="2:12" ht="29.25" customHeight="1">
      <c r="D42" s="105"/>
      <c r="E42" s="105"/>
      <c r="F42" s="105"/>
      <c r="G42" s="105"/>
      <c r="H42" s="105"/>
      <c r="I42" s="105"/>
      <c r="J42" s="105"/>
    </row>
    <row r="55" spans="3:3">
      <c r="C55"/>
    </row>
  </sheetData>
  <mergeCells count="6">
    <mergeCell ref="E31:G31"/>
    <mergeCell ref="D26:I26"/>
    <mergeCell ref="E27:G27"/>
    <mergeCell ref="E28:G28"/>
    <mergeCell ref="E29:G29"/>
    <mergeCell ref="E30:G30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B1:AF227"/>
  <sheetViews>
    <sheetView workbookViewId="0">
      <selection activeCell="M116" sqref="M116"/>
    </sheetView>
  </sheetViews>
  <sheetFormatPr baseColWidth="10" defaultColWidth="10.6640625" defaultRowHeight="14"/>
  <cols>
    <col min="1" max="1" width="2.33203125" style="1" customWidth="1"/>
    <col min="2" max="2" width="37.33203125" style="1" bestFit="1" customWidth="1"/>
    <col min="3" max="3" width="6" style="1" customWidth="1"/>
    <col min="4" max="10" width="5" style="1" customWidth="1"/>
    <col min="11" max="11" width="7.83203125" style="1" bestFit="1" customWidth="1"/>
    <col min="12" max="12" width="6.1640625" style="1" customWidth="1"/>
    <col min="13" max="16" width="7.83203125" style="1" bestFit="1" customWidth="1"/>
    <col min="17" max="17" width="8" style="1" bestFit="1" customWidth="1"/>
    <col min="18" max="26" width="7.83203125" style="1" bestFit="1" customWidth="1"/>
    <col min="27" max="27" width="10.6640625" style="1"/>
    <col min="28" max="28" width="7.83203125" style="1" bestFit="1" customWidth="1"/>
    <col min="29" max="29" width="10.6640625" style="1"/>
    <col min="30" max="31" width="9.5" style="1" bestFit="1" customWidth="1"/>
    <col min="32" max="16384" width="10.6640625" style="1"/>
  </cols>
  <sheetData>
    <row r="1" spans="2:32">
      <c r="D1" s="30">
        <v>1</v>
      </c>
      <c r="E1" s="30">
        <v>2</v>
      </c>
      <c r="F1" s="30">
        <v>3</v>
      </c>
      <c r="G1" s="30">
        <v>4</v>
      </c>
      <c r="H1" s="30">
        <v>5</v>
      </c>
      <c r="I1" s="30">
        <v>6</v>
      </c>
      <c r="J1" s="30">
        <v>7</v>
      </c>
    </row>
    <row r="2" spans="2:32" ht="81.75" customHeight="1">
      <c r="B2" s="11" t="s">
        <v>15</v>
      </c>
      <c r="C2" s="12" t="s">
        <v>16</v>
      </c>
      <c r="D2" s="111" t="s">
        <v>45</v>
      </c>
      <c r="E2" s="13" t="s">
        <v>46</v>
      </c>
      <c r="F2" s="12" t="s">
        <v>47</v>
      </c>
      <c r="G2" s="13" t="s">
        <v>48</v>
      </c>
      <c r="H2" s="12" t="s">
        <v>49</v>
      </c>
      <c r="I2" s="13" t="s">
        <v>50</v>
      </c>
      <c r="J2" s="12" t="s">
        <v>12</v>
      </c>
      <c r="K2" s="112" t="s">
        <v>39</v>
      </c>
      <c r="L2" s="14" t="s">
        <v>516</v>
      </c>
      <c r="M2" s="14" t="s">
        <v>517</v>
      </c>
      <c r="N2" s="14" t="s">
        <v>518</v>
      </c>
      <c r="O2" s="14" t="s">
        <v>519</v>
      </c>
      <c r="P2" s="14" t="s">
        <v>520</v>
      </c>
      <c r="Q2" s="14" t="s">
        <v>521</v>
      </c>
      <c r="R2" s="14" t="s">
        <v>522</v>
      </c>
      <c r="S2" s="14" t="s">
        <v>523</v>
      </c>
      <c r="T2" s="14" t="s">
        <v>524</v>
      </c>
      <c r="U2" s="14" t="s">
        <v>525</v>
      </c>
      <c r="V2" s="14" t="s">
        <v>526</v>
      </c>
      <c r="W2" s="14" t="s">
        <v>527</v>
      </c>
      <c r="X2" s="14" t="s">
        <v>528</v>
      </c>
      <c r="Y2" s="14" t="s">
        <v>529</v>
      </c>
      <c r="Z2" s="14" t="s">
        <v>530</v>
      </c>
      <c r="AA2" s="113"/>
      <c r="AB2" s="14" t="s">
        <v>531</v>
      </c>
      <c r="AC2" s="15"/>
      <c r="AD2" s="6" t="s">
        <v>532</v>
      </c>
      <c r="AE2" s="6" t="s">
        <v>533</v>
      </c>
      <c r="AF2" s="15"/>
    </row>
    <row r="3" spans="2:32" ht="15">
      <c r="B3" s="1" t="s">
        <v>534</v>
      </c>
      <c r="C3" s="1" t="s">
        <v>473</v>
      </c>
      <c r="D3" s="1">
        <v>6</v>
      </c>
      <c r="E3" s="1">
        <v>6</v>
      </c>
      <c r="F3" s="1">
        <v>8</v>
      </c>
      <c r="G3" s="1">
        <v>4</v>
      </c>
      <c r="K3" s="1">
        <v>48</v>
      </c>
      <c r="L3" s="2"/>
      <c r="M3" s="31">
        <v>27009</v>
      </c>
      <c r="N3" s="31" t="s">
        <v>535</v>
      </c>
      <c r="O3" s="31" t="s">
        <v>536</v>
      </c>
      <c r="P3" s="31" t="s">
        <v>537</v>
      </c>
      <c r="Q3" s="32"/>
      <c r="R3" s="32"/>
      <c r="S3" s="32"/>
      <c r="T3" s="1">
        <v>6</v>
      </c>
      <c r="U3" s="1">
        <v>6</v>
      </c>
      <c r="V3" s="1">
        <v>6</v>
      </c>
      <c r="W3" s="1">
        <v>6</v>
      </c>
      <c r="AB3" s="16">
        <v>1</v>
      </c>
      <c r="AD3" s="29">
        <v>0.29166666666666669</v>
      </c>
      <c r="AE3" s="29">
        <v>0.3125</v>
      </c>
    </row>
    <row r="4" spans="2:32" ht="15">
      <c r="B4" s="1" t="s">
        <v>120</v>
      </c>
      <c r="C4" s="1" t="s">
        <v>473</v>
      </c>
      <c r="D4" s="1">
        <v>7</v>
      </c>
      <c r="K4" s="1">
        <v>32</v>
      </c>
      <c r="L4" s="2"/>
      <c r="M4" s="114">
        <v>27015</v>
      </c>
      <c r="N4" s="32"/>
      <c r="O4" s="32"/>
      <c r="P4" s="32"/>
      <c r="Q4" s="32"/>
      <c r="R4" s="32"/>
      <c r="S4" s="32"/>
      <c r="T4" s="1">
        <v>4</v>
      </c>
      <c r="AB4" s="17">
        <v>2</v>
      </c>
      <c r="AD4" s="29">
        <v>0.3125</v>
      </c>
      <c r="AE4" s="29">
        <v>0.33333333333333298</v>
      </c>
    </row>
    <row r="5" spans="2:32" ht="15">
      <c r="B5" s="1" t="s">
        <v>434</v>
      </c>
      <c r="C5" s="1" t="s">
        <v>479</v>
      </c>
      <c r="I5" s="44">
        <v>9</v>
      </c>
      <c r="K5" s="1">
        <v>48</v>
      </c>
      <c r="L5" s="2" t="s">
        <v>68</v>
      </c>
      <c r="M5" s="32"/>
      <c r="N5" s="32"/>
      <c r="O5" s="32"/>
      <c r="P5" s="32"/>
      <c r="Q5" s="32"/>
      <c r="R5" s="31" t="s">
        <v>538</v>
      </c>
      <c r="S5" s="32"/>
      <c r="AB5" s="16">
        <v>3</v>
      </c>
      <c r="AD5" s="29">
        <v>0.33333333333333298</v>
      </c>
      <c r="AE5" s="29">
        <v>0.35416666666666602</v>
      </c>
    </row>
    <row r="6" spans="2:32" ht="15">
      <c r="B6" s="1" t="s">
        <v>539</v>
      </c>
      <c r="C6" s="1" t="s">
        <v>481</v>
      </c>
      <c r="H6" s="1">
        <v>6</v>
      </c>
      <c r="K6" s="1">
        <v>80</v>
      </c>
      <c r="L6" s="2"/>
      <c r="M6" s="32"/>
      <c r="N6" s="32"/>
      <c r="O6" s="32"/>
      <c r="P6" s="32"/>
      <c r="Q6" s="31" t="s">
        <v>540</v>
      </c>
      <c r="R6" s="32"/>
      <c r="S6" s="32"/>
      <c r="X6" s="1">
        <v>9</v>
      </c>
      <c r="AB6" s="17">
        <v>4</v>
      </c>
      <c r="AD6" s="29">
        <v>0.35416666666666702</v>
      </c>
      <c r="AE6" s="29">
        <v>0.374999999999999</v>
      </c>
    </row>
    <row r="7" spans="2:32" ht="15">
      <c r="B7" s="1" t="s">
        <v>309</v>
      </c>
      <c r="C7" s="1" t="s">
        <v>471</v>
      </c>
      <c r="G7" s="1">
        <v>7</v>
      </c>
      <c r="K7" s="1">
        <v>48</v>
      </c>
      <c r="L7" s="2"/>
      <c r="M7" s="32"/>
      <c r="N7" s="32"/>
      <c r="O7" s="32"/>
      <c r="P7" s="31" t="s">
        <v>541</v>
      </c>
      <c r="Q7" s="32"/>
      <c r="R7" s="32"/>
      <c r="S7" s="32"/>
      <c r="W7" s="1">
        <v>6</v>
      </c>
      <c r="AB7" s="16">
        <v>5</v>
      </c>
      <c r="AD7" s="29">
        <v>0.375</v>
      </c>
      <c r="AE7" s="29">
        <v>0.39583333333333198</v>
      </c>
    </row>
    <row r="8" spans="2:32" ht="15">
      <c r="B8" s="1" t="s">
        <v>542</v>
      </c>
      <c r="C8" s="1" t="s">
        <v>481</v>
      </c>
      <c r="I8" s="1">
        <v>6</v>
      </c>
      <c r="K8" s="1">
        <v>64</v>
      </c>
      <c r="L8" s="2"/>
      <c r="M8" s="32"/>
      <c r="N8" s="32"/>
      <c r="O8" s="32"/>
      <c r="P8" s="32"/>
      <c r="Q8" s="32"/>
      <c r="R8" s="31" t="s">
        <v>543</v>
      </c>
      <c r="S8" s="32"/>
      <c r="Y8" s="1">
        <v>8</v>
      </c>
      <c r="AB8" s="17">
        <v>6</v>
      </c>
      <c r="AD8" s="29">
        <v>0.39583333333333398</v>
      </c>
      <c r="AE8" s="29">
        <v>0.41666666666666502</v>
      </c>
    </row>
    <row r="9" spans="2:32" ht="15">
      <c r="B9" s="1" t="s">
        <v>94</v>
      </c>
      <c r="C9" s="1" t="s">
        <v>484</v>
      </c>
      <c r="D9" s="1">
        <v>1</v>
      </c>
      <c r="E9" s="1">
        <v>1</v>
      </c>
      <c r="F9" s="1">
        <v>1</v>
      </c>
      <c r="G9" s="1">
        <v>1</v>
      </c>
      <c r="H9" s="1">
        <v>1</v>
      </c>
      <c r="I9" s="1">
        <v>1</v>
      </c>
      <c r="J9" s="1">
        <v>1</v>
      </c>
      <c r="K9" s="1">
        <v>64</v>
      </c>
      <c r="L9" s="2"/>
      <c r="M9" s="31" t="s">
        <v>544</v>
      </c>
      <c r="N9" s="31" t="s">
        <v>544</v>
      </c>
      <c r="O9" s="31" t="s">
        <v>544</v>
      </c>
      <c r="P9" s="31" t="s">
        <v>545</v>
      </c>
      <c r="Q9" s="31" t="s">
        <v>546</v>
      </c>
      <c r="R9" s="31" t="s">
        <v>544</v>
      </c>
      <c r="S9" s="31" t="s">
        <v>545</v>
      </c>
      <c r="T9" s="1">
        <v>8</v>
      </c>
      <c r="U9" s="1">
        <v>8</v>
      </c>
      <c r="V9" s="1">
        <v>8</v>
      </c>
      <c r="W9" s="1">
        <v>8</v>
      </c>
      <c r="X9" s="1">
        <v>8</v>
      </c>
      <c r="Y9" s="1">
        <v>8</v>
      </c>
      <c r="Z9" s="1">
        <v>8</v>
      </c>
      <c r="AB9" s="16">
        <v>7</v>
      </c>
      <c r="AD9" s="29">
        <v>0.41666666666666702</v>
      </c>
      <c r="AE9" s="29">
        <v>0.437499999999998</v>
      </c>
    </row>
    <row r="10" spans="2:32" ht="15">
      <c r="B10" s="1" t="s">
        <v>261</v>
      </c>
      <c r="C10" s="1" t="s">
        <v>484</v>
      </c>
      <c r="D10" s="1">
        <v>2</v>
      </c>
      <c r="E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64</v>
      </c>
      <c r="L10" s="2"/>
      <c r="M10" s="31" t="s">
        <v>547</v>
      </c>
      <c r="N10" s="31" t="s">
        <v>547</v>
      </c>
      <c r="O10" s="32"/>
      <c r="P10" s="31" t="s">
        <v>548</v>
      </c>
      <c r="Q10" s="31" t="s">
        <v>549</v>
      </c>
      <c r="R10" s="31" t="s">
        <v>547</v>
      </c>
      <c r="S10" s="31" t="s">
        <v>548</v>
      </c>
      <c r="T10" s="1">
        <v>8</v>
      </c>
      <c r="U10" s="1">
        <v>8</v>
      </c>
      <c r="W10" s="1">
        <v>8</v>
      </c>
      <c r="X10" s="1">
        <v>8</v>
      </c>
      <c r="Y10" s="1">
        <v>8</v>
      </c>
      <c r="Z10" s="1">
        <v>8</v>
      </c>
      <c r="AB10" s="17">
        <v>8</v>
      </c>
      <c r="AD10" s="29">
        <v>0.4375</v>
      </c>
      <c r="AE10" s="29">
        <v>0.45833333333333098</v>
      </c>
    </row>
    <row r="11" spans="2:32" ht="15">
      <c r="B11" s="1" t="s">
        <v>550</v>
      </c>
      <c r="C11" s="1" t="s">
        <v>481</v>
      </c>
      <c r="H11" s="1">
        <v>6</v>
      </c>
      <c r="K11" s="1">
        <v>80</v>
      </c>
      <c r="L11" s="2"/>
      <c r="M11" s="32"/>
      <c r="N11" s="32"/>
      <c r="O11" s="32"/>
      <c r="P11" s="32"/>
      <c r="Q11" s="31" t="s">
        <v>551</v>
      </c>
      <c r="R11" s="32"/>
      <c r="S11" s="32"/>
      <c r="X11" s="1">
        <v>8</v>
      </c>
      <c r="AB11" s="16">
        <v>9</v>
      </c>
      <c r="AD11" s="29">
        <v>0.45833333333333398</v>
      </c>
      <c r="AE11" s="29">
        <v>0.47916666666666402</v>
      </c>
    </row>
    <row r="12" spans="2:32" ht="15">
      <c r="B12" s="1" t="s">
        <v>552</v>
      </c>
      <c r="C12" s="1" t="s">
        <v>477</v>
      </c>
      <c r="D12" s="1">
        <v>4</v>
      </c>
      <c r="I12" s="1">
        <v>10</v>
      </c>
      <c r="K12" s="1">
        <v>48</v>
      </c>
      <c r="L12" s="2"/>
      <c r="M12" s="31" t="s">
        <v>553</v>
      </c>
      <c r="N12" s="32"/>
      <c r="O12" s="32"/>
      <c r="P12" s="32"/>
      <c r="Q12" s="32"/>
      <c r="R12" s="32"/>
      <c r="S12" s="32"/>
      <c r="T12" s="1">
        <v>6</v>
      </c>
      <c r="AB12" s="18">
        <v>10</v>
      </c>
      <c r="AD12" s="29">
        <v>0.47916666666666702</v>
      </c>
      <c r="AE12" s="29">
        <v>0.499999999999997</v>
      </c>
    </row>
    <row r="13" spans="2:32" ht="15">
      <c r="B13" s="1" t="s">
        <v>554</v>
      </c>
      <c r="C13" s="1" t="s">
        <v>479</v>
      </c>
      <c r="I13" s="1">
        <v>6</v>
      </c>
      <c r="K13" s="1">
        <v>64</v>
      </c>
      <c r="L13" s="2"/>
      <c r="M13" s="32"/>
      <c r="N13" s="32"/>
      <c r="O13" s="32"/>
      <c r="P13" s="32"/>
      <c r="Q13" s="32"/>
      <c r="R13" s="31" t="s">
        <v>555</v>
      </c>
      <c r="S13" s="32"/>
      <c r="Y13" s="1">
        <v>8</v>
      </c>
      <c r="AD13" s="29">
        <v>0.5</v>
      </c>
      <c r="AE13" s="29">
        <v>0.52083333333333004</v>
      </c>
    </row>
    <row r="14" spans="2:32" ht="15">
      <c r="B14" s="1" t="s">
        <v>556</v>
      </c>
      <c r="C14" s="1" t="s">
        <v>481</v>
      </c>
      <c r="H14" s="1">
        <v>2</v>
      </c>
      <c r="K14" s="1">
        <v>48</v>
      </c>
      <c r="L14" s="2"/>
      <c r="M14" s="32"/>
      <c r="N14" s="32"/>
      <c r="O14" s="32"/>
      <c r="P14" s="32"/>
      <c r="Q14" s="31" t="s">
        <v>557</v>
      </c>
      <c r="R14" s="32"/>
      <c r="S14" s="32"/>
      <c r="X14" s="1">
        <v>6</v>
      </c>
      <c r="AD14" s="29">
        <v>0.52083333333333304</v>
      </c>
      <c r="AE14" s="29">
        <v>0.54166666666666297</v>
      </c>
    </row>
    <row r="15" spans="2:32" ht="30">
      <c r="B15" s="1" t="s">
        <v>98</v>
      </c>
      <c r="C15" s="1" t="s">
        <v>471</v>
      </c>
      <c r="D15" s="1">
        <v>1</v>
      </c>
      <c r="E15" s="1">
        <v>1</v>
      </c>
      <c r="F15" s="1">
        <v>3</v>
      </c>
      <c r="G15" s="1">
        <v>1</v>
      </c>
      <c r="H15" s="7">
        <v>1</v>
      </c>
      <c r="I15" s="1">
        <v>1</v>
      </c>
      <c r="J15" s="1">
        <v>1</v>
      </c>
      <c r="K15" s="1">
        <v>64</v>
      </c>
      <c r="L15" s="2"/>
      <c r="M15" s="31" t="s">
        <v>558</v>
      </c>
      <c r="N15" s="31" t="s">
        <v>558</v>
      </c>
      <c r="O15" s="31">
        <v>26781</v>
      </c>
      <c r="P15" s="31" t="s">
        <v>559</v>
      </c>
      <c r="Q15" s="31" t="s">
        <v>560</v>
      </c>
      <c r="R15" s="31" t="s">
        <v>561</v>
      </c>
      <c r="S15" s="31" t="s">
        <v>559</v>
      </c>
      <c r="T15" s="1">
        <v>8</v>
      </c>
      <c r="U15" s="1">
        <v>8</v>
      </c>
      <c r="V15" s="1">
        <v>8</v>
      </c>
      <c r="W15" s="1">
        <v>8</v>
      </c>
      <c r="X15" s="1">
        <v>8</v>
      </c>
      <c r="Y15" s="1">
        <v>7</v>
      </c>
      <c r="Z15" s="1">
        <v>8</v>
      </c>
      <c r="AD15" s="29">
        <v>0.54166666666666696</v>
      </c>
      <c r="AE15" s="29">
        <v>0.562499999999996</v>
      </c>
    </row>
    <row r="16" spans="2:32" ht="15">
      <c r="B16" s="1" t="s">
        <v>173</v>
      </c>
      <c r="C16" s="1" t="s">
        <v>482</v>
      </c>
      <c r="D16" s="1">
        <v>4</v>
      </c>
      <c r="E16" s="1">
        <v>4</v>
      </c>
      <c r="F16" s="1">
        <v>4</v>
      </c>
      <c r="G16" s="1">
        <v>4</v>
      </c>
      <c r="H16" s="7">
        <v>4</v>
      </c>
      <c r="I16" s="1">
        <v>4</v>
      </c>
      <c r="J16" s="1">
        <v>4</v>
      </c>
      <c r="K16" s="1">
        <v>32</v>
      </c>
      <c r="L16" s="2"/>
      <c r="M16" s="31" t="s">
        <v>562</v>
      </c>
      <c r="N16" s="31" t="s">
        <v>562</v>
      </c>
      <c r="O16" s="31" t="s">
        <v>562</v>
      </c>
      <c r="P16" s="31" t="s">
        <v>563</v>
      </c>
      <c r="Q16" s="31" t="s">
        <v>564</v>
      </c>
      <c r="R16" s="31" t="s">
        <v>565</v>
      </c>
      <c r="S16" s="31" t="s">
        <v>563</v>
      </c>
      <c r="T16" s="1">
        <v>4</v>
      </c>
      <c r="U16" s="1">
        <v>4</v>
      </c>
      <c r="V16" s="1">
        <v>4</v>
      </c>
      <c r="W16" s="1">
        <v>4</v>
      </c>
      <c r="X16" s="1">
        <v>4</v>
      </c>
      <c r="Y16" s="1">
        <v>4</v>
      </c>
      <c r="Z16" s="1">
        <v>4</v>
      </c>
      <c r="AD16" s="29">
        <v>0.5625</v>
      </c>
      <c r="AE16" s="29">
        <v>0.58333333333332904</v>
      </c>
    </row>
    <row r="17" spans="2:31" ht="15">
      <c r="B17" s="1" t="s">
        <v>177</v>
      </c>
      <c r="C17" s="1" t="s">
        <v>482</v>
      </c>
      <c r="D17" s="1">
        <v>5</v>
      </c>
      <c r="E17" s="1">
        <v>5</v>
      </c>
      <c r="F17" s="1">
        <v>5</v>
      </c>
      <c r="G17" s="1">
        <v>5</v>
      </c>
      <c r="H17" s="7">
        <v>5</v>
      </c>
      <c r="I17" s="1">
        <v>5</v>
      </c>
      <c r="J17" s="1">
        <v>5</v>
      </c>
      <c r="K17" s="1">
        <v>32</v>
      </c>
      <c r="L17" s="2"/>
      <c r="M17" s="31" t="s">
        <v>566</v>
      </c>
      <c r="N17" s="31" t="s">
        <v>566</v>
      </c>
      <c r="O17" s="31" t="s">
        <v>566</v>
      </c>
      <c r="P17" s="31" t="s">
        <v>567</v>
      </c>
      <c r="Q17" s="31" t="s">
        <v>568</v>
      </c>
      <c r="R17" s="31" t="s">
        <v>569</v>
      </c>
      <c r="S17" s="31" t="s">
        <v>567</v>
      </c>
      <c r="T17" s="1">
        <v>4</v>
      </c>
      <c r="U17" s="1">
        <v>4</v>
      </c>
      <c r="V17" s="1">
        <v>4</v>
      </c>
      <c r="W17" s="1">
        <v>4</v>
      </c>
      <c r="X17" s="1">
        <v>4</v>
      </c>
      <c r="Y17" s="1">
        <v>4</v>
      </c>
      <c r="Z17" s="1">
        <v>4</v>
      </c>
      <c r="AD17" s="29">
        <v>0.58333333333333304</v>
      </c>
      <c r="AE17" s="29">
        <v>0.60416666666666197</v>
      </c>
    </row>
    <row r="18" spans="2:31" ht="15">
      <c r="B18" s="1" t="s">
        <v>570</v>
      </c>
      <c r="C18" s="1" t="s">
        <v>471</v>
      </c>
      <c r="G18" s="1">
        <v>6</v>
      </c>
      <c r="K18" s="1">
        <v>48</v>
      </c>
      <c r="L18" s="2"/>
      <c r="M18" s="32"/>
      <c r="N18" s="32"/>
      <c r="O18" s="32"/>
      <c r="P18" s="31" t="s">
        <v>571</v>
      </c>
      <c r="Q18" s="32"/>
      <c r="R18" s="32"/>
      <c r="S18" s="32"/>
      <c r="W18" s="1">
        <v>6</v>
      </c>
      <c r="AD18" s="29">
        <v>0.60416666666666696</v>
      </c>
      <c r="AE18" s="29">
        <v>0.624999999999995</v>
      </c>
    </row>
    <row r="19" spans="2:31" ht="15">
      <c r="B19" s="1" t="s">
        <v>572</v>
      </c>
      <c r="C19" s="1" t="s">
        <v>471</v>
      </c>
      <c r="G19" s="1">
        <v>8</v>
      </c>
      <c r="K19" s="1">
        <v>48</v>
      </c>
      <c r="L19" s="2"/>
      <c r="M19" s="32"/>
      <c r="N19" s="32"/>
      <c r="O19" s="32"/>
      <c r="P19" s="31" t="s">
        <v>573</v>
      </c>
      <c r="Q19" s="32"/>
      <c r="R19" s="32"/>
      <c r="S19" s="32"/>
      <c r="W19" s="1">
        <v>6</v>
      </c>
      <c r="AD19" s="29">
        <v>0.625</v>
      </c>
      <c r="AE19" s="29">
        <v>0.64583333333332804</v>
      </c>
    </row>
    <row r="20" spans="2:31" ht="15">
      <c r="B20" s="1" t="s">
        <v>432</v>
      </c>
      <c r="C20" s="1" t="s">
        <v>488</v>
      </c>
      <c r="I20" s="44">
        <v>9</v>
      </c>
      <c r="K20" s="1">
        <v>48</v>
      </c>
      <c r="L20" s="2" t="s">
        <v>68</v>
      </c>
      <c r="M20" s="32"/>
      <c r="N20" s="32"/>
      <c r="O20" s="32"/>
      <c r="P20" s="32"/>
      <c r="Q20" s="32"/>
      <c r="R20" s="31" t="s">
        <v>574</v>
      </c>
      <c r="S20" s="32"/>
      <c r="Y20" s="1">
        <v>6</v>
      </c>
      <c r="AD20" s="29">
        <v>0.64583333333333304</v>
      </c>
      <c r="AE20" s="29">
        <v>0.66666666666666097</v>
      </c>
    </row>
    <row r="21" spans="2:31" ht="15">
      <c r="B21" s="1" t="s">
        <v>575</v>
      </c>
      <c r="C21" s="1" t="s">
        <v>471</v>
      </c>
      <c r="G21" s="1">
        <v>6</v>
      </c>
      <c r="K21" s="1">
        <v>48</v>
      </c>
      <c r="L21" s="2"/>
      <c r="M21" s="32"/>
      <c r="N21" s="32"/>
      <c r="O21" s="32"/>
      <c r="P21" s="31" t="s">
        <v>576</v>
      </c>
      <c r="Q21" s="32"/>
      <c r="R21" s="32"/>
      <c r="S21" s="32"/>
      <c r="W21" s="1">
        <v>6</v>
      </c>
      <c r="AD21" s="29">
        <v>0.66666666666666696</v>
      </c>
      <c r="AE21" s="29">
        <v>0.687499999999994</v>
      </c>
    </row>
    <row r="22" spans="2:31" ht="15">
      <c r="B22" s="1" t="s">
        <v>258</v>
      </c>
      <c r="C22" s="1" t="s">
        <v>479</v>
      </c>
      <c r="I22" s="44">
        <v>9</v>
      </c>
      <c r="K22" s="1">
        <v>48</v>
      </c>
      <c r="L22" s="2"/>
      <c r="M22" s="32"/>
      <c r="N22" s="32"/>
      <c r="O22" s="32"/>
      <c r="P22" s="32"/>
      <c r="Q22" s="32"/>
      <c r="R22" s="31" t="s">
        <v>577</v>
      </c>
      <c r="S22" s="32"/>
      <c r="Y22" s="1">
        <v>6</v>
      </c>
      <c r="AD22" s="29">
        <v>0.6875</v>
      </c>
      <c r="AE22" s="29">
        <v>0.70833333333332704</v>
      </c>
    </row>
    <row r="23" spans="2:31" ht="15">
      <c r="B23" s="1" t="s">
        <v>269</v>
      </c>
      <c r="C23" s="1" t="s">
        <v>479</v>
      </c>
      <c r="I23" s="1">
        <v>7</v>
      </c>
      <c r="K23" s="1">
        <v>48</v>
      </c>
      <c r="L23" s="2"/>
      <c r="M23" s="32"/>
      <c r="N23" s="32"/>
      <c r="O23" s="32"/>
      <c r="P23" s="32"/>
      <c r="Q23" s="32"/>
      <c r="R23" s="31" t="s">
        <v>578</v>
      </c>
      <c r="S23" s="32"/>
      <c r="Y23" s="1">
        <v>6</v>
      </c>
      <c r="AD23" s="29">
        <v>0.70833333333333304</v>
      </c>
      <c r="AE23" s="29">
        <v>0.72916666666665997</v>
      </c>
    </row>
    <row r="24" spans="2:31" ht="15">
      <c r="B24" s="1" t="s">
        <v>579</v>
      </c>
      <c r="C24" s="1" t="s">
        <v>479</v>
      </c>
      <c r="I24" s="1">
        <v>8</v>
      </c>
      <c r="K24" s="1">
        <v>48</v>
      </c>
      <c r="L24" s="2"/>
      <c r="M24" s="32"/>
      <c r="N24" s="32"/>
      <c r="O24" s="32"/>
      <c r="P24" s="32"/>
      <c r="Q24" s="32"/>
      <c r="R24" s="31" t="s">
        <v>580</v>
      </c>
      <c r="S24" s="32"/>
      <c r="Y24" s="1">
        <v>6</v>
      </c>
      <c r="AD24" s="29">
        <v>0.72916666666666696</v>
      </c>
      <c r="AE24" s="29">
        <v>0.74999999999999301</v>
      </c>
    </row>
    <row r="25" spans="2:31" ht="15">
      <c r="B25" s="1" t="s">
        <v>581</v>
      </c>
      <c r="C25" s="1" t="s">
        <v>469</v>
      </c>
      <c r="J25" s="1">
        <v>8</v>
      </c>
      <c r="K25" s="1">
        <v>64</v>
      </c>
      <c r="L25" s="2"/>
      <c r="M25" s="32"/>
      <c r="N25" s="32"/>
      <c r="O25" s="32"/>
      <c r="P25" s="32"/>
      <c r="Q25" s="32"/>
      <c r="R25" s="32"/>
      <c r="S25" s="31" t="s">
        <v>582</v>
      </c>
      <c r="Z25" s="1">
        <v>6</v>
      </c>
      <c r="AD25" s="29">
        <v>0.75</v>
      </c>
      <c r="AE25" s="29">
        <v>0.77083333333332604</v>
      </c>
    </row>
    <row r="26" spans="2:31" ht="15">
      <c r="B26" s="1" t="s">
        <v>141</v>
      </c>
      <c r="C26" s="1" t="s">
        <v>469</v>
      </c>
      <c r="J26" s="1">
        <v>3</v>
      </c>
      <c r="K26" s="1">
        <v>64</v>
      </c>
      <c r="L26" s="2"/>
      <c r="M26" s="32"/>
      <c r="N26" s="32"/>
      <c r="O26" s="32"/>
      <c r="P26" s="32"/>
      <c r="Q26" s="32"/>
      <c r="R26" s="32"/>
      <c r="S26" s="31" t="s">
        <v>583</v>
      </c>
      <c r="Z26" s="1">
        <v>5</v>
      </c>
      <c r="AD26" s="29">
        <v>0.77083333333333304</v>
      </c>
      <c r="AE26" s="29">
        <v>0.79166666666665897</v>
      </c>
    </row>
    <row r="27" spans="2:31" ht="15">
      <c r="B27" s="1" t="s">
        <v>414</v>
      </c>
      <c r="C27" s="1" t="s">
        <v>469</v>
      </c>
      <c r="J27" s="1">
        <v>5</v>
      </c>
      <c r="K27" s="1">
        <v>64</v>
      </c>
      <c r="L27" s="2"/>
      <c r="M27" s="32"/>
      <c r="N27" s="32"/>
      <c r="O27" s="32"/>
      <c r="P27" s="32"/>
      <c r="Q27" s="32"/>
      <c r="R27" s="32"/>
      <c r="S27" s="31" t="s">
        <v>584</v>
      </c>
      <c r="Z27" s="1">
        <v>6</v>
      </c>
      <c r="AD27" s="29">
        <v>0.79166666666666696</v>
      </c>
      <c r="AE27" s="29">
        <v>0.81249999999999201</v>
      </c>
    </row>
    <row r="28" spans="2:31" ht="15">
      <c r="B28" s="1" t="s">
        <v>312</v>
      </c>
      <c r="C28" s="1" t="s">
        <v>469</v>
      </c>
      <c r="J28" s="1">
        <v>7</v>
      </c>
      <c r="K28" s="1">
        <v>64</v>
      </c>
      <c r="L28" s="2"/>
      <c r="M28" s="32"/>
      <c r="N28" s="32"/>
      <c r="O28" s="32"/>
      <c r="P28" s="32"/>
      <c r="Q28" s="32"/>
      <c r="R28" s="32"/>
      <c r="S28" s="31" t="s">
        <v>585</v>
      </c>
      <c r="Z28" s="1">
        <v>6</v>
      </c>
      <c r="AD28" s="29">
        <v>0.8125</v>
      </c>
      <c r="AE28" s="29">
        <v>0.83333333333332504</v>
      </c>
    </row>
    <row r="29" spans="2:31" ht="15">
      <c r="B29" s="1" t="s">
        <v>402</v>
      </c>
      <c r="C29" s="1" t="s">
        <v>481</v>
      </c>
      <c r="H29" s="1">
        <v>7</v>
      </c>
      <c r="K29" s="1">
        <v>64</v>
      </c>
      <c r="L29" s="2"/>
      <c r="M29" s="32"/>
      <c r="N29" s="32"/>
      <c r="O29" s="32"/>
      <c r="P29" s="32"/>
      <c r="Q29" s="31" t="s">
        <v>586</v>
      </c>
      <c r="R29" s="32"/>
      <c r="S29" s="32"/>
      <c r="X29" s="1">
        <v>6</v>
      </c>
      <c r="AD29" s="29">
        <v>0.83333333333333304</v>
      </c>
      <c r="AE29" s="29">
        <v>0.85416666666665797</v>
      </c>
    </row>
    <row r="30" spans="2:31" ht="15">
      <c r="B30" s="1" t="s">
        <v>270</v>
      </c>
      <c r="C30" s="1" t="s">
        <v>479</v>
      </c>
      <c r="I30" s="1">
        <v>1</v>
      </c>
      <c r="K30" s="1">
        <v>48</v>
      </c>
      <c r="L30" s="2"/>
      <c r="M30" s="32"/>
      <c r="N30" s="32"/>
      <c r="O30" s="32"/>
      <c r="P30" s="32"/>
      <c r="Q30" s="32"/>
      <c r="R30" s="31" t="s">
        <v>587</v>
      </c>
      <c r="S30" s="32"/>
      <c r="Y30" s="1">
        <v>4</v>
      </c>
      <c r="AD30" s="29">
        <v>0.85416666666666696</v>
      </c>
      <c r="AE30" s="29">
        <v>0.87499999999999001</v>
      </c>
    </row>
    <row r="31" spans="2:31" ht="15">
      <c r="B31" s="1" t="s">
        <v>588</v>
      </c>
      <c r="C31" s="1" t="s">
        <v>479</v>
      </c>
      <c r="K31" s="1">
        <v>64</v>
      </c>
      <c r="L31" s="2" t="s">
        <v>68</v>
      </c>
      <c r="M31" s="32"/>
      <c r="N31" s="32"/>
      <c r="O31" s="32"/>
      <c r="P31" s="32"/>
      <c r="Q31" s="32"/>
      <c r="R31" s="31" t="s">
        <v>589</v>
      </c>
      <c r="S31" s="32"/>
      <c r="Y31" s="1">
        <v>7</v>
      </c>
      <c r="AD31" s="29">
        <v>0.875</v>
      </c>
      <c r="AE31" s="29">
        <v>0.89583333333332305</v>
      </c>
    </row>
    <row r="32" spans="2:31" ht="15">
      <c r="B32" s="1" t="s">
        <v>221</v>
      </c>
      <c r="C32" s="1" t="s">
        <v>484</v>
      </c>
      <c r="D32" s="1">
        <v>1</v>
      </c>
      <c r="E32" s="1">
        <v>1</v>
      </c>
      <c r="F32" s="1">
        <v>3</v>
      </c>
      <c r="G32" s="1">
        <v>1</v>
      </c>
      <c r="H32" s="1">
        <v>1</v>
      </c>
      <c r="I32" s="1">
        <v>1</v>
      </c>
      <c r="J32" s="1">
        <v>1</v>
      </c>
      <c r="K32" s="1">
        <v>64</v>
      </c>
      <c r="L32" s="2"/>
      <c r="M32" s="31" t="s">
        <v>590</v>
      </c>
      <c r="N32" s="31" t="s">
        <v>590</v>
      </c>
      <c r="O32" s="31">
        <v>26776</v>
      </c>
      <c r="P32" s="31" t="s">
        <v>591</v>
      </c>
      <c r="Q32" s="31" t="s">
        <v>592</v>
      </c>
      <c r="R32" s="31" t="s">
        <v>590</v>
      </c>
      <c r="S32" s="31" t="s">
        <v>591</v>
      </c>
      <c r="T32" s="1">
        <v>8</v>
      </c>
      <c r="U32" s="1">
        <v>8</v>
      </c>
      <c r="V32" s="1">
        <v>8</v>
      </c>
      <c r="W32" s="1">
        <v>8</v>
      </c>
      <c r="X32" s="1">
        <v>8</v>
      </c>
      <c r="Y32" s="1">
        <v>8</v>
      </c>
      <c r="Z32" s="1">
        <v>8</v>
      </c>
      <c r="AD32" s="29">
        <v>0.89583333333333304</v>
      </c>
      <c r="AE32" s="29">
        <v>0.91666666666665697</v>
      </c>
    </row>
    <row r="33" spans="2:26" ht="15">
      <c r="B33" s="1" t="s">
        <v>263</v>
      </c>
      <c r="C33" s="1" t="s">
        <v>484</v>
      </c>
      <c r="D33" s="1">
        <v>2</v>
      </c>
      <c r="E33" s="1">
        <v>2</v>
      </c>
      <c r="F33" s="1">
        <v>4</v>
      </c>
      <c r="G33" s="1">
        <v>2</v>
      </c>
      <c r="H33" s="1">
        <v>2</v>
      </c>
      <c r="I33" s="1">
        <v>2</v>
      </c>
      <c r="J33" s="1">
        <v>2</v>
      </c>
      <c r="K33" s="1">
        <v>64</v>
      </c>
      <c r="L33" s="2"/>
      <c r="M33" s="31" t="s">
        <v>593</v>
      </c>
      <c r="N33" s="31" t="s">
        <v>593</v>
      </c>
      <c r="O33" s="31" t="s">
        <v>594</v>
      </c>
      <c r="P33" s="31" t="s">
        <v>595</v>
      </c>
      <c r="Q33" s="31" t="s">
        <v>596</v>
      </c>
      <c r="R33" s="31" t="s">
        <v>593</v>
      </c>
      <c r="S33" s="31" t="s">
        <v>595</v>
      </c>
      <c r="T33" s="1">
        <v>8</v>
      </c>
      <c r="V33" s="1">
        <v>8</v>
      </c>
      <c r="W33" s="1">
        <v>8</v>
      </c>
      <c r="X33" s="1">
        <v>6</v>
      </c>
      <c r="Y33" s="1">
        <v>8</v>
      </c>
      <c r="Z33" s="1">
        <v>8</v>
      </c>
    </row>
    <row r="34" spans="2:26" ht="13.5" customHeight="1">
      <c r="B34" s="1" t="s">
        <v>597</v>
      </c>
      <c r="C34" s="1" t="s">
        <v>484</v>
      </c>
      <c r="G34" s="1">
        <v>4</v>
      </c>
      <c r="K34" s="1">
        <v>64</v>
      </c>
      <c r="L34" s="2"/>
      <c r="M34" s="32"/>
      <c r="N34" s="32"/>
      <c r="O34" s="32"/>
      <c r="P34" s="31" t="s">
        <v>598</v>
      </c>
      <c r="Q34" s="32"/>
      <c r="R34" s="32"/>
      <c r="S34" s="32"/>
      <c r="W34" s="1">
        <v>8</v>
      </c>
    </row>
    <row r="35" spans="2:26" ht="15">
      <c r="B35" s="1" t="s">
        <v>223</v>
      </c>
      <c r="C35" s="1" t="s">
        <v>484</v>
      </c>
      <c r="D35" s="1">
        <v>3</v>
      </c>
      <c r="E35" s="1">
        <v>3</v>
      </c>
      <c r="F35" s="1">
        <v>5</v>
      </c>
      <c r="G35" s="1">
        <v>3</v>
      </c>
      <c r="H35" s="1">
        <v>3</v>
      </c>
      <c r="I35" s="1">
        <v>3</v>
      </c>
      <c r="J35" s="1">
        <v>3</v>
      </c>
      <c r="K35" s="1">
        <v>64</v>
      </c>
      <c r="L35" s="2"/>
      <c r="M35" s="31" t="s">
        <v>599</v>
      </c>
      <c r="N35" s="31" t="s">
        <v>599</v>
      </c>
      <c r="O35" s="31" t="s">
        <v>600</v>
      </c>
      <c r="P35" s="31" t="s">
        <v>601</v>
      </c>
      <c r="Q35" s="31" t="s">
        <v>602</v>
      </c>
      <c r="R35" s="31" t="s">
        <v>599</v>
      </c>
      <c r="S35" s="31" t="s">
        <v>601</v>
      </c>
      <c r="T35" s="1">
        <v>8</v>
      </c>
      <c r="U35" s="1">
        <v>8</v>
      </c>
      <c r="V35" s="1">
        <v>8</v>
      </c>
      <c r="W35" s="1">
        <v>8</v>
      </c>
      <c r="X35" s="1">
        <v>8</v>
      </c>
      <c r="Y35" s="1">
        <v>8</v>
      </c>
      <c r="Z35" s="1">
        <v>8</v>
      </c>
    </row>
    <row r="36" spans="2:26" ht="15">
      <c r="B36" s="1" t="s">
        <v>603</v>
      </c>
      <c r="K36" s="1">
        <v>64</v>
      </c>
      <c r="L36" s="2" t="s">
        <v>68</v>
      </c>
      <c r="M36" s="32"/>
      <c r="N36" s="32"/>
      <c r="O36" s="32"/>
      <c r="P36" s="31"/>
      <c r="Q36" s="32"/>
      <c r="R36" s="31" t="s">
        <v>604</v>
      </c>
      <c r="S36" s="32"/>
      <c r="Y36" s="1">
        <v>8</v>
      </c>
    </row>
    <row r="37" spans="2:26" ht="15">
      <c r="B37" s="1" t="s">
        <v>605</v>
      </c>
      <c r="C37" s="7" t="s">
        <v>488</v>
      </c>
      <c r="I37" s="44">
        <v>10</v>
      </c>
      <c r="K37" s="1">
        <v>48</v>
      </c>
      <c r="L37" s="2" t="s">
        <v>68</v>
      </c>
      <c r="M37" s="32"/>
      <c r="N37" s="32"/>
      <c r="O37" s="32"/>
      <c r="P37" s="32"/>
      <c r="Q37" s="32"/>
      <c r="R37" s="31" t="s">
        <v>606</v>
      </c>
      <c r="S37" s="32"/>
      <c r="Y37" s="1">
        <v>8</v>
      </c>
    </row>
    <row r="38" spans="2:26" ht="15">
      <c r="B38" s="1" t="s">
        <v>428</v>
      </c>
      <c r="C38" s="1" t="s">
        <v>475</v>
      </c>
      <c r="E38" s="1">
        <v>3</v>
      </c>
      <c r="G38" s="1">
        <v>3</v>
      </c>
      <c r="H38" s="7">
        <v>4</v>
      </c>
      <c r="J38" s="1">
        <v>3</v>
      </c>
      <c r="K38" s="1">
        <v>48</v>
      </c>
      <c r="L38" s="2"/>
      <c r="M38" s="32"/>
      <c r="N38" s="31" t="s">
        <v>607</v>
      </c>
      <c r="O38" s="32"/>
      <c r="P38" s="31" t="s">
        <v>608</v>
      </c>
      <c r="Q38" s="31" t="s">
        <v>609</v>
      </c>
      <c r="R38" s="32"/>
      <c r="S38" s="31" t="s">
        <v>608</v>
      </c>
      <c r="U38" s="1">
        <v>6</v>
      </c>
      <c r="W38" s="1">
        <v>6</v>
      </c>
      <c r="X38" s="1">
        <v>7</v>
      </c>
      <c r="Z38" s="1">
        <v>6</v>
      </c>
    </row>
    <row r="39" spans="2:26" ht="15">
      <c r="B39" s="1" t="s">
        <v>138</v>
      </c>
      <c r="C39" s="1" t="s">
        <v>475</v>
      </c>
      <c r="E39" s="1">
        <v>4</v>
      </c>
      <c r="H39" s="7">
        <v>5</v>
      </c>
      <c r="J39" s="1">
        <v>4</v>
      </c>
      <c r="K39" s="1">
        <v>64</v>
      </c>
      <c r="L39" s="2"/>
      <c r="M39" s="32"/>
      <c r="N39" s="31" t="s">
        <v>610</v>
      </c>
      <c r="O39" s="32"/>
      <c r="P39" s="32"/>
      <c r="Q39" s="31" t="s">
        <v>611</v>
      </c>
      <c r="R39" s="32"/>
      <c r="S39" s="31" t="s">
        <v>612</v>
      </c>
      <c r="U39" s="1">
        <v>6</v>
      </c>
      <c r="X39" s="1">
        <v>7</v>
      </c>
      <c r="Z39" s="1">
        <v>6</v>
      </c>
    </row>
    <row r="40" spans="2:26" ht="15">
      <c r="B40" s="1" t="s">
        <v>613</v>
      </c>
      <c r="C40" s="1" t="s">
        <v>475</v>
      </c>
      <c r="F40" s="1">
        <v>6</v>
      </c>
      <c r="K40" s="1">
        <v>64</v>
      </c>
      <c r="L40" s="2"/>
      <c r="M40" s="32"/>
      <c r="N40" s="32"/>
      <c r="O40" s="31" t="s">
        <v>614</v>
      </c>
      <c r="P40" s="32"/>
      <c r="Q40" s="32"/>
      <c r="R40" s="32"/>
      <c r="S40" s="32"/>
      <c r="V40" s="1">
        <v>5</v>
      </c>
    </row>
    <row r="41" spans="2:26" ht="15">
      <c r="B41" s="1" t="s">
        <v>83</v>
      </c>
      <c r="C41" s="1" t="s">
        <v>475</v>
      </c>
      <c r="D41" s="1">
        <v>5</v>
      </c>
      <c r="E41" s="1">
        <v>3</v>
      </c>
      <c r="H41" s="1">
        <v>3</v>
      </c>
      <c r="J41" s="1">
        <v>3</v>
      </c>
      <c r="K41" s="1">
        <v>64</v>
      </c>
      <c r="L41" s="2"/>
      <c r="M41" s="31" t="s">
        <v>615</v>
      </c>
      <c r="N41" s="31" t="s">
        <v>616</v>
      </c>
      <c r="O41" s="32"/>
      <c r="P41" s="32"/>
      <c r="Q41" s="31" t="s">
        <v>617</v>
      </c>
      <c r="R41" s="32"/>
      <c r="S41" s="31" t="s">
        <v>618</v>
      </c>
      <c r="T41" s="1">
        <v>7</v>
      </c>
      <c r="U41" s="1">
        <v>7</v>
      </c>
      <c r="X41" s="1">
        <v>6</v>
      </c>
      <c r="Z41" s="1">
        <v>8</v>
      </c>
    </row>
    <row r="42" spans="2:26" ht="15">
      <c r="B42" s="1" t="s">
        <v>619</v>
      </c>
      <c r="C42" s="1" t="s">
        <v>475</v>
      </c>
      <c r="J42" s="1">
        <v>4</v>
      </c>
      <c r="K42" s="1">
        <v>48</v>
      </c>
      <c r="L42" s="2"/>
      <c r="M42" s="32"/>
      <c r="N42" s="32"/>
      <c r="O42" s="32"/>
      <c r="P42" s="32"/>
      <c r="Q42" s="32"/>
      <c r="R42" s="32"/>
      <c r="S42" s="31" t="s">
        <v>620</v>
      </c>
      <c r="Z42" s="1">
        <v>5</v>
      </c>
    </row>
    <row r="43" spans="2:26" ht="15">
      <c r="B43" s="1" t="s">
        <v>621</v>
      </c>
      <c r="C43" s="1" t="s">
        <v>479</v>
      </c>
      <c r="I43" s="1">
        <v>6</v>
      </c>
      <c r="K43" s="1">
        <v>80</v>
      </c>
      <c r="L43" s="2"/>
      <c r="M43" s="32"/>
      <c r="N43" s="32"/>
      <c r="O43" s="32"/>
      <c r="P43" s="32"/>
      <c r="Q43" s="32"/>
      <c r="R43" s="31" t="s">
        <v>622</v>
      </c>
      <c r="S43" s="32"/>
      <c r="Y43" s="1">
        <v>7</v>
      </c>
    </row>
    <row r="44" spans="2:26" ht="15">
      <c r="B44" s="1" t="s">
        <v>292</v>
      </c>
      <c r="C44" s="1" t="s">
        <v>471</v>
      </c>
      <c r="G44" s="1">
        <v>7</v>
      </c>
      <c r="K44" s="1">
        <v>48</v>
      </c>
      <c r="L44" s="2"/>
      <c r="M44" s="32"/>
      <c r="N44" s="32"/>
      <c r="O44" s="32"/>
      <c r="P44" s="31" t="s">
        <v>623</v>
      </c>
      <c r="Q44" s="32"/>
      <c r="R44" s="32"/>
      <c r="S44" s="32"/>
      <c r="W44" s="1">
        <v>6</v>
      </c>
    </row>
    <row r="45" spans="2:26" ht="15">
      <c r="B45" s="1" t="s">
        <v>624</v>
      </c>
      <c r="C45" s="1" t="s">
        <v>475</v>
      </c>
      <c r="E45" s="8">
        <v>8</v>
      </c>
      <c r="J45" s="1">
        <v>8</v>
      </c>
      <c r="K45" s="1">
        <v>48</v>
      </c>
      <c r="L45" s="2" t="s">
        <v>68</v>
      </c>
      <c r="M45" s="32"/>
      <c r="N45" s="31" t="s">
        <v>625</v>
      </c>
      <c r="O45" s="32"/>
      <c r="P45" s="32"/>
      <c r="Q45" s="32"/>
      <c r="R45" s="32"/>
      <c r="S45" s="31" t="s">
        <v>626</v>
      </c>
      <c r="U45" s="1">
        <v>6</v>
      </c>
      <c r="Z45" s="1">
        <v>6</v>
      </c>
    </row>
    <row r="46" spans="2:26" ht="30">
      <c r="B46" s="1" t="s">
        <v>627</v>
      </c>
      <c r="C46" s="1" t="s">
        <v>479</v>
      </c>
      <c r="K46" s="1">
        <v>48</v>
      </c>
      <c r="L46" s="2" t="s">
        <v>68</v>
      </c>
      <c r="M46" s="32"/>
      <c r="N46" s="32"/>
      <c r="O46" s="32"/>
      <c r="P46" s="32"/>
      <c r="Q46" s="32"/>
      <c r="R46" s="31" t="s">
        <v>628</v>
      </c>
      <c r="S46" s="32"/>
      <c r="Y46" s="1">
        <v>6</v>
      </c>
    </row>
    <row r="47" spans="2:26" ht="15">
      <c r="B47" s="1" t="s">
        <v>629</v>
      </c>
      <c r="C47" s="1" t="s">
        <v>477</v>
      </c>
      <c r="D47" s="1">
        <v>2</v>
      </c>
      <c r="I47" s="1">
        <v>8</v>
      </c>
      <c r="K47" s="1">
        <v>48</v>
      </c>
      <c r="L47" s="2"/>
      <c r="M47" s="31" t="s">
        <v>630</v>
      </c>
      <c r="N47" s="32"/>
      <c r="O47" s="32"/>
      <c r="P47" s="32"/>
      <c r="Q47" s="32"/>
      <c r="R47" s="31" t="s">
        <v>631</v>
      </c>
      <c r="S47" s="32"/>
      <c r="T47" s="1">
        <v>6</v>
      </c>
      <c r="Y47" s="1">
        <v>6</v>
      </c>
    </row>
    <row r="48" spans="2:26" ht="15">
      <c r="B48" s="1" t="s">
        <v>129</v>
      </c>
      <c r="C48" s="1" t="s">
        <v>473</v>
      </c>
      <c r="D48" s="1">
        <v>5</v>
      </c>
      <c r="E48" s="8"/>
      <c r="K48" s="1">
        <v>48</v>
      </c>
      <c r="L48" s="2" t="s">
        <v>68</v>
      </c>
      <c r="M48" s="31" t="s">
        <v>632</v>
      </c>
      <c r="N48" s="31" t="s">
        <v>633</v>
      </c>
      <c r="O48" s="32"/>
      <c r="P48" s="32"/>
      <c r="Q48" s="32"/>
      <c r="R48" s="32"/>
      <c r="S48" s="32"/>
      <c r="T48" s="1">
        <v>6</v>
      </c>
      <c r="U48" s="1">
        <v>6</v>
      </c>
    </row>
    <row r="49" spans="2:26" ht="15">
      <c r="B49" s="1" t="s">
        <v>634</v>
      </c>
      <c r="C49" s="1" t="s">
        <v>475</v>
      </c>
      <c r="I49" s="1">
        <v>4</v>
      </c>
      <c r="K49" s="1">
        <v>64</v>
      </c>
      <c r="L49" s="2" t="s">
        <v>68</v>
      </c>
      <c r="M49" s="32"/>
      <c r="N49" s="32"/>
      <c r="O49" s="32"/>
      <c r="P49" s="32"/>
      <c r="Q49" s="32"/>
      <c r="R49" s="31" t="s">
        <v>635</v>
      </c>
      <c r="S49" s="32"/>
      <c r="Y49" s="1">
        <v>7</v>
      </c>
    </row>
    <row r="50" spans="2:26" ht="15">
      <c r="B50" s="1" t="s">
        <v>320</v>
      </c>
      <c r="C50" s="1" t="s">
        <v>477</v>
      </c>
      <c r="I50" s="1">
        <v>5</v>
      </c>
      <c r="K50" s="1">
        <v>48</v>
      </c>
      <c r="L50" s="2" t="s">
        <v>68</v>
      </c>
      <c r="M50" s="32"/>
      <c r="N50" s="32"/>
      <c r="O50" s="32"/>
      <c r="P50" s="32"/>
      <c r="Q50" s="32"/>
      <c r="R50" s="31" t="s">
        <v>636</v>
      </c>
      <c r="S50" s="32"/>
      <c r="Y50" s="1">
        <v>4</v>
      </c>
    </row>
    <row r="51" spans="2:26" ht="15">
      <c r="B51" s="1" t="s">
        <v>637</v>
      </c>
      <c r="C51" s="1" t="s">
        <v>471</v>
      </c>
      <c r="G51" s="1">
        <v>8</v>
      </c>
      <c r="K51" s="1">
        <v>48</v>
      </c>
      <c r="L51" s="2"/>
      <c r="M51" s="32"/>
      <c r="N51" s="32"/>
      <c r="O51" s="32"/>
      <c r="P51" s="31" t="s">
        <v>638</v>
      </c>
      <c r="Q51" s="32"/>
      <c r="R51" s="32"/>
      <c r="S51" s="32"/>
      <c r="W51" s="1">
        <v>6</v>
      </c>
    </row>
    <row r="52" spans="2:26" ht="30">
      <c r="B52" s="1" t="s">
        <v>295</v>
      </c>
      <c r="C52" s="1" t="s">
        <v>471</v>
      </c>
      <c r="G52" s="1">
        <v>7</v>
      </c>
      <c r="J52" s="1">
        <v>7</v>
      </c>
      <c r="K52" s="1">
        <v>48</v>
      </c>
      <c r="L52" s="2"/>
      <c r="M52" s="32"/>
      <c r="N52" s="32"/>
      <c r="O52" s="32"/>
      <c r="P52" s="31" t="s">
        <v>639</v>
      </c>
      <c r="Q52" s="32"/>
      <c r="R52" s="32"/>
      <c r="S52" s="31" t="s">
        <v>639</v>
      </c>
      <c r="W52" s="1">
        <v>6</v>
      </c>
      <c r="Z52" s="1">
        <v>6</v>
      </c>
    </row>
    <row r="53" spans="2:26" ht="15">
      <c r="B53" s="1" t="s">
        <v>273</v>
      </c>
      <c r="C53" s="1" t="s">
        <v>471</v>
      </c>
      <c r="G53" s="1">
        <v>5</v>
      </c>
      <c r="J53" s="1">
        <v>5</v>
      </c>
      <c r="K53" s="1">
        <v>48</v>
      </c>
      <c r="L53" s="2"/>
      <c r="M53" s="32"/>
      <c r="N53" s="32"/>
      <c r="O53" s="32"/>
      <c r="P53" s="31" t="s">
        <v>640</v>
      </c>
      <c r="Q53" s="32"/>
      <c r="R53" s="32"/>
      <c r="S53" s="31" t="s">
        <v>640</v>
      </c>
      <c r="W53" s="1">
        <v>6</v>
      </c>
      <c r="Z53" s="1">
        <v>6</v>
      </c>
    </row>
    <row r="54" spans="2:26" ht="15">
      <c r="B54" s="1" t="s">
        <v>244</v>
      </c>
      <c r="C54" s="1" t="s">
        <v>475</v>
      </c>
      <c r="E54" s="8">
        <v>7</v>
      </c>
      <c r="J54" s="1">
        <v>7</v>
      </c>
      <c r="K54" s="1">
        <v>64</v>
      </c>
      <c r="L54" s="2" t="s">
        <v>68</v>
      </c>
      <c r="M54" s="32"/>
      <c r="N54" s="31" t="s">
        <v>641</v>
      </c>
      <c r="O54" s="32"/>
      <c r="P54" s="32"/>
      <c r="Q54" s="32"/>
      <c r="R54" s="32"/>
      <c r="S54" s="31" t="s">
        <v>642</v>
      </c>
      <c r="U54" s="1">
        <v>6</v>
      </c>
      <c r="Z54" s="1">
        <v>6</v>
      </c>
    </row>
    <row r="55" spans="2:26" ht="15">
      <c r="B55" s="1" t="s">
        <v>198</v>
      </c>
      <c r="C55" s="1" t="s">
        <v>485</v>
      </c>
      <c r="E55" s="1">
        <v>3</v>
      </c>
      <c r="I55" s="1">
        <v>3</v>
      </c>
      <c r="K55" s="1">
        <v>64</v>
      </c>
      <c r="L55" s="2"/>
      <c r="M55" s="32"/>
      <c r="N55" s="31" t="s">
        <v>643</v>
      </c>
      <c r="O55" s="32"/>
      <c r="P55" s="32"/>
      <c r="Q55" s="32"/>
      <c r="R55" s="31" t="s">
        <v>644</v>
      </c>
      <c r="S55" s="32"/>
      <c r="U55" s="1">
        <v>8</v>
      </c>
      <c r="Y55" s="1">
        <v>8</v>
      </c>
    </row>
    <row r="56" spans="2:26" ht="15">
      <c r="B56" s="1" t="s">
        <v>645</v>
      </c>
      <c r="C56" s="1" t="s">
        <v>475</v>
      </c>
      <c r="E56" s="1">
        <v>6</v>
      </c>
      <c r="J56" s="1">
        <v>6</v>
      </c>
      <c r="K56" s="1">
        <v>48</v>
      </c>
      <c r="L56" s="2"/>
      <c r="M56" s="32"/>
      <c r="N56" s="31" t="s">
        <v>646</v>
      </c>
      <c r="O56" s="32"/>
      <c r="P56" s="32"/>
      <c r="Q56" s="32"/>
      <c r="R56" s="32"/>
      <c r="S56" s="31" t="s">
        <v>647</v>
      </c>
      <c r="U56" s="1">
        <v>6</v>
      </c>
      <c r="Z56" s="1">
        <v>6</v>
      </c>
    </row>
    <row r="57" spans="2:26" ht="15">
      <c r="B57" s="1" t="s">
        <v>648</v>
      </c>
      <c r="C57" s="1" t="s">
        <v>477</v>
      </c>
      <c r="D57" s="1">
        <v>8</v>
      </c>
      <c r="E57" s="1">
        <v>8</v>
      </c>
      <c r="F57" s="1">
        <v>8</v>
      </c>
      <c r="G57" s="1">
        <v>8</v>
      </c>
      <c r="H57" s="1">
        <v>8</v>
      </c>
      <c r="J57" s="1">
        <v>8</v>
      </c>
      <c r="K57" s="1">
        <v>32</v>
      </c>
      <c r="L57" s="2" t="s">
        <v>68</v>
      </c>
      <c r="M57" s="31" t="s">
        <v>649</v>
      </c>
      <c r="N57" s="31" t="s">
        <v>649</v>
      </c>
      <c r="O57" s="31" t="s">
        <v>650</v>
      </c>
      <c r="P57" s="31" t="s">
        <v>651</v>
      </c>
      <c r="Q57" s="31" t="s">
        <v>652</v>
      </c>
      <c r="R57" s="32"/>
      <c r="S57" s="31" t="s">
        <v>651</v>
      </c>
      <c r="T57" s="1">
        <v>4</v>
      </c>
      <c r="U57" s="1">
        <v>4</v>
      </c>
      <c r="V57" s="1">
        <v>4</v>
      </c>
      <c r="W57" s="1">
        <v>4</v>
      </c>
      <c r="X57" s="1">
        <v>6</v>
      </c>
      <c r="Z57" s="1">
        <v>4</v>
      </c>
    </row>
    <row r="58" spans="2:26" ht="15">
      <c r="B58" s="1" t="s">
        <v>420</v>
      </c>
      <c r="C58" s="1" t="s">
        <v>485</v>
      </c>
      <c r="D58" s="1">
        <v>2</v>
      </c>
      <c r="E58" s="1">
        <v>5</v>
      </c>
      <c r="F58" s="1">
        <v>2</v>
      </c>
      <c r="H58" s="1">
        <v>3</v>
      </c>
      <c r="K58" s="1">
        <v>64</v>
      </c>
      <c r="L58" s="2"/>
      <c r="M58" s="31" t="s">
        <v>653</v>
      </c>
      <c r="N58" s="31" t="s">
        <v>654</v>
      </c>
      <c r="O58" s="31" t="s">
        <v>653</v>
      </c>
      <c r="P58" s="32"/>
      <c r="Q58" s="31" t="s">
        <v>655</v>
      </c>
      <c r="R58" s="32"/>
      <c r="S58" s="32"/>
      <c r="T58" s="1">
        <v>8</v>
      </c>
      <c r="U58" s="1">
        <v>8</v>
      </c>
      <c r="V58" s="1">
        <v>8</v>
      </c>
      <c r="X58" s="1">
        <v>7</v>
      </c>
    </row>
    <row r="59" spans="2:26" ht="15">
      <c r="B59" s="1" t="s">
        <v>78</v>
      </c>
      <c r="C59" s="1" t="s">
        <v>485</v>
      </c>
      <c r="E59" s="1">
        <v>7</v>
      </c>
      <c r="K59" s="1">
        <v>48</v>
      </c>
      <c r="L59" s="2"/>
      <c r="M59" s="32"/>
      <c r="N59" s="31" t="s">
        <v>656</v>
      </c>
      <c r="O59" s="32"/>
      <c r="P59" s="32"/>
      <c r="Q59" s="32"/>
      <c r="R59" s="32"/>
      <c r="S59" s="32"/>
      <c r="U59" s="1">
        <v>6</v>
      </c>
    </row>
    <row r="60" spans="2:26" ht="15">
      <c r="B60" s="1" t="s">
        <v>339</v>
      </c>
      <c r="C60" s="1" t="s">
        <v>479</v>
      </c>
      <c r="I60" s="1">
        <v>7</v>
      </c>
      <c r="K60" s="1">
        <v>64</v>
      </c>
      <c r="L60" s="2"/>
      <c r="M60" s="32"/>
      <c r="N60" s="32"/>
      <c r="O60" s="32"/>
      <c r="P60" s="32"/>
      <c r="Q60" s="32"/>
      <c r="R60" s="31" t="s">
        <v>657</v>
      </c>
      <c r="S60" s="32"/>
      <c r="Y60" s="1">
        <v>8</v>
      </c>
    </row>
    <row r="61" spans="2:26" ht="15">
      <c r="B61" s="1" t="s">
        <v>658</v>
      </c>
      <c r="C61" s="1" t="s">
        <v>479</v>
      </c>
      <c r="I61" s="1">
        <v>8</v>
      </c>
      <c r="K61" s="1">
        <v>64</v>
      </c>
      <c r="L61" s="2"/>
      <c r="M61" s="32"/>
      <c r="N61" s="32"/>
      <c r="O61" s="32"/>
      <c r="P61" s="32"/>
      <c r="Q61" s="32"/>
      <c r="R61" s="31" t="s">
        <v>659</v>
      </c>
      <c r="S61" s="32"/>
      <c r="Y61" s="1">
        <v>8</v>
      </c>
    </row>
    <row r="62" spans="2:26" ht="15">
      <c r="B62" s="1" t="s">
        <v>346</v>
      </c>
      <c r="C62" s="1" t="s">
        <v>479</v>
      </c>
      <c r="I62" s="1">
        <v>7</v>
      </c>
      <c r="K62" s="1">
        <v>64</v>
      </c>
      <c r="L62" s="2"/>
      <c r="M62" s="32"/>
      <c r="N62" s="32"/>
      <c r="O62" s="32"/>
      <c r="P62" s="32"/>
      <c r="Q62" s="32"/>
      <c r="R62" s="31" t="s">
        <v>660</v>
      </c>
      <c r="S62" s="32"/>
      <c r="Y62" s="1">
        <v>8</v>
      </c>
    </row>
    <row r="63" spans="2:26" ht="15">
      <c r="B63" s="1" t="s">
        <v>661</v>
      </c>
      <c r="C63" s="1" t="s">
        <v>479</v>
      </c>
      <c r="I63" s="1">
        <v>8</v>
      </c>
      <c r="K63" s="1">
        <v>64</v>
      </c>
      <c r="L63" s="2"/>
      <c r="M63" s="32"/>
      <c r="N63" s="32"/>
      <c r="O63" s="32"/>
      <c r="P63" s="32"/>
      <c r="Q63" s="32"/>
      <c r="R63" s="31" t="s">
        <v>662</v>
      </c>
      <c r="S63" s="32"/>
      <c r="Y63" s="1">
        <v>8</v>
      </c>
    </row>
    <row r="64" spans="2:26" ht="14.25" customHeight="1">
      <c r="B64" s="1" t="s">
        <v>318</v>
      </c>
      <c r="C64" s="1" t="s">
        <v>473</v>
      </c>
      <c r="D64" s="1">
        <v>5</v>
      </c>
      <c r="K64" s="1">
        <v>48</v>
      </c>
      <c r="L64" s="2"/>
      <c r="M64" s="31" t="s">
        <v>663</v>
      </c>
      <c r="N64" s="32"/>
      <c r="O64" s="32"/>
      <c r="P64" s="32"/>
      <c r="Q64" s="32"/>
      <c r="R64" s="32"/>
      <c r="S64" s="32"/>
      <c r="T64" s="1">
        <v>6</v>
      </c>
    </row>
    <row r="65" spans="2:26" ht="15">
      <c r="B65" s="1" t="s">
        <v>664</v>
      </c>
      <c r="C65" s="1" t="s">
        <v>473</v>
      </c>
      <c r="D65" s="1">
        <v>8</v>
      </c>
      <c r="K65" s="1">
        <v>64</v>
      </c>
      <c r="L65" s="2"/>
      <c r="M65" s="31" t="s">
        <v>665</v>
      </c>
      <c r="N65" s="32"/>
      <c r="O65" s="32"/>
      <c r="P65" s="32"/>
      <c r="Q65" s="32"/>
      <c r="R65" s="32"/>
      <c r="S65" s="32"/>
      <c r="T65" s="1">
        <v>8</v>
      </c>
    </row>
    <row r="66" spans="2:26" ht="15">
      <c r="B66" s="1" t="s">
        <v>666</v>
      </c>
      <c r="C66" s="1" t="s">
        <v>485</v>
      </c>
      <c r="E66" s="1">
        <v>8</v>
      </c>
      <c r="K66" s="1">
        <v>64</v>
      </c>
      <c r="L66" s="2"/>
      <c r="M66" s="32"/>
      <c r="N66" s="31" t="s">
        <v>667</v>
      </c>
      <c r="O66" s="32"/>
      <c r="P66" s="32"/>
      <c r="Q66" s="32"/>
      <c r="R66" s="31"/>
      <c r="S66" s="32"/>
      <c r="U66" s="1">
        <v>7</v>
      </c>
    </row>
    <row r="67" spans="2:26" ht="15">
      <c r="B67" s="1" t="s">
        <v>668</v>
      </c>
      <c r="C67" s="1" t="s">
        <v>479</v>
      </c>
      <c r="I67" s="44">
        <v>10</v>
      </c>
      <c r="K67" s="1">
        <v>64</v>
      </c>
      <c r="L67" s="2" t="s">
        <v>68</v>
      </c>
      <c r="M67" s="32"/>
      <c r="N67" s="32"/>
      <c r="O67" s="32"/>
      <c r="P67" s="32"/>
      <c r="Q67" s="32"/>
      <c r="R67" s="31" t="s">
        <v>669</v>
      </c>
      <c r="S67" s="32"/>
      <c r="Y67" s="1">
        <v>6</v>
      </c>
    </row>
    <row r="68" spans="2:26" ht="15">
      <c r="B68" s="1" t="s">
        <v>127</v>
      </c>
      <c r="C68" s="1" t="s">
        <v>473</v>
      </c>
      <c r="D68" s="1">
        <v>7</v>
      </c>
      <c r="K68" s="1">
        <v>64</v>
      </c>
      <c r="L68" s="2"/>
      <c r="M68" s="114" t="s">
        <v>670</v>
      </c>
      <c r="N68" s="32"/>
      <c r="O68" s="32"/>
      <c r="P68" s="32"/>
      <c r="Q68" s="32"/>
      <c r="R68" s="32"/>
      <c r="S68" s="32"/>
      <c r="T68" s="1">
        <v>8</v>
      </c>
    </row>
    <row r="69" spans="2:26" ht="15">
      <c r="B69" s="1" t="s">
        <v>671</v>
      </c>
      <c r="C69" s="1" t="s">
        <v>481</v>
      </c>
      <c r="H69" s="1">
        <v>8</v>
      </c>
      <c r="K69" s="1">
        <v>80</v>
      </c>
      <c r="L69" s="2"/>
      <c r="M69" s="32"/>
      <c r="N69" s="32"/>
      <c r="O69" s="32"/>
      <c r="P69" s="32"/>
      <c r="Q69" s="31" t="s">
        <v>672</v>
      </c>
      <c r="R69" s="32"/>
      <c r="S69" s="32"/>
      <c r="X69" s="1">
        <v>8</v>
      </c>
    </row>
    <row r="70" spans="2:26" ht="15">
      <c r="B70" s="1" t="s">
        <v>673</v>
      </c>
      <c r="C70" s="1" t="s">
        <v>329</v>
      </c>
      <c r="I70" s="7">
        <v>2</v>
      </c>
      <c r="K70" s="1">
        <v>48</v>
      </c>
      <c r="L70" s="2"/>
      <c r="M70" s="32"/>
      <c r="N70" s="32"/>
      <c r="O70" s="32"/>
      <c r="P70" s="32"/>
      <c r="Q70" s="32"/>
      <c r="R70" s="31" t="s">
        <v>674</v>
      </c>
      <c r="S70" s="32"/>
      <c r="Y70" s="1">
        <v>4</v>
      </c>
    </row>
    <row r="71" spans="2:26" ht="15">
      <c r="B71" s="1" t="s">
        <v>250</v>
      </c>
      <c r="C71" s="1" t="s">
        <v>471</v>
      </c>
      <c r="I71" s="1">
        <v>5</v>
      </c>
      <c r="K71" s="1">
        <v>64</v>
      </c>
      <c r="L71" s="2" t="s">
        <v>68</v>
      </c>
      <c r="M71" s="32"/>
      <c r="N71" s="32"/>
      <c r="O71" s="32"/>
      <c r="P71" s="32"/>
      <c r="Q71" s="32"/>
      <c r="R71" s="31">
        <v>27089</v>
      </c>
      <c r="S71" s="32"/>
      <c r="Y71" s="1">
        <v>8</v>
      </c>
    </row>
    <row r="72" spans="2:26" ht="15">
      <c r="B72" s="1" t="s">
        <v>675</v>
      </c>
      <c r="C72" s="1" t="s">
        <v>475</v>
      </c>
      <c r="I72" s="44"/>
      <c r="K72" s="1">
        <v>64</v>
      </c>
      <c r="L72" s="2" t="s">
        <v>68</v>
      </c>
      <c r="M72" s="32"/>
      <c r="N72" s="32"/>
      <c r="O72" s="32"/>
      <c r="P72" s="32"/>
      <c r="Q72" s="32"/>
      <c r="R72" s="31" t="s">
        <v>676</v>
      </c>
      <c r="S72" s="32"/>
      <c r="Y72" s="1">
        <v>8</v>
      </c>
    </row>
    <row r="73" spans="2:26" ht="15">
      <c r="B73" s="1" t="s">
        <v>132</v>
      </c>
      <c r="C73" s="1" t="s">
        <v>484</v>
      </c>
      <c r="D73" s="1">
        <v>3</v>
      </c>
      <c r="E73" s="1">
        <v>3</v>
      </c>
      <c r="G73" s="1">
        <v>4</v>
      </c>
      <c r="H73" s="1">
        <v>4</v>
      </c>
      <c r="I73" s="1">
        <v>4</v>
      </c>
      <c r="J73" s="1">
        <v>3</v>
      </c>
      <c r="K73" s="1">
        <v>48</v>
      </c>
      <c r="L73" s="2"/>
      <c r="M73" s="31" t="s">
        <v>677</v>
      </c>
      <c r="N73" s="31" t="s">
        <v>677</v>
      </c>
      <c r="O73" s="32"/>
      <c r="P73" s="31" t="s">
        <v>678</v>
      </c>
      <c r="Q73" s="31" t="s">
        <v>679</v>
      </c>
      <c r="R73" s="31" t="s">
        <v>680</v>
      </c>
      <c r="S73" s="31" t="s">
        <v>681</v>
      </c>
      <c r="T73" s="1">
        <v>6</v>
      </c>
      <c r="U73" s="1">
        <v>6</v>
      </c>
      <c r="W73" s="1">
        <v>6</v>
      </c>
      <c r="X73" s="1">
        <v>6</v>
      </c>
      <c r="Y73" s="1">
        <v>6</v>
      </c>
      <c r="Z73" s="1">
        <v>6</v>
      </c>
    </row>
    <row r="74" spans="2:26" ht="15">
      <c r="B74" s="1" t="s">
        <v>682</v>
      </c>
      <c r="C74" s="1" t="s">
        <v>481</v>
      </c>
      <c r="K74" s="1">
        <v>48</v>
      </c>
      <c r="L74" s="2" t="s">
        <v>68</v>
      </c>
      <c r="M74" s="32"/>
      <c r="N74" s="31" t="s">
        <v>683</v>
      </c>
      <c r="O74" s="32"/>
      <c r="P74" s="32"/>
      <c r="Q74" s="32"/>
      <c r="R74" s="32"/>
      <c r="S74" s="32"/>
      <c r="U74" s="1">
        <v>6</v>
      </c>
    </row>
    <row r="75" spans="2:26" ht="15">
      <c r="B75" s="1" t="s">
        <v>306</v>
      </c>
      <c r="C75" s="1" t="s">
        <v>475</v>
      </c>
      <c r="D75" s="1">
        <v>4</v>
      </c>
      <c r="E75" s="1">
        <v>4</v>
      </c>
      <c r="F75" s="1">
        <v>5</v>
      </c>
      <c r="H75" s="1">
        <v>3</v>
      </c>
      <c r="J75" s="1">
        <v>4</v>
      </c>
      <c r="K75" s="1">
        <v>64</v>
      </c>
      <c r="L75" s="2"/>
      <c r="M75" s="31" t="s">
        <v>684</v>
      </c>
      <c r="N75" s="31" t="s">
        <v>684</v>
      </c>
      <c r="O75" s="31" t="s">
        <v>685</v>
      </c>
      <c r="P75" s="32"/>
      <c r="Q75" s="31" t="s">
        <v>686</v>
      </c>
      <c r="R75" s="32"/>
      <c r="S75" s="31" t="s">
        <v>687</v>
      </c>
      <c r="T75" s="1">
        <v>7</v>
      </c>
      <c r="U75" s="1">
        <v>7</v>
      </c>
      <c r="V75" s="1">
        <v>7</v>
      </c>
      <c r="X75" s="1">
        <v>7</v>
      </c>
      <c r="Z75" s="1">
        <v>7</v>
      </c>
    </row>
    <row r="76" spans="2:26" ht="15">
      <c r="B76" s="1" t="s">
        <v>84</v>
      </c>
      <c r="C76" s="1" t="s">
        <v>475</v>
      </c>
      <c r="E76" s="1">
        <v>6</v>
      </c>
      <c r="H76" s="1">
        <v>5</v>
      </c>
      <c r="J76" s="1">
        <v>6</v>
      </c>
      <c r="K76" s="1">
        <v>64</v>
      </c>
      <c r="L76" s="2"/>
      <c r="M76" s="32"/>
      <c r="N76" s="31" t="s">
        <v>688</v>
      </c>
      <c r="O76" s="32"/>
      <c r="P76" s="32"/>
      <c r="Q76" s="31" t="s">
        <v>689</v>
      </c>
      <c r="R76" s="32"/>
      <c r="S76" s="31" t="s">
        <v>690</v>
      </c>
      <c r="U76" s="1">
        <v>7</v>
      </c>
      <c r="X76" s="1">
        <v>7</v>
      </c>
      <c r="Z76" s="1">
        <v>7</v>
      </c>
    </row>
    <row r="77" spans="2:26" ht="15">
      <c r="B77" s="1" t="s">
        <v>357</v>
      </c>
      <c r="C77" s="1" t="s">
        <v>475</v>
      </c>
      <c r="J77" s="1">
        <v>7</v>
      </c>
      <c r="K77" s="1">
        <v>64</v>
      </c>
      <c r="L77" s="2"/>
      <c r="M77" s="32"/>
      <c r="N77" s="32"/>
      <c r="O77" s="32"/>
      <c r="P77" s="32"/>
      <c r="Q77" s="32"/>
      <c r="R77" s="32"/>
      <c r="S77" s="31" t="s">
        <v>691</v>
      </c>
      <c r="Z77" s="1">
        <v>7</v>
      </c>
    </row>
    <row r="78" spans="2:26" ht="15">
      <c r="B78" s="1" t="s">
        <v>692</v>
      </c>
      <c r="C78" s="1" t="s">
        <v>475</v>
      </c>
      <c r="E78" s="45">
        <v>8</v>
      </c>
      <c r="H78" s="1">
        <v>8</v>
      </c>
      <c r="J78" s="1">
        <v>8</v>
      </c>
      <c r="K78" s="1">
        <v>64</v>
      </c>
      <c r="L78" s="2"/>
      <c r="M78" s="32"/>
      <c r="N78" s="31" t="s">
        <v>693</v>
      </c>
      <c r="O78" s="32"/>
      <c r="P78" s="32"/>
      <c r="Q78" s="31" t="s">
        <v>694</v>
      </c>
      <c r="R78" s="32"/>
      <c r="S78" s="31" t="s">
        <v>695</v>
      </c>
      <c r="U78" s="1">
        <v>7</v>
      </c>
      <c r="X78" s="1">
        <v>6</v>
      </c>
      <c r="Z78" s="1">
        <v>7</v>
      </c>
    </row>
    <row r="79" spans="2:26" ht="15">
      <c r="B79" s="1" t="s">
        <v>362</v>
      </c>
      <c r="C79" s="1" t="s">
        <v>475</v>
      </c>
      <c r="H79" s="1">
        <v>7</v>
      </c>
      <c r="K79" s="1">
        <v>64</v>
      </c>
      <c r="L79" s="2"/>
      <c r="M79" s="32"/>
      <c r="N79" s="32"/>
      <c r="O79" s="32"/>
      <c r="P79" s="32"/>
      <c r="Q79" s="31" t="s">
        <v>696</v>
      </c>
      <c r="R79" s="32"/>
      <c r="S79" s="32"/>
      <c r="X79" s="1">
        <v>7</v>
      </c>
    </row>
    <row r="80" spans="2:26" ht="13.5" customHeight="1">
      <c r="B80" s="1" t="s">
        <v>298</v>
      </c>
      <c r="C80" s="1" t="s">
        <v>477</v>
      </c>
      <c r="D80" s="1">
        <v>7</v>
      </c>
      <c r="F80" s="8">
        <v>7</v>
      </c>
      <c r="G80" s="8">
        <v>8</v>
      </c>
      <c r="I80" s="8"/>
      <c r="K80" s="1">
        <v>48</v>
      </c>
      <c r="L80" s="2"/>
      <c r="M80" s="31" t="s">
        <v>697</v>
      </c>
      <c r="N80" s="32"/>
      <c r="O80" s="31">
        <v>26992</v>
      </c>
      <c r="P80" s="31" t="s">
        <v>698</v>
      </c>
      <c r="Q80" s="32"/>
      <c r="R80" s="31" t="s">
        <v>699</v>
      </c>
      <c r="S80" s="32"/>
      <c r="T80" s="1">
        <v>6</v>
      </c>
      <c r="V80" s="1">
        <v>6</v>
      </c>
      <c r="W80" s="1">
        <v>3</v>
      </c>
    </row>
    <row r="81" spans="2:26" ht="15">
      <c r="B81" s="1" t="s">
        <v>395</v>
      </c>
      <c r="C81" s="1" t="s">
        <v>481</v>
      </c>
      <c r="H81" s="1">
        <v>5</v>
      </c>
      <c r="K81" s="1">
        <v>80</v>
      </c>
      <c r="L81" s="2"/>
      <c r="M81" s="32"/>
      <c r="N81" s="32"/>
      <c r="O81" s="32"/>
      <c r="P81" s="32"/>
      <c r="Q81" s="31" t="s">
        <v>700</v>
      </c>
      <c r="R81" s="32"/>
      <c r="S81" s="32"/>
      <c r="X81" s="1">
        <v>9</v>
      </c>
    </row>
    <row r="82" spans="2:26" ht="15">
      <c r="B82" s="1" t="s">
        <v>398</v>
      </c>
      <c r="C82" s="1" t="s">
        <v>481</v>
      </c>
      <c r="H82" s="1">
        <v>5</v>
      </c>
      <c r="K82" s="1">
        <v>64</v>
      </c>
      <c r="L82" s="2"/>
      <c r="M82" s="32"/>
      <c r="N82" s="32"/>
      <c r="O82" s="32"/>
      <c r="P82" s="32"/>
      <c r="Q82" s="31" t="s">
        <v>701</v>
      </c>
      <c r="R82" s="32"/>
      <c r="S82" s="32"/>
      <c r="X82" s="1">
        <v>8</v>
      </c>
    </row>
    <row r="83" spans="2:26" ht="15">
      <c r="B83" s="1" t="s">
        <v>136</v>
      </c>
      <c r="C83" s="1" t="s">
        <v>481</v>
      </c>
      <c r="H83" s="1">
        <v>5</v>
      </c>
      <c r="K83" s="1">
        <v>64</v>
      </c>
      <c r="L83" s="2"/>
      <c r="M83" s="32"/>
      <c r="N83" s="32"/>
      <c r="O83" s="32"/>
      <c r="P83" s="32"/>
      <c r="Q83" s="31" t="s">
        <v>702</v>
      </c>
      <c r="R83" s="32"/>
      <c r="S83" s="32"/>
      <c r="X83" s="1">
        <v>8</v>
      </c>
    </row>
    <row r="84" spans="2:26" ht="15">
      <c r="B84" s="1" t="s">
        <v>703</v>
      </c>
      <c r="C84" s="1" t="s">
        <v>481</v>
      </c>
      <c r="I84" s="8"/>
      <c r="K84" s="1">
        <v>48</v>
      </c>
      <c r="L84" s="2" t="s">
        <v>68</v>
      </c>
      <c r="M84" s="32"/>
      <c r="N84" s="32"/>
      <c r="O84" s="32"/>
      <c r="P84" s="32"/>
      <c r="Q84" s="32"/>
      <c r="R84" s="31" t="s">
        <v>704</v>
      </c>
      <c r="S84" s="32"/>
      <c r="Y84" s="1">
        <v>6</v>
      </c>
    </row>
    <row r="85" spans="2:26" ht="15">
      <c r="B85" s="1" t="s">
        <v>705</v>
      </c>
      <c r="C85" s="1" t="s">
        <v>481</v>
      </c>
      <c r="H85" s="1">
        <v>4</v>
      </c>
      <c r="K85" s="1">
        <v>64</v>
      </c>
      <c r="L85" s="2"/>
      <c r="M85" s="32"/>
      <c r="N85" s="32"/>
      <c r="O85" s="32"/>
      <c r="P85" s="32"/>
      <c r="Q85" s="31" t="s">
        <v>706</v>
      </c>
      <c r="R85" s="32"/>
      <c r="S85" s="32"/>
      <c r="X85" s="1">
        <v>6</v>
      </c>
    </row>
    <row r="86" spans="2:26" ht="15">
      <c r="B86" s="1" t="s">
        <v>707</v>
      </c>
      <c r="C86" s="1" t="s">
        <v>481</v>
      </c>
      <c r="H86" s="1">
        <v>4</v>
      </c>
      <c r="K86" s="1">
        <v>64</v>
      </c>
      <c r="L86" s="2"/>
      <c r="M86" s="32"/>
      <c r="N86" s="32"/>
      <c r="O86" s="32"/>
      <c r="P86" s="32"/>
      <c r="Q86" s="31" t="s">
        <v>708</v>
      </c>
      <c r="R86" s="32"/>
      <c r="S86" s="32"/>
      <c r="X86" s="1">
        <v>8</v>
      </c>
    </row>
    <row r="87" spans="2:26" ht="15">
      <c r="B87" s="1" t="s">
        <v>709</v>
      </c>
      <c r="C87" s="1" t="s">
        <v>481</v>
      </c>
      <c r="H87" s="1">
        <v>2</v>
      </c>
      <c r="I87" s="8">
        <v>4</v>
      </c>
      <c r="K87" s="1">
        <v>48</v>
      </c>
      <c r="L87" s="2" t="s">
        <v>68</v>
      </c>
      <c r="M87" s="32"/>
      <c r="N87" s="32"/>
      <c r="O87" s="32"/>
      <c r="P87" s="32"/>
      <c r="Q87" s="31" t="s">
        <v>710</v>
      </c>
      <c r="R87" s="31" t="s">
        <v>711</v>
      </c>
      <c r="S87" s="32"/>
      <c r="X87" s="1">
        <v>6</v>
      </c>
      <c r="Y87" s="1">
        <v>6</v>
      </c>
    </row>
    <row r="88" spans="2:26" ht="15">
      <c r="B88" s="1" t="s">
        <v>712</v>
      </c>
      <c r="C88" s="1" t="s">
        <v>477</v>
      </c>
      <c r="E88" s="1">
        <v>2</v>
      </c>
      <c r="G88" s="1">
        <v>6</v>
      </c>
      <c r="J88" s="1">
        <v>2</v>
      </c>
      <c r="K88" s="1">
        <v>48</v>
      </c>
      <c r="L88" s="2" t="s">
        <v>713</v>
      </c>
      <c r="M88" s="32"/>
      <c r="N88" s="31" t="s">
        <v>714</v>
      </c>
      <c r="O88" s="32"/>
      <c r="P88" s="31" t="s">
        <v>715</v>
      </c>
      <c r="Q88" s="32"/>
      <c r="R88" s="31" t="s">
        <v>716</v>
      </c>
      <c r="S88" s="31" t="s">
        <v>717</v>
      </c>
      <c r="U88" s="1">
        <v>6</v>
      </c>
      <c r="W88" s="1">
        <v>6</v>
      </c>
      <c r="Y88" s="1">
        <v>6</v>
      </c>
      <c r="Z88" s="1">
        <v>6</v>
      </c>
    </row>
    <row r="89" spans="2:26" ht="15">
      <c r="B89" s="1" t="s">
        <v>718</v>
      </c>
      <c r="C89" s="1" t="s">
        <v>329</v>
      </c>
      <c r="F89" s="1">
        <v>2</v>
      </c>
      <c r="K89" s="1">
        <v>48</v>
      </c>
      <c r="L89" s="2"/>
      <c r="M89" s="32"/>
      <c r="N89" s="32"/>
      <c r="O89" s="31" t="s">
        <v>719</v>
      </c>
      <c r="P89" s="32"/>
      <c r="Q89" s="32"/>
      <c r="R89" s="32"/>
      <c r="S89" s="32"/>
      <c r="V89" s="1">
        <v>6</v>
      </c>
    </row>
    <row r="90" spans="2:26" ht="15">
      <c r="B90" s="1" t="s">
        <v>720</v>
      </c>
      <c r="C90" s="1" t="s">
        <v>484</v>
      </c>
      <c r="D90" s="1">
        <v>4</v>
      </c>
      <c r="K90" s="1">
        <v>48</v>
      </c>
      <c r="L90" s="2"/>
      <c r="M90" s="31" t="s">
        <v>721</v>
      </c>
      <c r="N90" s="32"/>
      <c r="O90" s="32"/>
      <c r="P90" s="32"/>
      <c r="Q90" s="32"/>
      <c r="R90" s="32"/>
      <c r="S90" s="32"/>
      <c r="U90" s="1">
        <v>6</v>
      </c>
    </row>
    <row r="91" spans="2:26" ht="15">
      <c r="B91" s="1" t="s">
        <v>722</v>
      </c>
      <c r="C91" s="1" t="s">
        <v>485</v>
      </c>
      <c r="E91" s="1">
        <v>2</v>
      </c>
      <c r="I91" s="1">
        <v>2</v>
      </c>
      <c r="K91" s="1">
        <v>48</v>
      </c>
      <c r="L91" s="2"/>
      <c r="M91" s="32"/>
      <c r="N91" s="31" t="s">
        <v>723</v>
      </c>
      <c r="O91" s="32"/>
      <c r="P91" s="32"/>
      <c r="Q91" s="32"/>
      <c r="R91" s="31" t="s">
        <v>724</v>
      </c>
      <c r="S91" s="32"/>
      <c r="U91" s="1">
        <v>6</v>
      </c>
      <c r="Y91" s="1">
        <v>6</v>
      </c>
    </row>
    <row r="92" spans="2:26" ht="15">
      <c r="B92" s="1" t="s">
        <v>725</v>
      </c>
      <c r="C92" s="1" t="s">
        <v>329</v>
      </c>
      <c r="F92" s="1">
        <v>6</v>
      </c>
      <c r="K92" s="1">
        <v>48</v>
      </c>
      <c r="L92" s="2"/>
      <c r="M92" s="32"/>
      <c r="N92" s="32"/>
      <c r="O92" s="31" t="s">
        <v>726</v>
      </c>
      <c r="P92" s="32"/>
      <c r="Q92" s="32"/>
      <c r="R92" s="32"/>
      <c r="S92" s="32"/>
      <c r="V92" s="1">
        <v>6</v>
      </c>
    </row>
    <row r="93" spans="2:26" ht="15">
      <c r="B93" s="1" t="s">
        <v>727</v>
      </c>
      <c r="C93" s="1" t="s">
        <v>471</v>
      </c>
      <c r="G93" s="1">
        <v>2</v>
      </c>
      <c r="K93" s="1">
        <v>64</v>
      </c>
      <c r="L93" s="2"/>
      <c r="M93" s="32"/>
      <c r="N93" s="32"/>
      <c r="O93" s="32"/>
      <c r="P93" s="31" t="s">
        <v>728</v>
      </c>
      <c r="Q93" s="32"/>
      <c r="R93" s="32"/>
      <c r="S93" s="32"/>
      <c r="W93" s="1">
        <v>8</v>
      </c>
    </row>
    <row r="94" spans="2:26" ht="15">
      <c r="B94" s="1" t="s">
        <v>321</v>
      </c>
      <c r="C94" s="1" t="s">
        <v>471</v>
      </c>
      <c r="G94" s="1">
        <v>3</v>
      </c>
      <c r="K94" s="1">
        <v>64</v>
      </c>
      <c r="L94" s="2"/>
      <c r="M94" s="32"/>
      <c r="N94" s="32"/>
      <c r="O94" s="32"/>
      <c r="P94" s="31" t="s">
        <v>729</v>
      </c>
      <c r="Q94" s="32"/>
      <c r="R94" s="32"/>
      <c r="S94" s="32"/>
      <c r="W94" s="1">
        <v>8</v>
      </c>
    </row>
    <row r="95" spans="2:26" ht="15">
      <c r="B95" s="1" t="s">
        <v>730</v>
      </c>
      <c r="C95" s="1" t="s">
        <v>471</v>
      </c>
      <c r="G95" s="1">
        <v>4</v>
      </c>
      <c r="K95" s="1">
        <v>64</v>
      </c>
      <c r="L95" s="2"/>
      <c r="M95" s="32"/>
      <c r="N95" s="32"/>
      <c r="O95" s="32"/>
      <c r="P95" s="31" t="s">
        <v>731</v>
      </c>
      <c r="Q95" s="32"/>
      <c r="R95" s="32"/>
      <c r="S95" s="32"/>
      <c r="W95" s="1">
        <v>8</v>
      </c>
    </row>
    <row r="96" spans="2:26" ht="15">
      <c r="B96" s="1" t="s">
        <v>732</v>
      </c>
      <c r="C96" s="1" t="s">
        <v>329</v>
      </c>
      <c r="F96" s="1">
        <v>4</v>
      </c>
      <c r="K96" s="1">
        <v>64</v>
      </c>
      <c r="L96" s="2"/>
      <c r="M96" s="32"/>
      <c r="N96" s="32"/>
      <c r="O96" s="31" t="s">
        <v>733</v>
      </c>
      <c r="P96" s="32"/>
      <c r="Q96" s="32"/>
      <c r="R96" s="32"/>
      <c r="S96" s="32"/>
      <c r="V96" s="1">
        <v>6</v>
      </c>
    </row>
    <row r="97" spans="2:26" ht="15">
      <c r="B97" s="1" t="s">
        <v>332</v>
      </c>
      <c r="C97" s="1" t="s">
        <v>479</v>
      </c>
      <c r="I97" s="1">
        <v>3</v>
      </c>
      <c r="K97" s="1">
        <v>64</v>
      </c>
      <c r="L97" s="2"/>
      <c r="M97" s="32"/>
      <c r="N97" s="32"/>
      <c r="O97" s="32"/>
      <c r="P97" s="32"/>
      <c r="Q97" s="32"/>
      <c r="R97" s="31" t="s">
        <v>734</v>
      </c>
      <c r="S97" s="32"/>
      <c r="Y97" s="1">
        <v>8</v>
      </c>
    </row>
    <row r="98" spans="2:26" ht="15">
      <c r="B98" s="1" t="s">
        <v>735</v>
      </c>
      <c r="C98" s="1" t="s">
        <v>485</v>
      </c>
      <c r="F98" s="7">
        <v>6</v>
      </c>
      <c r="K98" s="1">
        <v>64</v>
      </c>
      <c r="L98" s="2"/>
      <c r="M98" s="31"/>
      <c r="N98" s="32"/>
      <c r="O98" s="31" t="s">
        <v>736</v>
      </c>
      <c r="P98" s="32"/>
      <c r="Q98" s="32"/>
      <c r="R98" s="32"/>
      <c r="S98" s="32"/>
      <c r="V98" s="1">
        <v>7</v>
      </c>
    </row>
    <row r="99" spans="2:26" ht="15">
      <c r="B99" s="1" t="s">
        <v>188</v>
      </c>
      <c r="C99" s="1" t="s">
        <v>482</v>
      </c>
      <c r="D99" s="1">
        <v>8</v>
      </c>
      <c r="E99" s="1">
        <v>8</v>
      </c>
      <c r="F99" s="1">
        <v>8</v>
      </c>
      <c r="G99" s="1">
        <v>8</v>
      </c>
      <c r="H99" s="1">
        <v>8</v>
      </c>
      <c r="I99" s="1">
        <v>10</v>
      </c>
      <c r="J99" s="1">
        <v>8</v>
      </c>
      <c r="K99" s="1">
        <v>48</v>
      </c>
      <c r="L99" s="2" t="s">
        <v>68</v>
      </c>
      <c r="M99" s="31" t="s">
        <v>737</v>
      </c>
      <c r="N99" s="31" t="s">
        <v>737</v>
      </c>
      <c r="O99" s="31" t="s">
        <v>737</v>
      </c>
      <c r="P99" s="31" t="s">
        <v>738</v>
      </c>
      <c r="Q99" s="31" t="s">
        <v>739</v>
      </c>
      <c r="R99" s="31" t="s">
        <v>740</v>
      </c>
      <c r="S99" s="31" t="s">
        <v>738</v>
      </c>
      <c r="T99" s="1">
        <v>6</v>
      </c>
      <c r="U99" s="1">
        <v>6</v>
      </c>
      <c r="V99" s="1">
        <v>6</v>
      </c>
      <c r="W99" s="1">
        <v>6</v>
      </c>
      <c r="X99" s="1">
        <v>6</v>
      </c>
      <c r="Y99" s="1">
        <v>6</v>
      </c>
      <c r="Z99" s="1">
        <v>6</v>
      </c>
    </row>
    <row r="100" spans="2:26" ht="15">
      <c r="B100" s="1" t="s">
        <v>167</v>
      </c>
      <c r="C100" s="1" t="s">
        <v>482</v>
      </c>
      <c r="D100" s="1">
        <v>3</v>
      </c>
      <c r="E100" s="1">
        <v>3</v>
      </c>
      <c r="F100" s="1">
        <v>3</v>
      </c>
      <c r="G100" s="1">
        <v>3</v>
      </c>
      <c r="H100" s="1">
        <v>3</v>
      </c>
      <c r="I100" s="1">
        <v>3</v>
      </c>
      <c r="J100" s="1">
        <v>3</v>
      </c>
      <c r="K100" s="1">
        <v>48</v>
      </c>
      <c r="L100" s="2"/>
      <c r="M100" s="31" t="s">
        <v>741</v>
      </c>
      <c r="N100" s="31" t="s">
        <v>741</v>
      </c>
      <c r="O100" s="31">
        <v>26903</v>
      </c>
      <c r="P100" s="31" t="s">
        <v>742</v>
      </c>
      <c r="Q100" s="31" t="s">
        <v>743</v>
      </c>
      <c r="R100" s="31" t="s">
        <v>744</v>
      </c>
      <c r="S100" s="31" t="s">
        <v>742</v>
      </c>
      <c r="T100" s="1">
        <v>6</v>
      </c>
      <c r="U100" s="1">
        <v>6</v>
      </c>
      <c r="V100" s="1">
        <v>6</v>
      </c>
      <c r="W100" s="1">
        <v>6</v>
      </c>
      <c r="X100" s="1">
        <v>6</v>
      </c>
      <c r="Y100" s="1">
        <v>6</v>
      </c>
      <c r="Z100" s="1">
        <v>6</v>
      </c>
    </row>
    <row r="101" spans="2:26" ht="15">
      <c r="B101" s="1" t="s">
        <v>323</v>
      </c>
      <c r="C101" s="1" t="s">
        <v>479</v>
      </c>
      <c r="I101" s="44">
        <v>9</v>
      </c>
      <c r="K101" s="1">
        <v>48</v>
      </c>
      <c r="L101" s="2" t="s">
        <v>68</v>
      </c>
      <c r="M101" s="32"/>
      <c r="N101" s="32"/>
      <c r="O101" s="32"/>
      <c r="P101" s="32"/>
      <c r="Q101" s="32"/>
      <c r="R101" s="31" t="s">
        <v>745</v>
      </c>
      <c r="S101" s="32"/>
      <c r="Y101" s="1">
        <v>6</v>
      </c>
    </row>
    <row r="102" spans="2:26" ht="15">
      <c r="B102" s="1" t="s">
        <v>117</v>
      </c>
      <c r="C102" s="1" t="s">
        <v>477</v>
      </c>
      <c r="H102" s="1">
        <v>7</v>
      </c>
      <c r="K102" s="1">
        <v>64</v>
      </c>
      <c r="L102" s="2"/>
      <c r="M102" s="32"/>
      <c r="N102" s="32"/>
      <c r="O102" s="32"/>
      <c r="P102" s="32"/>
      <c r="Q102" s="31" t="s">
        <v>746</v>
      </c>
      <c r="R102" s="32"/>
      <c r="S102" s="32"/>
      <c r="X102" s="1">
        <v>6</v>
      </c>
    </row>
    <row r="103" spans="2:26" ht="15">
      <c r="B103" s="1" t="s">
        <v>747</v>
      </c>
      <c r="C103" s="1" t="s">
        <v>477</v>
      </c>
      <c r="I103" s="44">
        <v>10</v>
      </c>
      <c r="K103" s="1">
        <v>48</v>
      </c>
      <c r="L103" s="2"/>
      <c r="M103" s="32"/>
      <c r="N103" s="32"/>
      <c r="O103" s="32"/>
      <c r="P103" s="32"/>
      <c r="Q103" s="32"/>
      <c r="R103" s="31" t="s">
        <v>748</v>
      </c>
      <c r="S103" s="32"/>
      <c r="Y103" s="1">
        <v>6</v>
      </c>
    </row>
    <row r="104" spans="2:26" ht="15">
      <c r="B104" s="1" t="s">
        <v>749</v>
      </c>
      <c r="C104" s="1" t="s">
        <v>482</v>
      </c>
      <c r="D104" s="1">
        <v>6</v>
      </c>
      <c r="E104" s="1">
        <v>6</v>
      </c>
      <c r="F104" s="1">
        <v>6</v>
      </c>
      <c r="G104" s="1">
        <v>6</v>
      </c>
      <c r="H104" s="1">
        <v>6</v>
      </c>
      <c r="I104" s="1">
        <v>6</v>
      </c>
      <c r="J104" s="1">
        <v>6</v>
      </c>
      <c r="K104" s="1">
        <v>48</v>
      </c>
      <c r="L104" s="2"/>
      <c r="M104" s="31" t="s">
        <v>750</v>
      </c>
      <c r="N104" s="31" t="s">
        <v>750</v>
      </c>
      <c r="O104" s="31" t="s">
        <v>750</v>
      </c>
      <c r="P104" s="31" t="s">
        <v>751</v>
      </c>
      <c r="Q104" s="31" t="s">
        <v>752</v>
      </c>
      <c r="R104" s="31" t="s">
        <v>753</v>
      </c>
      <c r="S104" s="31" t="s">
        <v>751</v>
      </c>
      <c r="T104" s="1">
        <v>6</v>
      </c>
      <c r="U104" s="1">
        <v>6</v>
      </c>
      <c r="V104" s="1">
        <v>6</v>
      </c>
      <c r="W104" s="1">
        <v>6</v>
      </c>
      <c r="X104" s="1">
        <v>6</v>
      </c>
      <c r="Y104" s="1">
        <v>6</v>
      </c>
      <c r="Z104" s="1">
        <v>6</v>
      </c>
    </row>
    <row r="105" spans="2:26" ht="15">
      <c r="B105" s="1" t="s">
        <v>201</v>
      </c>
      <c r="C105" s="1" t="s">
        <v>485</v>
      </c>
      <c r="D105" s="1">
        <v>1</v>
      </c>
      <c r="E105" s="1">
        <v>1</v>
      </c>
      <c r="F105" s="1">
        <v>1</v>
      </c>
      <c r="G105" s="1">
        <v>1</v>
      </c>
      <c r="H105" s="1">
        <v>2</v>
      </c>
      <c r="I105" s="1">
        <v>1</v>
      </c>
      <c r="J105" s="1">
        <v>1</v>
      </c>
      <c r="K105" s="1">
        <v>64</v>
      </c>
      <c r="L105" s="2"/>
      <c r="M105" s="31" t="s">
        <v>754</v>
      </c>
      <c r="N105" s="31" t="s">
        <v>754</v>
      </c>
      <c r="O105" s="31" t="s">
        <v>754</v>
      </c>
      <c r="P105" s="31" t="s">
        <v>755</v>
      </c>
      <c r="Q105" s="31" t="s">
        <v>756</v>
      </c>
      <c r="R105" s="31" t="s">
        <v>754</v>
      </c>
      <c r="S105" s="31" t="s">
        <v>755</v>
      </c>
      <c r="T105" s="1">
        <v>7</v>
      </c>
      <c r="U105" s="1">
        <v>7</v>
      </c>
      <c r="V105" s="1">
        <v>7</v>
      </c>
      <c r="W105" s="1">
        <v>7</v>
      </c>
      <c r="X105" s="1">
        <v>6</v>
      </c>
      <c r="Y105" s="1">
        <v>7</v>
      </c>
      <c r="Z105" s="1">
        <v>7</v>
      </c>
    </row>
    <row r="106" spans="2:26" ht="15">
      <c r="B106" s="1" t="s">
        <v>757</v>
      </c>
      <c r="C106" s="1" t="s">
        <v>469</v>
      </c>
      <c r="J106" s="1">
        <v>2</v>
      </c>
      <c r="K106" s="1">
        <v>32</v>
      </c>
      <c r="L106" s="2"/>
      <c r="M106" s="32"/>
      <c r="N106" s="32"/>
      <c r="O106" s="32"/>
      <c r="P106" s="32"/>
      <c r="Q106" s="32"/>
      <c r="R106" s="32"/>
      <c r="S106" s="31" t="s">
        <v>758</v>
      </c>
      <c r="Z106" s="1">
        <v>4</v>
      </c>
    </row>
    <row r="107" spans="2:26" ht="15">
      <c r="B107" s="1" t="s">
        <v>427</v>
      </c>
      <c r="C107" s="1" t="s">
        <v>475</v>
      </c>
      <c r="I107" s="1">
        <v>3</v>
      </c>
      <c r="K107" s="1">
        <v>64</v>
      </c>
      <c r="L107" s="2"/>
      <c r="M107" s="31"/>
      <c r="N107" s="31"/>
      <c r="O107" s="31"/>
      <c r="P107" s="32"/>
      <c r="Q107" s="31"/>
      <c r="R107" s="31" t="s">
        <v>759</v>
      </c>
      <c r="S107" s="31"/>
      <c r="Y107" s="1">
        <v>7</v>
      </c>
    </row>
    <row r="108" spans="2:26" ht="15">
      <c r="B108" s="1" t="s">
        <v>354</v>
      </c>
      <c r="C108" s="1" t="s">
        <v>475</v>
      </c>
      <c r="E108" s="1">
        <v>5</v>
      </c>
      <c r="J108" s="1">
        <v>5</v>
      </c>
      <c r="K108" s="1">
        <v>48</v>
      </c>
      <c r="L108" s="2"/>
      <c r="M108" s="32"/>
      <c r="N108" s="31" t="s">
        <v>760</v>
      </c>
      <c r="O108" s="32"/>
      <c r="P108" s="32"/>
      <c r="Q108" s="32"/>
      <c r="R108" s="32"/>
      <c r="S108" s="31" t="s">
        <v>761</v>
      </c>
      <c r="U108" s="1">
        <v>6</v>
      </c>
      <c r="Z108" s="1">
        <v>6</v>
      </c>
    </row>
    <row r="109" spans="2:26" ht="15">
      <c r="B109" s="1" t="s">
        <v>191</v>
      </c>
      <c r="C109" s="1" t="s">
        <v>481</v>
      </c>
      <c r="I109" s="1">
        <v>5</v>
      </c>
      <c r="K109" s="1">
        <v>64</v>
      </c>
      <c r="L109" s="2"/>
      <c r="M109" s="32"/>
      <c r="N109" s="32"/>
      <c r="O109" s="32"/>
      <c r="P109" s="32"/>
      <c r="Q109" s="32"/>
      <c r="R109" s="31" t="s">
        <v>762</v>
      </c>
      <c r="S109" s="32"/>
      <c r="Y109" s="1">
        <v>8</v>
      </c>
    </row>
    <row r="110" spans="2:26" ht="15">
      <c r="B110" s="1" t="s">
        <v>247</v>
      </c>
      <c r="C110" s="1" t="s">
        <v>477</v>
      </c>
      <c r="D110" s="1">
        <v>5</v>
      </c>
      <c r="K110" s="1">
        <v>48</v>
      </c>
      <c r="L110" s="2"/>
      <c r="M110" s="31" t="s">
        <v>763</v>
      </c>
      <c r="N110" s="32"/>
      <c r="O110" s="32"/>
      <c r="P110" s="32"/>
      <c r="Q110" s="32"/>
      <c r="R110" s="32"/>
      <c r="S110" s="32"/>
      <c r="T110" s="1">
        <v>6</v>
      </c>
    </row>
    <row r="111" spans="2:26" ht="15">
      <c r="B111" s="1" t="s">
        <v>344</v>
      </c>
      <c r="C111" s="1" t="s">
        <v>479</v>
      </c>
      <c r="I111" s="1">
        <v>5</v>
      </c>
      <c r="K111" s="1">
        <v>48</v>
      </c>
      <c r="L111" s="2"/>
      <c r="M111" s="32"/>
      <c r="N111" s="32"/>
      <c r="O111" s="32"/>
      <c r="P111" s="32"/>
      <c r="Q111" s="32"/>
      <c r="R111" s="31" t="s">
        <v>764</v>
      </c>
      <c r="S111" s="32"/>
      <c r="Y111" s="1">
        <v>6</v>
      </c>
    </row>
    <row r="112" spans="2:26" ht="15">
      <c r="B112" s="1" t="s">
        <v>379</v>
      </c>
      <c r="C112" s="1" t="s">
        <v>329</v>
      </c>
      <c r="F112" s="1">
        <v>1</v>
      </c>
      <c r="K112" s="1">
        <v>48</v>
      </c>
      <c r="L112" s="2"/>
      <c r="M112" s="32"/>
      <c r="N112" s="32"/>
      <c r="O112" s="31" t="s">
        <v>765</v>
      </c>
      <c r="P112" s="32"/>
      <c r="Q112" s="32"/>
      <c r="R112" s="32"/>
      <c r="S112" s="32"/>
      <c r="V112" s="1">
        <v>5</v>
      </c>
    </row>
    <row r="113" spans="2:26" ht="15">
      <c r="B113" s="1" t="s">
        <v>444</v>
      </c>
      <c r="C113" s="1" t="s">
        <v>484</v>
      </c>
      <c r="F113" s="1">
        <v>2</v>
      </c>
      <c r="K113" s="1">
        <v>48</v>
      </c>
      <c r="L113" s="2"/>
      <c r="M113" s="32"/>
      <c r="N113" s="32"/>
      <c r="O113" s="31" t="s">
        <v>766</v>
      </c>
      <c r="P113" s="32"/>
      <c r="Q113" s="32"/>
      <c r="R113" s="32"/>
      <c r="S113" s="32"/>
      <c r="V113" s="1">
        <v>6</v>
      </c>
    </row>
    <row r="114" spans="2:26" ht="15">
      <c r="B114" s="1" t="s">
        <v>326</v>
      </c>
      <c r="C114" s="1" t="s">
        <v>473</v>
      </c>
      <c r="D114" s="1">
        <v>7</v>
      </c>
      <c r="K114" s="1">
        <v>48</v>
      </c>
      <c r="L114" s="2"/>
      <c r="M114" s="114" t="s">
        <v>767</v>
      </c>
      <c r="N114" s="32"/>
      <c r="O114" s="31"/>
      <c r="P114" s="32"/>
      <c r="Q114" s="32"/>
      <c r="R114" s="32"/>
      <c r="S114" s="32"/>
      <c r="T114" s="1">
        <v>6</v>
      </c>
    </row>
    <row r="115" spans="2:26" ht="15">
      <c r="B115" s="1" t="s">
        <v>768</v>
      </c>
      <c r="C115" s="1" t="s">
        <v>473</v>
      </c>
      <c r="D115" s="1">
        <v>6</v>
      </c>
      <c r="E115" s="1">
        <v>8</v>
      </c>
      <c r="F115" s="1">
        <v>8</v>
      </c>
      <c r="K115" s="1">
        <v>48</v>
      </c>
      <c r="L115" s="2" t="s">
        <v>68</v>
      </c>
      <c r="M115" s="31" t="s">
        <v>769</v>
      </c>
      <c r="N115" s="31" t="s">
        <v>770</v>
      </c>
      <c r="O115" s="31" t="s">
        <v>771</v>
      </c>
      <c r="P115" s="32"/>
      <c r="Q115" s="32"/>
      <c r="R115" s="32"/>
      <c r="S115" s="32"/>
      <c r="T115" s="1">
        <v>6</v>
      </c>
      <c r="U115" s="1">
        <v>6</v>
      </c>
      <c r="V115" s="1">
        <v>6</v>
      </c>
    </row>
    <row r="116" spans="2:26" ht="15">
      <c r="B116" s="1" t="s">
        <v>772</v>
      </c>
      <c r="C116" s="1" t="s">
        <v>488</v>
      </c>
      <c r="K116" s="1">
        <v>48</v>
      </c>
      <c r="L116" s="2" t="s">
        <v>68</v>
      </c>
      <c r="M116" s="32"/>
      <c r="N116" s="32"/>
      <c r="O116" s="32"/>
      <c r="P116" s="32"/>
      <c r="Q116" s="32"/>
      <c r="R116" s="31" t="s">
        <v>773</v>
      </c>
      <c r="S116" s="32"/>
      <c r="Y116" s="1">
        <v>6</v>
      </c>
    </row>
    <row r="117" spans="2:26" ht="15">
      <c r="B117" s="1" t="s">
        <v>411</v>
      </c>
      <c r="C117" s="1" t="s">
        <v>481</v>
      </c>
      <c r="I117" s="1">
        <v>9</v>
      </c>
      <c r="K117" s="1">
        <v>48</v>
      </c>
      <c r="L117" s="2" t="s">
        <v>68</v>
      </c>
      <c r="M117" s="32"/>
      <c r="N117" s="32"/>
      <c r="O117" s="32"/>
      <c r="P117" s="32"/>
      <c r="Q117" s="32"/>
      <c r="R117" s="31" t="s">
        <v>774</v>
      </c>
      <c r="S117" s="32"/>
      <c r="Y117" s="1">
        <v>6</v>
      </c>
    </row>
    <row r="118" spans="2:26" ht="15">
      <c r="B118" s="1" t="s">
        <v>145</v>
      </c>
      <c r="C118" s="1" t="s">
        <v>482</v>
      </c>
      <c r="D118" s="1">
        <v>1</v>
      </c>
      <c r="E118" s="1">
        <v>1</v>
      </c>
      <c r="F118" s="1">
        <v>1</v>
      </c>
      <c r="G118" s="1">
        <v>1</v>
      </c>
      <c r="H118" s="7">
        <v>1</v>
      </c>
      <c r="I118" s="1">
        <v>1</v>
      </c>
      <c r="J118" s="1">
        <v>1</v>
      </c>
      <c r="K118" s="1">
        <v>48</v>
      </c>
      <c r="L118" s="2"/>
      <c r="M118" s="31" t="s">
        <v>775</v>
      </c>
      <c r="N118" s="31" t="s">
        <v>775</v>
      </c>
      <c r="O118" s="31" t="s">
        <v>775</v>
      </c>
      <c r="P118" s="31" t="s">
        <v>776</v>
      </c>
      <c r="Q118" s="31" t="s">
        <v>777</v>
      </c>
      <c r="R118" s="31" t="s">
        <v>778</v>
      </c>
      <c r="S118" s="31" t="s">
        <v>776</v>
      </c>
      <c r="T118" s="1">
        <v>6</v>
      </c>
      <c r="U118" s="1">
        <v>6</v>
      </c>
      <c r="V118" s="1">
        <v>6</v>
      </c>
      <c r="W118" s="1">
        <v>6</v>
      </c>
      <c r="X118" s="1">
        <v>6</v>
      </c>
      <c r="Y118" s="1">
        <v>6</v>
      </c>
      <c r="Z118" s="1">
        <v>6</v>
      </c>
    </row>
    <row r="119" spans="2:26" ht="15">
      <c r="B119" s="1" t="s">
        <v>181</v>
      </c>
      <c r="C119" s="1" t="s">
        <v>482</v>
      </c>
      <c r="D119" s="1">
        <v>7</v>
      </c>
      <c r="E119" s="1">
        <v>7</v>
      </c>
      <c r="F119" s="1">
        <v>7</v>
      </c>
      <c r="G119" s="1">
        <v>7</v>
      </c>
      <c r="H119" s="7">
        <v>7</v>
      </c>
      <c r="I119" s="1">
        <v>7</v>
      </c>
      <c r="J119" s="1">
        <v>7</v>
      </c>
      <c r="K119" s="1">
        <v>48</v>
      </c>
      <c r="L119" s="2"/>
      <c r="M119" s="31" t="s">
        <v>779</v>
      </c>
      <c r="N119" s="31" t="s">
        <v>779</v>
      </c>
      <c r="O119" s="31">
        <v>26985</v>
      </c>
      <c r="P119" s="31" t="s">
        <v>780</v>
      </c>
      <c r="Q119" s="31" t="s">
        <v>781</v>
      </c>
      <c r="R119" s="31" t="s">
        <v>782</v>
      </c>
      <c r="S119" s="31" t="s">
        <v>780</v>
      </c>
      <c r="T119" s="1">
        <v>6</v>
      </c>
      <c r="U119" s="1">
        <v>6</v>
      </c>
      <c r="V119" s="1">
        <v>6</v>
      </c>
      <c r="W119" s="1">
        <v>6</v>
      </c>
      <c r="X119" s="1">
        <v>6</v>
      </c>
      <c r="Y119" s="1">
        <v>6</v>
      </c>
      <c r="Z119" s="1">
        <v>6</v>
      </c>
    </row>
    <row r="120" spans="2:26" ht="15">
      <c r="B120" s="1" t="s">
        <v>413</v>
      </c>
      <c r="C120" s="1" t="s">
        <v>481</v>
      </c>
      <c r="I120" s="1">
        <v>5</v>
      </c>
      <c r="K120" s="1">
        <v>32</v>
      </c>
      <c r="L120" s="2" t="s">
        <v>68</v>
      </c>
      <c r="M120" s="32"/>
      <c r="N120" s="32"/>
      <c r="O120" s="32"/>
      <c r="P120" s="31"/>
      <c r="Q120" s="31"/>
      <c r="R120" s="31" t="s">
        <v>783</v>
      </c>
      <c r="S120" s="32"/>
      <c r="Y120" s="1">
        <v>3</v>
      </c>
    </row>
    <row r="121" spans="2:26" ht="15">
      <c r="B121" s="1" t="s">
        <v>784</v>
      </c>
      <c r="C121" s="1" t="s">
        <v>479</v>
      </c>
      <c r="I121" s="1">
        <v>8</v>
      </c>
      <c r="K121" s="1">
        <v>48</v>
      </c>
      <c r="L121" s="2"/>
      <c r="M121" s="32"/>
      <c r="N121" s="32"/>
      <c r="O121" s="32"/>
      <c r="P121" s="32"/>
      <c r="Q121" s="32"/>
      <c r="R121" s="31" t="s">
        <v>785</v>
      </c>
      <c r="S121" s="32"/>
      <c r="Y121" s="1">
        <v>6</v>
      </c>
    </row>
    <row r="122" spans="2:26" ht="15">
      <c r="B122" s="1" t="s">
        <v>786</v>
      </c>
      <c r="C122" s="1" t="s">
        <v>485</v>
      </c>
      <c r="D122" s="1">
        <v>4</v>
      </c>
      <c r="K122" s="1">
        <v>64</v>
      </c>
      <c r="L122" s="2"/>
      <c r="M122" s="31" t="s">
        <v>787</v>
      </c>
      <c r="N122" s="32"/>
      <c r="O122" s="32"/>
      <c r="P122" s="32"/>
      <c r="Q122" s="32"/>
      <c r="R122" s="32"/>
      <c r="S122" s="32"/>
      <c r="T122" s="1">
        <v>7</v>
      </c>
    </row>
    <row r="123" spans="2:26" ht="15">
      <c r="B123" s="1" t="s">
        <v>788</v>
      </c>
      <c r="C123" s="1" t="s">
        <v>473</v>
      </c>
      <c r="D123" s="1">
        <v>4</v>
      </c>
      <c r="K123" s="1">
        <v>64</v>
      </c>
      <c r="L123" s="2"/>
      <c r="M123" s="31" t="s">
        <v>789</v>
      </c>
      <c r="N123" s="32"/>
      <c r="O123" s="32"/>
      <c r="P123" s="32"/>
      <c r="Q123" s="32"/>
      <c r="R123" s="32"/>
      <c r="S123" s="32"/>
      <c r="T123" s="1">
        <v>7</v>
      </c>
    </row>
    <row r="124" spans="2:26" ht="15">
      <c r="B124" s="1" t="s">
        <v>790</v>
      </c>
      <c r="C124" s="1" t="s">
        <v>471</v>
      </c>
      <c r="G124" s="1">
        <v>8</v>
      </c>
      <c r="K124" s="1">
        <v>48</v>
      </c>
      <c r="L124" s="2"/>
      <c r="M124" s="32"/>
      <c r="N124" s="32"/>
      <c r="O124" s="32"/>
      <c r="P124" s="31" t="s">
        <v>791</v>
      </c>
      <c r="Q124" s="32"/>
      <c r="R124" s="32"/>
      <c r="S124" s="32"/>
      <c r="W124" s="1">
        <v>6</v>
      </c>
    </row>
    <row r="125" spans="2:26" ht="15">
      <c r="B125" s="1" t="s">
        <v>439</v>
      </c>
      <c r="C125" s="1" t="s">
        <v>488</v>
      </c>
      <c r="I125" s="44">
        <v>9</v>
      </c>
      <c r="K125" s="1">
        <v>64</v>
      </c>
      <c r="L125" s="2" t="s">
        <v>68</v>
      </c>
      <c r="M125" s="32"/>
      <c r="N125" s="32"/>
      <c r="O125" s="32"/>
      <c r="P125" s="32"/>
      <c r="Q125" s="32"/>
      <c r="R125" s="31" t="s">
        <v>792</v>
      </c>
      <c r="S125" s="32"/>
      <c r="Y125" s="1">
        <v>8</v>
      </c>
    </row>
    <row r="126" spans="2:26" ht="15">
      <c r="B126" s="1" t="s">
        <v>793</v>
      </c>
      <c r="C126" s="1" t="s">
        <v>479</v>
      </c>
      <c r="K126" s="1">
        <v>64</v>
      </c>
      <c r="L126" s="2" t="s">
        <v>68</v>
      </c>
      <c r="M126" s="32"/>
      <c r="N126" s="32"/>
      <c r="O126" s="32"/>
      <c r="P126" s="32"/>
      <c r="Q126" s="32"/>
      <c r="R126" s="33" t="s">
        <v>794</v>
      </c>
      <c r="S126" s="32"/>
      <c r="Y126" s="1">
        <v>7</v>
      </c>
    </row>
    <row r="127" spans="2:26" ht="15">
      <c r="B127" s="1" t="s">
        <v>795</v>
      </c>
      <c r="C127" s="1" t="s">
        <v>479</v>
      </c>
      <c r="I127" s="1">
        <v>8</v>
      </c>
      <c r="K127" s="1">
        <v>64</v>
      </c>
      <c r="L127" s="2"/>
      <c r="M127" s="32"/>
      <c r="N127" s="32"/>
      <c r="O127" s="32"/>
      <c r="P127" s="32"/>
      <c r="Q127" s="32"/>
      <c r="R127" s="31" t="s">
        <v>796</v>
      </c>
      <c r="S127" s="32"/>
      <c r="Y127" s="1">
        <v>8</v>
      </c>
    </row>
    <row r="128" spans="2:26" ht="15">
      <c r="B128" s="1" t="s">
        <v>797</v>
      </c>
      <c r="C128" s="1" t="s">
        <v>471</v>
      </c>
      <c r="H128" s="1">
        <v>6</v>
      </c>
      <c r="K128" s="1">
        <v>64</v>
      </c>
      <c r="L128" s="2"/>
      <c r="M128" s="32"/>
      <c r="N128" s="32"/>
      <c r="O128" s="32"/>
      <c r="P128" s="32"/>
      <c r="Q128" s="31" t="s">
        <v>798</v>
      </c>
      <c r="R128" s="32"/>
      <c r="S128" s="32"/>
      <c r="X128" s="1">
        <v>7</v>
      </c>
    </row>
    <row r="129" spans="2:26" ht="15">
      <c r="B129" s="1" t="s">
        <v>293</v>
      </c>
      <c r="C129" s="1" t="s">
        <v>471</v>
      </c>
      <c r="I129" s="1">
        <v>7</v>
      </c>
      <c r="K129" s="1">
        <v>48</v>
      </c>
      <c r="L129" s="2" t="s">
        <v>68</v>
      </c>
      <c r="M129" s="32"/>
      <c r="N129" s="32"/>
      <c r="O129" s="32"/>
      <c r="P129" s="32"/>
      <c r="Q129" s="32"/>
      <c r="R129" s="31" t="s">
        <v>799</v>
      </c>
      <c r="S129" s="32"/>
      <c r="Y129" s="1">
        <v>6</v>
      </c>
    </row>
    <row r="130" spans="2:26" ht="15">
      <c r="B130" s="1" t="s">
        <v>800</v>
      </c>
      <c r="C130" s="1" t="s">
        <v>488</v>
      </c>
      <c r="I130" s="8">
        <v>4</v>
      </c>
      <c r="L130" s="2" t="s">
        <v>68</v>
      </c>
      <c r="M130" s="32"/>
      <c r="N130" s="32"/>
      <c r="O130" s="32"/>
      <c r="P130" s="32"/>
      <c r="Q130" s="32"/>
      <c r="R130" s="32"/>
      <c r="S130" s="32"/>
    </row>
    <row r="131" spans="2:26" ht="15">
      <c r="B131" s="1" t="s">
        <v>81</v>
      </c>
      <c r="C131" s="1" t="s">
        <v>329</v>
      </c>
      <c r="H131" s="1">
        <v>1</v>
      </c>
      <c r="K131" s="1">
        <v>32</v>
      </c>
      <c r="L131" s="2"/>
      <c r="M131" s="32"/>
      <c r="N131" s="32"/>
      <c r="O131" s="32"/>
      <c r="P131" s="32"/>
      <c r="Q131" s="31" t="s">
        <v>801</v>
      </c>
      <c r="R131" s="32"/>
      <c r="S131" s="32"/>
      <c r="X131" s="1">
        <v>4</v>
      </c>
    </row>
    <row r="132" spans="2:26" ht="15">
      <c r="B132" s="1" t="s">
        <v>330</v>
      </c>
      <c r="C132" s="1" t="s">
        <v>479</v>
      </c>
      <c r="I132" s="1">
        <v>1</v>
      </c>
      <c r="K132" s="1">
        <v>48</v>
      </c>
      <c r="L132" s="2"/>
      <c r="M132" s="32"/>
      <c r="N132" s="32"/>
      <c r="O132" s="32"/>
      <c r="P132" s="32"/>
      <c r="Q132" s="32"/>
      <c r="R132" s="31" t="s">
        <v>802</v>
      </c>
      <c r="S132" s="32"/>
      <c r="Y132" s="1">
        <v>6</v>
      </c>
    </row>
    <row r="133" spans="2:26" ht="15">
      <c r="B133" s="1" t="s">
        <v>76</v>
      </c>
      <c r="C133" s="1" t="s">
        <v>473</v>
      </c>
      <c r="D133" s="1">
        <v>5</v>
      </c>
      <c r="K133" s="1">
        <v>48</v>
      </c>
      <c r="L133" s="2"/>
      <c r="M133" s="31" t="s">
        <v>803</v>
      </c>
      <c r="N133" s="32"/>
      <c r="O133" s="32"/>
      <c r="P133" s="32"/>
      <c r="Q133" s="32"/>
      <c r="R133" s="32"/>
      <c r="S133" s="32"/>
      <c r="T133" s="1">
        <v>6</v>
      </c>
    </row>
    <row r="134" spans="2:26" ht="15">
      <c r="B134" s="1" t="s">
        <v>324</v>
      </c>
      <c r="C134" s="1" t="s">
        <v>471</v>
      </c>
      <c r="G134" s="1">
        <v>5</v>
      </c>
      <c r="K134" s="1">
        <v>48</v>
      </c>
      <c r="L134" s="2"/>
      <c r="M134" s="32"/>
      <c r="N134" s="32"/>
      <c r="O134" s="32"/>
      <c r="P134" s="31" t="s">
        <v>804</v>
      </c>
      <c r="Q134" s="32"/>
      <c r="R134" s="32"/>
      <c r="S134" s="32"/>
      <c r="W134" s="1">
        <v>6</v>
      </c>
    </row>
    <row r="135" spans="2:26" ht="15">
      <c r="B135" s="1" t="s">
        <v>805</v>
      </c>
      <c r="C135" s="1" t="s">
        <v>473</v>
      </c>
      <c r="D135" s="1">
        <v>4</v>
      </c>
      <c r="I135" s="1">
        <v>4</v>
      </c>
      <c r="K135" s="1">
        <v>48</v>
      </c>
      <c r="L135" s="2" t="s">
        <v>68</v>
      </c>
      <c r="M135" s="31" t="s">
        <v>806</v>
      </c>
      <c r="N135" s="32"/>
      <c r="O135" s="32"/>
      <c r="P135" s="32"/>
      <c r="Q135" s="32"/>
      <c r="R135" s="33" t="s">
        <v>807</v>
      </c>
      <c r="S135" s="32"/>
      <c r="T135" s="1">
        <v>6</v>
      </c>
      <c r="Y135" s="1">
        <v>6</v>
      </c>
    </row>
    <row r="136" spans="2:26" ht="15">
      <c r="B136" s="1" t="s">
        <v>369</v>
      </c>
      <c r="C136" s="1" t="s">
        <v>329</v>
      </c>
      <c r="F136" s="1">
        <v>3</v>
      </c>
      <c r="K136" s="1">
        <v>80</v>
      </c>
      <c r="L136" s="2"/>
      <c r="M136" s="32"/>
      <c r="N136" s="32"/>
      <c r="O136" s="31">
        <v>26901</v>
      </c>
      <c r="P136" s="32"/>
      <c r="Q136" s="32"/>
      <c r="R136" s="32"/>
      <c r="S136" s="32"/>
      <c r="V136" s="1">
        <v>6</v>
      </c>
    </row>
    <row r="137" spans="2:26" ht="15">
      <c r="B137" s="1" t="s">
        <v>423</v>
      </c>
      <c r="C137" s="1" t="s">
        <v>485</v>
      </c>
      <c r="E137" s="1">
        <v>7</v>
      </c>
      <c r="K137" s="1">
        <v>48</v>
      </c>
      <c r="L137" s="2"/>
      <c r="M137" s="32"/>
      <c r="N137" s="31" t="s">
        <v>808</v>
      </c>
      <c r="O137" s="32"/>
      <c r="P137" s="32"/>
      <c r="Q137" s="32"/>
      <c r="R137" s="32"/>
      <c r="S137" s="32"/>
      <c r="U137" s="1">
        <v>5</v>
      </c>
    </row>
    <row r="138" spans="2:26" ht="15">
      <c r="B138" s="1" t="s">
        <v>342</v>
      </c>
      <c r="C138" s="1" t="s">
        <v>473</v>
      </c>
      <c r="D138" s="1">
        <v>7</v>
      </c>
      <c r="K138" s="1">
        <v>48</v>
      </c>
      <c r="L138" s="2"/>
      <c r="M138" s="114" t="s">
        <v>809</v>
      </c>
      <c r="N138" s="32"/>
      <c r="O138" s="32"/>
      <c r="P138" s="32"/>
      <c r="Q138" s="32"/>
      <c r="R138" s="32"/>
      <c r="S138" s="32"/>
      <c r="T138" s="1">
        <v>6</v>
      </c>
    </row>
    <row r="139" spans="2:26" ht="15">
      <c r="B139" s="1" t="s">
        <v>810</v>
      </c>
      <c r="C139" s="1" t="s">
        <v>485</v>
      </c>
      <c r="E139" s="1">
        <v>2</v>
      </c>
      <c r="K139" s="1">
        <v>48</v>
      </c>
      <c r="L139" s="2"/>
      <c r="M139" s="32"/>
      <c r="N139" s="31" t="s">
        <v>811</v>
      </c>
      <c r="O139" s="32"/>
      <c r="P139" s="32"/>
      <c r="Q139" s="32"/>
      <c r="R139" s="32"/>
      <c r="S139" s="32"/>
      <c r="U139" s="1">
        <v>4</v>
      </c>
    </row>
    <row r="140" spans="2:26" ht="15">
      <c r="B140" s="1" t="s">
        <v>812</v>
      </c>
      <c r="C140" s="1" t="s">
        <v>329</v>
      </c>
      <c r="D140" s="8">
        <v>8</v>
      </c>
      <c r="F140" s="1">
        <v>8</v>
      </c>
      <c r="K140" s="1">
        <v>32</v>
      </c>
      <c r="L140" s="2" t="s">
        <v>68</v>
      </c>
      <c r="M140" s="31" t="s">
        <v>813</v>
      </c>
      <c r="N140" s="32"/>
      <c r="O140" s="31" t="s">
        <v>814</v>
      </c>
      <c r="P140" s="32"/>
      <c r="Q140" s="32"/>
      <c r="R140" s="32"/>
      <c r="S140" s="32"/>
      <c r="T140" s="1">
        <v>4</v>
      </c>
      <c r="V140" s="1">
        <v>4</v>
      </c>
    </row>
    <row r="141" spans="2:26" ht="13.5" customHeight="1">
      <c r="B141" s="1" t="s">
        <v>815</v>
      </c>
      <c r="C141" s="1" t="s">
        <v>484</v>
      </c>
      <c r="E141" s="1">
        <v>4</v>
      </c>
      <c r="J141" s="1">
        <v>4</v>
      </c>
      <c r="K141" s="1">
        <v>48</v>
      </c>
      <c r="L141" s="2"/>
      <c r="M141" s="31"/>
      <c r="N141" s="31" t="s">
        <v>816</v>
      </c>
      <c r="O141" s="31"/>
      <c r="P141" s="31"/>
      <c r="Q141" s="32"/>
      <c r="R141" s="32"/>
      <c r="S141" s="31" t="s">
        <v>817</v>
      </c>
      <c r="U141" s="1">
        <v>6</v>
      </c>
      <c r="Z141" s="1">
        <v>6</v>
      </c>
    </row>
    <row r="142" spans="2:26" ht="15">
      <c r="B142" s="1" t="s">
        <v>277</v>
      </c>
      <c r="C142" s="1" t="s">
        <v>484</v>
      </c>
      <c r="G142" s="1">
        <v>3</v>
      </c>
      <c r="K142" s="1">
        <v>64</v>
      </c>
      <c r="L142" s="2"/>
      <c r="M142" s="32"/>
      <c r="N142" s="32"/>
      <c r="O142" s="32"/>
      <c r="P142" s="31" t="s">
        <v>818</v>
      </c>
      <c r="Q142" s="32"/>
      <c r="R142" s="32"/>
      <c r="S142" s="32"/>
      <c r="W142" s="1">
        <v>8</v>
      </c>
    </row>
    <row r="143" spans="2:26" ht="15">
      <c r="B143" s="1" t="s">
        <v>819</v>
      </c>
      <c r="C143" s="1" t="s">
        <v>479</v>
      </c>
      <c r="I143" s="1">
        <v>4</v>
      </c>
      <c r="K143" s="1">
        <v>64</v>
      </c>
      <c r="L143" s="2"/>
      <c r="M143" s="32"/>
      <c r="N143" s="32"/>
      <c r="O143" s="32"/>
      <c r="P143" s="32"/>
      <c r="Q143" s="32"/>
      <c r="R143" s="31" t="s">
        <v>820</v>
      </c>
      <c r="S143" s="32"/>
      <c r="Y143" s="1">
        <v>8</v>
      </c>
    </row>
    <row r="144" spans="2:26" ht="15">
      <c r="B144" s="1" t="s">
        <v>496</v>
      </c>
      <c r="C144" s="1" t="s">
        <v>485</v>
      </c>
      <c r="D144" s="1">
        <v>2</v>
      </c>
      <c r="G144" s="1">
        <v>2</v>
      </c>
      <c r="H144" s="1">
        <v>4</v>
      </c>
      <c r="J144" s="1">
        <v>2</v>
      </c>
      <c r="K144" s="1">
        <v>48</v>
      </c>
      <c r="L144" s="2"/>
      <c r="M144" s="31" t="s">
        <v>821</v>
      </c>
      <c r="N144" s="32"/>
      <c r="O144" s="32"/>
      <c r="P144" s="31" t="s">
        <v>822</v>
      </c>
      <c r="Q144" s="31" t="s">
        <v>823</v>
      </c>
      <c r="R144" s="32"/>
      <c r="S144" s="31" t="s">
        <v>822</v>
      </c>
      <c r="T144" s="1">
        <v>6</v>
      </c>
      <c r="W144" s="1">
        <v>6</v>
      </c>
      <c r="X144" s="1">
        <v>7</v>
      </c>
      <c r="Z144" s="1">
        <v>6</v>
      </c>
    </row>
    <row r="145" spans="2:26" ht="15">
      <c r="B145" s="1" t="s">
        <v>824</v>
      </c>
      <c r="C145" s="1" t="s">
        <v>479</v>
      </c>
      <c r="I145" s="1">
        <v>4</v>
      </c>
      <c r="K145" s="1">
        <v>64</v>
      </c>
      <c r="L145" s="2"/>
      <c r="M145" s="32"/>
      <c r="N145" s="32"/>
      <c r="O145" s="32"/>
      <c r="P145" s="32"/>
      <c r="Q145" s="32"/>
      <c r="R145" s="31" t="s">
        <v>825</v>
      </c>
      <c r="S145" s="32"/>
      <c r="Y145" s="1">
        <v>8</v>
      </c>
    </row>
    <row r="146" spans="2:26" ht="15">
      <c r="B146" s="1" t="s">
        <v>337</v>
      </c>
      <c r="C146" s="1" t="s">
        <v>479</v>
      </c>
      <c r="I146" s="1">
        <v>7</v>
      </c>
      <c r="K146" s="1">
        <v>64</v>
      </c>
      <c r="L146" s="2"/>
      <c r="M146" s="32"/>
      <c r="N146" s="32"/>
      <c r="O146" s="32"/>
      <c r="P146" s="32"/>
      <c r="Q146" s="32"/>
      <c r="R146" s="31" t="s">
        <v>826</v>
      </c>
      <c r="S146" s="32"/>
      <c r="Y146" s="1">
        <v>7</v>
      </c>
    </row>
    <row r="147" spans="2:26" ht="15">
      <c r="B147" s="1" t="s">
        <v>827</v>
      </c>
      <c r="C147" s="1" t="s">
        <v>485</v>
      </c>
      <c r="E147" s="1">
        <v>6</v>
      </c>
      <c r="K147" s="1">
        <v>48</v>
      </c>
      <c r="L147" s="2"/>
      <c r="M147" s="32"/>
      <c r="N147" s="31" t="s">
        <v>828</v>
      </c>
      <c r="O147" s="32"/>
      <c r="P147" s="32"/>
      <c r="Q147" s="32"/>
      <c r="R147" s="32"/>
      <c r="S147" s="32"/>
      <c r="U147" s="1">
        <v>6</v>
      </c>
    </row>
    <row r="148" spans="2:26" ht="30">
      <c r="B148" s="1" t="s">
        <v>829</v>
      </c>
      <c r="C148" s="1" t="s">
        <v>488</v>
      </c>
      <c r="I148" s="44">
        <v>10</v>
      </c>
      <c r="K148" s="1">
        <v>48</v>
      </c>
      <c r="L148" s="2" t="s">
        <v>713</v>
      </c>
      <c r="M148" s="32"/>
      <c r="N148" s="32"/>
      <c r="O148" s="32"/>
      <c r="P148" s="32"/>
      <c r="Q148" s="32"/>
      <c r="R148" s="31" t="s">
        <v>830</v>
      </c>
      <c r="S148" s="32"/>
      <c r="Y148" s="1">
        <v>6</v>
      </c>
    </row>
    <row r="149" spans="2:26" ht="15">
      <c r="B149" s="1" t="s">
        <v>831</v>
      </c>
      <c r="C149" s="1" t="s">
        <v>329</v>
      </c>
      <c r="F149" s="1">
        <v>4</v>
      </c>
      <c r="K149" s="1">
        <v>80</v>
      </c>
      <c r="L149" s="2"/>
      <c r="M149" s="32"/>
      <c r="N149" s="32"/>
      <c r="O149" s="31" t="s">
        <v>832</v>
      </c>
      <c r="P149" s="32"/>
      <c r="Q149" s="32"/>
      <c r="R149" s="32"/>
      <c r="S149" s="32"/>
      <c r="V149" s="1">
        <v>6</v>
      </c>
    </row>
    <row r="150" spans="2:26" ht="15">
      <c r="B150" s="1" t="s">
        <v>194</v>
      </c>
      <c r="C150" s="1" t="s">
        <v>475</v>
      </c>
      <c r="E150" s="1">
        <v>5</v>
      </c>
      <c r="G150" s="1">
        <v>5</v>
      </c>
      <c r="H150" s="7">
        <v>6</v>
      </c>
      <c r="J150" s="1">
        <v>5</v>
      </c>
      <c r="K150" s="1">
        <v>64</v>
      </c>
      <c r="L150" s="2"/>
      <c r="M150" s="32"/>
      <c r="N150" s="31" t="s">
        <v>833</v>
      </c>
      <c r="O150" s="32"/>
      <c r="P150" s="31" t="s">
        <v>834</v>
      </c>
      <c r="Q150" s="31" t="s">
        <v>835</v>
      </c>
      <c r="R150" s="32"/>
      <c r="S150" s="31" t="s">
        <v>834</v>
      </c>
      <c r="U150" s="1">
        <v>7</v>
      </c>
      <c r="W150" s="1">
        <v>7</v>
      </c>
      <c r="X150" s="1">
        <v>7</v>
      </c>
      <c r="Z150" s="1">
        <v>7</v>
      </c>
    </row>
    <row r="151" spans="2:26" ht="15">
      <c r="B151" s="1" t="s">
        <v>209</v>
      </c>
      <c r="C151" s="1" t="s">
        <v>475</v>
      </c>
      <c r="E151" s="1">
        <v>6</v>
      </c>
      <c r="G151" s="1">
        <v>6</v>
      </c>
      <c r="H151" s="7">
        <v>7</v>
      </c>
      <c r="J151" s="1">
        <v>6</v>
      </c>
      <c r="K151" s="1">
        <v>48</v>
      </c>
      <c r="L151" s="2"/>
      <c r="M151" s="32"/>
      <c r="N151" s="31" t="s">
        <v>836</v>
      </c>
      <c r="O151" s="32"/>
      <c r="P151" s="31" t="s">
        <v>837</v>
      </c>
      <c r="Q151" s="31" t="s">
        <v>838</v>
      </c>
      <c r="R151" s="32"/>
      <c r="S151" s="31" t="s">
        <v>837</v>
      </c>
      <c r="U151" s="1">
        <v>6</v>
      </c>
      <c r="W151" s="1">
        <v>6</v>
      </c>
      <c r="X151" s="1">
        <v>8</v>
      </c>
      <c r="Z151" s="1">
        <v>6</v>
      </c>
    </row>
    <row r="152" spans="2:26" ht="15">
      <c r="B152" s="1" t="s">
        <v>442</v>
      </c>
      <c r="C152" s="1" t="s">
        <v>475</v>
      </c>
      <c r="J152" s="1">
        <v>7</v>
      </c>
      <c r="K152" s="1">
        <v>64</v>
      </c>
      <c r="L152" s="2"/>
      <c r="M152" s="32"/>
      <c r="N152" s="32"/>
      <c r="O152" s="32"/>
      <c r="P152" s="32"/>
      <c r="Q152" s="32"/>
      <c r="R152" s="32"/>
      <c r="S152" s="31" t="s">
        <v>839</v>
      </c>
      <c r="Z152" s="1">
        <v>6</v>
      </c>
    </row>
    <row r="153" spans="2:26" ht="15">
      <c r="B153" s="1" t="s">
        <v>352</v>
      </c>
      <c r="C153" s="1" t="s">
        <v>471</v>
      </c>
      <c r="G153" s="1">
        <v>5</v>
      </c>
      <c r="K153" s="1">
        <v>48</v>
      </c>
      <c r="L153" s="2"/>
      <c r="M153" s="32"/>
      <c r="N153" s="32"/>
      <c r="O153" s="32"/>
      <c r="P153" s="31" t="s">
        <v>840</v>
      </c>
      <c r="Q153" s="32"/>
      <c r="R153" s="32"/>
      <c r="S153" s="32"/>
      <c r="W153" s="1">
        <v>6</v>
      </c>
    </row>
    <row r="154" spans="2:26" ht="15">
      <c r="B154" s="1" t="s">
        <v>377</v>
      </c>
      <c r="C154" s="1" t="s">
        <v>471</v>
      </c>
      <c r="F154" s="1">
        <v>3</v>
      </c>
      <c r="K154" s="1">
        <v>64</v>
      </c>
      <c r="L154" s="2"/>
      <c r="M154" s="32"/>
      <c r="N154" s="32"/>
      <c r="O154" s="31">
        <v>26900</v>
      </c>
      <c r="P154" s="32"/>
      <c r="Q154" s="32"/>
      <c r="R154" s="32"/>
      <c r="S154" s="32"/>
      <c r="V154" s="1">
        <v>5</v>
      </c>
    </row>
    <row r="155" spans="2:26" ht="15">
      <c r="B155" s="1" t="s">
        <v>841</v>
      </c>
      <c r="C155" s="1" t="s">
        <v>471</v>
      </c>
      <c r="F155" s="1">
        <v>4</v>
      </c>
      <c r="K155" s="1">
        <v>64</v>
      </c>
      <c r="L155" s="2"/>
      <c r="M155" s="32"/>
      <c r="N155" s="32"/>
      <c r="O155" s="31" t="s">
        <v>842</v>
      </c>
      <c r="P155" s="32"/>
      <c r="Q155" s="32"/>
      <c r="R155" s="32"/>
      <c r="S155" s="32"/>
      <c r="V155" s="1">
        <v>5</v>
      </c>
    </row>
    <row r="156" spans="2:26" ht="15">
      <c r="B156" s="1" t="s">
        <v>843</v>
      </c>
      <c r="C156" s="1" t="s">
        <v>329</v>
      </c>
      <c r="F156" s="1">
        <v>4</v>
      </c>
      <c r="K156" s="1">
        <v>64</v>
      </c>
      <c r="L156" s="2"/>
      <c r="M156" s="32"/>
      <c r="N156" s="32"/>
      <c r="O156" s="31" t="s">
        <v>844</v>
      </c>
      <c r="P156" s="32"/>
      <c r="Q156" s="32"/>
      <c r="R156" s="32"/>
      <c r="S156" s="32"/>
      <c r="V156" s="1">
        <v>6</v>
      </c>
    </row>
    <row r="157" spans="2:26" ht="15">
      <c r="B157" s="1" t="s">
        <v>385</v>
      </c>
      <c r="C157" s="1" t="s">
        <v>329</v>
      </c>
      <c r="F157" s="1">
        <v>5</v>
      </c>
      <c r="K157" s="1">
        <v>64</v>
      </c>
      <c r="L157" s="2"/>
      <c r="M157" s="32"/>
      <c r="N157" s="32"/>
      <c r="O157" s="31">
        <v>26974</v>
      </c>
      <c r="P157" s="32"/>
      <c r="Q157" s="32"/>
      <c r="R157" s="32"/>
      <c r="S157" s="32"/>
      <c r="V157" s="1">
        <v>6</v>
      </c>
    </row>
    <row r="158" spans="2:26" ht="15">
      <c r="B158" s="1" t="s">
        <v>65</v>
      </c>
      <c r="C158" s="1" t="s">
        <v>473</v>
      </c>
      <c r="D158" s="1">
        <v>5</v>
      </c>
      <c r="K158" s="1">
        <v>48</v>
      </c>
      <c r="L158" s="2"/>
      <c r="M158" s="31" t="s">
        <v>845</v>
      </c>
      <c r="N158" s="32"/>
      <c r="O158" s="32"/>
      <c r="P158" s="32"/>
      <c r="Q158" s="32"/>
      <c r="R158" s="32"/>
      <c r="S158" s="32"/>
      <c r="T158" s="1">
        <v>6</v>
      </c>
    </row>
    <row r="159" spans="2:26" ht="15">
      <c r="B159" s="1" t="s">
        <v>846</v>
      </c>
      <c r="C159" s="1" t="s">
        <v>481</v>
      </c>
      <c r="I159" s="44">
        <v>10</v>
      </c>
      <c r="K159" s="1">
        <v>48</v>
      </c>
      <c r="L159" s="2" t="s">
        <v>713</v>
      </c>
      <c r="M159" s="32"/>
      <c r="N159" s="32"/>
      <c r="O159" s="32"/>
      <c r="P159" s="32"/>
      <c r="Q159" s="32"/>
      <c r="R159" s="31" t="s">
        <v>847</v>
      </c>
      <c r="S159" s="32"/>
      <c r="Y159" s="1">
        <v>6</v>
      </c>
    </row>
    <row r="160" spans="2:26" ht="15">
      <c r="B160" s="1" t="s">
        <v>848</v>
      </c>
      <c r="C160" s="1" t="s">
        <v>481</v>
      </c>
      <c r="D160" s="8"/>
      <c r="H160" s="1">
        <v>7</v>
      </c>
      <c r="K160" s="1">
        <v>64</v>
      </c>
      <c r="L160" s="2" t="s">
        <v>68</v>
      </c>
      <c r="M160" s="31" t="s">
        <v>849</v>
      </c>
      <c r="N160" s="32"/>
      <c r="O160" s="32"/>
      <c r="P160" s="32"/>
      <c r="Q160" s="31" t="s">
        <v>850</v>
      </c>
      <c r="R160" s="32"/>
      <c r="S160" s="32"/>
      <c r="T160" s="1">
        <v>6</v>
      </c>
      <c r="X160" s="1">
        <v>6</v>
      </c>
    </row>
    <row r="161" spans="2:26" ht="15">
      <c r="B161" s="1" t="s">
        <v>315</v>
      </c>
      <c r="C161" s="1" t="s">
        <v>471</v>
      </c>
      <c r="G161" s="1">
        <v>5</v>
      </c>
      <c r="K161" s="1">
        <v>48</v>
      </c>
      <c r="L161" s="2"/>
      <c r="M161" s="32"/>
      <c r="N161" s="32"/>
      <c r="O161" s="32"/>
      <c r="P161" s="31" t="s">
        <v>851</v>
      </c>
      <c r="Q161" s="32"/>
      <c r="R161" s="32"/>
      <c r="S161" s="32"/>
      <c r="W161" s="1">
        <v>6</v>
      </c>
    </row>
    <row r="162" spans="2:26" ht="15">
      <c r="B162" s="1" t="s">
        <v>71</v>
      </c>
      <c r="C162" s="1" t="s">
        <v>471</v>
      </c>
      <c r="G162" s="1">
        <v>7</v>
      </c>
      <c r="K162" s="1">
        <v>48</v>
      </c>
      <c r="L162" s="2"/>
      <c r="M162" s="32"/>
      <c r="N162" s="32"/>
      <c r="O162" s="32"/>
      <c r="P162" s="31">
        <v>29624</v>
      </c>
      <c r="Q162" s="32"/>
      <c r="R162" s="32"/>
      <c r="S162" s="32"/>
      <c r="W162" s="1">
        <v>6</v>
      </c>
    </row>
    <row r="163" spans="2:26" ht="15">
      <c r="B163" s="1" t="s">
        <v>852</v>
      </c>
      <c r="C163" s="1" t="s">
        <v>471</v>
      </c>
      <c r="G163" s="1">
        <v>6</v>
      </c>
      <c r="K163" s="1">
        <v>64</v>
      </c>
      <c r="L163" s="2"/>
      <c r="M163" s="32"/>
      <c r="N163" s="32"/>
      <c r="O163" s="32"/>
      <c r="P163" s="31" t="s">
        <v>853</v>
      </c>
      <c r="Q163" s="32"/>
      <c r="R163" s="32"/>
      <c r="S163" s="32"/>
      <c r="W163" s="1">
        <v>8</v>
      </c>
    </row>
    <row r="164" spans="2:26" ht="15">
      <c r="B164" s="1" t="s">
        <v>164</v>
      </c>
      <c r="C164" s="1" t="s">
        <v>482</v>
      </c>
      <c r="D164" s="1">
        <v>2</v>
      </c>
      <c r="E164" s="1">
        <v>2</v>
      </c>
      <c r="F164" s="1">
        <v>2</v>
      </c>
      <c r="G164" s="1">
        <v>2</v>
      </c>
      <c r="H164" s="7">
        <v>2</v>
      </c>
      <c r="I164" s="7">
        <v>2</v>
      </c>
      <c r="J164" s="1">
        <v>2</v>
      </c>
      <c r="K164" s="1">
        <v>48</v>
      </c>
      <c r="L164" s="2"/>
      <c r="M164" s="31" t="s">
        <v>854</v>
      </c>
      <c r="N164" s="31" t="s">
        <v>854</v>
      </c>
      <c r="O164" s="31" t="s">
        <v>854</v>
      </c>
      <c r="P164" s="31" t="s">
        <v>855</v>
      </c>
      <c r="Q164" s="31" t="s">
        <v>856</v>
      </c>
      <c r="R164" s="31" t="s">
        <v>857</v>
      </c>
      <c r="S164" s="31" t="s">
        <v>855</v>
      </c>
      <c r="T164" s="1">
        <v>6</v>
      </c>
      <c r="U164" s="1">
        <v>6</v>
      </c>
      <c r="V164" s="1">
        <v>6</v>
      </c>
      <c r="W164" s="1">
        <v>6</v>
      </c>
      <c r="X164" s="1">
        <v>6</v>
      </c>
      <c r="Y164" s="1">
        <v>6</v>
      </c>
      <c r="Z164" s="1">
        <v>6</v>
      </c>
    </row>
    <row r="165" spans="2:26" ht="30">
      <c r="B165" s="1" t="s">
        <v>858</v>
      </c>
      <c r="C165" s="74" t="s">
        <v>488</v>
      </c>
      <c r="I165" s="44">
        <v>10</v>
      </c>
      <c r="K165" s="1">
        <v>48</v>
      </c>
      <c r="L165" s="2" t="s">
        <v>713</v>
      </c>
      <c r="M165" s="32"/>
      <c r="N165" s="32"/>
      <c r="O165" s="32"/>
      <c r="P165" s="32"/>
      <c r="Q165" s="32"/>
      <c r="R165" s="31" t="s">
        <v>859</v>
      </c>
      <c r="S165" s="32"/>
      <c r="Y165" s="1">
        <v>6</v>
      </c>
    </row>
    <row r="166" spans="2:26" ht="15">
      <c r="B166" s="1" t="s">
        <v>860</v>
      </c>
      <c r="C166" s="1" t="s">
        <v>479</v>
      </c>
      <c r="I166" s="1">
        <v>6</v>
      </c>
      <c r="K166" s="1">
        <v>64</v>
      </c>
      <c r="L166" s="2"/>
      <c r="M166" s="32"/>
      <c r="N166" s="32"/>
      <c r="O166" s="32"/>
      <c r="P166" s="32"/>
      <c r="Q166" s="32"/>
      <c r="R166" s="31" t="s">
        <v>861</v>
      </c>
      <c r="S166" s="32"/>
      <c r="Y166" s="1">
        <v>8</v>
      </c>
    </row>
    <row r="167" spans="2:26" ht="15">
      <c r="B167" s="1" t="s">
        <v>382</v>
      </c>
      <c r="C167" s="1" t="s">
        <v>329</v>
      </c>
      <c r="F167" s="1">
        <v>5</v>
      </c>
      <c r="K167" s="1">
        <v>80</v>
      </c>
      <c r="L167" s="2"/>
      <c r="M167" s="32"/>
      <c r="N167" s="32"/>
      <c r="O167" s="31" t="s">
        <v>862</v>
      </c>
      <c r="P167" s="32"/>
      <c r="Q167" s="32"/>
      <c r="R167" s="32"/>
      <c r="S167" s="32"/>
      <c r="V167" s="1">
        <v>6</v>
      </c>
    </row>
    <row r="168" spans="2:26" ht="15">
      <c r="B168" s="1" t="s">
        <v>286</v>
      </c>
      <c r="C168" s="1" t="s">
        <v>477</v>
      </c>
      <c r="D168" s="1">
        <v>7</v>
      </c>
      <c r="F168" s="9">
        <v>7</v>
      </c>
      <c r="K168" s="1">
        <v>48</v>
      </c>
      <c r="L168" s="2" t="s">
        <v>68</v>
      </c>
      <c r="M168" s="31" t="s">
        <v>863</v>
      </c>
      <c r="N168" s="32"/>
      <c r="O168" s="31">
        <v>26993</v>
      </c>
      <c r="P168" s="32"/>
      <c r="Q168" s="32"/>
      <c r="R168" s="32"/>
      <c r="S168" s="32"/>
      <c r="T168" s="1">
        <v>6</v>
      </c>
      <c r="V168" s="1">
        <v>6</v>
      </c>
    </row>
    <row r="169" spans="2:26" ht="15">
      <c r="B169" s="1" t="s">
        <v>109</v>
      </c>
      <c r="C169" s="1" t="s">
        <v>329</v>
      </c>
      <c r="F169" s="1">
        <v>1</v>
      </c>
      <c r="K169" s="1">
        <v>48</v>
      </c>
      <c r="L169" s="2"/>
      <c r="M169" s="32"/>
      <c r="N169" s="32"/>
      <c r="O169" s="31" t="s">
        <v>864</v>
      </c>
      <c r="P169" s="32"/>
      <c r="Q169" s="32"/>
      <c r="R169" s="32"/>
      <c r="S169" s="32"/>
      <c r="V169" s="1">
        <v>6</v>
      </c>
    </row>
    <row r="170" spans="2:26" ht="15">
      <c r="B170" s="1" t="s">
        <v>278</v>
      </c>
      <c r="C170" s="1" t="s">
        <v>484</v>
      </c>
      <c r="D170" s="1">
        <v>3</v>
      </c>
      <c r="K170" s="1">
        <v>48</v>
      </c>
      <c r="L170" s="2"/>
      <c r="M170" s="31" t="s">
        <v>865</v>
      </c>
      <c r="N170" s="32"/>
      <c r="O170" s="32"/>
      <c r="P170" s="32"/>
      <c r="Q170" s="32"/>
      <c r="R170" s="32"/>
      <c r="S170" s="32"/>
      <c r="T170" s="1">
        <v>6</v>
      </c>
    </row>
    <row r="171" spans="2:26" ht="15">
      <c r="B171" s="1" t="s">
        <v>281</v>
      </c>
      <c r="C171" s="1" t="s">
        <v>484</v>
      </c>
      <c r="E171" s="1">
        <v>5</v>
      </c>
      <c r="F171" s="1">
        <v>6</v>
      </c>
      <c r="G171" s="1">
        <v>5</v>
      </c>
      <c r="H171" s="1">
        <v>4</v>
      </c>
      <c r="I171" s="1">
        <v>4</v>
      </c>
      <c r="J171" s="1">
        <v>5</v>
      </c>
      <c r="K171" s="1">
        <v>64</v>
      </c>
      <c r="L171" s="2"/>
      <c r="M171" s="32"/>
      <c r="N171" s="31" t="s">
        <v>866</v>
      </c>
      <c r="O171" s="31" t="s">
        <v>866</v>
      </c>
      <c r="P171" s="31" t="s">
        <v>867</v>
      </c>
      <c r="Q171" s="31" t="s">
        <v>868</v>
      </c>
      <c r="R171" s="31" t="s">
        <v>869</v>
      </c>
      <c r="S171" s="31" t="s">
        <v>867</v>
      </c>
      <c r="U171" s="1">
        <v>8</v>
      </c>
      <c r="V171" s="1">
        <v>8</v>
      </c>
      <c r="W171" s="1">
        <v>8</v>
      </c>
      <c r="X171" s="1">
        <v>8</v>
      </c>
      <c r="Y171" s="1">
        <v>8</v>
      </c>
      <c r="Z171" s="1">
        <v>8</v>
      </c>
    </row>
    <row r="172" spans="2:26" ht="15">
      <c r="B172" s="1" t="s">
        <v>870</v>
      </c>
      <c r="C172" s="1" t="s">
        <v>471</v>
      </c>
      <c r="G172" s="1">
        <v>8</v>
      </c>
      <c r="K172" s="1">
        <v>48</v>
      </c>
      <c r="L172" s="2"/>
      <c r="M172" s="32"/>
      <c r="N172" s="32"/>
      <c r="O172" s="32"/>
      <c r="P172" s="31" t="s">
        <v>871</v>
      </c>
      <c r="Q172" s="32"/>
      <c r="R172" s="32"/>
      <c r="S172" s="32"/>
      <c r="W172" s="1">
        <v>6</v>
      </c>
    </row>
    <row r="173" spans="2:26" ht="15">
      <c r="B173" s="1" t="s">
        <v>425</v>
      </c>
      <c r="C173" s="1" t="s">
        <v>485</v>
      </c>
      <c r="D173" s="1">
        <v>6</v>
      </c>
      <c r="E173" s="1">
        <v>6</v>
      </c>
      <c r="F173" s="1">
        <v>7</v>
      </c>
      <c r="K173" s="1">
        <v>64</v>
      </c>
      <c r="L173" s="2"/>
      <c r="M173" s="31" t="s">
        <v>872</v>
      </c>
      <c r="N173" s="31" t="s">
        <v>872</v>
      </c>
      <c r="O173" s="31">
        <v>26982</v>
      </c>
      <c r="P173" s="32"/>
      <c r="Q173" s="32"/>
      <c r="R173" s="32"/>
      <c r="S173" s="32"/>
      <c r="T173" s="1">
        <v>7</v>
      </c>
      <c r="U173" s="1">
        <v>7</v>
      </c>
      <c r="V173" s="1">
        <v>7</v>
      </c>
    </row>
    <row r="174" spans="2:26" ht="15">
      <c r="B174" s="1" t="s">
        <v>252</v>
      </c>
      <c r="C174" s="1" t="s">
        <v>471</v>
      </c>
      <c r="E174" s="1">
        <v>3</v>
      </c>
      <c r="G174" s="1">
        <v>3</v>
      </c>
      <c r="J174" s="1">
        <v>3</v>
      </c>
      <c r="K174" s="1">
        <v>64</v>
      </c>
      <c r="L174" s="2"/>
      <c r="M174" s="32"/>
      <c r="N174" s="31" t="s">
        <v>873</v>
      </c>
      <c r="O174" s="32"/>
      <c r="P174" s="31" t="s">
        <v>874</v>
      </c>
      <c r="Q174" s="32"/>
      <c r="R174" s="32"/>
      <c r="S174" s="31" t="s">
        <v>874</v>
      </c>
      <c r="U174" s="1">
        <v>8</v>
      </c>
      <c r="W174" s="1">
        <v>8</v>
      </c>
      <c r="Z174" s="1">
        <v>8</v>
      </c>
    </row>
    <row r="175" spans="2:26" ht="15">
      <c r="B175" s="1" t="s">
        <v>875</v>
      </c>
      <c r="C175" s="1" t="s">
        <v>471</v>
      </c>
      <c r="G175" s="1">
        <v>6</v>
      </c>
      <c r="K175" s="1">
        <v>48</v>
      </c>
      <c r="L175" s="2"/>
      <c r="M175" s="32"/>
      <c r="N175" s="32"/>
      <c r="O175" s="32"/>
      <c r="P175" s="31" t="s">
        <v>876</v>
      </c>
      <c r="Q175" s="32"/>
      <c r="R175" s="32"/>
      <c r="S175" s="32"/>
      <c r="W175" s="1">
        <v>6</v>
      </c>
    </row>
    <row r="176" spans="2:26" ht="15">
      <c r="B176" s="1" t="s">
        <v>404</v>
      </c>
      <c r="C176" s="1" t="s">
        <v>471</v>
      </c>
      <c r="D176" s="1">
        <v>2</v>
      </c>
      <c r="E176" s="1">
        <v>2</v>
      </c>
      <c r="G176" s="1">
        <v>2</v>
      </c>
      <c r="H176" s="7">
        <v>2</v>
      </c>
      <c r="J176" s="1">
        <v>2</v>
      </c>
      <c r="K176" s="1">
        <v>64</v>
      </c>
      <c r="L176" s="2"/>
      <c r="M176" s="31" t="s">
        <v>877</v>
      </c>
      <c r="N176" s="31" t="s">
        <v>877</v>
      </c>
      <c r="O176" s="32"/>
      <c r="P176" s="31" t="s">
        <v>878</v>
      </c>
      <c r="Q176" s="31" t="s">
        <v>879</v>
      </c>
      <c r="R176" s="32"/>
      <c r="S176" s="31" t="s">
        <v>878</v>
      </c>
      <c r="T176" s="1">
        <v>8</v>
      </c>
      <c r="U176" s="1">
        <v>8</v>
      </c>
      <c r="W176" s="1">
        <v>8</v>
      </c>
      <c r="X176" s="1">
        <v>6</v>
      </c>
      <c r="Z176" s="1">
        <v>8</v>
      </c>
    </row>
    <row r="177" spans="2:26" ht="15">
      <c r="B177" s="1" t="s">
        <v>880</v>
      </c>
      <c r="C177" s="1" t="s">
        <v>479</v>
      </c>
      <c r="I177" s="1">
        <v>6</v>
      </c>
      <c r="K177" s="1">
        <v>64</v>
      </c>
      <c r="L177" s="2"/>
      <c r="M177" s="32"/>
      <c r="N177" s="32"/>
      <c r="O177" s="32"/>
      <c r="P177" s="32"/>
      <c r="Q177" s="32"/>
      <c r="R177" s="31" t="s">
        <v>881</v>
      </c>
      <c r="S177" s="32"/>
      <c r="Y177" s="1">
        <v>7</v>
      </c>
    </row>
    <row r="178" spans="2:26" ht="12" customHeight="1">
      <c r="B178" s="1" t="s">
        <v>364</v>
      </c>
      <c r="C178" s="1" t="s">
        <v>475</v>
      </c>
      <c r="E178" s="1">
        <v>7</v>
      </c>
      <c r="K178" s="1">
        <v>64</v>
      </c>
      <c r="L178" s="2"/>
      <c r="M178" s="32"/>
      <c r="N178" s="31" t="s">
        <v>882</v>
      </c>
      <c r="O178" s="32"/>
      <c r="P178" s="32"/>
      <c r="Q178" s="32"/>
      <c r="R178" s="32"/>
      <c r="S178" s="32"/>
      <c r="U178" s="1">
        <v>7</v>
      </c>
    </row>
    <row r="179" spans="2:26" ht="15">
      <c r="B179" s="1" t="s">
        <v>883</v>
      </c>
      <c r="C179" s="1" t="s">
        <v>475</v>
      </c>
      <c r="E179" s="1">
        <v>8</v>
      </c>
      <c r="K179" s="1">
        <v>48</v>
      </c>
      <c r="L179" s="2"/>
      <c r="M179" s="32"/>
      <c r="N179" s="31" t="s">
        <v>884</v>
      </c>
      <c r="O179" s="32"/>
      <c r="P179" s="32"/>
      <c r="Q179" s="32"/>
      <c r="R179" s="32"/>
      <c r="S179" s="32"/>
      <c r="U179" s="1">
        <v>6</v>
      </c>
    </row>
    <row r="180" spans="2:26" ht="15">
      <c r="B180" s="1" t="s">
        <v>885</v>
      </c>
      <c r="C180" s="1" t="s">
        <v>481</v>
      </c>
      <c r="H180" s="1">
        <v>8</v>
      </c>
      <c r="K180" s="4">
        <v>80</v>
      </c>
      <c r="L180" s="2"/>
      <c r="M180" s="32"/>
      <c r="N180" s="32"/>
      <c r="O180" s="32"/>
      <c r="P180" s="32"/>
      <c r="Q180" s="31" t="s">
        <v>886</v>
      </c>
      <c r="R180" s="32"/>
      <c r="S180" s="32"/>
      <c r="X180" s="1">
        <v>8</v>
      </c>
    </row>
    <row r="181" spans="2:26" ht="30">
      <c r="B181" s="1" t="s">
        <v>112</v>
      </c>
      <c r="C181" s="1" t="s">
        <v>477</v>
      </c>
      <c r="D181" s="1">
        <v>6</v>
      </c>
      <c r="E181" s="1">
        <v>7</v>
      </c>
      <c r="F181" s="1">
        <v>7</v>
      </c>
      <c r="G181" s="1">
        <v>7</v>
      </c>
      <c r="I181" s="44">
        <v>9</v>
      </c>
      <c r="J181" s="1">
        <v>5</v>
      </c>
      <c r="K181" s="1">
        <v>48</v>
      </c>
      <c r="L181" s="2" t="s">
        <v>68</v>
      </c>
      <c r="M181" s="31" t="s">
        <v>887</v>
      </c>
      <c r="N181" s="31" t="s">
        <v>888</v>
      </c>
      <c r="O181" s="31">
        <v>26981</v>
      </c>
      <c r="P181" s="31" t="s">
        <v>889</v>
      </c>
      <c r="Q181" s="32"/>
      <c r="R181" s="31" t="s">
        <v>890</v>
      </c>
      <c r="S181" s="31" t="s">
        <v>891</v>
      </c>
      <c r="T181" s="1">
        <v>6</v>
      </c>
      <c r="U181" s="1">
        <v>6</v>
      </c>
      <c r="V181" s="1">
        <v>6</v>
      </c>
      <c r="W181" s="1">
        <v>6</v>
      </c>
      <c r="Y181" s="1">
        <v>6</v>
      </c>
      <c r="Z181" s="1">
        <v>6</v>
      </c>
    </row>
    <row r="182" spans="2:26" ht="15">
      <c r="B182" s="1" t="s">
        <v>387</v>
      </c>
      <c r="C182" s="1" t="s">
        <v>329</v>
      </c>
      <c r="F182" s="1">
        <v>7</v>
      </c>
      <c r="K182" s="1">
        <v>48</v>
      </c>
      <c r="L182" s="2"/>
      <c r="M182" s="32"/>
      <c r="N182" s="32"/>
      <c r="O182" s="31">
        <v>26984</v>
      </c>
      <c r="P182" s="32"/>
      <c r="Q182" s="32"/>
      <c r="R182" s="32"/>
      <c r="S182" s="32"/>
      <c r="V182" s="1">
        <v>6</v>
      </c>
    </row>
    <row r="183" spans="2:26" ht="15">
      <c r="B183" s="1" t="s">
        <v>892</v>
      </c>
      <c r="C183" s="1" t="s">
        <v>477</v>
      </c>
      <c r="F183" s="1">
        <v>8</v>
      </c>
      <c r="K183" s="1">
        <v>48</v>
      </c>
      <c r="L183" s="2"/>
      <c r="M183" s="32"/>
      <c r="N183" s="32"/>
      <c r="O183" s="31" t="s">
        <v>893</v>
      </c>
      <c r="P183" s="32"/>
      <c r="Q183" s="32"/>
      <c r="R183" s="32"/>
      <c r="S183" s="32"/>
      <c r="V183" s="1">
        <v>6</v>
      </c>
    </row>
    <row r="184" spans="2:26" ht="15">
      <c r="B184" s="1" t="s">
        <v>202</v>
      </c>
      <c r="C184" s="1" t="s">
        <v>481</v>
      </c>
      <c r="D184" s="1">
        <v>1</v>
      </c>
      <c r="E184" s="1">
        <v>1</v>
      </c>
      <c r="F184" s="1">
        <v>2</v>
      </c>
      <c r="G184" s="1">
        <v>1</v>
      </c>
      <c r="H184" s="1">
        <v>1</v>
      </c>
      <c r="J184" s="1">
        <v>1</v>
      </c>
      <c r="K184" s="1">
        <v>64</v>
      </c>
      <c r="L184" s="2"/>
      <c r="M184" s="31" t="s">
        <v>894</v>
      </c>
      <c r="N184" s="31" t="s">
        <v>894</v>
      </c>
      <c r="O184" s="31" t="s">
        <v>894</v>
      </c>
      <c r="P184" s="31" t="s">
        <v>895</v>
      </c>
      <c r="Q184" s="31" t="s">
        <v>896</v>
      </c>
      <c r="R184" s="31" t="s">
        <v>897</v>
      </c>
      <c r="S184" s="31" t="s">
        <v>895</v>
      </c>
      <c r="T184" s="1">
        <v>7</v>
      </c>
      <c r="U184" s="1">
        <v>7</v>
      </c>
      <c r="V184" s="1">
        <v>7</v>
      </c>
      <c r="W184" s="1">
        <v>7</v>
      </c>
      <c r="X184" s="1">
        <v>7</v>
      </c>
      <c r="Y184" s="1">
        <v>7</v>
      </c>
      <c r="Z184" s="1">
        <v>7</v>
      </c>
    </row>
    <row r="185" spans="2:26" ht="15">
      <c r="B185" s="1" t="s">
        <v>898</v>
      </c>
      <c r="C185" s="1" t="s">
        <v>477</v>
      </c>
      <c r="D185" s="1">
        <v>8</v>
      </c>
      <c r="K185" s="1">
        <v>48</v>
      </c>
      <c r="L185" s="2"/>
      <c r="M185" s="31" t="s">
        <v>899</v>
      </c>
      <c r="N185" s="32"/>
      <c r="O185" s="32"/>
      <c r="P185" s="32"/>
      <c r="Q185" s="32"/>
      <c r="R185" s="32"/>
      <c r="S185" s="32"/>
      <c r="T185" s="1">
        <v>6</v>
      </c>
    </row>
    <row r="186" spans="2:26" ht="15">
      <c r="B186" s="1" t="s">
        <v>289</v>
      </c>
      <c r="C186" s="1" t="s">
        <v>477</v>
      </c>
      <c r="D186" s="4">
        <v>3</v>
      </c>
      <c r="E186" s="1">
        <v>4</v>
      </c>
      <c r="G186" s="1">
        <v>4</v>
      </c>
      <c r="J186" s="1">
        <v>4</v>
      </c>
      <c r="K186" s="1">
        <v>48</v>
      </c>
      <c r="L186" s="2"/>
      <c r="M186" s="31" t="s">
        <v>900</v>
      </c>
      <c r="N186" s="31" t="s">
        <v>901</v>
      </c>
      <c r="O186" s="32"/>
      <c r="P186" s="31" t="s">
        <v>902</v>
      </c>
      <c r="Q186" s="32"/>
      <c r="R186" s="32"/>
      <c r="S186" s="31" t="s">
        <v>903</v>
      </c>
      <c r="T186" s="1">
        <v>6</v>
      </c>
      <c r="U186" s="1">
        <v>6</v>
      </c>
      <c r="W186" s="1">
        <v>6</v>
      </c>
      <c r="Z186" s="1">
        <v>6</v>
      </c>
    </row>
    <row r="187" spans="2:26" ht="15">
      <c r="B187" s="1" t="s">
        <v>904</v>
      </c>
      <c r="C187" s="1" t="s">
        <v>485</v>
      </c>
      <c r="E187" s="1">
        <v>4</v>
      </c>
      <c r="K187" s="1">
        <v>48</v>
      </c>
      <c r="L187" s="2"/>
      <c r="M187" s="32"/>
      <c r="N187" s="31" t="s">
        <v>905</v>
      </c>
      <c r="O187" s="32"/>
      <c r="P187" s="32"/>
      <c r="Q187" s="32"/>
      <c r="R187" s="32"/>
      <c r="S187" s="32"/>
      <c r="U187" s="1">
        <v>6</v>
      </c>
    </row>
    <row r="188" spans="2:26" ht="15">
      <c r="B188" s="1" t="s">
        <v>906</v>
      </c>
      <c r="C188" s="1" t="s">
        <v>469</v>
      </c>
      <c r="J188" s="1">
        <v>6</v>
      </c>
      <c r="K188" s="1">
        <v>48</v>
      </c>
      <c r="L188" s="2"/>
      <c r="M188" s="32"/>
      <c r="N188" s="32"/>
      <c r="O188" s="32"/>
      <c r="P188" s="32"/>
      <c r="Q188" s="32"/>
      <c r="R188" s="32"/>
      <c r="S188" s="31" t="s">
        <v>907</v>
      </c>
      <c r="Z188" s="1">
        <v>5</v>
      </c>
    </row>
    <row r="189" spans="2:26" ht="15">
      <c r="B189" s="1" t="s">
        <v>908</v>
      </c>
      <c r="C189" s="1" t="s">
        <v>485</v>
      </c>
      <c r="E189" s="1">
        <v>8</v>
      </c>
      <c r="K189" s="1">
        <v>48</v>
      </c>
      <c r="L189" s="2" t="s">
        <v>68</v>
      </c>
      <c r="M189" s="32"/>
      <c r="N189" s="31" t="s">
        <v>909</v>
      </c>
      <c r="O189" s="32"/>
      <c r="P189" s="32"/>
      <c r="Q189" s="32"/>
      <c r="R189" s="32"/>
      <c r="S189" s="32"/>
      <c r="U189" s="1">
        <v>6</v>
      </c>
    </row>
    <row r="190" spans="2:26" ht="15">
      <c r="B190" s="1" t="s">
        <v>910</v>
      </c>
      <c r="C190" s="1" t="s">
        <v>473</v>
      </c>
      <c r="D190" s="1">
        <v>6</v>
      </c>
      <c r="K190" s="1">
        <v>48</v>
      </c>
      <c r="L190" s="2"/>
      <c r="M190" s="31" t="s">
        <v>911</v>
      </c>
      <c r="N190" s="32"/>
      <c r="O190" s="32"/>
      <c r="P190" s="32"/>
      <c r="Q190" s="32"/>
      <c r="R190" s="32"/>
      <c r="S190" s="32"/>
      <c r="T190" s="1">
        <v>6</v>
      </c>
    </row>
    <row r="191" spans="2:26" ht="15">
      <c r="B191" s="1" t="s">
        <v>912</v>
      </c>
      <c r="C191" s="1" t="s">
        <v>329</v>
      </c>
      <c r="F191" s="1">
        <v>5</v>
      </c>
      <c r="G191" s="8">
        <v>8</v>
      </c>
      <c r="K191" s="1">
        <v>64</v>
      </c>
      <c r="L191" s="2" t="s">
        <v>68</v>
      </c>
      <c r="M191" s="32"/>
      <c r="N191" s="32"/>
      <c r="O191" s="31" t="s">
        <v>913</v>
      </c>
      <c r="P191" s="31" t="s">
        <v>914</v>
      </c>
      <c r="Q191" s="32"/>
      <c r="R191" s="32"/>
      <c r="S191" s="32"/>
      <c r="V191" s="1">
        <v>6</v>
      </c>
      <c r="W191" s="1">
        <v>6</v>
      </c>
    </row>
    <row r="192" spans="2:26" ht="15">
      <c r="B192" s="1" t="s">
        <v>436</v>
      </c>
      <c r="C192" s="1" t="s">
        <v>329</v>
      </c>
      <c r="F192" s="1">
        <v>7</v>
      </c>
      <c r="G192" s="8">
        <v>8</v>
      </c>
      <c r="K192" s="1">
        <v>64</v>
      </c>
      <c r="L192" s="2" t="s">
        <v>68</v>
      </c>
      <c r="M192" s="32"/>
      <c r="N192" s="32"/>
      <c r="O192" s="31">
        <v>26983</v>
      </c>
      <c r="P192" s="31">
        <v>29634</v>
      </c>
      <c r="Q192" s="32"/>
      <c r="R192" s="32"/>
      <c r="S192" s="32"/>
      <c r="V192" s="1">
        <v>6</v>
      </c>
      <c r="W192" s="1">
        <v>6</v>
      </c>
    </row>
    <row r="193" spans="2:26" ht="15">
      <c r="B193" s="1" t="s">
        <v>915</v>
      </c>
      <c r="C193" s="1" t="s">
        <v>481</v>
      </c>
      <c r="I193" s="8"/>
      <c r="K193" s="1">
        <v>48</v>
      </c>
      <c r="L193" s="2" t="s">
        <v>68</v>
      </c>
      <c r="M193" s="32"/>
      <c r="N193" s="32"/>
      <c r="O193" s="32"/>
      <c r="P193" s="32"/>
      <c r="Q193" s="32"/>
      <c r="R193" s="31" t="s">
        <v>916</v>
      </c>
      <c r="S193" s="32"/>
      <c r="Y193" s="1">
        <v>6</v>
      </c>
    </row>
    <row r="194" spans="2:26" ht="15">
      <c r="B194" s="1" t="s">
        <v>917</v>
      </c>
      <c r="C194" s="1" t="s">
        <v>475</v>
      </c>
      <c r="J194" s="1">
        <v>6</v>
      </c>
      <c r="K194" s="1">
        <v>64</v>
      </c>
      <c r="L194" s="2"/>
      <c r="M194" s="32"/>
      <c r="N194" s="32"/>
      <c r="O194" s="32"/>
      <c r="P194" s="32"/>
      <c r="Q194" s="32"/>
      <c r="R194" s="32"/>
      <c r="S194" s="31" t="s">
        <v>918</v>
      </c>
      <c r="Z194" s="1">
        <v>6</v>
      </c>
    </row>
    <row r="195" spans="2:26" ht="15">
      <c r="B195" s="1" t="s">
        <v>234</v>
      </c>
      <c r="C195" s="1" t="s">
        <v>475</v>
      </c>
      <c r="E195" s="1">
        <v>7</v>
      </c>
      <c r="J195" s="1">
        <v>7</v>
      </c>
      <c r="K195" s="1">
        <v>64</v>
      </c>
      <c r="L195" s="2"/>
      <c r="M195" s="32"/>
      <c r="N195" s="31" t="s">
        <v>919</v>
      </c>
      <c r="O195" s="32"/>
      <c r="P195" s="32"/>
      <c r="Q195" s="32"/>
      <c r="R195" s="32"/>
      <c r="S195" s="31" t="s">
        <v>920</v>
      </c>
      <c r="U195" s="1">
        <v>7</v>
      </c>
      <c r="Z195" s="1">
        <v>7</v>
      </c>
    </row>
    <row r="196" spans="2:26" ht="15">
      <c r="B196" s="1" t="s">
        <v>921</v>
      </c>
      <c r="C196" s="1" t="s">
        <v>477</v>
      </c>
      <c r="F196" s="1">
        <v>6</v>
      </c>
      <c r="K196" s="1">
        <v>48</v>
      </c>
      <c r="L196" s="2"/>
      <c r="M196" s="32"/>
      <c r="N196" s="32"/>
      <c r="O196" s="31" t="s">
        <v>922</v>
      </c>
      <c r="P196" s="32"/>
      <c r="Q196" s="32"/>
      <c r="R196" s="32"/>
      <c r="S196" s="32"/>
      <c r="V196" s="1">
        <v>6</v>
      </c>
    </row>
    <row r="197" spans="2:26" ht="15">
      <c r="B197" s="1" t="s">
        <v>255</v>
      </c>
      <c r="C197" s="1" t="s">
        <v>471</v>
      </c>
      <c r="D197" s="1">
        <v>3</v>
      </c>
      <c r="I197" s="1">
        <v>3</v>
      </c>
      <c r="K197" s="1">
        <v>48</v>
      </c>
      <c r="L197" s="2"/>
      <c r="M197" s="31" t="s">
        <v>923</v>
      </c>
      <c r="N197" s="32"/>
      <c r="O197" s="32"/>
      <c r="P197" s="32"/>
      <c r="Q197" s="32"/>
      <c r="R197" s="31" t="s">
        <v>924</v>
      </c>
      <c r="S197" s="32"/>
      <c r="T197" s="1">
        <v>6</v>
      </c>
      <c r="Y197" s="1">
        <v>6</v>
      </c>
    </row>
    <row r="198" spans="2:26" ht="15">
      <c r="B198" s="1" t="s">
        <v>925</v>
      </c>
      <c r="C198" s="1" t="s">
        <v>481</v>
      </c>
      <c r="I198" s="8"/>
      <c r="L198" s="2" t="s">
        <v>713</v>
      </c>
      <c r="M198" s="32"/>
      <c r="N198" s="32"/>
      <c r="O198" s="32"/>
      <c r="P198" s="32"/>
      <c r="Q198" s="32"/>
      <c r="R198" s="31" t="s">
        <v>926</v>
      </c>
      <c r="S198" s="32"/>
      <c r="Y198" s="1">
        <v>6</v>
      </c>
    </row>
    <row r="199" spans="2:26" ht="15">
      <c r="B199" s="1" t="s">
        <v>399</v>
      </c>
      <c r="C199" s="1" t="s">
        <v>481</v>
      </c>
      <c r="H199" s="1">
        <v>7</v>
      </c>
      <c r="K199" s="1">
        <v>64</v>
      </c>
      <c r="L199" s="2"/>
      <c r="M199" s="32"/>
      <c r="N199" s="32"/>
      <c r="O199" s="32"/>
      <c r="P199" s="32"/>
      <c r="Q199" s="31" t="s">
        <v>927</v>
      </c>
      <c r="R199" s="32"/>
      <c r="S199" s="32"/>
      <c r="X199" s="1">
        <v>6</v>
      </c>
    </row>
    <row r="200" spans="2:26" ht="15">
      <c r="B200" s="1" t="s">
        <v>928</v>
      </c>
      <c r="C200" s="1" t="s">
        <v>481</v>
      </c>
      <c r="H200" s="1">
        <v>8</v>
      </c>
      <c r="K200" s="1">
        <v>80</v>
      </c>
      <c r="L200" s="2"/>
      <c r="M200" s="32"/>
      <c r="N200" s="32"/>
      <c r="O200" s="32"/>
      <c r="P200" s="32"/>
      <c r="Q200" s="31" t="s">
        <v>929</v>
      </c>
      <c r="R200" s="32"/>
      <c r="S200" s="32"/>
      <c r="X200" s="1">
        <v>8</v>
      </c>
    </row>
    <row r="201" spans="2:26" ht="15">
      <c r="B201" s="1" t="s">
        <v>930</v>
      </c>
      <c r="C201" s="1" t="s">
        <v>485</v>
      </c>
      <c r="D201" s="1">
        <v>8</v>
      </c>
      <c r="K201" s="1">
        <v>64</v>
      </c>
      <c r="L201" s="2"/>
      <c r="M201" s="31" t="s">
        <v>931</v>
      </c>
      <c r="N201" s="32"/>
      <c r="O201" s="32"/>
      <c r="P201" s="32"/>
      <c r="Q201" s="32"/>
      <c r="R201" s="32"/>
      <c r="S201" s="32"/>
      <c r="T201" s="1">
        <v>7</v>
      </c>
    </row>
    <row r="202" spans="2:26" ht="15">
      <c r="B202" s="1" t="s">
        <v>932</v>
      </c>
      <c r="C202" s="1" t="s">
        <v>471</v>
      </c>
      <c r="G202" s="1">
        <v>4</v>
      </c>
      <c r="K202" s="1">
        <v>48</v>
      </c>
      <c r="L202" s="2"/>
      <c r="M202" s="32"/>
      <c r="N202" s="32"/>
      <c r="O202" s="32"/>
      <c r="P202" s="31" t="s">
        <v>933</v>
      </c>
      <c r="Q202" s="32"/>
      <c r="R202" s="32"/>
      <c r="S202" s="32"/>
      <c r="W202" s="1">
        <v>6</v>
      </c>
    </row>
    <row r="203" spans="2:26" ht="15">
      <c r="B203" s="1" t="s">
        <v>934</v>
      </c>
      <c r="C203" s="1" t="s">
        <v>481</v>
      </c>
      <c r="D203" s="8">
        <v>8</v>
      </c>
      <c r="F203" s="10">
        <v>8</v>
      </c>
      <c r="K203" s="1">
        <v>32</v>
      </c>
      <c r="L203" s="2" t="s">
        <v>68</v>
      </c>
      <c r="M203" s="31" t="s">
        <v>935</v>
      </c>
      <c r="N203" s="32"/>
      <c r="O203" s="31" t="s">
        <v>935</v>
      </c>
      <c r="P203" s="32"/>
      <c r="Q203" s="32"/>
      <c r="R203" s="32"/>
      <c r="S203" s="32"/>
      <c r="T203" s="1">
        <v>4</v>
      </c>
      <c r="V203" s="1">
        <v>4</v>
      </c>
    </row>
    <row r="204" spans="2:26" ht="15">
      <c r="B204" s="1" t="s">
        <v>936</v>
      </c>
      <c r="C204" s="1" t="s">
        <v>329</v>
      </c>
      <c r="F204" s="7">
        <v>8</v>
      </c>
      <c r="K204" s="1">
        <v>80</v>
      </c>
      <c r="L204" s="2"/>
      <c r="M204" s="32"/>
      <c r="N204" s="32"/>
      <c r="O204" s="31" t="s">
        <v>937</v>
      </c>
      <c r="P204" s="32"/>
      <c r="Q204" s="32"/>
      <c r="R204" s="32"/>
      <c r="S204" s="32"/>
      <c r="V204" s="1">
        <v>8</v>
      </c>
    </row>
    <row r="205" spans="2:26" ht="15">
      <c r="B205" s="1" t="s">
        <v>938</v>
      </c>
      <c r="C205" s="1" t="s">
        <v>329</v>
      </c>
      <c r="F205" s="1">
        <v>1</v>
      </c>
      <c r="K205" s="1">
        <v>80</v>
      </c>
      <c r="L205" s="2"/>
      <c r="M205" s="32"/>
      <c r="N205" s="32"/>
      <c r="O205" s="31" t="s">
        <v>939</v>
      </c>
      <c r="P205" s="32"/>
      <c r="Q205" s="32"/>
      <c r="R205" s="32"/>
      <c r="S205" s="32"/>
      <c r="V205" s="1">
        <v>7</v>
      </c>
    </row>
    <row r="206" spans="2:26" ht="15">
      <c r="B206" s="1" t="s">
        <v>125</v>
      </c>
      <c r="C206" s="1" t="s">
        <v>329</v>
      </c>
      <c r="F206" s="1">
        <v>5</v>
      </c>
      <c r="K206" s="1">
        <v>80</v>
      </c>
      <c r="L206" s="2"/>
      <c r="M206" s="32"/>
      <c r="N206" s="32"/>
      <c r="O206" s="31" t="s">
        <v>940</v>
      </c>
      <c r="P206" s="32"/>
      <c r="Q206" s="32"/>
      <c r="R206" s="32"/>
      <c r="S206" s="32"/>
      <c r="V206" s="1">
        <v>7</v>
      </c>
    </row>
    <row r="207" spans="2:26" ht="12" customHeight="1">
      <c r="B207" s="1" t="s">
        <v>941</v>
      </c>
      <c r="C207" s="1" t="s">
        <v>329</v>
      </c>
      <c r="F207" s="1">
        <v>4</v>
      </c>
      <c r="K207" s="1">
        <v>80</v>
      </c>
      <c r="L207" s="2"/>
      <c r="M207" s="32"/>
      <c r="N207" s="32"/>
      <c r="O207" s="31" t="s">
        <v>942</v>
      </c>
      <c r="P207" s="32"/>
      <c r="Q207" s="32"/>
      <c r="R207" s="32"/>
      <c r="S207" s="32"/>
      <c r="V207" s="1">
        <v>7</v>
      </c>
    </row>
    <row r="208" spans="2:26" ht="15">
      <c r="B208" s="1" t="s">
        <v>212</v>
      </c>
      <c r="C208" s="1" t="s">
        <v>329</v>
      </c>
      <c r="F208" s="1">
        <v>3</v>
      </c>
      <c r="K208" s="1">
        <v>80</v>
      </c>
      <c r="L208" s="2"/>
      <c r="M208" s="32"/>
      <c r="N208" s="32"/>
      <c r="O208" s="31">
        <v>26899</v>
      </c>
      <c r="P208" s="32"/>
      <c r="Q208" s="32"/>
      <c r="R208" s="32"/>
      <c r="S208" s="32"/>
      <c r="V208" s="1">
        <v>7</v>
      </c>
    </row>
    <row r="209" spans="2:26" ht="15">
      <c r="B209" s="1" t="s">
        <v>375</v>
      </c>
      <c r="C209" s="1" t="s">
        <v>329</v>
      </c>
      <c r="F209" s="1">
        <v>7</v>
      </c>
      <c r="K209" s="1">
        <v>80</v>
      </c>
      <c r="L209" s="2"/>
      <c r="M209" s="32"/>
      <c r="N209" s="32"/>
      <c r="O209" s="31">
        <v>26980</v>
      </c>
      <c r="P209" s="32"/>
      <c r="Q209" s="32"/>
      <c r="R209" s="32"/>
      <c r="S209" s="32"/>
      <c r="V209" s="1">
        <v>8</v>
      </c>
    </row>
    <row r="210" spans="2:26" ht="15">
      <c r="B210" s="1" t="s">
        <v>943</v>
      </c>
      <c r="C210" s="1" t="s">
        <v>329</v>
      </c>
      <c r="F210" s="1">
        <v>8</v>
      </c>
      <c r="K210" s="1">
        <v>80</v>
      </c>
      <c r="L210" s="2"/>
      <c r="M210" s="32"/>
      <c r="N210" s="32"/>
      <c r="O210" s="31" t="s">
        <v>944</v>
      </c>
      <c r="P210" s="32"/>
      <c r="Q210" s="32"/>
      <c r="R210" s="32"/>
      <c r="S210" s="32"/>
      <c r="V210" s="1">
        <v>8</v>
      </c>
    </row>
    <row r="211" spans="2:26" ht="15">
      <c r="B211" s="1" t="s">
        <v>945</v>
      </c>
      <c r="C211" s="1" t="s">
        <v>329</v>
      </c>
      <c r="F211" s="1">
        <v>6</v>
      </c>
      <c r="K211" s="1">
        <v>80</v>
      </c>
      <c r="L211" s="2"/>
      <c r="M211" s="32"/>
      <c r="N211" s="32"/>
      <c r="O211" s="31" t="s">
        <v>946</v>
      </c>
      <c r="P211" s="32"/>
      <c r="Q211" s="32"/>
      <c r="R211" s="32"/>
      <c r="S211" s="32"/>
      <c r="V211" s="1">
        <v>7</v>
      </c>
    </row>
    <row r="212" spans="2:26" ht="15">
      <c r="B212" s="1" t="s">
        <v>947</v>
      </c>
      <c r="C212" s="1" t="s">
        <v>479</v>
      </c>
      <c r="K212" s="1">
        <v>48</v>
      </c>
      <c r="L212" s="2" t="s">
        <v>713</v>
      </c>
      <c r="M212" s="32"/>
      <c r="N212" s="32"/>
      <c r="O212" s="32"/>
      <c r="P212" s="32"/>
      <c r="Q212" s="32"/>
      <c r="R212" s="31" t="s">
        <v>948</v>
      </c>
      <c r="S212" s="32"/>
      <c r="Y212" s="1">
        <v>6</v>
      </c>
    </row>
    <row r="213" spans="2:26" ht="15">
      <c r="B213" s="1" t="s">
        <v>949</v>
      </c>
      <c r="C213" s="1" t="s">
        <v>329</v>
      </c>
      <c r="F213" s="1">
        <v>2</v>
      </c>
      <c r="K213" s="1">
        <v>80</v>
      </c>
      <c r="L213" s="2"/>
      <c r="M213" s="32"/>
      <c r="N213" s="32"/>
      <c r="O213" s="31" t="s">
        <v>950</v>
      </c>
      <c r="P213" s="32"/>
      <c r="Q213" s="32"/>
      <c r="R213" s="32"/>
      <c r="S213" s="32"/>
      <c r="V213" s="1">
        <v>7</v>
      </c>
    </row>
    <row r="214" spans="2:26" ht="15">
      <c r="B214" s="1" t="s">
        <v>381</v>
      </c>
      <c r="C214" s="1" t="s">
        <v>329</v>
      </c>
      <c r="F214" s="1">
        <v>3</v>
      </c>
      <c r="K214" s="1">
        <v>64</v>
      </c>
      <c r="L214" s="2"/>
      <c r="M214" s="32"/>
      <c r="N214" s="32"/>
      <c r="O214" s="31">
        <v>26902</v>
      </c>
      <c r="P214" s="32"/>
      <c r="Q214" s="32"/>
      <c r="R214" s="32"/>
      <c r="S214" s="32"/>
      <c r="V214" s="1">
        <v>5</v>
      </c>
    </row>
    <row r="215" spans="2:26" ht="15">
      <c r="B215" s="1" t="s">
        <v>951</v>
      </c>
      <c r="C215" s="1" t="s">
        <v>329</v>
      </c>
      <c r="F215" s="1">
        <v>2</v>
      </c>
      <c r="K215" s="1">
        <v>64</v>
      </c>
      <c r="L215" s="2"/>
      <c r="M215" s="32"/>
      <c r="N215" s="32"/>
      <c r="O215" s="31" t="s">
        <v>952</v>
      </c>
      <c r="P215" s="32"/>
      <c r="Q215" s="32"/>
      <c r="R215" s="32"/>
      <c r="S215" s="32"/>
      <c r="V215" s="1">
        <v>5</v>
      </c>
    </row>
    <row r="216" spans="2:26" ht="15">
      <c r="B216" s="1" t="s">
        <v>407</v>
      </c>
      <c r="C216" s="1" t="s">
        <v>485</v>
      </c>
      <c r="E216" s="1">
        <v>5</v>
      </c>
      <c r="K216" s="1">
        <v>64</v>
      </c>
      <c r="L216" s="2"/>
      <c r="M216" s="32"/>
      <c r="N216" s="31">
        <v>26962</v>
      </c>
      <c r="O216" s="32"/>
      <c r="P216" s="32"/>
      <c r="Q216" s="32"/>
      <c r="R216" s="32"/>
      <c r="S216" s="32"/>
      <c r="U216" s="1">
        <v>7</v>
      </c>
    </row>
    <row r="217" spans="2:26" ht="15">
      <c r="B217" s="1" t="s">
        <v>335</v>
      </c>
      <c r="C217" s="1" t="s">
        <v>479</v>
      </c>
      <c r="I217" s="1">
        <v>5</v>
      </c>
      <c r="K217" s="1">
        <v>80</v>
      </c>
      <c r="L217" s="2"/>
      <c r="M217" s="32"/>
      <c r="N217" s="32"/>
      <c r="O217" s="32"/>
      <c r="P217" s="32"/>
      <c r="Q217" s="32"/>
      <c r="R217" s="31" t="s">
        <v>953</v>
      </c>
      <c r="S217" s="32"/>
      <c r="Y217" s="1">
        <v>7</v>
      </c>
    </row>
    <row r="218" spans="2:26" ht="15">
      <c r="B218" s="1" t="s">
        <v>954</v>
      </c>
      <c r="C218" s="1" t="s">
        <v>469</v>
      </c>
      <c r="J218" s="1">
        <v>8</v>
      </c>
      <c r="K218" s="1">
        <v>64</v>
      </c>
      <c r="L218" s="2"/>
      <c r="M218" s="32"/>
      <c r="N218" s="32"/>
      <c r="O218" s="32"/>
      <c r="P218" s="32"/>
      <c r="Q218" s="32"/>
      <c r="R218" s="32"/>
      <c r="S218" s="31" t="s">
        <v>955</v>
      </c>
      <c r="Z218" s="1">
        <v>6</v>
      </c>
    </row>
    <row r="219" spans="2:26" ht="15">
      <c r="B219" s="1" t="s">
        <v>956</v>
      </c>
      <c r="C219" s="1" t="s">
        <v>475</v>
      </c>
      <c r="K219" s="1">
        <v>64</v>
      </c>
      <c r="L219" s="2" t="s">
        <v>68</v>
      </c>
      <c r="M219" s="32"/>
      <c r="N219" s="32"/>
      <c r="O219" s="32"/>
      <c r="P219" s="32"/>
      <c r="Q219" s="32"/>
      <c r="R219" s="31" t="s">
        <v>957</v>
      </c>
      <c r="S219" s="32"/>
      <c r="Y219" s="1">
        <v>8</v>
      </c>
    </row>
    <row r="220" spans="2:26" ht="15">
      <c r="B220" s="1" t="s">
        <v>213</v>
      </c>
      <c r="C220" s="1" t="s">
        <v>329</v>
      </c>
      <c r="F220" s="1">
        <v>1</v>
      </c>
      <c r="K220" s="1">
        <v>48</v>
      </c>
      <c r="L220" s="2"/>
      <c r="M220" s="32"/>
      <c r="N220" s="32"/>
      <c r="O220" s="31" t="s">
        <v>958</v>
      </c>
      <c r="P220" s="32"/>
      <c r="Q220" s="32"/>
      <c r="R220" s="32"/>
      <c r="S220" s="32"/>
      <c r="V220" s="1">
        <v>6</v>
      </c>
    </row>
    <row r="221" spans="2:26" ht="15">
      <c r="B221" s="1" t="s">
        <v>283</v>
      </c>
      <c r="C221" s="1" t="s">
        <v>481</v>
      </c>
      <c r="D221" s="1">
        <v>3</v>
      </c>
      <c r="E221" s="1">
        <v>4</v>
      </c>
      <c r="H221" s="1">
        <v>3</v>
      </c>
      <c r="J221" s="1">
        <v>4</v>
      </c>
      <c r="K221" s="1">
        <v>64</v>
      </c>
      <c r="L221" s="2"/>
      <c r="M221" s="31" t="s">
        <v>959</v>
      </c>
      <c r="N221" s="31" t="s">
        <v>960</v>
      </c>
      <c r="O221" s="31"/>
      <c r="P221" s="32"/>
      <c r="Q221" s="31" t="s">
        <v>961</v>
      </c>
      <c r="R221" s="32"/>
      <c r="S221" s="31" t="s">
        <v>962</v>
      </c>
      <c r="T221" s="1">
        <v>7</v>
      </c>
      <c r="U221" s="1">
        <v>7</v>
      </c>
      <c r="X221" s="1">
        <v>7</v>
      </c>
      <c r="Z221" s="1">
        <v>7</v>
      </c>
    </row>
    <row r="222" spans="2:26" ht="15">
      <c r="B222" s="1" t="s">
        <v>963</v>
      </c>
      <c r="C222" s="1" t="s">
        <v>475</v>
      </c>
      <c r="D222" s="1">
        <v>6</v>
      </c>
      <c r="K222" s="1">
        <v>64</v>
      </c>
      <c r="L222" s="2"/>
      <c r="M222" s="31" t="s">
        <v>964</v>
      </c>
      <c r="N222" s="32"/>
      <c r="O222" s="32"/>
      <c r="P222" s="32"/>
      <c r="Q222" s="32"/>
      <c r="R222" s="32"/>
      <c r="S222" s="32"/>
      <c r="T222" s="1">
        <v>7</v>
      </c>
    </row>
    <row r="223" spans="2:26" ht="15">
      <c r="B223" s="1" t="s">
        <v>965</v>
      </c>
      <c r="C223" s="1" t="s">
        <v>479</v>
      </c>
      <c r="I223" s="1">
        <v>2</v>
      </c>
      <c r="K223" s="1">
        <v>80</v>
      </c>
      <c r="L223" s="2"/>
      <c r="M223" s="31"/>
      <c r="N223" s="32"/>
      <c r="O223" s="32"/>
      <c r="P223" s="32"/>
      <c r="Q223" s="32"/>
      <c r="R223" s="31" t="s">
        <v>966</v>
      </c>
      <c r="S223" s="32"/>
      <c r="Y223" s="1">
        <v>7</v>
      </c>
    </row>
    <row r="224" spans="2:26" ht="15">
      <c r="B224" s="1" t="s">
        <v>967</v>
      </c>
      <c r="C224" s="1" t="s">
        <v>481</v>
      </c>
      <c r="H224" s="1">
        <v>6</v>
      </c>
      <c r="K224" s="1">
        <v>64</v>
      </c>
      <c r="L224" s="2"/>
      <c r="M224" s="32"/>
      <c r="N224" s="32"/>
      <c r="O224" s="32"/>
      <c r="P224" s="32"/>
      <c r="Q224" s="31" t="s">
        <v>968</v>
      </c>
      <c r="R224" s="32"/>
      <c r="S224" s="32"/>
      <c r="X224" s="1">
        <v>7</v>
      </c>
    </row>
    <row r="225" spans="2:25" ht="15">
      <c r="B225" s="1" t="s">
        <v>969</v>
      </c>
      <c r="C225" s="7" t="s">
        <v>488</v>
      </c>
      <c r="I225" s="44">
        <v>10</v>
      </c>
      <c r="K225" s="1">
        <v>64</v>
      </c>
      <c r="L225" s="2" t="s">
        <v>68</v>
      </c>
      <c r="M225" s="32"/>
      <c r="N225" s="32"/>
      <c r="O225" s="32"/>
      <c r="P225" s="32"/>
      <c r="Q225" s="32"/>
      <c r="R225" s="31" t="s">
        <v>970</v>
      </c>
      <c r="S225" s="32"/>
      <c r="Y225" s="1">
        <v>8</v>
      </c>
    </row>
    <row r="226" spans="2:25" ht="15">
      <c r="B226" s="1" t="s">
        <v>349</v>
      </c>
      <c r="C226" s="1" t="s">
        <v>479</v>
      </c>
      <c r="I226" s="1">
        <v>7</v>
      </c>
      <c r="K226" s="1">
        <v>64</v>
      </c>
      <c r="L226" s="2"/>
      <c r="M226" s="32"/>
      <c r="N226" s="32"/>
      <c r="O226" s="32"/>
      <c r="P226" s="32"/>
      <c r="Q226" s="32"/>
      <c r="R226" s="31" t="s">
        <v>971</v>
      </c>
      <c r="S226" s="32"/>
      <c r="Y226" s="1">
        <v>8</v>
      </c>
    </row>
    <row r="227" spans="2:25" ht="15">
      <c r="B227" s="1" t="s">
        <v>328</v>
      </c>
      <c r="C227" s="1" t="s">
        <v>471</v>
      </c>
      <c r="F227" s="1">
        <v>5</v>
      </c>
      <c r="K227" s="1">
        <v>64</v>
      </c>
      <c r="L227" s="2"/>
      <c r="M227" s="32"/>
      <c r="N227" s="32"/>
      <c r="O227" s="32">
        <v>26977</v>
      </c>
      <c r="P227" s="32"/>
      <c r="Q227" s="32"/>
      <c r="R227" s="32"/>
      <c r="S227" s="32"/>
      <c r="V227" s="1">
        <v>7</v>
      </c>
    </row>
  </sheetData>
  <pageMargins left="0.7" right="0.7" top="0.75" bottom="0.75" header="0.3" footer="0.3"/>
  <pageSetup orientation="portrait" r:id="rId1"/>
  <legacyDrawing r:id="rId2"/>
  <tableParts count="3"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D8568-E850-47E6-865A-0ED82ED0076D}">
  <dimension ref="A1:AA124"/>
  <sheetViews>
    <sheetView topLeftCell="A5" workbookViewId="0">
      <selection activeCell="AC32" sqref="AC32"/>
    </sheetView>
  </sheetViews>
  <sheetFormatPr baseColWidth="10" defaultColWidth="10.6640625" defaultRowHeight="13"/>
  <cols>
    <col min="1" max="1" width="25.1640625" customWidth="1"/>
    <col min="3" max="9" width="4.33203125" customWidth="1"/>
    <col min="10" max="10" width="4.5" customWidth="1"/>
    <col min="11" max="11" width="7.1640625" hidden="1" customWidth="1"/>
    <col min="12" max="18" width="0" hidden="1" customWidth="1"/>
    <col min="19" max="25" width="4" hidden="1" customWidth="1"/>
    <col min="26" max="26" width="11.5" style="52"/>
    <col min="27" max="27" width="12.33203125" style="51" bestFit="1" customWidth="1"/>
  </cols>
  <sheetData>
    <row r="1" spans="1:27" ht="87" customHeight="1">
      <c r="A1" s="46" t="s">
        <v>15</v>
      </c>
      <c r="B1" s="47" t="s">
        <v>16</v>
      </c>
      <c r="C1" s="48" t="s">
        <v>45</v>
      </c>
      <c r="D1" s="49" t="s">
        <v>46</v>
      </c>
      <c r="E1" s="48" t="s">
        <v>47</v>
      </c>
      <c r="F1" s="49" t="s">
        <v>48</v>
      </c>
      <c r="G1" s="48" t="s">
        <v>49</v>
      </c>
      <c r="H1" s="49" t="s">
        <v>50</v>
      </c>
      <c r="I1" s="48" t="s">
        <v>12</v>
      </c>
      <c r="J1" s="50" t="s">
        <v>39</v>
      </c>
      <c r="K1" s="50" t="s">
        <v>516</v>
      </c>
      <c r="L1" s="50" t="s">
        <v>517</v>
      </c>
      <c r="M1" s="50" t="s">
        <v>518</v>
      </c>
      <c r="N1" s="50" t="s">
        <v>519</v>
      </c>
      <c r="O1" s="50" t="s">
        <v>520</v>
      </c>
      <c r="P1" s="50" t="s">
        <v>521</v>
      </c>
      <c r="Q1" s="50" t="s">
        <v>522</v>
      </c>
      <c r="R1" s="50" t="s">
        <v>523</v>
      </c>
      <c r="S1" s="50" t="s">
        <v>524</v>
      </c>
      <c r="T1" s="50" t="s">
        <v>525</v>
      </c>
      <c r="U1" s="50" t="s">
        <v>526</v>
      </c>
      <c r="V1" s="50" t="s">
        <v>527</v>
      </c>
      <c r="W1" s="50" t="s">
        <v>528</v>
      </c>
      <c r="X1" s="50" t="s">
        <v>529</v>
      </c>
      <c r="Y1" s="50" t="s">
        <v>530</v>
      </c>
      <c r="Z1" s="47" t="s">
        <v>972</v>
      </c>
      <c r="AA1" s="47" t="s">
        <v>973</v>
      </c>
    </row>
    <row r="2" spans="1:27" ht="28">
      <c r="A2" t="str" cm="1">
        <f t="array" ref="A2:Y124">_xlfn._xlws.SORT(_xlfn._xlws.FILTER(Planes_de_estudio[],(Industrial=2)+(Industrial=4)+(Industrial=6)+(Industrial=8)+(Mecatrónica=2)+(Mecatrónica=4)+(Mecatrónica=6)+(Mecatrónica=8)+(Innovación_y_Diseño=2)+(Innovación_y_Diseño=4)+(Innovación_y_Diseño=6)+(Innovación_y_Diseño=8)+(Inteligencia_Artificial=2)+(Inteligencia_Artificial=4)+(Inteligencia_Artificial=6)+(Inteligencia_Artificial=8)+(Tecnologías_Energéticas=2)+(Tecnologías_Energéticas=4)+(Tecnologías_Energéticas=6)+(Tecnologías_Energéticas=8)+(Civil_y_Administración=2)+(Civil_y_Administración=4)+(Civil_y_Administración=6)+(Civil_y_Administración=8)+(Civil_y_Administración=10)+(Bioelectrónica=2)+(Bioelectrónica=4)+(Bioelectrónica=6)+(Bioelectrónica=8)),2,1)</f>
        <v>Certificación energética y ambiental de edificios</v>
      </c>
      <c r="B2" t="str">
        <v>AIC</v>
      </c>
      <c r="C2">
        <v>0</v>
      </c>
      <c r="D2">
        <v>0</v>
      </c>
      <c r="E2">
        <v>0</v>
      </c>
      <c r="F2">
        <v>0</v>
      </c>
      <c r="G2">
        <v>0</v>
      </c>
      <c r="H2">
        <v>10</v>
      </c>
      <c r="I2">
        <v>0</v>
      </c>
      <c r="J2">
        <v>48</v>
      </c>
      <c r="K2" t="str">
        <v>x</v>
      </c>
      <c r="L2">
        <v>0</v>
      </c>
      <c r="M2">
        <v>0</v>
      </c>
      <c r="N2">
        <v>0</v>
      </c>
      <c r="O2">
        <v>0</v>
      </c>
      <c r="P2">
        <v>0</v>
      </c>
      <c r="Q2" t="str">
        <v>027099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8</v>
      </c>
      <c r="Y2">
        <v>0</v>
      </c>
      <c r="Z2" s="52">
        <v>1</v>
      </c>
      <c r="AA2" s="51">
        <f>COUNTIFS(base_de_datos[Materia],A2,base_de_datos[Misma o no],1)</f>
        <v>0</v>
      </c>
    </row>
    <row r="3" spans="1:27" ht="28">
      <c r="A3" t="str">
        <v>Introducción a la administración</v>
      </c>
      <c r="B3" t="str">
        <v>AIC</v>
      </c>
      <c r="C3">
        <v>0</v>
      </c>
      <c r="D3">
        <v>0</v>
      </c>
      <c r="E3">
        <v>0</v>
      </c>
      <c r="F3">
        <v>0</v>
      </c>
      <c r="G3">
        <v>0</v>
      </c>
      <c r="H3">
        <v>4</v>
      </c>
      <c r="I3">
        <v>0</v>
      </c>
      <c r="J3">
        <v>0</v>
      </c>
      <c r="K3" t="str">
        <v>x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 s="52">
        <v>1</v>
      </c>
      <c r="AA3" s="51">
        <f>COUNTIFS(base_de_datos[Materia],A3,base_de_datos[Misma o no],1)</f>
        <v>0</v>
      </c>
    </row>
    <row r="4" spans="1:27" ht="28">
      <c r="A4" t="str">
        <v>Mercadotecnia de proyectos de construcción</v>
      </c>
      <c r="B4" t="str">
        <v>AIC</v>
      </c>
      <c r="C4">
        <v>0</v>
      </c>
      <c r="D4">
        <v>0</v>
      </c>
      <c r="E4">
        <v>0</v>
      </c>
      <c r="F4">
        <v>0</v>
      </c>
      <c r="G4">
        <v>0</v>
      </c>
      <c r="H4">
        <v>10</v>
      </c>
      <c r="I4">
        <v>0</v>
      </c>
      <c r="J4">
        <v>48</v>
      </c>
      <c r="K4" t="str">
        <v>X</v>
      </c>
      <c r="L4">
        <v>0</v>
      </c>
      <c r="M4">
        <v>0</v>
      </c>
      <c r="N4">
        <v>0</v>
      </c>
      <c r="O4">
        <v>0</v>
      </c>
      <c r="P4">
        <v>0</v>
      </c>
      <c r="Q4" t="str">
        <v xml:space="preserve">	
032378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6</v>
      </c>
      <c r="Y4">
        <v>0</v>
      </c>
      <c r="Z4" s="52">
        <v>1</v>
      </c>
      <c r="AA4" s="51">
        <f>COUNTIFS(base_de_datos[Materia],A4,base_de_datos[Misma o no],1)</f>
        <v>0</v>
      </c>
    </row>
    <row r="5" spans="1:27" ht="28">
      <c r="A5" t="str">
        <v>Planeación estratégica</v>
      </c>
      <c r="B5" t="str">
        <v>AIC</v>
      </c>
      <c r="C5">
        <v>0</v>
      </c>
      <c r="D5">
        <v>0</v>
      </c>
      <c r="E5">
        <v>0</v>
      </c>
      <c r="F5">
        <v>0</v>
      </c>
      <c r="G5">
        <v>0</v>
      </c>
      <c r="H5">
        <v>10</v>
      </c>
      <c r="I5">
        <v>0</v>
      </c>
      <c r="J5">
        <v>48</v>
      </c>
      <c r="K5" t="str">
        <v>X</v>
      </c>
      <c r="L5">
        <v>0</v>
      </c>
      <c r="M5">
        <v>0</v>
      </c>
      <c r="N5">
        <v>0</v>
      </c>
      <c r="O5">
        <v>0</v>
      </c>
      <c r="P5">
        <v>0</v>
      </c>
      <c r="Q5" t="str">
        <v xml:space="preserve">	
032377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6</v>
      </c>
      <c r="Y5">
        <v>0</v>
      </c>
      <c r="Z5" s="52">
        <v>1</v>
      </c>
      <c r="AA5" s="51">
        <f>COUNTIFS(base_de_datos[Materia],A5,base_de_datos[Misma o no],1)</f>
        <v>0</v>
      </c>
    </row>
    <row r="6" spans="1:27" ht="14">
      <c r="A6" t="str">
        <v>Urbótica</v>
      </c>
      <c r="B6" t="str">
        <v>AIC</v>
      </c>
      <c r="C6">
        <v>0</v>
      </c>
      <c r="D6">
        <v>0</v>
      </c>
      <c r="E6">
        <v>0</v>
      </c>
      <c r="F6">
        <v>0</v>
      </c>
      <c r="G6">
        <v>0</v>
      </c>
      <c r="H6">
        <v>10</v>
      </c>
      <c r="I6">
        <v>0</v>
      </c>
      <c r="J6">
        <v>64</v>
      </c>
      <c r="K6" t="str">
        <v>x</v>
      </c>
      <c r="L6">
        <v>0</v>
      </c>
      <c r="M6">
        <v>0</v>
      </c>
      <c r="N6">
        <v>0</v>
      </c>
      <c r="O6">
        <v>0</v>
      </c>
      <c r="P6">
        <v>0</v>
      </c>
      <c r="Q6" t="str">
        <v>027098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8</v>
      </c>
      <c r="Y6">
        <v>0</v>
      </c>
      <c r="Z6" s="52">
        <v>1</v>
      </c>
      <c r="AA6" s="51">
        <f>COUNTIFS(base_de_datos[Materia],A6,base_de_datos[Misma o no],1)</f>
        <v>0</v>
      </c>
    </row>
    <row r="7" spans="1:27" ht="14">
      <c r="A7" t="str">
        <v>Bioinstrumentación</v>
      </c>
      <c r="B7" t="str">
        <v>BIO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8</v>
      </c>
      <c r="J7">
        <v>64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 t="str">
        <v>028913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6</v>
      </c>
      <c r="Z7" s="52">
        <v>1</v>
      </c>
      <c r="AA7" s="51">
        <f>COUNTIFS(base_de_datos[Materia],A7,base_de_datos[Misma o no],1)</f>
        <v>0</v>
      </c>
    </row>
    <row r="8" spans="1:27" ht="28">
      <c r="A8" t="str">
        <v>Fundamentos de bioelectrónica</v>
      </c>
      <c r="B8" t="str">
        <v>BIO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2</v>
      </c>
      <c r="J8">
        <v>32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 t="str">
        <v>028376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4</v>
      </c>
      <c r="Z8" s="52">
        <v>1</v>
      </c>
      <c r="AA8" s="51">
        <f>COUNTIFS(base_de_datos[Materia],A8,base_de_datos[Misma o no],1)</f>
        <v>0</v>
      </c>
    </row>
    <row r="9" spans="1:27" ht="28">
      <c r="A9" t="str">
        <v>Señales e imágenes biomédicas</v>
      </c>
      <c r="B9" t="str">
        <v>BIO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6</v>
      </c>
      <c r="J9">
        <v>48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 t="str">
        <v>028705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5</v>
      </c>
      <c r="Z9" s="52">
        <v>1</v>
      </c>
      <c r="AA9" s="51">
        <f>COUNTIFS(base_de_datos[Materia],A9,base_de_datos[Misma o no],1)</f>
        <v>0</v>
      </c>
    </row>
    <row r="10" spans="1:27" ht="14">
      <c r="A10" t="str">
        <v>Tecnologías de asistencia</v>
      </c>
      <c r="B10" t="str">
        <v>BIO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8</v>
      </c>
      <c r="J10">
        <v>64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 t="str">
        <v>028914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6</v>
      </c>
      <c r="Z10" s="52">
        <v>1</v>
      </c>
      <c r="AA10" s="51">
        <f>COUNTIFS(base_de_datos[Materia],A10,base_de_datos[Misma o no],1)</f>
        <v>0</v>
      </c>
    </row>
    <row r="11" spans="1:27" ht="14">
      <c r="A11" t="str">
        <v>Aprendizaje de máquina I</v>
      </c>
      <c r="B11" t="str">
        <v>COM</v>
      </c>
      <c r="C11">
        <v>0</v>
      </c>
      <c r="D11">
        <v>0</v>
      </c>
      <c r="E11">
        <v>0</v>
      </c>
      <c r="F11">
        <v>6</v>
      </c>
      <c r="G11">
        <v>0</v>
      </c>
      <c r="H11">
        <v>0</v>
      </c>
      <c r="I11">
        <v>0</v>
      </c>
      <c r="J11">
        <v>48</v>
      </c>
      <c r="K11">
        <v>0</v>
      </c>
      <c r="L11">
        <v>0</v>
      </c>
      <c r="M11">
        <v>0</v>
      </c>
      <c r="N11">
        <v>0</v>
      </c>
      <c r="O11" t="str">
        <v>029628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6</v>
      </c>
      <c r="W11">
        <v>0</v>
      </c>
      <c r="X11">
        <v>0</v>
      </c>
      <c r="Y11">
        <v>0</v>
      </c>
      <c r="Z11" s="52">
        <v>1</v>
      </c>
      <c r="AA11" s="51">
        <f>COUNTIFS(base_de_datos[Materia],A11,base_de_datos[Misma o no],1)</f>
        <v>0</v>
      </c>
    </row>
    <row r="12" spans="1:27" ht="14">
      <c r="A12" t="str">
        <v>Aprendizaje de máquina II</v>
      </c>
      <c r="B12" t="str">
        <v>COM</v>
      </c>
      <c r="C12">
        <v>0</v>
      </c>
      <c r="D12">
        <v>0</v>
      </c>
      <c r="E12">
        <v>0</v>
      </c>
      <c r="F12">
        <v>8</v>
      </c>
      <c r="G12">
        <v>0</v>
      </c>
      <c r="H12">
        <v>0</v>
      </c>
      <c r="I12">
        <v>0</v>
      </c>
      <c r="J12">
        <v>48</v>
      </c>
      <c r="K12">
        <v>0</v>
      </c>
      <c r="L12">
        <v>0</v>
      </c>
      <c r="M12">
        <v>0</v>
      </c>
      <c r="N12">
        <v>0</v>
      </c>
      <c r="O12" t="str">
        <v>029632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6</v>
      </c>
      <c r="W12">
        <v>0</v>
      </c>
      <c r="X12">
        <v>0</v>
      </c>
      <c r="Y12">
        <v>0</v>
      </c>
      <c r="Z12" s="52">
        <v>1</v>
      </c>
      <c r="AA12" s="51">
        <f>COUNTIFS(base_de_datos[Materia],A12,base_de_datos[Misma o no],1)</f>
        <v>0</v>
      </c>
    </row>
    <row r="13" spans="1:27" ht="14">
      <c r="A13" t="str">
        <v>Bases de datos avanzadas</v>
      </c>
      <c r="B13" t="str">
        <v>COM</v>
      </c>
      <c r="C13">
        <v>0</v>
      </c>
      <c r="D13">
        <v>0</v>
      </c>
      <c r="E13">
        <v>0</v>
      </c>
      <c r="F13">
        <v>6</v>
      </c>
      <c r="G13">
        <v>0</v>
      </c>
      <c r="H13">
        <v>0</v>
      </c>
      <c r="I13">
        <v>0</v>
      </c>
      <c r="J13">
        <v>48</v>
      </c>
      <c r="K13">
        <v>0</v>
      </c>
      <c r="L13">
        <v>0</v>
      </c>
      <c r="M13">
        <v>0</v>
      </c>
      <c r="N13">
        <v>0</v>
      </c>
      <c r="O13" t="str">
        <v>029623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6</v>
      </c>
      <c r="W13">
        <v>0</v>
      </c>
      <c r="X13">
        <v>0</v>
      </c>
      <c r="Y13">
        <v>0</v>
      </c>
      <c r="Z13" s="52">
        <v>1</v>
      </c>
      <c r="AA13" s="51">
        <f>COUNTIFS(base_de_datos[Materia],A13,base_de_datos[Misma o no],1)</f>
        <v>0</v>
      </c>
    </row>
    <row r="14" spans="1:27" ht="14">
      <c r="A14" t="str">
        <v>Datos masivos</v>
      </c>
      <c r="B14" t="str">
        <v>COM</v>
      </c>
      <c r="C14">
        <v>0</v>
      </c>
      <c r="D14">
        <v>0</v>
      </c>
      <c r="E14">
        <v>0</v>
      </c>
      <c r="F14">
        <v>8</v>
      </c>
      <c r="G14">
        <v>0</v>
      </c>
      <c r="H14">
        <v>0</v>
      </c>
      <c r="I14">
        <v>0</v>
      </c>
      <c r="J14">
        <v>48</v>
      </c>
      <c r="K14">
        <v>0</v>
      </c>
      <c r="L14">
        <v>0</v>
      </c>
      <c r="M14">
        <v>0</v>
      </c>
      <c r="N14">
        <v>0</v>
      </c>
      <c r="O14" t="str">
        <v>029630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6</v>
      </c>
      <c r="W14">
        <v>0</v>
      </c>
      <c r="X14">
        <v>0</v>
      </c>
      <c r="Y14">
        <v>0</v>
      </c>
      <c r="Z14" s="52">
        <v>1</v>
      </c>
      <c r="AA14" s="51">
        <f>COUNTIFS(base_de_datos[Materia],A14,base_de_datos[Misma o no],1)</f>
        <v>0</v>
      </c>
    </row>
    <row r="15" spans="1:27" ht="28">
      <c r="A15" t="str">
        <v>Estructura de datos y algoritmos I</v>
      </c>
      <c r="B15" t="str">
        <v>COM</v>
      </c>
      <c r="C15">
        <v>0</v>
      </c>
      <c r="D15">
        <v>0</v>
      </c>
      <c r="E15">
        <v>0</v>
      </c>
      <c r="F15">
        <v>2</v>
      </c>
      <c r="G15">
        <v>0</v>
      </c>
      <c r="H15">
        <v>0</v>
      </c>
      <c r="I15">
        <v>0</v>
      </c>
      <c r="J15">
        <v>64</v>
      </c>
      <c r="K15">
        <v>0</v>
      </c>
      <c r="L15">
        <v>0</v>
      </c>
      <c r="M15">
        <v>0</v>
      </c>
      <c r="N15">
        <v>0</v>
      </c>
      <c r="O15" t="str">
        <v>029607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8</v>
      </c>
      <c r="W15">
        <v>0</v>
      </c>
      <c r="X15">
        <v>0</v>
      </c>
      <c r="Y15">
        <v>0</v>
      </c>
      <c r="Z15" s="52">
        <v>1</v>
      </c>
      <c r="AA15" s="51">
        <f>COUNTIFS(base_de_datos[Materia],A15,base_de_datos[Misma o no],1)</f>
        <v>0</v>
      </c>
    </row>
    <row r="16" spans="1:27" ht="28">
      <c r="A16" t="str">
        <v>Estructura de datos y algoritmos III</v>
      </c>
      <c r="B16" t="str">
        <v>COM</v>
      </c>
      <c r="C16">
        <v>0</v>
      </c>
      <c r="D16">
        <v>0</v>
      </c>
      <c r="E16">
        <v>0</v>
      </c>
      <c r="F16">
        <v>4</v>
      </c>
      <c r="G16">
        <v>0</v>
      </c>
      <c r="H16">
        <v>0</v>
      </c>
      <c r="I16">
        <v>0</v>
      </c>
      <c r="J16">
        <v>64</v>
      </c>
      <c r="K16">
        <v>0</v>
      </c>
      <c r="L16">
        <v>0</v>
      </c>
      <c r="M16">
        <v>0</v>
      </c>
      <c r="N16">
        <v>0</v>
      </c>
      <c r="O16" t="str">
        <v>029615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8</v>
      </c>
      <c r="W16">
        <v>0</v>
      </c>
      <c r="X16">
        <v>0</v>
      </c>
      <c r="Y16">
        <v>0</v>
      </c>
      <c r="Z16" s="52">
        <v>1</v>
      </c>
      <c r="AA16" s="51">
        <f>COUNTIFS(base_de_datos[Materia],A16,base_de_datos[Misma o no],1)</f>
        <v>0</v>
      </c>
    </row>
    <row r="17" spans="1:27" ht="14">
      <c r="A17" t="str">
        <v>Ingeniería de software</v>
      </c>
      <c r="B17" t="str">
        <v>COM</v>
      </c>
      <c r="C17">
        <v>0</v>
      </c>
      <c r="D17">
        <v>0</v>
      </c>
      <c r="E17">
        <v>0</v>
      </c>
      <c r="F17">
        <v>8</v>
      </c>
      <c r="G17">
        <v>0</v>
      </c>
      <c r="H17">
        <v>0</v>
      </c>
      <c r="I17">
        <v>0</v>
      </c>
      <c r="J17">
        <v>48</v>
      </c>
      <c r="K17">
        <v>0</v>
      </c>
      <c r="L17">
        <v>0</v>
      </c>
      <c r="M17">
        <v>0</v>
      </c>
      <c r="N17">
        <v>0</v>
      </c>
      <c r="O17" t="str">
        <v>029629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6</v>
      </c>
      <c r="W17">
        <v>0</v>
      </c>
      <c r="X17">
        <v>0</v>
      </c>
      <c r="Y17">
        <v>0</v>
      </c>
      <c r="Z17" s="52">
        <v>1</v>
      </c>
      <c r="AA17" s="51">
        <f>COUNTIFS(base_de_datos[Materia],A17,base_de_datos[Misma o no],1)</f>
        <v>0</v>
      </c>
    </row>
    <row r="18" spans="1:27" ht="14">
      <c r="A18" t="str">
        <v>Inteligencia artificial I</v>
      </c>
      <c r="B18" t="str">
        <v>COM</v>
      </c>
      <c r="C18">
        <v>0</v>
      </c>
      <c r="D18">
        <v>0</v>
      </c>
      <c r="E18">
        <v>0</v>
      </c>
      <c r="F18">
        <v>0</v>
      </c>
      <c r="G18">
        <v>6</v>
      </c>
      <c r="H18">
        <v>0</v>
      </c>
      <c r="I18">
        <v>0</v>
      </c>
      <c r="J18">
        <v>64</v>
      </c>
      <c r="K18">
        <v>0</v>
      </c>
      <c r="L18">
        <v>0</v>
      </c>
      <c r="M18">
        <v>0</v>
      </c>
      <c r="N18">
        <v>0</v>
      </c>
      <c r="O18">
        <v>0</v>
      </c>
      <c r="P18" t="str">
        <v>018599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7</v>
      </c>
      <c r="X18">
        <v>0</v>
      </c>
      <c r="Y18">
        <v>0</v>
      </c>
      <c r="Z18" s="52">
        <v>1</v>
      </c>
      <c r="AA18" s="51">
        <f>COUNTIFS(base_de_datos[Materia],A18,base_de_datos[Misma o no],1)</f>
        <v>0</v>
      </c>
    </row>
    <row r="19" spans="1:27" ht="14">
      <c r="A19" t="str">
        <v>Modelado digital avanzado</v>
      </c>
      <c r="B19" t="str">
        <v>COM</v>
      </c>
      <c r="C19">
        <v>0</v>
      </c>
      <c r="D19">
        <v>0</v>
      </c>
      <c r="E19">
        <v>4</v>
      </c>
      <c r="F19">
        <v>0</v>
      </c>
      <c r="G19">
        <v>0</v>
      </c>
      <c r="H19">
        <v>0</v>
      </c>
      <c r="I19">
        <v>0</v>
      </c>
      <c r="J19">
        <v>64</v>
      </c>
      <c r="K19">
        <v>0</v>
      </c>
      <c r="L19">
        <v>0</v>
      </c>
      <c r="M19">
        <v>0</v>
      </c>
      <c r="N19" t="str">
        <v>026908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5</v>
      </c>
      <c r="V19">
        <v>0</v>
      </c>
      <c r="W19">
        <v>0</v>
      </c>
      <c r="X19">
        <v>0</v>
      </c>
      <c r="Y19">
        <v>0</v>
      </c>
      <c r="Z19" s="52">
        <v>1</v>
      </c>
      <c r="AA19" s="51">
        <f>COUNTIFS(base_de_datos[Materia],A19,base_de_datos[Misma o no],1)</f>
        <v>0</v>
      </c>
    </row>
    <row r="20" spans="1:27" ht="28">
      <c r="A20" t="str">
        <v>Patrones de diseño y arquitectura de software</v>
      </c>
      <c r="B20" t="str">
        <v>COM</v>
      </c>
      <c r="C20">
        <v>0</v>
      </c>
      <c r="D20">
        <v>0</v>
      </c>
      <c r="E20">
        <v>0</v>
      </c>
      <c r="F20">
        <v>6</v>
      </c>
      <c r="G20">
        <v>0</v>
      </c>
      <c r="H20">
        <v>0</v>
      </c>
      <c r="I20">
        <v>0</v>
      </c>
      <c r="J20">
        <v>64</v>
      </c>
      <c r="K20">
        <v>0</v>
      </c>
      <c r="L20">
        <v>0</v>
      </c>
      <c r="M20">
        <v>0</v>
      </c>
      <c r="N20">
        <v>0</v>
      </c>
      <c r="O20" t="str">
        <v>029620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8</v>
      </c>
      <c r="W20">
        <v>0</v>
      </c>
      <c r="X20">
        <v>0</v>
      </c>
      <c r="Y20">
        <v>0</v>
      </c>
      <c r="Z20" s="52">
        <v>1</v>
      </c>
      <c r="AA20" s="51">
        <f>COUNTIFS(base_de_datos[Materia],A20,base_de_datos[Misma o no],1)</f>
        <v>0</v>
      </c>
    </row>
    <row r="21" spans="1:27" ht="28">
      <c r="A21" t="str">
        <v>Procesamiento del lenguaje natural</v>
      </c>
      <c r="B21" t="str">
        <v>COM</v>
      </c>
      <c r="C21">
        <v>0</v>
      </c>
      <c r="D21">
        <v>0</v>
      </c>
      <c r="E21">
        <v>0</v>
      </c>
      <c r="F21">
        <v>8</v>
      </c>
      <c r="G21">
        <v>0</v>
      </c>
      <c r="H21">
        <v>0</v>
      </c>
      <c r="I21">
        <v>0</v>
      </c>
      <c r="J21">
        <v>48</v>
      </c>
      <c r="K21">
        <v>0</v>
      </c>
      <c r="L21">
        <v>0</v>
      </c>
      <c r="M21">
        <v>0</v>
      </c>
      <c r="N21">
        <v>0</v>
      </c>
      <c r="O21" t="str">
        <v>029631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6</v>
      </c>
      <c r="W21">
        <v>0</v>
      </c>
      <c r="X21">
        <v>0</v>
      </c>
      <c r="Y21">
        <v>0</v>
      </c>
      <c r="Z21" s="52">
        <v>1</v>
      </c>
      <c r="AA21" s="51">
        <f>COUNTIFS(base_de_datos[Materia],A21,base_de_datos[Misma o no],1)</f>
        <v>0</v>
      </c>
    </row>
    <row r="22" spans="1:27" ht="28">
      <c r="A22" t="str">
        <v>Programación de agentes para entornos virtuales</v>
      </c>
      <c r="B22" t="str">
        <v>COM</v>
      </c>
      <c r="C22">
        <v>0</v>
      </c>
      <c r="D22">
        <v>0</v>
      </c>
      <c r="E22">
        <v>0</v>
      </c>
      <c r="F22">
        <v>6</v>
      </c>
      <c r="G22">
        <v>0</v>
      </c>
      <c r="H22">
        <v>0</v>
      </c>
      <c r="I22">
        <v>0</v>
      </c>
      <c r="J22">
        <v>48</v>
      </c>
      <c r="K22">
        <v>0</v>
      </c>
      <c r="L22">
        <v>0</v>
      </c>
      <c r="M22">
        <v>0</v>
      </c>
      <c r="N22">
        <v>0</v>
      </c>
      <c r="O22" t="str">
        <v>029621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6</v>
      </c>
      <c r="W22">
        <v>0</v>
      </c>
      <c r="X22">
        <v>0</v>
      </c>
      <c r="Y22">
        <v>0</v>
      </c>
      <c r="Z22" s="52">
        <v>4</v>
      </c>
      <c r="AA22" s="51">
        <f>COUNTIFS(base_de_datos[Materia],A22,base_de_datos[Misma o no],1)</f>
        <v>0</v>
      </c>
    </row>
    <row r="23" spans="1:27" ht="28">
      <c r="A23" t="str">
        <v>Programación orientada a objetos</v>
      </c>
      <c r="B23" t="str">
        <v>COM</v>
      </c>
      <c r="C23">
        <v>2</v>
      </c>
      <c r="D23">
        <v>2</v>
      </c>
      <c r="E23">
        <v>0</v>
      </c>
      <c r="F23">
        <v>2</v>
      </c>
      <c r="G23">
        <v>2</v>
      </c>
      <c r="H23">
        <v>0</v>
      </c>
      <c r="I23">
        <v>2</v>
      </c>
      <c r="J23">
        <v>64</v>
      </c>
      <c r="K23">
        <v>0</v>
      </c>
      <c r="L23" t="str">
        <v>026934</v>
      </c>
      <c r="M23" t="str">
        <v>026934</v>
      </c>
      <c r="N23">
        <v>0</v>
      </c>
      <c r="O23" t="str">
        <v>028367</v>
      </c>
      <c r="P23" t="str">
        <v>018543</v>
      </c>
      <c r="Q23">
        <v>0</v>
      </c>
      <c r="R23" t="str">
        <v>028367</v>
      </c>
      <c r="S23">
        <v>8</v>
      </c>
      <c r="T23">
        <v>8</v>
      </c>
      <c r="U23">
        <v>0</v>
      </c>
      <c r="V23">
        <v>8</v>
      </c>
      <c r="W23">
        <v>6</v>
      </c>
      <c r="X23">
        <v>0</v>
      </c>
      <c r="Y23">
        <v>8</v>
      </c>
      <c r="Z23" s="52">
        <v>1</v>
      </c>
      <c r="AA23" s="51">
        <f ca="1">COUNTIFS(base_de_datos[Materia],A23,base_de_datos[Misma o no],1)</f>
        <v>1</v>
      </c>
    </row>
    <row r="24" spans="1:27" ht="14">
      <c r="A24" t="str">
        <v>Sistemas operativos</v>
      </c>
      <c r="B24" t="str">
        <v>COM</v>
      </c>
      <c r="C24">
        <v>0</v>
      </c>
      <c r="D24">
        <v>0</v>
      </c>
      <c r="E24">
        <v>0</v>
      </c>
      <c r="F24">
        <v>4</v>
      </c>
      <c r="G24">
        <v>0</v>
      </c>
      <c r="H24">
        <v>0</v>
      </c>
      <c r="I24">
        <v>0</v>
      </c>
      <c r="J24">
        <v>48</v>
      </c>
      <c r="K24">
        <v>0</v>
      </c>
      <c r="L24">
        <v>0</v>
      </c>
      <c r="M24">
        <v>0</v>
      </c>
      <c r="N24">
        <v>0</v>
      </c>
      <c r="O24" t="str">
        <v>029614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6</v>
      </c>
      <c r="W24">
        <v>0</v>
      </c>
      <c r="X24">
        <v>0</v>
      </c>
      <c r="Y24">
        <v>0</v>
      </c>
      <c r="Z24" s="52">
        <v>2</v>
      </c>
      <c r="AA24" s="51">
        <f>COUNTIFS(base_de_datos[Materia],A24,base_de_datos[Misma o no],1)</f>
        <v>0</v>
      </c>
    </row>
    <row r="25" spans="1:27" ht="14">
      <c r="A25" t="str">
        <v>Administración de operaciones</v>
      </c>
      <c r="B25" t="str">
        <v>DOP</v>
      </c>
      <c r="C25">
        <v>6</v>
      </c>
      <c r="D25">
        <v>6</v>
      </c>
      <c r="E25">
        <v>8</v>
      </c>
      <c r="F25">
        <v>4</v>
      </c>
      <c r="G25">
        <v>0</v>
      </c>
      <c r="H25">
        <v>0</v>
      </c>
      <c r="I25">
        <v>0</v>
      </c>
      <c r="J25">
        <v>48</v>
      </c>
      <c r="K25">
        <v>0</v>
      </c>
      <c r="L25">
        <v>27009</v>
      </c>
      <c r="M25" t="str">
        <v>027009</v>
      </c>
      <c r="N25" t="str">
        <v>026987</v>
      </c>
      <c r="O25" t="str">
        <v>029613</v>
      </c>
      <c r="P25">
        <v>0</v>
      </c>
      <c r="Q25">
        <v>0</v>
      </c>
      <c r="R25">
        <v>0</v>
      </c>
      <c r="S25">
        <v>6</v>
      </c>
      <c r="T25">
        <v>6</v>
      </c>
      <c r="U25">
        <v>6</v>
      </c>
      <c r="V25">
        <v>6</v>
      </c>
      <c r="W25">
        <v>0</v>
      </c>
      <c r="X25">
        <v>0</v>
      </c>
      <c r="Y25">
        <v>0</v>
      </c>
      <c r="Z25" s="52">
        <v>1</v>
      </c>
      <c r="AA25" s="51">
        <f>COUNTIFS(base_de_datos[Materia],A25,base_de_datos[Misma o no],1)</f>
        <v>0</v>
      </c>
    </row>
    <row r="26" spans="1:27" ht="28">
      <c r="A26" t="str">
        <v>Diseño de instalaciones industriales y servicios</v>
      </c>
      <c r="B26" t="str">
        <v>DOP</v>
      </c>
      <c r="C26">
        <v>8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64</v>
      </c>
      <c r="K26">
        <v>0</v>
      </c>
      <c r="L26" t="str">
        <v>027018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8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 s="52">
        <v>1</v>
      </c>
      <c r="AA26" s="51">
        <f>COUNTIFS(base_de_datos[Materia],A26,base_de_datos[Misma o no],1)</f>
        <v>0</v>
      </c>
    </row>
    <row r="27" spans="1:27" ht="14">
      <c r="A27" t="str">
        <v>Gestión de la calidad</v>
      </c>
      <c r="B27" t="str">
        <v>DOP</v>
      </c>
      <c r="C27">
        <v>6</v>
      </c>
      <c r="D27">
        <v>8</v>
      </c>
      <c r="E27">
        <v>8</v>
      </c>
      <c r="F27">
        <v>0</v>
      </c>
      <c r="G27">
        <v>0</v>
      </c>
      <c r="H27">
        <v>0</v>
      </c>
      <c r="I27">
        <v>0</v>
      </c>
      <c r="J27">
        <v>48</v>
      </c>
      <c r="K27" t="str">
        <v>x</v>
      </c>
      <c r="L27" t="str">
        <v>027007</v>
      </c>
      <c r="M27" t="str">
        <v>027045</v>
      </c>
      <c r="N27" t="str">
        <v>026989</v>
      </c>
      <c r="O27">
        <v>0</v>
      </c>
      <c r="P27">
        <v>0</v>
      </c>
      <c r="Q27">
        <v>0</v>
      </c>
      <c r="R27">
        <v>0</v>
      </c>
      <c r="S27">
        <v>6</v>
      </c>
      <c r="T27">
        <v>6</v>
      </c>
      <c r="U27">
        <v>6</v>
      </c>
      <c r="V27">
        <v>0</v>
      </c>
      <c r="W27">
        <v>0</v>
      </c>
      <c r="X27">
        <v>0</v>
      </c>
      <c r="Y27">
        <v>0</v>
      </c>
      <c r="Z27" s="52">
        <v>1</v>
      </c>
      <c r="AA27" s="51">
        <f>COUNTIFS(base_de_datos[Materia],A27,base_de_datos[Misma o no],1)</f>
        <v>0</v>
      </c>
    </row>
    <row r="28" spans="1:27" ht="14">
      <c r="A28" t="str">
        <v>Ingeniería de métodos</v>
      </c>
      <c r="B28" t="str">
        <v>DOP</v>
      </c>
      <c r="C28">
        <v>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64</v>
      </c>
      <c r="K28">
        <v>0</v>
      </c>
      <c r="L28" t="str">
        <v>027000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7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 s="52">
        <v>1</v>
      </c>
      <c r="AA28" s="51">
        <f>COUNTIFS(base_de_datos[Materia],A28,base_de_datos[Misma o no],1)</f>
        <v>0</v>
      </c>
    </row>
    <row r="29" spans="1:27" ht="14">
      <c r="A29" t="str">
        <v>Investigación de operaciones</v>
      </c>
      <c r="B29" t="str">
        <v>DOP</v>
      </c>
      <c r="C29">
        <v>4</v>
      </c>
      <c r="D29">
        <v>0</v>
      </c>
      <c r="E29">
        <v>0</v>
      </c>
      <c r="F29">
        <v>0</v>
      </c>
      <c r="G29">
        <v>0</v>
      </c>
      <c r="H29">
        <v>4</v>
      </c>
      <c r="I29">
        <v>0</v>
      </c>
      <c r="J29">
        <v>48</v>
      </c>
      <c r="K29" t="str">
        <v>x</v>
      </c>
      <c r="L29" t="str">
        <v>026999</v>
      </c>
      <c r="M29">
        <v>0</v>
      </c>
      <c r="N29">
        <v>0</v>
      </c>
      <c r="O29">
        <v>0</v>
      </c>
      <c r="P29">
        <v>0</v>
      </c>
      <c r="Q29" t="str">
        <v>032359</v>
      </c>
      <c r="R29">
        <v>0</v>
      </c>
      <c r="S29">
        <v>6</v>
      </c>
      <c r="T29">
        <v>0</v>
      </c>
      <c r="U29">
        <v>0</v>
      </c>
      <c r="V29">
        <v>0</v>
      </c>
      <c r="W29">
        <v>0</v>
      </c>
      <c r="X29">
        <v>6</v>
      </c>
      <c r="Y29">
        <v>0</v>
      </c>
      <c r="Z29" s="52">
        <v>1</v>
      </c>
      <c r="AA29" s="51">
        <f>COUNTIFS(base_de_datos[Materia],A29,base_de_datos[Misma o no],1)</f>
        <v>0</v>
      </c>
    </row>
    <row r="30" spans="1:27" ht="14">
      <c r="A30" t="str">
        <v>Simulación discreta</v>
      </c>
      <c r="B30" t="str">
        <v>DOP</v>
      </c>
      <c r="C30">
        <v>6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48</v>
      </c>
      <c r="K30">
        <v>0</v>
      </c>
      <c r="L30" t="str">
        <v>027011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6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 s="52">
        <v>1</v>
      </c>
      <c r="AA30" s="51">
        <f>COUNTIFS(base_de_datos[Materia],A30,base_de_datos[Misma o no],1)</f>
        <v>0</v>
      </c>
    </row>
    <row r="31" spans="1:27" ht="28">
      <c r="A31" t="str">
        <v>Circuitos digitales I o Diseño lógico</v>
      </c>
      <c r="B31" t="str">
        <v>EEC</v>
      </c>
      <c r="C31">
        <v>0</v>
      </c>
      <c r="D31">
        <v>3</v>
      </c>
      <c r="E31">
        <v>0</v>
      </c>
      <c r="F31">
        <v>3</v>
      </c>
      <c r="G31">
        <v>4</v>
      </c>
      <c r="H31">
        <v>0</v>
      </c>
      <c r="I31">
        <v>3</v>
      </c>
      <c r="J31">
        <v>48</v>
      </c>
      <c r="K31">
        <v>0</v>
      </c>
      <c r="L31">
        <v>0</v>
      </c>
      <c r="M31" t="str">
        <v>026939</v>
      </c>
      <c r="N31">
        <v>0</v>
      </c>
      <c r="O31" t="str">
        <v>028373</v>
      </c>
      <c r="P31" t="str">
        <v>018518</v>
      </c>
      <c r="Q31">
        <v>0</v>
      </c>
      <c r="R31" t="str">
        <v>028373</v>
      </c>
      <c r="S31">
        <v>0</v>
      </c>
      <c r="T31">
        <v>6</v>
      </c>
      <c r="U31">
        <v>0</v>
      </c>
      <c r="V31">
        <v>6</v>
      </c>
      <c r="W31">
        <v>7</v>
      </c>
      <c r="X31">
        <v>0</v>
      </c>
      <c r="Y31">
        <v>6</v>
      </c>
      <c r="Z31" s="52">
        <v>1</v>
      </c>
      <c r="AA31" s="51">
        <f ca="1">COUNTIFS(base_de_datos[Materia],A31,base_de_datos[Misma o no],1)</f>
        <v>2</v>
      </c>
    </row>
    <row r="32" spans="1:27" ht="28">
      <c r="A32" t="str">
        <v>Circuitos digitales o Circuitos digitales II</v>
      </c>
      <c r="B32" t="str">
        <v>EEC</v>
      </c>
      <c r="C32">
        <v>0</v>
      </c>
      <c r="D32">
        <v>4</v>
      </c>
      <c r="E32">
        <v>0</v>
      </c>
      <c r="F32">
        <v>0</v>
      </c>
      <c r="G32">
        <v>5</v>
      </c>
      <c r="H32">
        <v>0</v>
      </c>
      <c r="I32">
        <v>4</v>
      </c>
      <c r="J32">
        <v>64</v>
      </c>
      <c r="K32">
        <v>0</v>
      </c>
      <c r="L32">
        <v>0</v>
      </c>
      <c r="M32" t="str">
        <v>026958</v>
      </c>
      <c r="N32">
        <v>0</v>
      </c>
      <c r="O32">
        <v>0</v>
      </c>
      <c r="P32" t="str">
        <v>018575</v>
      </c>
      <c r="Q32">
        <v>0</v>
      </c>
      <c r="R32" t="str">
        <v>028689</v>
      </c>
      <c r="S32">
        <v>0</v>
      </c>
      <c r="T32">
        <v>6</v>
      </c>
      <c r="U32">
        <v>0</v>
      </c>
      <c r="V32">
        <v>0</v>
      </c>
      <c r="W32">
        <v>7</v>
      </c>
      <c r="X32">
        <v>0</v>
      </c>
      <c r="Y32">
        <v>6</v>
      </c>
      <c r="Z32" s="52">
        <v>1</v>
      </c>
      <c r="AA32" s="51">
        <f ca="1">COUNTIFS(base_de_datos[Materia],A32,base_de_datos[Misma o no],1)</f>
        <v>1</v>
      </c>
    </row>
    <row r="33" spans="1:27" ht="14">
      <c r="A33" t="str">
        <v>Circuitos digitales y eléctricos</v>
      </c>
      <c r="B33" t="str">
        <v>EEC</v>
      </c>
      <c r="C33">
        <v>0</v>
      </c>
      <c r="D33">
        <v>0</v>
      </c>
      <c r="E33">
        <v>6</v>
      </c>
      <c r="F33">
        <v>0</v>
      </c>
      <c r="G33">
        <v>0</v>
      </c>
      <c r="H33">
        <v>0</v>
      </c>
      <c r="I33">
        <v>0</v>
      </c>
      <c r="J33">
        <v>64</v>
      </c>
      <c r="K33">
        <v>0</v>
      </c>
      <c r="L33">
        <v>0</v>
      </c>
      <c r="M33">
        <v>0</v>
      </c>
      <c r="N33" t="str">
        <v>026976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5</v>
      </c>
      <c r="V33">
        <v>0</v>
      </c>
      <c r="W33">
        <v>0</v>
      </c>
      <c r="X33">
        <v>0</v>
      </c>
      <c r="Y33">
        <v>0</v>
      </c>
      <c r="Z33" s="52">
        <v>1</v>
      </c>
      <c r="AA33" s="51">
        <f>COUNTIFS(base_de_datos[Materia],A33,base_de_datos[Misma o no],1)</f>
        <v>0</v>
      </c>
    </row>
    <row r="34" spans="1:27" ht="14">
      <c r="A34" t="str">
        <v>Circuitos eléctricos II</v>
      </c>
      <c r="B34" t="str">
        <v>EEC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4</v>
      </c>
      <c r="J34">
        <v>48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 t="str">
        <v>028485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5</v>
      </c>
      <c r="Z34" s="52">
        <v>1</v>
      </c>
      <c r="AA34" s="51">
        <f>COUNTIFS(base_de_datos[Materia],A34,base_de_datos[Misma o no],1)</f>
        <v>0</v>
      </c>
    </row>
    <row r="35" spans="1:27" ht="14">
      <c r="A35" t="str">
        <v>Comunicación de datos</v>
      </c>
      <c r="B35" t="str">
        <v>EEC</v>
      </c>
      <c r="C35">
        <v>0</v>
      </c>
      <c r="D35">
        <v>8</v>
      </c>
      <c r="E35">
        <v>0</v>
      </c>
      <c r="F35">
        <v>0</v>
      </c>
      <c r="G35">
        <v>0</v>
      </c>
      <c r="H35">
        <v>0</v>
      </c>
      <c r="I35">
        <v>8</v>
      </c>
      <c r="J35">
        <v>48</v>
      </c>
      <c r="K35" t="str">
        <v>x</v>
      </c>
      <c r="L35">
        <v>0</v>
      </c>
      <c r="M35" t="str">
        <v>027043</v>
      </c>
      <c r="N35">
        <v>0</v>
      </c>
      <c r="O35">
        <v>0</v>
      </c>
      <c r="P35">
        <v>0</v>
      </c>
      <c r="Q35">
        <v>0</v>
      </c>
      <c r="R35" t="str">
        <v>028911</v>
      </c>
      <c r="S35">
        <v>0</v>
      </c>
      <c r="T35">
        <v>6</v>
      </c>
      <c r="U35">
        <v>0</v>
      </c>
      <c r="V35">
        <v>0</v>
      </c>
      <c r="W35">
        <v>0</v>
      </c>
      <c r="X35">
        <v>0</v>
      </c>
      <c r="Y35">
        <v>6</v>
      </c>
      <c r="Z35" s="52">
        <v>1</v>
      </c>
      <c r="AA35" s="51">
        <f>COUNTIFS(base_de_datos[Materia],A35,base_de_datos[Misma o no],1)</f>
        <v>0</v>
      </c>
    </row>
    <row r="36" spans="1:27" ht="14">
      <c r="A36" t="str">
        <v>Control inteligente</v>
      </c>
      <c r="B36" t="str">
        <v>EEC</v>
      </c>
      <c r="C36">
        <v>0</v>
      </c>
      <c r="D36">
        <v>0</v>
      </c>
      <c r="E36">
        <v>0</v>
      </c>
      <c r="F36">
        <v>0</v>
      </c>
      <c r="G36">
        <v>0</v>
      </c>
      <c r="H36">
        <v>4</v>
      </c>
      <c r="I36">
        <v>0</v>
      </c>
      <c r="J36">
        <v>64</v>
      </c>
      <c r="K36" t="str">
        <v>x</v>
      </c>
      <c r="L36">
        <v>0</v>
      </c>
      <c r="M36">
        <v>0</v>
      </c>
      <c r="N36">
        <v>0</v>
      </c>
      <c r="O36">
        <v>0</v>
      </c>
      <c r="P36">
        <v>0</v>
      </c>
      <c r="Q36" t="str">
        <v>027086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7</v>
      </c>
      <c r="Y36">
        <v>0</v>
      </c>
      <c r="Z36" s="52">
        <v>1</v>
      </c>
      <c r="AA36" s="51">
        <f>COUNTIFS(base_de_datos[Materia],A36,base_de_datos[Misma o no],1)</f>
        <v>0</v>
      </c>
    </row>
    <row r="37" spans="1:27" ht="14">
      <c r="A37" t="str">
        <v>Dinámica de sistemas físicos</v>
      </c>
      <c r="B37" t="str">
        <v>EEC</v>
      </c>
      <c r="C37">
        <v>0</v>
      </c>
      <c r="D37">
        <v>6</v>
      </c>
      <c r="E37">
        <v>0</v>
      </c>
      <c r="F37">
        <v>0</v>
      </c>
      <c r="G37">
        <v>0</v>
      </c>
      <c r="H37">
        <v>0</v>
      </c>
      <c r="I37">
        <v>6</v>
      </c>
      <c r="J37">
        <v>48</v>
      </c>
      <c r="K37">
        <v>0</v>
      </c>
      <c r="L37">
        <v>0</v>
      </c>
      <c r="M37" t="str">
        <v>027030</v>
      </c>
      <c r="N37">
        <v>0</v>
      </c>
      <c r="O37">
        <v>0</v>
      </c>
      <c r="P37">
        <v>0</v>
      </c>
      <c r="Q37">
        <v>0</v>
      </c>
      <c r="R37" t="str">
        <v>028707</v>
      </c>
      <c r="S37">
        <v>0</v>
      </c>
      <c r="T37">
        <v>6</v>
      </c>
      <c r="U37">
        <v>0</v>
      </c>
      <c r="V37">
        <v>0</v>
      </c>
      <c r="W37">
        <v>0</v>
      </c>
      <c r="X37">
        <v>0</v>
      </c>
      <c r="Y37">
        <v>6</v>
      </c>
      <c r="Z37" s="52">
        <v>1</v>
      </c>
      <c r="AA37" s="51">
        <f>COUNTIFS(base_de_datos[Materia],A37,base_de_datos[Misma o no],1)</f>
        <v>0</v>
      </c>
    </row>
    <row r="38" spans="1:27" ht="14">
      <c r="A38" t="str">
        <v>Electricidad y magnetismo</v>
      </c>
      <c r="B38" t="str">
        <v>EEC</v>
      </c>
      <c r="C38">
        <v>4</v>
      </c>
      <c r="D38">
        <v>4</v>
      </c>
      <c r="E38">
        <v>5</v>
      </c>
      <c r="F38">
        <v>0</v>
      </c>
      <c r="G38">
        <v>3</v>
      </c>
      <c r="H38">
        <v>0</v>
      </c>
      <c r="I38">
        <v>4</v>
      </c>
      <c r="J38">
        <v>64</v>
      </c>
      <c r="K38">
        <v>0</v>
      </c>
      <c r="L38" t="str">
        <v>026957</v>
      </c>
      <c r="M38" t="str">
        <v>026957</v>
      </c>
      <c r="N38" t="str">
        <v>026971</v>
      </c>
      <c r="O38">
        <v>0</v>
      </c>
      <c r="P38" t="str">
        <v>020643</v>
      </c>
      <c r="Q38">
        <v>0</v>
      </c>
      <c r="R38" t="str">
        <v>028486</v>
      </c>
      <c r="S38">
        <v>7</v>
      </c>
      <c r="T38">
        <v>7</v>
      </c>
      <c r="U38">
        <v>7</v>
      </c>
      <c r="V38">
        <v>0</v>
      </c>
      <c r="W38">
        <v>7</v>
      </c>
      <c r="X38">
        <v>0</v>
      </c>
      <c r="Y38">
        <v>7</v>
      </c>
      <c r="Z38" s="52">
        <v>1</v>
      </c>
      <c r="AA38" s="51">
        <f ca="1">COUNTIFS(base_de_datos[Materia],A38,base_de_datos[Misma o no],1)</f>
        <v>3</v>
      </c>
    </row>
    <row r="39" spans="1:27" ht="14">
      <c r="A39" t="str">
        <v>Electrónica</v>
      </c>
      <c r="B39" t="str">
        <v>EEC</v>
      </c>
      <c r="C39">
        <v>0</v>
      </c>
      <c r="D39">
        <v>6</v>
      </c>
      <c r="E39">
        <v>0</v>
      </c>
      <c r="F39">
        <v>0</v>
      </c>
      <c r="G39">
        <v>5</v>
      </c>
      <c r="H39">
        <v>0</v>
      </c>
      <c r="I39">
        <v>6</v>
      </c>
      <c r="J39">
        <v>64</v>
      </c>
      <c r="K39">
        <v>0</v>
      </c>
      <c r="L39">
        <v>0</v>
      </c>
      <c r="M39" t="str">
        <v>027031</v>
      </c>
      <c r="N39">
        <v>0</v>
      </c>
      <c r="O39">
        <v>0</v>
      </c>
      <c r="P39" t="str">
        <v>018583</v>
      </c>
      <c r="Q39">
        <v>0</v>
      </c>
      <c r="R39" t="str">
        <v>028708</v>
      </c>
      <c r="S39">
        <v>0</v>
      </c>
      <c r="T39">
        <v>7</v>
      </c>
      <c r="U39">
        <v>0</v>
      </c>
      <c r="V39">
        <v>0</v>
      </c>
      <c r="W39">
        <v>7</v>
      </c>
      <c r="X39">
        <v>0</v>
      </c>
      <c r="Y39">
        <v>7</v>
      </c>
      <c r="Z39" s="52">
        <v>1</v>
      </c>
      <c r="AA39" s="51">
        <f ca="1">COUNTIFS(base_de_datos[Materia],A39,base_de_datos[Misma o no],1)</f>
        <v>1</v>
      </c>
    </row>
    <row r="40" spans="1:27" ht="14">
      <c r="A40" t="str">
        <v>Electrónica de potencia</v>
      </c>
      <c r="B40" t="str">
        <v>EEC</v>
      </c>
      <c r="C40">
        <v>0</v>
      </c>
      <c r="D40">
        <v>8</v>
      </c>
      <c r="E40">
        <v>0</v>
      </c>
      <c r="F40">
        <v>0</v>
      </c>
      <c r="G40">
        <v>8</v>
      </c>
      <c r="H40">
        <v>0</v>
      </c>
      <c r="I40">
        <v>8</v>
      </c>
      <c r="J40">
        <v>64</v>
      </c>
      <c r="K40">
        <v>0</v>
      </c>
      <c r="L40">
        <v>0</v>
      </c>
      <c r="M40" t="str">
        <v>027038</v>
      </c>
      <c r="N40">
        <v>0</v>
      </c>
      <c r="O40">
        <v>0</v>
      </c>
      <c r="P40" t="str">
        <v>020644</v>
      </c>
      <c r="Q40">
        <v>0</v>
      </c>
      <c r="R40" t="str">
        <v>028910</v>
      </c>
      <c r="S40">
        <v>0</v>
      </c>
      <c r="T40">
        <v>7</v>
      </c>
      <c r="U40">
        <v>0</v>
      </c>
      <c r="V40">
        <v>0</v>
      </c>
      <c r="W40">
        <v>6</v>
      </c>
      <c r="X40">
        <v>0</v>
      </c>
      <c r="Y40">
        <v>7</v>
      </c>
      <c r="Z40" s="52">
        <v>1</v>
      </c>
      <c r="AA40" s="51">
        <f>COUNTIFS(base_de_datos[Materia],A40,base_de_datos[Misma o no],1)</f>
        <v>0</v>
      </c>
    </row>
    <row r="41" spans="1:27" ht="14">
      <c r="A41" t="str">
        <v>Microcontroladores I</v>
      </c>
      <c r="B41" t="str">
        <v>EEC</v>
      </c>
      <c r="C41">
        <v>0</v>
      </c>
      <c r="D41">
        <v>5</v>
      </c>
      <c r="E41">
        <v>0</v>
      </c>
      <c r="F41">
        <v>5</v>
      </c>
      <c r="G41">
        <v>6</v>
      </c>
      <c r="H41">
        <v>0</v>
      </c>
      <c r="I41">
        <v>5</v>
      </c>
      <c r="J41">
        <v>64</v>
      </c>
      <c r="K41">
        <v>0</v>
      </c>
      <c r="L41">
        <v>0</v>
      </c>
      <c r="M41" t="str">
        <v>026964</v>
      </c>
      <c r="N41">
        <v>0</v>
      </c>
      <c r="O41" t="str">
        <v>028488</v>
      </c>
      <c r="P41" t="str">
        <v>018584</v>
      </c>
      <c r="Q41">
        <v>0</v>
      </c>
      <c r="R41" t="str">
        <v>028488</v>
      </c>
      <c r="S41">
        <v>0</v>
      </c>
      <c r="T41">
        <v>7</v>
      </c>
      <c r="U41">
        <v>0</v>
      </c>
      <c r="V41">
        <v>7</v>
      </c>
      <c r="W41">
        <v>7</v>
      </c>
      <c r="X41">
        <v>0</v>
      </c>
      <c r="Y41">
        <v>7</v>
      </c>
      <c r="Z41" s="52">
        <v>1</v>
      </c>
      <c r="AA41" s="51">
        <f ca="1">COUNTIFS(base_de_datos[Materia],A41,base_de_datos[Misma o no],1)</f>
        <v>2</v>
      </c>
    </row>
    <row r="42" spans="1:27" ht="14">
      <c r="A42" t="str">
        <v>Microcontroladores II</v>
      </c>
      <c r="B42" t="str">
        <v>EEC</v>
      </c>
      <c r="C42">
        <v>0</v>
      </c>
      <c r="D42">
        <v>6</v>
      </c>
      <c r="E42">
        <v>0</v>
      </c>
      <c r="F42">
        <v>6</v>
      </c>
      <c r="G42">
        <v>7</v>
      </c>
      <c r="H42">
        <v>0</v>
      </c>
      <c r="I42">
        <v>6</v>
      </c>
      <c r="J42">
        <v>48</v>
      </c>
      <c r="K42">
        <v>0</v>
      </c>
      <c r="L42">
        <v>0</v>
      </c>
      <c r="M42" t="str">
        <v>027032</v>
      </c>
      <c r="N42">
        <v>0</v>
      </c>
      <c r="O42" t="str">
        <v>028709</v>
      </c>
      <c r="P42" t="str">
        <v>018578</v>
      </c>
      <c r="Q42">
        <v>0</v>
      </c>
      <c r="R42" t="str">
        <v>028709</v>
      </c>
      <c r="S42">
        <v>0</v>
      </c>
      <c r="T42">
        <v>6</v>
      </c>
      <c r="U42">
        <v>0</v>
      </c>
      <c r="V42">
        <v>6</v>
      </c>
      <c r="W42">
        <v>8</v>
      </c>
      <c r="X42">
        <v>0</v>
      </c>
      <c r="Y42">
        <v>6</v>
      </c>
      <c r="Z42" s="52">
        <v>1</v>
      </c>
      <c r="AA42" s="51">
        <f ca="1">COUNTIFS(base_de_datos[Materia],A42,base_de_datos[Misma o no],1)</f>
        <v>1</v>
      </c>
    </row>
    <row r="43" spans="1:27" ht="14">
      <c r="A43" t="str">
        <v>Proyecto mecatrónico II</v>
      </c>
      <c r="B43" t="str">
        <v>EEC</v>
      </c>
      <c r="C43">
        <v>0</v>
      </c>
      <c r="D43">
        <v>8</v>
      </c>
      <c r="E43">
        <v>0</v>
      </c>
      <c r="F43">
        <v>0</v>
      </c>
      <c r="G43">
        <v>0</v>
      </c>
      <c r="H43">
        <v>0</v>
      </c>
      <c r="I43">
        <v>0</v>
      </c>
      <c r="J43">
        <v>48</v>
      </c>
      <c r="K43">
        <v>0</v>
      </c>
      <c r="L43">
        <v>0</v>
      </c>
      <c r="M43" t="str">
        <v>027039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6</v>
      </c>
      <c r="U43">
        <v>0</v>
      </c>
      <c r="V43">
        <v>0</v>
      </c>
      <c r="W43">
        <v>0</v>
      </c>
      <c r="X43">
        <v>0</v>
      </c>
      <c r="Y43">
        <v>0</v>
      </c>
      <c r="Z43" s="52">
        <v>1</v>
      </c>
      <c r="AA43" s="51">
        <f>COUNTIFS(base_de_datos[Materia],A43,base_de_datos[Misma o no],1)</f>
        <v>0</v>
      </c>
    </row>
    <row r="44" spans="1:27" ht="14">
      <c r="A44" t="str">
        <v>Sistemas de comunicación</v>
      </c>
      <c r="B44" t="str">
        <v>EEC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6</v>
      </c>
      <c r="J44">
        <v>64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 t="str">
        <v>028706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6</v>
      </c>
      <c r="Z44" s="52">
        <v>1</v>
      </c>
      <c r="AA44" s="51">
        <f>COUNTIFS(base_de_datos[Materia],A44,base_de_datos[Misma o no],1)</f>
        <v>0</v>
      </c>
    </row>
    <row r="45" spans="1:27" ht="28">
      <c r="A45" t="str">
        <v>Tópicos en instalaciones industriales</v>
      </c>
      <c r="B45" t="str">
        <v>EEC</v>
      </c>
      <c r="C45">
        <v>6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64</v>
      </c>
      <c r="K45">
        <v>0</v>
      </c>
      <c r="L45" t="str">
        <v>027010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7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 s="52">
        <v>1</v>
      </c>
      <c r="AA45" s="51">
        <f>COUNTIFS(base_de_datos[Materia],A45,base_de_datos[Misma o no],1)</f>
        <v>0</v>
      </c>
    </row>
    <row r="46" spans="1:27" ht="28">
      <c r="A46" t="str">
        <v>Análisis e interpretación de la información financiera</v>
      </c>
      <c r="B46" t="str">
        <v>EMP</v>
      </c>
      <c r="C46">
        <v>4</v>
      </c>
      <c r="D46">
        <v>0</v>
      </c>
      <c r="E46">
        <v>0</v>
      </c>
      <c r="F46">
        <v>0</v>
      </c>
      <c r="G46">
        <v>0</v>
      </c>
      <c r="H46">
        <v>10</v>
      </c>
      <c r="I46">
        <v>0</v>
      </c>
      <c r="J46">
        <v>48</v>
      </c>
      <c r="K46">
        <v>0</v>
      </c>
      <c r="L46" t="str">
        <v>026996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6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 s="52">
        <v>1</v>
      </c>
      <c r="AA46" s="51">
        <f>COUNTIFS(base_de_datos[Materia],A46,base_de_datos[Misma o no],1)</f>
        <v>0</v>
      </c>
    </row>
    <row r="47" spans="1:27" ht="14">
      <c r="A47" t="str">
        <v>Contabilidad y costos</v>
      </c>
      <c r="B47" t="str">
        <v>EMP</v>
      </c>
      <c r="C47">
        <v>2</v>
      </c>
      <c r="D47">
        <v>0</v>
      </c>
      <c r="E47">
        <v>0</v>
      </c>
      <c r="F47">
        <v>0</v>
      </c>
      <c r="G47">
        <v>0</v>
      </c>
      <c r="H47">
        <v>8</v>
      </c>
      <c r="I47">
        <v>0</v>
      </c>
      <c r="J47">
        <v>48</v>
      </c>
      <c r="K47">
        <v>0</v>
      </c>
      <c r="L47" t="str">
        <v>027023</v>
      </c>
      <c r="M47">
        <v>0</v>
      </c>
      <c r="N47">
        <v>0</v>
      </c>
      <c r="O47">
        <v>0</v>
      </c>
      <c r="P47">
        <v>0</v>
      </c>
      <c r="Q47" t="str">
        <v>027065</v>
      </c>
      <c r="R47">
        <v>0</v>
      </c>
      <c r="S47">
        <v>6</v>
      </c>
      <c r="T47">
        <v>0</v>
      </c>
      <c r="U47">
        <v>0</v>
      </c>
      <c r="V47">
        <v>0</v>
      </c>
      <c r="W47">
        <v>0</v>
      </c>
      <c r="X47">
        <v>6</v>
      </c>
      <c r="Y47">
        <v>0</v>
      </c>
      <c r="Z47" s="52">
        <v>1</v>
      </c>
      <c r="AA47" s="51">
        <f>COUNTIFS(base_de_datos[Materia],A47,base_de_datos[Misma o no],1)</f>
        <v>0</v>
      </c>
    </row>
    <row r="48" spans="1:27" ht="14">
      <c r="A48" t="str">
        <v>Dirección de empresas</v>
      </c>
      <c r="B48" t="str">
        <v>EMP</v>
      </c>
      <c r="C48">
        <v>8</v>
      </c>
      <c r="D48">
        <v>8</v>
      </c>
      <c r="E48">
        <v>8</v>
      </c>
      <c r="F48">
        <v>8</v>
      </c>
      <c r="G48">
        <v>8</v>
      </c>
      <c r="H48">
        <v>0</v>
      </c>
      <c r="I48">
        <v>8</v>
      </c>
      <c r="J48">
        <v>32</v>
      </c>
      <c r="K48" t="str">
        <v>x</v>
      </c>
      <c r="L48" t="str">
        <v>027019</v>
      </c>
      <c r="M48" t="str">
        <v>027019</v>
      </c>
      <c r="N48" t="str">
        <v>026994</v>
      </c>
      <c r="O48" t="str">
        <v>028909</v>
      </c>
      <c r="P48" t="str">
        <v>018935</v>
      </c>
      <c r="Q48">
        <v>0</v>
      </c>
      <c r="R48" t="str">
        <v>028909</v>
      </c>
      <c r="S48">
        <v>4</v>
      </c>
      <c r="T48">
        <v>4</v>
      </c>
      <c r="U48">
        <v>4</v>
      </c>
      <c r="V48">
        <v>4</v>
      </c>
      <c r="W48">
        <v>6</v>
      </c>
      <c r="X48">
        <v>0</v>
      </c>
      <c r="Y48">
        <v>4</v>
      </c>
      <c r="Z48" s="52">
        <v>1</v>
      </c>
      <c r="AA48" s="51">
        <f>COUNTIFS(base_de_datos[Materia],A48,base_de_datos[Misma o no],1)</f>
        <v>0</v>
      </c>
    </row>
    <row r="49" spans="1:27" ht="14">
      <c r="A49" t="str">
        <v>Emprendedores</v>
      </c>
      <c r="B49" t="str">
        <v>EMP</v>
      </c>
      <c r="C49">
        <v>7</v>
      </c>
      <c r="D49">
        <v>0</v>
      </c>
      <c r="E49">
        <v>7</v>
      </c>
      <c r="F49">
        <v>8</v>
      </c>
      <c r="G49">
        <v>0</v>
      </c>
      <c r="H49">
        <v>0</v>
      </c>
      <c r="I49">
        <v>0</v>
      </c>
      <c r="J49">
        <v>48</v>
      </c>
      <c r="K49">
        <v>0</v>
      </c>
      <c r="L49" t="str">
        <v>027013</v>
      </c>
      <c r="M49">
        <v>0</v>
      </c>
      <c r="N49">
        <v>26992</v>
      </c>
      <c r="O49" t="str">
        <v>029633</v>
      </c>
      <c r="P49">
        <v>0</v>
      </c>
      <c r="Q49" t="str">
        <v>032373</v>
      </c>
      <c r="R49">
        <v>0</v>
      </c>
      <c r="S49">
        <v>6</v>
      </c>
      <c r="T49">
        <v>0</v>
      </c>
      <c r="U49">
        <v>6</v>
      </c>
      <c r="V49">
        <v>3</v>
      </c>
      <c r="W49">
        <v>0</v>
      </c>
      <c r="X49">
        <v>0</v>
      </c>
      <c r="Y49">
        <v>0</v>
      </c>
      <c r="Z49" s="52">
        <v>1</v>
      </c>
      <c r="AA49" s="51">
        <f ca="1">COUNTIFS(base_de_datos[Materia],A49,base_de_datos[Misma o no],1)</f>
        <v>2</v>
      </c>
    </row>
    <row r="50" spans="1:27" ht="14">
      <c r="A50" t="str">
        <v>Entorno económico</v>
      </c>
      <c r="B50" t="str">
        <v>EMP</v>
      </c>
      <c r="C50">
        <v>0</v>
      </c>
      <c r="D50">
        <v>2</v>
      </c>
      <c r="E50">
        <v>0</v>
      </c>
      <c r="F50">
        <v>6</v>
      </c>
      <c r="G50">
        <v>0</v>
      </c>
      <c r="H50">
        <v>0</v>
      </c>
      <c r="I50">
        <v>2</v>
      </c>
      <c r="J50">
        <v>48</v>
      </c>
      <c r="K50" t="str">
        <v>X</v>
      </c>
      <c r="L50">
        <v>0</v>
      </c>
      <c r="M50" t="str">
        <v>026935</v>
      </c>
      <c r="N50">
        <v>0</v>
      </c>
      <c r="O50" t="str">
        <v>029616</v>
      </c>
      <c r="P50">
        <v>0</v>
      </c>
      <c r="Q50" t="str">
        <v>032365</v>
      </c>
      <c r="R50" t="str">
        <v>028368</v>
      </c>
      <c r="S50">
        <v>0</v>
      </c>
      <c r="T50">
        <v>6</v>
      </c>
      <c r="U50">
        <v>0</v>
      </c>
      <c r="V50">
        <v>6</v>
      </c>
      <c r="W50">
        <v>0</v>
      </c>
      <c r="X50">
        <v>6</v>
      </c>
      <c r="Y50">
        <v>6</v>
      </c>
      <c r="Z50" s="52">
        <v>1</v>
      </c>
      <c r="AA50" s="51">
        <f>COUNTIFS(base_de_datos[Materia],A50,base_de_datos[Misma o no],1)</f>
        <v>0</v>
      </c>
    </row>
    <row r="51" spans="1:27" ht="28">
      <c r="A51" t="str">
        <v>Evaluación financiera de proyectos</v>
      </c>
      <c r="B51" t="str">
        <v>EMP</v>
      </c>
      <c r="C51">
        <v>0</v>
      </c>
      <c r="D51">
        <v>0</v>
      </c>
      <c r="E51">
        <v>0</v>
      </c>
      <c r="F51">
        <v>0</v>
      </c>
      <c r="G51">
        <v>0</v>
      </c>
      <c r="H51">
        <v>10</v>
      </c>
      <c r="I51">
        <v>0</v>
      </c>
      <c r="J51">
        <v>48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 t="str">
        <v>027081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6</v>
      </c>
      <c r="Y51">
        <v>0</v>
      </c>
      <c r="Z51" s="52">
        <v>1</v>
      </c>
      <c r="AA51" s="51">
        <f>COUNTIFS(base_de_datos[Materia],A51,base_de_datos[Misma o no],1)</f>
        <v>0</v>
      </c>
    </row>
    <row r="52" spans="1:27" ht="42">
      <c r="A52" t="str">
        <v>Proyectos de inversión e introducción a la valuación de empresas</v>
      </c>
      <c r="B52" t="str">
        <v>EMP</v>
      </c>
      <c r="C52">
        <v>6</v>
      </c>
      <c r="D52">
        <v>7</v>
      </c>
      <c r="E52">
        <v>7</v>
      </c>
      <c r="F52">
        <v>7</v>
      </c>
      <c r="G52">
        <v>0</v>
      </c>
      <c r="H52">
        <v>9</v>
      </c>
      <c r="I52">
        <v>5</v>
      </c>
      <c r="J52">
        <v>48</v>
      </c>
      <c r="K52" t="str">
        <v>x</v>
      </c>
      <c r="L52" t="str">
        <v>027008</v>
      </c>
      <c r="M52" t="str">
        <v>026981</v>
      </c>
      <c r="N52">
        <v>26981</v>
      </c>
      <c r="O52" t="str">
        <v>029625</v>
      </c>
      <c r="P52">
        <v>0</v>
      </c>
      <c r="Q52" t="str">
        <v>027101</v>
      </c>
      <c r="R52" t="str">
        <v>028692</v>
      </c>
      <c r="S52">
        <v>6</v>
      </c>
      <c r="T52">
        <v>6</v>
      </c>
      <c r="U52">
        <v>6</v>
      </c>
      <c r="V52">
        <v>6</v>
      </c>
      <c r="W52">
        <v>0</v>
      </c>
      <c r="X52">
        <v>6</v>
      </c>
      <c r="Y52">
        <v>6</v>
      </c>
      <c r="Z52" s="52">
        <v>1</v>
      </c>
      <c r="AA52" s="51">
        <f ca="1">COUNTIFS(base_de_datos[Materia],A52,base_de_datos[Misma o no],1)</f>
        <v>3</v>
      </c>
    </row>
    <row r="53" spans="1:27" ht="14">
      <c r="A53" t="str">
        <v>Psicología del consumidor</v>
      </c>
      <c r="B53" t="str">
        <v>EMP</v>
      </c>
      <c r="C53">
        <v>0</v>
      </c>
      <c r="D53">
        <v>0</v>
      </c>
      <c r="E53">
        <v>8</v>
      </c>
      <c r="F53">
        <v>0</v>
      </c>
      <c r="G53">
        <v>0</v>
      </c>
      <c r="H53">
        <v>0</v>
      </c>
      <c r="I53">
        <v>0</v>
      </c>
      <c r="J53">
        <v>48</v>
      </c>
      <c r="K53">
        <v>0</v>
      </c>
      <c r="L53">
        <v>0</v>
      </c>
      <c r="M53">
        <v>0</v>
      </c>
      <c r="N53" t="str">
        <v>026990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6</v>
      </c>
      <c r="V53">
        <v>0</v>
      </c>
      <c r="W53">
        <v>0</v>
      </c>
      <c r="X53">
        <v>0</v>
      </c>
      <c r="Y53">
        <v>0</v>
      </c>
      <c r="Z53" s="52">
        <v>1</v>
      </c>
      <c r="AA53" s="51">
        <f>COUNTIFS(base_de_datos[Materia],A53,base_de_datos[Misma o no],1)</f>
        <v>0</v>
      </c>
    </row>
    <row r="54" spans="1:27" ht="14">
      <c r="A54" t="str">
        <v>Recursos humanos</v>
      </c>
      <c r="B54" t="str">
        <v>EMP</v>
      </c>
      <c r="C54">
        <v>8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48</v>
      </c>
      <c r="K54">
        <v>0</v>
      </c>
      <c r="L54" t="str">
        <v>027020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6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 s="52">
        <v>1</v>
      </c>
      <c r="AA54" s="51">
        <f>COUNTIFS(base_de_datos[Materia],A54,base_de_datos[Misma o no],1)</f>
        <v>0</v>
      </c>
    </row>
    <row r="55" spans="1:27" ht="14">
      <c r="A55" t="str">
        <v>Redacción</v>
      </c>
      <c r="B55" t="str">
        <v>EMP</v>
      </c>
      <c r="C55">
        <v>3</v>
      </c>
      <c r="D55">
        <v>4</v>
      </c>
      <c r="E55">
        <v>0</v>
      </c>
      <c r="F55">
        <v>4</v>
      </c>
      <c r="G55">
        <v>0</v>
      </c>
      <c r="H55">
        <v>0</v>
      </c>
      <c r="I55">
        <v>4</v>
      </c>
      <c r="J55">
        <v>48</v>
      </c>
      <c r="K55">
        <v>0</v>
      </c>
      <c r="L55" t="str">
        <v>027024</v>
      </c>
      <c r="M55" t="str">
        <v>026959</v>
      </c>
      <c r="N55">
        <v>0</v>
      </c>
      <c r="O55" t="str">
        <v>029610</v>
      </c>
      <c r="P55">
        <v>0</v>
      </c>
      <c r="Q55">
        <v>0</v>
      </c>
      <c r="R55" t="str">
        <v>028690</v>
      </c>
      <c r="S55">
        <v>6</v>
      </c>
      <c r="T55">
        <v>6</v>
      </c>
      <c r="U55">
        <v>0</v>
      </c>
      <c r="V55">
        <v>6</v>
      </c>
      <c r="W55">
        <v>0</v>
      </c>
      <c r="X55">
        <v>0</v>
      </c>
      <c r="Y55">
        <v>6</v>
      </c>
      <c r="Z55" s="52">
        <v>1</v>
      </c>
      <c r="AA55" s="51">
        <f ca="1">COUNTIFS(base_de_datos[Materia],A55,base_de_datos[Misma o no],1)</f>
        <v>1</v>
      </c>
    </row>
    <row r="56" spans="1:27" ht="28">
      <c r="A56" t="str">
        <v>Sistemas de costos y presupuestos</v>
      </c>
      <c r="B56" t="str">
        <v>EMP</v>
      </c>
      <c r="C56">
        <v>0</v>
      </c>
      <c r="D56">
        <v>0</v>
      </c>
      <c r="E56">
        <v>6</v>
      </c>
      <c r="F56">
        <v>0</v>
      </c>
      <c r="G56">
        <v>0</v>
      </c>
      <c r="H56">
        <v>0</v>
      </c>
      <c r="I56">
        <v>0</v>
      </c>
      <c r="J56">
        <v>48</v>
      </c>
      <c r="K56">
        <v>0</v>
      </c>
      <c r="L56">
        <v>0</v>
      </c>
      <c r="M56">
        <v>0</v>
      </c>
      <c r="N56" t="str">
        <v>026978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6</v>
      </c>
      <c r="V56">
        <v>0</v>
      </c>
      <c r="W56">
        <v>0</v>
      </c>
      <c r="X56">
        <v>0</v>
      </c>
      <c r="Y56">
        <v>0</v>
      </c>
      <c r="Z56" s="52">
        <v>1</v>
      </c>
      <c r="AA56" s="51">
        <f>COUNTIFS(base_de_datos[Materia],A56,base_de_datos[Misma o no],1)</f>
        <v>0</v>
      </c>
    </row>
    <row r="57" spans="1:27" ht="14">
      <c r="A57" t="str">
        <v>Análisis estructural</v>
      </c>
      <c r="B57" t="str">
        <v>ESC</v>
      </c>
      <c r="C57">
        <v>0</v>
      </c>
      <c r="D57">
        <v>0</v>
      </c>
      <c r="E57">
        <v>0</v>
      </c>
      <c r="F57">
        <v>0</v>
      </c>
      <c r="G57">
        <v>0</v>
      </c>
      <c r="H57">
        <v>6</v>
      </c>
      <c r="I57">
        <v>0</v>
      </c>
      <c r="J57">
        <v>64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 t="str">
        <v>027066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8</v>
      </c>
      <c r="Y57">
        <v>0</v>
      </c>
      <c r="Z57" s="52">
        <v>1</v>
      </c>
      <c r="AA57" s="51">
        <f>COUNTIFS(base_de_datos[Materia],A57,base_de_datos[Misma o no],1)</f>
        <v>0</v>
      </c>
    </row>
    <row r="58" spans="1:27" ht="14">
      <c r="A58" t="str">
        <v>BIM planeación de obra</v>
      </c>
      <c r="B58" t="str">
        <v>ESC</v>
      </c>
      <c r="C58">
        <v>0</v>
      </c>
      <c r="D58">
        <v>0</v>
      </c>
      <c r="E58">
        <v>0</v>
      </c>
      <c r="F58">
        <v>0</v>
      </c>
      <c r="G58">
        <v>0</v>
      </c>
      <c r="H58">
        <v>8</v>
      </c>
      <c r="I58">
        <v>0</v>
      </c>
      <c r="J58">
        <v>48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t="str">
        <v>027079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6</v>
      </c>
      <c r="Y58">
        <v>0</v>
      </c>
      <c r="Z58" s="52">
        <v>1</v>
      </c>
      <c r="AA58" s="51">
        <f>COUNTIFS(base_de_datos[Materia],A58,base_de_datos[Misma o no],1)</f>
        <v>0</v>
      </c>
    </row>
    <row r="59" spans="1:27" ht="14">
      <c r="A59" t="str">
        <v>Comportamiento de materiales</v>
      </c>
      <c r="B59" t="str">
        <v>ESC</v>
      </c>
      <c r="C59">
        <v>0</v>
      </c>
      <c r="D59">
        <v>0</v>
      </c>
      <c r="E59">
        <v>0</v>
      </c>
      <c r="F59">
        <v>0</v>
      </c>
      <c r="G59">
        <v>0</v>
      </c>
      <c r="H59">
        <v>6</v>
      </c>
      <c r="I59">
        <v>0</v>
      </c>
      <c r="J59">
        <v>80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 t="str">
        <v>027067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7</v>
      </c>
      <c r="Y59">
        <v>0</v>
      </c>
      <c r="Z59" s="52">
        <v>1</v>
      </c>
      <c r="AA59" s="51">
        <f>COUNTIFS(base_de_datos[Materia],A59,base_de_datos[Misma o no],1)</f>
        <v>0</v>
      </c>
    </row>
    <row r="60" spans="1:27" ht="28">
      <c r="A60" t="str">
        <v>Diseño de estructuras de acero II</v>
      </c>
      <c r="B60" t="str">
        <v>ESC</v>
      </c>
      <c r="C60">
        <v>0</v>
      </c>
      <c r="D60">
        <v>0</v>
      </c>
      <c r="E60">
        <v>0</v>
      </c>
      <c r="F60">
        <v>0</v>
      </c>
      <c r="G60">
        <v>0</v>
      </c>
      <c r="H60">
        <v>8</v>
      </c>
      <c r="I60">
        <v>0</v>
      </c>
      <c r="J60">
        <v>64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 t="str">
        <v>027077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8</v>
      </c>
      <c r="Y60">
        <v>0</v>
      </c>
      <c r="Z60" s="52">
        <v>1</v>
      </c>
      <c r="AA60" s="51">
        <f>COUNTIFS(base_de_datos[Materia],A60,base_de_datos[Misma o no],1)</f>
        <v>0</v>
      </c>
    </row>
    <row r="61" spans="1:27" ht="28">
      <c r="A61" t="str">
        <v>Diseño de estructuras de concreto II</v>
      </c>
      <c r="B61" t="str">
        <v>ESC</v>
      </c>
      <c r="C61">
        <v>0</v>
      </c>
      <c r="D61">
        <v>0</v>
      </c>
      <c r="E61">
        <v>0</v>
      </c>
      <c r="F61">
        <v>0</v>
      </c>
      <c r="G61">
        <v>0</v>
      </c>
      <c r="H61">
        <v>8</v>
      </c>
      <c r="I61">
        <v>0</v>
      </c>
      <c r="J61">
        <v>64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t="str">
        <v>027078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8</v>
      </c>
      <c r="Y61">
        <v>0</v>
      </c>
      <c r="Z61" s="52">
        <v>1</v>
      </c>
      <c r="AA61" s="51">
        <f>COUNTIFS(base_de_datos[Materia],A61,base_de_datos[Misma o no],1)</f>
        <v>0</v>
      </c>
    </row>
    <row r="62" spans="1:27" ht="14">
      <c r="A62" t="str">
        <v>Diseño de pavimentos</v>
      </c>
      <c r="B62" t="str">
        <v>ESC</v>
      </c>
      <c r="C62">
        <v>0</v>
      </c>
      <c r="D62">
        <v>0</v>
      </c>
      <c r="E62">
        <v>0</v>
      </c>
      <c r="F62">
        <v>0</v>
      </c>
      <c r="G62">
        <v>0</v>
      </c>
      <c r="H62">
        <v>10</v>
      </c>
      <c r="I62">
        <v>0</v>
      </c>
      <c r="J62">
        <v>64</v>
      </c>
      <c r="K62" t="str">
        <v>x</v>
      </c>
      <c r="L62">
        <v>0</v>
      </c>
      <c r="M62">
        <v>0</v>
      </c>
      <c r="N62">
        <v>0</v>
      </c>
      <c r="O62">
        <v>0</v>
      </c>
      <c r="P62">
        <v>0</v>
      </c>
      <c r="Q62" t="str">
        <v>032371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6</v>
      </c>
      <c r="Y62">
        <v>0</v>
      </c>
      <c r="Z62" s="52">
        <v>1</v>
      </c>
      <c r="AA62" s="51">
        <f>COUNTIFS(base_de_datos[Materia],A62,base_de_datos[Misma o no],1)</f>
        <v>0</v>
      </c>
    </row>
    <row r="63" spans="1:27" ht="14">
      <c r="A63" t="str">
        <v>Ingeniería de cimentaciones</v>
      </c>
      <c r="B63" t="str">
        <v>ESC</v>
      </c>
      <c r="C63">
        <v>0</v>
      </c>
      <c r="D63">
        <v>0</v>
      </c>
      <c r="E63">
        <v>0</v>
      </c>
      <c r="F63">
        <v>0</v>
      </c>
      <c r="G63">
        <v>0</v>
      </c>
      <c r="H63">
        <v>8</v>
      </c>
      <c r="I63">
        <v>0</v>
      </c>
      <c r="J63">
        <v>48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 t="str">
        <v>027080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6</v>
      </c>
      <c r="Y63">
        <v>0</v>
      </c>
      <c r="Z63" s="52">
        <v>1</v>
      </c>
      <c r="AA63" s="51">
        <f>COUNTIFS(base_de_datos[Materia],A63,base_de_datos[Misma o no],1)</f>
        <v>0</v>
      </c>
    </row>
    <row r="64" spans="1:27" ht="14">
      <c r="A64" t="str">
        <v>Instalaciones en edificios</v>
      </c>
      <c r="B64" t="str">
        <v>ESC</v>
      </c>
      <c r="C64">
        <v>0</v>
      </c>
      <c r="D64">
        <v>0</v>
      </c>
      <c r="E64">
        <v>0</v>
      </c>
      <c r="F64">
        <v>0</v>
      </c>
      <c r="G64">
        <v>0</v>
      </c>
      <c r="H64">
        <v>8</v>
      </c>
      <c r="I64">
        <v>0</v>
      </c>
      <c r="J64">
        <v>64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 t="str">
        <v>027058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8</v>
      </c>
      <c r="Y64">
        <v>0</v>
      </c>
      <c r="Z64" s="52">
        <v>1</v>
      </c>
      <c r="AA64" s="51">
        <f>COUNTIFS(base_de_datos[Materia],A64,base_de_datos[Misma o no],1)</f>
        <v>0</v>
      </c>
    </row>
    <row r="65" spans="1:27" ht="28">
      <c r="A65" t="str">
        <v>Materiales y procesos constructivos</v>
      </c>
      <c r="B65" t="str">
        <v>ESC</v>
      </c>
      <c r="C65">
        <v>0</v>
      </c>
      <c r="D65">
        <v>0</v>
      </c>
      <c r="E65">
        <v>0</v>
      </c>
      <c r="F65">
        <v>0</v>
      </c>
      <c r="G65">
        <v>0</v>
      </c>
      <c r="H65">
        <v>4</v>
      </c>
      <c r="I65">
        <v>0</v>
      </c>
      <c r="J65">
        <v>64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t="str">
        <v>027053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8</v>
      </c>
      <c r="Y65">
        <v>0</v>
      </c>
      <c r="Z65" s="52">
        <v>1</v>
      </c>
      <c r="AA65" s="51">
        <f>COUNTIFS(base_de_datos[Materia],A65,base_de_datos[Misma o no],1)</f>
        <v>0</v>
      </c>
    </row>
    <row r="66" spans="1:27" ht="14">
      <c r="A66" t="str">
        <v>Mecánica de materiales</v>
      </c>
      <c r="B66" t="str">
        <v>ESC</v>
      </c>
      <c r="C66">
        <v>0</v>
      </c>
      <c r="D66">
        <v>0</v>
      </c>
      <c r="E66">
        <v>0</v>
      </c>
      <c r="F66">
        <v>0</v>
      </c>
      <c r="G66">
        <v>0</v>
      </c>
      <c r="H66">
        <v>4</v>
      </c>
      <c r="I66">
        <v>0</v>
      </c>
      <c r="J66">
        <v>64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 t="str">
        <v>027057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8</v>
      </c>
      <c r="Y66">
        <v>0</v>
      </c>
      <c r="Z66" s="52">
        <v>1</v>
      </c>
      <c r="AA66" s="51">
        <f>COUNTIFS(base_de_datos[Materia],A66,base_de_datos[Misma o no],1)</f>
        <v>0</v>
      </c>
    </row>
    <row r="67" spans="1:27" ht="28">
      <c r="A67" t="str">
        <v>Planeación y control de proyectos</v>
      </c>
      <c r="B67" t="str">
        <v>ESC</v>
      </c>
      <c r="C67">
        <v>0</v>
      </c>
      <c r="D67">
        <v>0</v>
      </c>
      <c r="E67">
        <v>0</v>
      </c>
      <c r="F67">
        <v>0</v>
      </c>
      <c r="G67">
        <v>0</v>
      </c>
      <c r="H67">
        <v>6</v>
      </c>
      <c r="I67">
        <v>0</v>
      </c>
      <c r="J67">
        <v>64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t="str">
        <v>027068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8</v>
      </c>
      <c r="Y67">
        <v>0</v>
      </c>
      <c r="Z67" s="52">
        <v>1</v>
      </c>
      <c r="AA67" s="51">
        <f>COUNTIFS(base_de_datos[Materia],A67,base_de_datos[Misma o no],1)</f>
        <v>0</v>
      </c>
    </row>
    <row r="68" spans="1:27" ht="14">
      <c r="A68" t="str">
        <v>Propiedades de los suelos</v>
      </c>
      <c r="B68" t="str">
        <v>ESC</v>
      </c>
      <c r="C68">
        <v>0</v>
      </c>
      <c r="D68">
        <v>0</v>
      </c>
      <c r="E68">
        <v>0</v>
      </c>
      <c r="F68">
        <v>0</v>
      </c>
      <c r="G68">
        <v>0</v>
      </c>
      <c r="H68">
        <v>6</v>
      </c>
      <c r="I68">
        <v>0</v>
      </c>
      <c r="J68">
        <v>64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t="str">
        <v>027063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7</v>
      </c>
      <c r="Y68">
        <v>0</v>
      </c>
      <c r="Z68" s="52">
        <v>1</v>
      </c>
      <c r="AA68" s="51">
        <f>COUNTIFS(base_de_datos[Materia],A68,base_de_datos[Misma o no],1)</f>
        <v>0</v>
      </c>
    </row>
    <row r="69" spans="1:27" ht="14">
      <c r="A69" t="str">
        <v>Topografía</v>
      </c>
      <c r="B69" t="str">
        <v>ESC</v>
      </c>
      <c r="C69">
        <v>0</v>
      </c>
      <c r="D69">
        <v>0</v>
      </c>
      <c r="E69">
        <v>0</v>
      </c>
      <c r="F69">
        <v>0</v>
      </c>
      <c r="G69">
        <v>0</v>
      </c>
      <c r="H69">
        <v>2</v>
      </c>
      <c r="I69">
        <v>0</v>
      </c>
      <c r="J69">
        <v>80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 t="str">
        <v>026880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7</v>
      </c>
      <c r="Y69">
        <v>0</v>
      </c>
      <c r="Z69" s="52">
        <v>1</v>
      </c>
      <c r="AA69" s="51">
        <f>COUNTIFS(base_de_datos[Materia],A69,base_de_datos[Misma o no],1)</f>
        <v>0</v>
      </c>
    </row>
    <row r="70" spans="1:27" ht="14">
      <c r="A70" t="str">
        <v>Aerogeneradores</v>
      </c>
      <c r="B70" t="str">
        <v>ETF</v>
      </c>
      <c r="C70">
        <v>0</v>
      </c>
      <c r="D70">
        <v>0</v>
      </c>
      <c r="E70">
        <v>0</v>
      </c>
      <c r="F70">
        <v>0</v>
      </c>
      <c r="G70">
        <v>6</v>
      </c>
      <c r="H70">
        <v>0</v>
      </c>
      <c r="I70">
        <v>0</v>
      </c>
      <c r="J70">
        <v>80</v>
      </c>
      <c r="K70">
        <v>0</v>
      </c>
      <c r="L70">
        <v>0</v>
      </c>
      <c r="M70">
        <v>0</v>
      </c>
      <c r="N70">
        <v>0</v>
      </c>
      <c r="O70">
        <v>0</v>
      </c>
      <c r="P70" t="str">
        <v>018601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9</v>
      </c>
      <c r="X70">
        <v>0</v>
      </c>
      <c r="Y70">
        <v>0</v>
      </c>
      <c r="Z70" s="52">
        <v>1</v>
      </c>
      <c r="AA70" s="51">
        <f>COUNTIFS(base_de_datos[Materia],A70,base_de_datos[Misma o no],1)</f>
        <v>0</v>
      </c>
    </row>
    <row r="71" spans="1:27" ht="14">
      <c r="A71" t="str">
        <v>Agua potable y alcantarillado</v>
      </c>
      <c r="B71" t="str">
        <v>ETF</v>
      </c>
      <c r="C71">
        <v>0</v>
      </c>
      <c r="D71">
        <v>0</v>
      </c>
      <c r="E71">
        <v>0</v>
      </c>
      <c r="F71">
        <v>0</v>
      </c>
      <c r="G71">
        <v>0</v>
      </c>
      <c r="H71">
        <v>6</v>
      </c>
      <c r="I71">
        <v>0</v>
      </c>
      <c r="J71">
        <v>64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 t="str">
        <v>027071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8</v>
      </c>
      <c r="Y71">
        <v>0</v>
      </c>
      <c r="Z71" s="52">
        <v>1</v>
      </c>
      <c r="AA71" s="51">
        <f>COUNTIFS(base_de_datos[Materia],A71,base_de_datos[Misma o no],1)</f>
        <v>0</v>
      </c>
    </row>
    <row r="72" spans="1:27" ht="14">
      <c r="A72" t="str">
        <v>Almacenamiento energético</v>
      </c>
      <c r="B72" t="str">
        <v>ETF</v>
      </c>
      <c r="C72">
        <v>0</v>
      </c>
      <c r="D72">
        <v>0</v>
      </c>
      <c r="E72">
        <v>0</v>
      </c>
      <c r="F72">
        <v>0</v>
      </c>
      <c r="G72">
        <v>6</v>
      </c>
      <c r="H72">
        <v>0</v>
      </c>
      <c r="I72">
        <v>0</v>
      </c>
      <c r="J72">
        <v>80</v>
      </c>
      <c r="K72">
        <v>0</v>
      </c>
      <c r="L72">
        <v>0</v>
      </c>
      <c r="M72">
        <v>0</v>
      </c>
      <c r="N72">
        <v>0</v>
      </c>
      <c r="O72">
        <v>0</v>
      </c>
      <c r="P72" t="str">
        <v>018602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8</v>
      </c>
      <c r="X72">
        <v>0</v>
      </c>
      <c r="Y72">
        <v>0</v>
      </c>
      <c r="Z72" s="52">
        <v>1</v>
      </c>
      <c r="AA72" s="51">
        <f>COUNTIFS(base_de_datos[Materia],A72,base_de_datos[Misma o no],1)</f>
        <v>0</v>
      </c>
    </row>
    <row r="73" spans="1:27" ht="14">
      <c r="A73" t="str">
        <v>Análisis medioambiental</v>
      </c>
      <c r="B73" t="str">
        <v>ETF</v>
      </c>
      <c r="C73">
        <v>0</v>
      </c>
      <c r="D73">
        <v>0</v>
      </c>
      <c r="E73">
        <v>0</v>
      </c>
      <c r="F73">
        <v>0</v>
      </c>
      <c r="G73">
        <v>2</v>
      </c>
      <c r="H73">
        <v>0</v>
      </c>
      <c r="I73">
        <v>0</v>
      </c>
      <c r="J73">
        <v>48</v>
      </c>
      <c r="K73">
        <v>0</v>
      </c>
      <c r="L73">
        <v>0</v>
      </c>
      <c r="M73">
        <v>0</v>
      </c>
      <c r="N73">
        <v>0</v>
      </c>
      <c r="O73">
        <v>0</v>
      </c>
      <c r="P73" t="str">
        <v>018570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6</v>
      </c>
      <c r="X73">
        <v>0</v>
      </c>
      <c r="Y73">
        <v>0</v>
      </c>
      <c r="Z73" s="52">
        <v>1</v>
      </c>
      <c r="AA73" s="51">
        <f>COUNTIFS(base_de_datos[Materia],A73,base_de_datos[Misma o no],1)</f>
        <v>0</v>
      </c>
    </row>
    <row r="74" spans="1:27" ht="28">
      <c r="A74" t="str">
        <v>Diseño de sistemas energéticos</v>
      </c>
      <c r="B74" t="str">
        <v>ETF</v>
      </c>
      <c r="C74">
        <v>0</v>
      </c>
      <c r="D74">
        <v>0</v>
      </c>
      <c r="E74">
        <v>0</v>
      </c>
      <c r="F74">
        <v>0</v>
      </c>
      <c r="G74">
        <v>8</v>
      </c>
      <c r="H74">
        <v>0</v>
      </c>
      <c r="I74">
        <v>0</v>
      </c>
      <c r="J74">
        <v>80</v>
      </c>
      <c r="K74">
        <v>0</v>
      </c>
      <c r="L74">
        <v>0</v>
      </c>
      <c r="M74">
        <v>0</v>
      </c>
      <c r="N74">
        <v>0</v>
      </c>
      <c r="O74">
        <v>0</v>
      </c>
      <c r="P74" t="str">
        <v>018941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8</v>
      </c>
      <c r="X74">
        <v>0</v>
      </c>
      <c r="Y74">
        <v>0</v>
      </c>
      <c r="Z74" s="52">
        <v>1</v>
      </c>
      <c r="AA74" s="51">
        <f>COUNTIFS(base_de_datos[Materia],A74,base_de_datos[Misma o no],1)</f>
        <v>0</v>
      </c>
    </row>
    <row r="75" spans="1:27" ht="14">
      <c r="A75" t="str">
        <v>Energía solar fotovoltáica</v>
      </c>
      <c r="B75" t="str">
        <v>ETF</v>
      </c>
      <c r="C75">
        <v>0</v>
      </c>
      <c r="D75">
        <v>0</v>
      </c>
      <c r="E75">
        <v>0</v>
      </c>
      <c r="F75">
        <v>0</v>
      </c>
      <c r="G75">
        <v>4</v>
      </c>
      <c r="H75">
        <v>0</v>
      </c>
      <c r="I75">
        <v>0</v>
      </c>
      <c r="J75">
        <v>64</v>
      </c>
      <c r="K75">
        <v>0</v>
      </c>
      <c r="L75">
        <v>0</v>
      </c>
      <c r="M75">
        <v>0</v>
      </c>
      <c r="N75">
        <v>0</v>
      </c>
      <c r="O75">
        <v>0</v>
      </c>
      <c r="P75" t="str">
        <v>018595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6</v>
      </c>
      <c r="X75">
        <v>0</v>
      </c>
      <c r="Y75">
        <v>0</v>
      </c>
      <c r="Z75" s="52">
        <v>1</v>
      </c>
      <c r="AA75" s="51">
        <f>COUNTIFS(base_de_datos[Materia],A75,base_de_datos[Misma o no],1)</f>
        <v>0</v>
      </c>
    </row>
    <row r="76" spans="1:27" ht="14">
      <c r="A76" t="str">
        <v>Energía solar térmica</v>
      </c>
      <c r="B76" t="str">
        <v>ETF</v>
      </c>
      <c r="C76">
        <v>0</v>
      </c>
      <c r="D76">
        <v>0</v>
      </c>
      <c r="E76">
        <v>0</v>
      </c>
      <c r="F76">
        <v>0</v>
      </c>
      <c r="G76">
        <v>4</v>
      </c>
      <c r="H76">
        <v>0</v>
      </c>
      <c r="I76">
        <v>0</v>
      </c>
      <c r="J76">
        <v>64</v>
      </c>
      <c r="K76">
        <v>0</v>
      </c>
      <c r="L76">
        <v>0</v>
      </c>
      <c r="M76">
        <v>0</v>
      </c>
      <c r="N76">
        <v>0</v>
      </c>
      <c r="O76">
        <v>0</v>
      </c>
      <c r="P76" t="str">
        <v>018572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8</v>
      </c>
      <c r="X76">
        <v>0</v>
      </c>
      <c r="Y76">
        <v>0</v>
      </c>
      <c r="Z76" s="52">
        <v>1</v>
      </c>
      <c r="AA76" s="51">
        <f>COUNTIFS(base_de_datos[Materia],A76,base_de_datos[Misma o no],1)</f>
        <v>0</v>
      </c>
    </row>
    <row r="77" spans="1:27" ht="14">
      <c r="A77" t="str">
        <v>Energías alternativas</v>
      </c>
      <c r="B77" t="str">
        <v>ETF</v>
      </c>
      <c r="C77">
        <v>0</v>
      </c>
      <c r="D77">
        <v>0</v>
      </c>
      <c r="E77">
        <v>0</v>
      </c>
      <c r="F77">
        <v>0</v>
      </c>
      <c r="G77">
        <v>2</v>
      </c>
      <c r="H77">
        <v>4</v>
      </c>
      <c r="I77">
        <v>0</v>
      </c>
      <c r="J77">
        <v>48</v>
      </c>
      <c r="K77" t="str">
        <v>x</v>
      </c>
      <c r="L77">
        <v>0</v>
      </c>
      <c r="M77">
        <v>0</v>
      </c>
      <c r="N77">
        <v>0</v>
      </c>
      <c r="O77">
        <v>0</v>
      </c>
      <c r="P77" t="str">
        <v>018571</v>
      </c>
      <c r="Q77" t="str">
        <v>027087</v>
      </c>
      <c r="R77">
        <v>0</v>
      </c>
      <c r="S77">
        <v>0</v>
      </c>
      <c r="T77">
        <v>0</v>
      </c>
      <c r="U77">
        <v>0</v>
      </c>
      <c r="V77">
        <v>0</v>
      </c>
      <c r="W77">
        <v>6</v>
      </c>
      <c r="X77">
        <v>6</v>
      </c>
      <c r="Y77">
        <v>0</v>
      </c>
      <c r="Z77" s="52">
        <v>1</v>
      </c>
      <c r="AA77" s="51">
        <f>COUNTIFS(base_de_datos[Materia],A77,base_de_datos[Misma o no],1)</f>
        <v>0</v>
      </c>
    </row>
    <row r="78" spans="1:27" ht="14">
      <c r="A78" t="str">
        <v>Obras hidráulicas</v>
      </c>
      <c r="B78" t="str">
        <v>ETF</v>
      </c>
      <c r="C78">
        <v>0</v>
      </c>
      <c r="D78">
        <v>0</v>
      </c>
      <c r="E78">
        <v>0</v>
      </c>
      <c r="F78">
        <v>0</v>
      </c>
      <c r="G78">
        <v>0</v>
      </c>
      <c r="H78">
        <v>10</v>
      </c>
      <c r="I78">
        <v>0</v>
      </c>
      <c r="J78">
        <v>48</v>
      </c>
      <c r="K78" t="str">
        <v>X</v>
      </c>
      <c r="L78">
        <v>0</v>
      </c>
      <c r="M78">
        <v>0</v>
      </c>
      <c r="N78">
        <v>0</v>
      </c>
      <c r="O78">
        <v>0</v>
      </c>
      <c r="P78">
        <v>0</v>
      </c>
      <c r="Q78" t="str">
        <v>032364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</v>
      </c>
      <c r="Y78">
        <v>0</v>
      </c>
      <c r="Z78" s="52">
        <v>1</v>
      </c>
      <c r="AA78" s="51">
        <f>COUNTIFS(base_de_datos[Materia],A78,base_de_datos[Misma o no],1)</f>
        <v>0</v>
      </c>
    </row>
    <row r="79" spans="1:27" ht="14">
      <c r="A79" t="str">
        <v>Proyectos biosostenibles</v>
      </c>
      <c r="B79" t="str">
        <v>ETF</v>
      </c>
      <c r="C79">
        <v>0</v>
      </c>
      <c r="D79">
        <v>0</v>
      </c>
      <c r="E79">
        <v>0</v>
      </c>
      <c r="F79">
        <v>0</v>
      </c>
      <c r="G79">
        <v>8</v>
      </c>
      <c r="H79">
        <v>0</v>
      </c>
      <c r="I79">
        <v>0</v>
      </c>
      <c r="J79">
        <v>80</v>
      </c>
      <c r="K79">
        <v>0</v>
      </c>
      <c r="L79">
        <v>0</v>
      </c>
      <c r="M79">
        <v>0</v>
      </c>
      <c r="N79">
        <v>0</v>
      </c>
      <c r="O79">
        <v>0</v>
      </c>
      <c r="P79" t="str">
        <v>018942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8</v>
      </c>
      <c r="X79">
        <v>0</v>
      </c>
      <c r="Y79">
        <v>0</v>
      </c>
      <c r="Z79" s="52">
        <v>1</v>
      </c>
      <c r="AA79" s="51">
        <f>COUNTIFS(base_de_datos[Materia],A79,base_de_datos[Misma o no],1)</f>
        <v>0</v>
      </c>
    </row>
    <row r="80" spans="1:27" ht="14">
      <c r="A80" t="str">
        <v>Química</v>
      </c>
      <c r="B80" t="str">
        <v>ETF</v>
      </c>
      <c r="C80">
        <v>1</v>
      </c>
      <c r="D80">
        <v>1</v>
      </c>
      <c r="E80">
        <v>2</v>
      </c>
      <c r="F80">
        <v>1</v>
      </c>
      <c r="G80">
        <v>1</v>
      </c>
      <c r="H80">
        <v>0</v>
      </c>
      <c r="I80">
        <v>1</v>
      </c>
      <c r="J80">
        <v>64</v>
      </c>
      <c r="K80">
        <v>0</v>
      </c>
      <c r="L80" t="str">
        <v>026778</v>
      </c>
      <c r="M80" t="str">
        <v>026778</v>
      </c>
      <c r="N80" t="str">
        <v>026778</v>
      </c>
      <c r="O80" t="str">
        <v>028103</v>
      </c>
      <c r="P80" t="str">
        <v>018262</v>
      </c>
      <c r="Q80" t="str">
        <v>027083</v>
      </c>
      <c r="R80" t="str">
        <v>028103</v>
      </c>
      <c r="S80">
        <v>7</v>
      </c>
      <c r="T80">
        <v>7</v>
      </c>
      <c r="U80">
        <v>7</v>
      </c>
      <c r="V80">
        <v>7</v>
      </c>
      <c r="W80">
        <v>7</v>
      </c>
      <c r="X80">
        <v>7</v>
      </c>
      <c r="Y80">
        <v>7</v>
      </c>
      <c r="Z80" s="52">
        <v>1</v>
      </c>
      <c r="AA80" s="51">
        <f ca="1">COUNTIFS(base_de_datos[Materia],A80,base_de_datos[Misma o no],1)</f>
        <v>5</v>
      </c>
    </row>
    <row r="81" spans="1:27" ht="14">
      <c r="A81" t="str">
        <v>Sistemas energéticos II</v>
      </c>
      <c r="B81" t="str">
        <v>ETF</v>
      </c>
      <c r="C81">
        <v>0</v>
      </c>
      <c r="D81">
        <v>0</v>
      </c>
      <c r="E81">
        <v>0</v>
      </c>
      <c r="F81">
        <v>0</v>
      </c>
      <c r="G81">
        <v>8</v>
      </c>
      <c r="H81">
        <v>0</v>
      </c>
      <c r="I81">
        <v>0</v>
      </c>
      <c r="J81">
        <v>80</v>
      </c>
      <c r="K81">
        <v>0</v>
      </c>
      <c r="L81">
        <v>0</v>
      </c>
      <c r="M81">
        <v>0</v>
      </c>
      <c r="N81">
        <v>0</v>
      </c>
      <c r="O81">
        <v>0</v>
      </c>
      <c r="P81" t="str">
        <v>018943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8</v>
      </c>
      <c r="X81">
        <v>0</v>
      </c>
      <c r="Y81">
        <v>0</v>
      </c>
      <c r="Z81" s="52">
        <v>1</v>
      </c>
      <c r="AA81" s="51">
        <f>COUNTIFS(base_de_datos[Materia],A81,base_de_datos[Misma o no],1)</f>
        <v>0</v>
      </c>
    </row>
    <row r="82" spans="1:27" ht="28">
      <c r="A82" t="str">
        <v>Sustentabilidad y normatividad energética</v>
      </c>
      <c r="B82" t="str">
        <v>ETF</v>
      </c>
      <c r="C82">
        <v>8</v>
      </c>
      <c r="D82">
        <v>0</v>
      </c>
      <c r="E82">
        <v>8</v>
      </c>
      <c r="F82">
        <v>0</v>
      </c>
      <c r="G82">
        <v>0</v>
      </c>
      <c r="H82">
        <v>0</v>
      </c>
      <c r="I82">
        <v>0</v>
      </c>
      <c r="J82">
        <v>32</v>
      </c>
      <c r="K82" t="str">
        <v>x</v>
      </c>
      <c r="L82" t="str">
        <v>026995</v>
      </c>
      <c r="M82">
        <v>0</v>
      </c>
      <c r="N82" t="str">
        <v>026995</v>
      </c>
      <c r="O82">
        <v>0</v>
      </c>
      <c r="P82">
        <v>0</v>
      </c>
      <c r="Q82">
        <v>0</v>
      </c>
      <c r="R82">
        <v>0</v>
      </c>
      <c r="S82">
        <v>4</v>
      </c>
      <c r="T82">
        <v>0</v>
      </c>
      <c r="U82">
        <v>4</v>
      </c>
      <c r="V82">
        <v>0</v>
      </c>
      <c r="W82">
        <v>0</v>
      </c>
      <c r="X82">
        <v>0</v>
      </c>
      <c r="Y82">
        <v>0</v>
      </c>
      <c r="Z82" s="52">
        <v>1</v>
      </c>
      <c r="AA82" s="51">
        <f>COUNTIFS(base_de_datos[Materia],A82,base_de_datos[Misma o no],1)</f>
        <v>0</v>
      </c>
    </row>
    <row r="83" spans="1:27" ht="14">
      <c r="A83" t="str">
        <v>Termodinámica</v>
      </c>
      <c r="B83" t="str">
        <v>ETF</v>
      </c>
      <c r="C83">
        <v>3</v>
      </c>
      <c r="D83">
        <v>4</v>
      </c>
      <c r="E83">
        <v>0</v>
      </c>
      <c r="F83">
        <v>0</v>
      </c>
      <c r="G83">
        <v>3</v>
      </c>
      <c r="H83">
        <v>0</v>
      </c>
      <c r="I83">
        <v>4</v>
      </c>
      <c r="J83">
        <v>64</v>
      </c>
      <c r="K83">
        <v>0</v>
      </c>
      <c r="L83" t="str">
        <v>027026</v>
      </c>
      <c r="M83" t="str">
        <v>026955</v>
      </c>
      <c r="N83">
        <v>0</v>
      </c>
      <c r="O83">
        <v>0</v>
      </c>
      <c r="P83" t="str">
        <v>018545</v>
      </c>
      <c r="Q83">
        <v>0</v>
      </c>
      <c r="R83" t="str">
        <v>028484</v>
      </c>
      <c r="S83">
        <v>7</v>
      </c>
      <c r="T83">
        <v>7</v>
      </c>
      <c r="U83">
        <v>0</v>
      </c>
      <c r="V83">
        <v>0</v>
      </c>
      <c r="W83">
        <v>7</v>
      </c>
      <c r="X83">
        <v>0</v>
      </c>
      <c r="Y83">
        <v>7</v>
      </c>
      <c r="Z83" s="52">
        <v>1</v>
      </c>
      <c r="AA83" s="51">
        <f ca="1">COUNTIFS(base_de_datos[Materia],A83,base_de_datos[Misma o no],1)</f>
        <v>1</v>
      </c>
    </row>
    <row r="84" spans="1:27" ht="28">
      <c r="A84" t="str">
        <v>Tratamiento de aguas, suelos y atmósferas</v>
      </c>
      <c r="B84" t="str">
        <v>ETF</v>
      </c>
      <c r="C84">
        <v>0</v>
      </c>
      <c r="D84">
        <v>0</v>
      </c>
      <c r="E84">
        <v>0</v>
      </c>
      <c r="F84">
        <v>0</v>
      </c>
      <c r="G84">
        <v>6</v>
      </c>
      <c r="H84">
        <v>0</v>
      </c>
      <c r="I84">
        <v>0</v>
      </c>
      <c r="J84">
        <v>64</v>
      </c>
      <c r="K84">
        <v>0</v>
      </c>
      <c r="L84">
        <v>0</v>
      </c>
      <c r="M84">
        <v>0</v>
      </c>
      <c r="N84">
        <v>0</v>
      </c>
      <c r="O84">
        <v>0</v>
      </c>
      <c r="P84" t="str">
        <v>018600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7</v>
      </c>
      <c r="X84">
        <v>0</v>
      </c>
      <c r="Y84">
        <v>0</v>
      </c>
      <c r="Z84" s="52">
        <v>1</v>
      </c>
      <c r="AA84" s="51">
        <f>COUNTIFS(base_de_datos[Materia],A84,base_de_datos[Misma o no],1)</f>
        <v>0</v>
      </c>
    </row>
    <row r="85" spans="1:27" ht="28">
      <c r="A85" t="str">
        <v>Antropología teológica I/Teología Dogmática</v>
      </c>
      <c r="B85" t="str">
        <v>HUM</v>
      </c>
      <c r="C85">
        <v>4</v>
      </c>
      <c r="D85">
        <v>4</v>
      </c>
      <c r="E85">
        <v>4</v>
      </c>
      <c r="F85">
        <v>4</v>
      </c>
      <c r="G85">
        <v>4</v>
      </c>
      <c r="H85">
        <v>4</v>
      </c>
      <c r="I85">
        <v>4</v>
      </c>
      <c r="J85">
        <v>32</v>
      </c>
      <c r="K85">
        <v>0</v>
      </c>
      <c r="L85" t="str">
        <v>026960</v>
      </c>
      <c r="M85" t="str">
        <v>026960</v>
      </c>
      <c r="N85" t="str">
        <v>026960</v>
      </c>
      <c r="O85" t="str">
        <v>028487</v>
      </c>
      <c r="P85" t="str">
        <v>018529</v>
      </c>
      <c r="Q85" t="str">
        <v>027060</v>
      </c>
      <c r="R85" t="str">
        <v>028487</v>
      </c>
      <c r="S85">
        <v>4</v>
      </c>
      <c r="T85">
        <v>4</v>
      </c>
      <c r="U85">
        <v>4</v>
      </c>
      <c r="V85">
        <v>4</v>
      </c>
      <c r="W85">
        <v>4</v>
      </c>
      <c r="X85">
        <v>4</v>
      </c>
      <c r="Y85">
        <v>4</v>
      </c>
      <c r="AA85" s="51">
        <f ca="1">COUNTIFS(base_de_datos[Materia],A85,base_de_datos[Misma o no],1)</f>
        <v>1</v>
      </c>
    </row>
    <row r="86" spans="1:27" ht="14">
      <c r="A86" t="str">
        <v>Ética profesional</v>
      </c>
      <c r="B86" t="str">
        <v>HUM</v>
      </c>
      <c r="C86">
        <v>8</v>
      </c>
      <c r="D86">
        <v>8</v>
      </c>
      <c r="E86">
        <v>8</v>
      </c>
      <c r="F86">
        <v>8</v>
      </c>
      <c r="G86">
        <v>8</v>
      </c>
      <c r="H86">
        <v>10</v>
      </c>
      <c r="I86">
        <v>8</v>
      </c>
      <c r="J86">
        <v>48</v>
      </c>
      <c r="K86" t="str">
        <v>x</v>
      </c>
      <c r="L86" t="str">
        <v>026991</v>
      </c>
      <c r="M86" t="str">
        <v>026991</v>
      </c>
      <c r="N86" t="str">
        <v>026991</v>
      </c>
      <c r="O86" t="str">
        <v>028912</v>
      </c>
      <c r="P86" t="str">
        <v>018934</v>
      </c>
      <c r="Q86" t="str">
        <v>032366</v>
      </c>
      <c r="R86" t="str">
        <v>028912</v>
      </c>
      <c r="S86">
        <v>6</v>
      </c>
      <c r="T86">
        <v>6</v>
      </c>
      <c r="U86">
        <v>6</v>
      </c>
      <c r="V86">
        <v>6</v>
      </c>
      <c r="W86">
        <v>6</v>
      </c>
      <c r="X86">
        <v>6</v>
      </c>
      <c r="Y86">
        <v>6</v>
      </c>
      <c r="AA86" s="51">
        <f ca="1">COUNTIFS(base_de_datos[Materia],A86,base_de_datos[Misma o no],1)</f>
        <v>1</v>
      </c>
    </row>
    <row r="87" spans="1:27" ht="14">
      <c r="A87" t="str">
        <v>Filosofía social/Ética Social</v>
      </c>
      <c r="B87" t="str">
        <v>HUM</v>
      </c>
      <c r="C87">
        <v>6</v>
      </c>
      <c r="D87">
        <v>6</v>
      </c>
      <c r="E87">
        <v>6</v>
      </c>
      <c r="F87">
        <v>6</v>
      </c>
      <c r="G87">
        <v>6</v>
      </c>
      <c r="H87">
        <v>6</v>
      </c>
      <c r="I87">
        <v>6</v>
      </c>
      <c r="J87">
        <v>48</v>
      </c>
      <c r="K87">
        <v>0</v>
      </c>
      <c r="L87" t="str">
        <v>026979</v>
      </c>
      <c r="M87" t="str">
        <v>026979</v>
      </c>
      <c r="N87" t="str">
        <v>026979</v>
      </c>
      <c r="O87" t="str">
        <v>028694</v>
      </c>
      <c r="P87" t="str">
        <v>018588</v>
      </c>
      <c r="Q87" t="str">
        <v>027070</v>
      </c>
      <c r="R87" t="str">
        <v>028694</v>
      </c>
      <c r="S87">
        <v>6</v>
      </c>
      <c r="T87">
        <v>6</v>
      </c>
      <c r="U87">
        <v>6</v>
      </c>
      <c r="V87">
        <v>6</v>
      </c>
      <c r="W87">
        <v>6</v>
      </c>
      <c r="X87">
        <v>6</v>
      </c>
      <c r="Y87">
        <v>6</v>
      </c>
      <c r="AA87" s="51">
        <f>COUNTIFS(base_de_datos[Materia],A87,base_de_datos[Misma o no],1)</f>
        <v>0</v>
      </c>
    </row>
    <row r="88" spans="1:27" ht="42">
      <c r="A88" t="str">
        <v>Persona y sociedad/Antropología Filosófica II</v>
      </c>
      <c r="B88" t="str">
        <v>HUM</v>
      </c>
      <c r="C88">
        <v>2</v>
      </c>
      <c r="D88">
        <v>2</v>
      </c>
      <c r="E88">
        <v>2</v>
      </c>
      <c r="F88">
        <v>2</v>
      </c>
      <c r="G88">
        <v>2</v>
      </c>
      <c r="H88">
        <v>2</v>
      </c>
      <c r="I88">
        <v>2</v>
      </c>
      <c r="J88">
        <v>48</v>
      </c>
      <c r="K88">
        <v>0</v>
      </c>
      <c r="L88" t="str">
        <v>026898</v>
      </c>
      <c r="M88" t="str">
        <v>026898</v>
      </c>
      <c r="N88" t="str">
        <v>026898</v>
      </c>
      <c r="O88" t="str">
        <v>028369</v>
      </c>
      <c r="P88" t="str">
        <v>018512</v>
      </c>
      <c r="Q88" t="str">
        <v>027049</v>
      </c>
      <c r="R88" t="str">
        <v>028369</v>
      </c>
      <c r="S88">
        <v>6</v>
      </c>
      <c r="T88">
        <v>6</v>
      </c>
      <c r="U88">
        <v>6</v>
      </c>
      <c r="V88">
        <v>6</v>
      </c>
      <c r="W88">
        <v>6</v>
      </c>
      <c r="X88">
        <v>6</v>
      </c>
      <c r="Y88">
        <v>6</v>
      </c>
      <c r="AA88" s="51">
        <f ca="1">COUNTIFS(base_de_datos[Materia],A88,base_de_datos[Misma o no],1)</f>
        <v>1</v>
      </c>
    </row>
    <row r="89" spans="1:27" ht="14">
      <c r="A89" t="str">
        <v>Diseño para la ingeniería civil</v>
      </c>
      <c r="B89" t="str">
        <v>IID</v>
      </c>
      <c r="C89">
        <v>0</v>
      </c>
      <c r="D89">
        <v>0</v>
      </c>
      <c r="E89">
        <v>0</v>
      </c>
      <c r="F89">
        <v>0</v>
      </c>
      <c r="G89">
        <v>0</v>
      </c>
      <c r="H89">
        <v>2</v>
      </c>
      <c r="I89">
        <v>0</v>
      </c>
      <c r="J89">
        <v>48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 t="str">
        <v>026786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4</v>
      </c>
      <c r="Y89">
        <v>0</v>
      </c>
      <c r="Z89" s="52">
        <v>1</v>
      </c>
      <c r="AA89" s="51">
        <f>COUNTIFS(base_de_datos[Materia],A89,base_de_datos[Misma o no],1)</f>
        <v>0</v>
      </c>
    </row>
    <row r="90" spans="1:27" ht="14">
      <c r="A90" t="str">
        <v>Ergonomía para el diseño</v>
      </c>
      <c r="B90" t="str">
        <v>IID</v>
      </c>
      <c r="C90">
        <v>0</v>
      </c>
      <c r="D90">
        <v>0</v>
      </c>
      <c r="E90">
        <v>2</v>
      </c>
      <c r="F90">
        <v>0</v>
      </c>
      <c r="G90">
        <v>0</v>
      </c>
      <c r="H90">
        <v>0</v>
      </c>
      <c r="I90">
        <v>0</v>
      </c>
      <c r="J90">
        <v>48</v>
      </c>
      <c r="K90">
        <v>0</v>
      </c>
      <c r="L90">
        <v>0</v>
      </c>
      <c r="M90">
        <v>0</v>
      </c>
      <c r="N90" t="str">
        <v>026896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</v>
      </c>
      <c r="V90">
        <v>0</v>
      </c>
      <c r="W90">
        <v>0</v>
      </c>
      <c r="X90">
        <v>0</v>
      </c>
      <c r="Y90">
        <v>0</v>
      </c>
      <c r="Z90" s="52">
        <v>1</v>
      </c>
      <c r="AA90" s="51">
        <f>COUNTIFS(base_de_datos[Materia],A90,base_de_datos[Misma o no],1)</f>
        <v>0</v>
      </c>
    </row>
    <row r="91" spans="1:27" ht="14">
      <c r="A91" t="str">
        <v>Estrategias de mercadotecnia</v>
      </c>
      <c r="B91" t="str">
        <v>IID</v>
      </c>
      <c r="C91">
        <v>0</v>
      </c>
      <c r="D91">
        <v>0</v>
      </c>
      <c r="E91">
        <v>6</v>
      </c>
      <c r="F91">
        <v>0</v>
      </c>
      <c r="G91">
        <v>0</v>
      </c>
      <c r="H91">
        <v>0</v>
      </c>
      <c r="I91">
        <v>0</v>
      </c>
      <c r="J91">
        <v>48</v>
      </c>
      <c r="K91">
        <v>0</v>
      </c>
      <c r="L91">
        <v>0</v>
      </c>
      <c r="M91">
        <v>0</v>
      </c>
      <c r="N91" t="str">
        <v>026904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6</v>
      </c>
      <c r="V91">
        <v>0</v>
      </c>
      <c r="W91">
        <v>0</v>
      </c>
      <c r="X91">
        <v>0</v>
      </c>
      <c r="Y91">
        <v>0</v>
      </c>
      <c r="Z91" s="52">
        <v>1</v>
      </c>
      <c r="AA91" s="51">
        <f>COUNTIFS(base_de_datos[Materia],A91,base_de_datos[Misma o no],1)</f>
        <v>0</v>
      </c>
    </row>
    <row r="92" spans="1:27" ht="28">
      <c r="A92" t="str">
        <v>Estructuras Física para el Diseño del Producto</v>
      </c>
      <c r="B92" t="str">
        <v>IID</v>
      </c>
      <c r="C92">
        <v>0</v>
      </c>
      <c r="D92">
        <v>0</v>
      </c>
      <c r="E92">
        <v>4</v>
      </c>
      <c r="F92">
        <v>0</v>
      </c>
      <c r="G92">
        <v>0</v>
      </c>
      <c r="H92">
        <v>0</v>
      </c>
      <c r="I92">
        <v>0</v>
      </c>
      <c r="J92">
        <v>64</v>
      </c>
      <c r="K92">
        <v>0</v>
      </c>
      <c r="L92">
        <v>0</v>
      </c>
      <c r="M92">
        <v>0</v>
      </c>
      <c r="N92" t="str">
        <v>026967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6</v>
      </c>
      <c r="V92">
        <v>0</v>
      </c>
      <c r="W92">
        <v>0</v>
      </c>
      <c r="X92">
        <v>0</v>
      </c>
      <c r="Y92">
        <v>0</v>
      </c>
      <c r="Z92" s="52">
        <v>1</v>
      </c>
      <c r="AA92" s="51">
        <f>COUNTIFS(base_de_datos[Materia],A92,base_de_datos[Misma o no],1)</f>
        <v>0</v>
      </c>
    </row>
    <row r="93" spans="1:27" ht="14">
      <c r="A93" t="str">
        <v>Marco legal de la innovación</v>
      </c>
      <c r="B93" t="str">
        <v>IID</v>
      </c>
      <c r="C93">
        <v>8</v>
      </c>
      <c r="D93">
        <v>0</v>
      </c>
      <c r="E93">
        <v>8</v>
      </c>
      <c r="F93">
        <v>0</v>
      </c>
      <c r="G93">
        <v>0</v>
      </c>
      <c r="H93">
        <v>0</v>
      </c>
      <c r="I93">
        <v>0</v>
      </c>
      <c r="J93">
        <v>32</v>
      </c>
      <c r="K93" t="str">
        <v>x</v>
      </c>
      <c r="L93" t="str">
        <v>027022</v>
      </c>
      <c r="M93">
        <v>0</v>
      </c>
      <c r="N93" t="str">
        <v>026988</v>
      </c>
      <c r="O93">
        <v>0</v>
      </c>
      <c r="P93">
        <v>0</v>
      </c>
      <c r="Q93">
        <v>0</v>
      </c>
      <c r="R93">
        <v>0</v>
      </c>
      <c r="S93">
        <v>4</v>
      </c>
      <c r="T93">
        <v>0</v>
      </c>
      <c r="U93">
        <v>4</v>
      </c>
      <c r="V93">
        <v>0</v>
      </c>
      <c r="W93">
        <v>0</v>
      </c>
      <c r="X93">
        <v>0</v>
      </c>
      <c r="Y93">
        <v>0</v>
      </c>
      <c r="Z93" s="52">
        <v>1</v>
      </c>
      <c r="AA93" s="51">
        <f>COUNTIFS(base_de_datos[Materia],A93,base_de_datos[Misma o no],1)</f>
        <v>0</v>
      </c>
    </row>
    <row r="94" spans="1:27" ht="14">
      <c r="A94" t="str">
        <v>Metales para el diseño</v>
      </c>
      <c r="B94" t="str">
        <v>IID</v>
      </c>
      <c r="C94">
        <v>0</v>
      </c>
      <c r="D94">
        <v>0</v>
      </c>
      <c r="E94">
        <v>4</v>
      </c>
      <c r="F94">
        <v>0</v>
      </c>
      <c r="G94">
        <v>0</v>
      </c>
      <c r="H94">
        <v>0</v>
      </c>
      <c r="I94">
        <v>0</v>
      </c>
      <c r="J94">
        <v>80</v>
      </c>
      <c r="K94">
        <v>0</v>
      </c>
      <c r="L94">
        <v>0</v>
      </c>
      <c r="M94">
        <v>0</v>
      </c>
      <c r="N94" t="str">
        <v>026968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6</v>
      </c>
      <c r="V94">
        <v>0</v>
      </c>
      <c r="W94">
        <v>0</v>
      </c>
      <c r="X94">
        <v>0</v>
      </c>
      <c r="Y94">
        <v>0</v>
      </c>
      <c r="Z94" s="52">
        <v>1</v>
      </c>
      <c r="AA94" s="51">
        <f>COUNTIFS(base_de_datos[Materia],A94,base_de_datos[Misma o no],1)</f>
        <v>0</v>
      </c>
    </row>
    <row r="95" spans="1:27" ht="14">
      <c r="A95" t="str">
        <v>Modelos físicos</v>
      </c>
      <c r="B95" t="str">
        <v>IID</v>
      </c>
      <c r="C95">
        <v>0</v>
      </c>
      <c r="D95">
        <v>0</v>
      </c>
      <c r="E95">
        <v>4</v>
      </c>
      <c r="F95">
        <v>0</v>
      </c>
      <c r="G95">
        <v>0</v>
      </c>
      <c r="H95">
        <v>0</v>
      </c>
      <c r="I95">
        <v>0</v>
      </c>
      <c r="J95">
        <v>64</v>
      </c>
      <c r="K95">
        <v>0</v>
      </c>
      <c r="L95">
        <v>0</v>
      </c>
      <c r="M95">
        <v>0</v>
      </c>
      <c r="N95" t="str">
        <v>026969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6</v>
      </c>
      <c r="V95">
        <v>0</v>
      </c>
      <c r="W95">
        <v>0</v>
      </c>
      <c r="X95">
        <v>0</v>
      </c>
      <c r="Y95">
        <v>0</v>
      </c>
      <c r="Z95" s="52">
        <v>1</v>
      </c>
      <c r="AA95" s="51">
        <f>COUNTIFS(base_de_datos[Materia],A95,base_de_datos[Misma o no],1)</f>
        <v>0</v>
      </c>
    </row>
    <row r="96" spans="1:27" ht="14">
      <c r="A96" t="str">
        <v>Simulación en 3D (5to.)</v>
      </c>
      <c r="B96" t="str">
        <v>IID</v>
      </c>
      <c r="C96">
        <v>0</v>
      </c>
      <c r="D96">
        <v>0</v>
      </c>
      <c r="E96">
        <v>5</v>
      </c>
      <c r="F96">
        <v>8</v>
      </c>
      <c r="G96">
        <v>0</v>
      </c>
      <c r="H96">
        <v>0</v>
      </c>
      <c r="I96">
        <v>0</v>
      </c>
      <c r="J96">
        <v>64</v>
      </c>
      <c r="K96" t="str">
        <v>x</v>
      </c>
      <c r="L96">
        <v>0</v>
      </c>
      <c r="M96">
        <v>0</v>
      </c>
      <c r="N96" t="str">
        <v>026983</v>
      </c>
      <c r="O96" t="str">
        <v>029634</v>
      </c>
      <c r="P96">
        <v>0</v>
      </c>
      <c r="Q96">
        <v>0</v>
      </c>
      <c r="R96">
        <v>0</v>
      </c>
      <c r="S96">
        <v>0</v>
      </c>
      <c r="T96">
        <v>0</v>
      </c>
      <c r="U96">
        <v>6</v>
      </c>
      <c r="V96">
        <v>6</v>
      </c>
      <c r="W96">
        <v>0</v>
      </c>
      <c r="X96">
        <v>0</v>
      </c>
      <c r="Y96">
        <v>0</v>
      </c>
      <c r="Z96" s="52">
        <v>1</v>
      </c>
      <c r="AA96" s="51">
        <f>COUNTIFS(base_de_datos[Materia],A96,base_de_datos[Misma o no],1)</f>
        <v>0</v>
      </c>
    </row>
    <row r="97" spans="1:27" ht="14">
      <c r="A97" t="str">
        <v>Simulación en 3D</v>
      </c>
      <c r="B97" t="str">
        <v>IID</v>
      </c>
      <c r="C97">
        <v>0</v>
      </c>
      <c r="D97">
        <v>0</v>
      </c>
      <c r="E97">
        <v>7</v>
      </c>
      <c r="F97">
        <v>8</v>
      </c>
      <c r="G97">
        <v>0</v>
      </c>
      <c r="H97">
        <v>0</v>
      </c>
      <c r="I97">
        <v>0</v>
      </c>
      <c r="J97">
        <v>64</v>
      </c>
      <c r="K97" t="str">
        <v>x</v>
      </c>
      <c r="L97">
        <v>0</v>
      </c>
      <c r="M97">
        <v>0</v>
      </c>
      <c r="N97">
        <v>26983</v>
      </c>
      <c r="O97">
        <v>29634</v>
      </c>
      <c r="P97">
        <v>0</v>
      </c>
      <c r="Q97">
        <v>0</v>
      </c>
      <c r="R97">
        <v>0</v>
      </c>
      <c r="S97">
        <v>0</v>
      </c>
      <c r="T97">
        <v>0</v>
      </c>
      <c r="U97">
        <v>6</v>
      </c>
      <c r="V97">
        <v>6</v>
      </c>
      <c r="W97">
        <v>0</v>
      </c>
      <c r="X97">
        <v>0</v>
      </c>
      <c r="Y97">
        <v>0</v>
      </c>
      <c r="Z97" s="52">
        <v>1</v>
      </c>
      <c r="AA97" s="51">
        <f ca="1">COUNTIFS(base_de_datos[Materia],A97,base_de_datos[Misma o no],1)</f>
        <v>1</v>
      </c>
    </row>
    <row r="98" spans="1:27" ht="28">
      <c r="A98" t="str">
        <v>Taller avanzado de ingeniería para el diseño</v>
      </c>
      <c r="B98" t="str">
        <v>IID</v>
      </c>
      <c r="C98">
        <v>0</v>
      </c>
      <c r="D98">
        <v>0</v>
      </c>
      <c r="E98">
        <v>8</v>
      </c>
      <c r="F98">
        <v>0</v>
      </c>
      <c r="G98">
        <v>0</v>
      </c>
      <c r="H98">
        <v>0</v>
      </c>
      <c r="I98">
        <v>0</v>
      </c>
      <c r="J98">
        <v>80</v>
      </c>
      <c r="K98">
        <v>0</v>
      </c>
      <c r="L98">
        <v>0</v>
      </c>
      <c r="M98">
        <v>0</v>
      </c>
      <c r="N98" t="str">
        <v>026986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8</v>
      </c>
      <c r="V98">
        <v>0</v>
      </c>
      <c r="W98">
        <v>0</v>
      </c>
      <c r="X98">
        <v>0</v>
      </c>
      <c r="Y98">
        <v>0</v>
      </c>
      <c r="Z98" s="52">
        <v>0</v>
      </c>
      <c r="AA98" s="51">
        <f>COUNTIFS(base_de_datos[Materia],A98,base_de_datos[Misma o no],1)</f>
        <v>0</v>
      </c>
    </row>
    <row r="99" spans="1:27" ht="14">
      <c r="A99" t="str">
        <v>Taller de diseño funcional</v>
      </c>
      <c r="B99" t="str">
        <v>IID</v>
      </c>
      <c r="C99">
        <v>0</v>
      </c>
      <c r="D99">
        <v>0</v>
      </c>
      <c r="E99">
        <v>4</v>
      </c>
      <c r="F99">
        <v>0</v>
      </c>
      <c r="G99">
        <v>0</v>
      </c>
      <c r="H99">
        <v>0</v>
      </c>
      <c r="I99">
        <v>0</v>
      </c>
      <c r="J99">
        <v>80</v>
      </c>
      <c r="K99">
        <v>0</v>
      </c>
      <c r="L99">
        <v>0</v>
      </c>
      <c r="M99">
        <v>0</v>
      </c>
      <c r="N99" t="str">
        <v>026907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7</v>
      </c>
      <c r="V99">
        <v>0</v>
      </c>
      <c r="W99">
        <v>0</v>
      </c>
      <c r="X99">
        <v>0</v>
      </c>
      <c r="Y99">
        <v>0</v>
      </c>
      <c r="Z99" s="52">
        <v>3</v>
      </c>
      <c r="AA99" s="51">
        <f>COUNTIFS(base_de_datos[Materia],A99,base_de_datos[Misma o no],1)</f>
        <v>0</v>
      </c>
    </row>
    <row r="100" spans="1:27" ht="28">
      <c r="A100" t="str">
        <v>Taller de diseño para la sustentabilidad 8 IID</v>
      </c>
      <c r="B100" t="str">
        <v>IID</v>
      </c>
      <c r="C100">
        <v>0</v>
      </c>
      <c r="D100">
        <v>0</v>
      </c>
      <c r="E100">
        <v>8</v>
      </c>
      <c r="F100">
        <v>0</v>
      </c>
      <c r="G100">
        <v>0</v>
      </c>
      <c r="H100">
        <v>0</v>
      </c>
      <c r="I100">
        <v>0</v>
      </c>
      <c r="J100">
        <v>80</v>
      </c>
      <c r="K100">
        <v>0</v>
      </c>
      <c r="L100">
        <v>0</v>
      </c>
      <c r="M100">
        <v>0</v>
      </c>
      <c r="N100" t="str">
        <v>026980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8</v>
      </c>
      <c r="V100">
        <v>0</v>
      </c>
      <c r="W100">
        <v>0</v>
      </c>
      <c r="X100">
        <v>0</v>
      </c>
      <c r="Y100">
        <v>0</v>
      </c>
      <c r="Z100" s="52">
        <v>1</v>
      </c>
      <c r="AA100" s="51">
        <f>COUNTIFS(base_de_datos[Materia],A100,base_de_datos[Misma o no],1)</f>
        <v>0</v>
      </c>
    </row>
    <row r="101" spans="1:27" ht="28">
      <c r="A101" t="str">
        <v>Taller de estética para el diseño</v>
      </c>
      <c r="B101" t="str">
        <v>IID</v>
      </c>
      <c r="C101">
        <v>0</v>
      </c>
      <c r="D101">
        <v>0</v>
      </c>
      <c r="E101">
        <v>6</v>
      </c>
      <c r="F101">
        <v>0</v>
      </c>
      <c r="G101">
        <v>0</v>
      </c>
      <c r="H101">
        <v>0</v>
      </c>
      <c r="I101">
        <v>0</v>
      </c>
      <c r="J101">
        <v>80</v>
      </c>
      <c r="K101">
        <v>0</v>
      </c>
      <c r="L101">
        <v>0</v>
      </c>
      <c r="M101">
        <v>0</v>
      </c>
      <c r="N101" t="str">
        <v>026975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7</v>
      </c>
      <c r="V101">
        <v>0</v>
      </c>
      <c r="W101">
        <v>0</v>
      </c>
      <c r="X101">
        <v>0</v>
      </c>
      <c r="Y101">
        <v>0</v>
      </c>
      <c r="Z101" s="52">
        <v>1</v>
      </c>
      <c r="AA101" s="51">
        <f>COUNTIFS(base_de_datos[Materia],A101,base_de_datos[Misma o no],1)</f>
        <v>0</v>
      </c>
    </row>
    <row r="102" spans="1:27" ht="28">
      <c r="A102" t="str">
        <v>Taller de metodología del diseño</v>
      </c>
      <c r="B102" t="str">
        <v>IID</v>
      </c>
      <c r="C102">
        <v>0</v>
      </c>
      <c r="D102">
        <v>0</v>
      </c>
      <c r="E102">
        <v>2</v>
      </c>
      <c r="F102">
        <v>0</v>
      </c>
      <c r="G102">
        <v>0</v>
      </c>
      <c r="H102">
        <v>0</v>
      </c>
      <c r="I102">
        <v>0</v>
      </c>
      <c r="J102">
        <v>80</v>
      </c>
      <c r="K102">
        <v>0</v>
      </c>
      <c r="L102">
        <v>0</v>
      </c>
      <c r="M102">
        <v>0</v>
      </c>
      <c r="N102" t="str">
        <v>026892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7</v>
      </c>
      <c r="V102">
        <v>0</v>
      </c>
      <c r="W102">
        <v>0</v>
      </c>
      <c r="X102">
        <v>0</v>
      </c>
      <c r="Y102">
        <v>0</v>
      </c>
      <c r="Z102" s="52">
        <v>1</v>
      </c>
      <c r="AA102" s="51">
        <f>COUNTIFS(base_de_datos[Materia],A102,base_de_datos[Misma o no],1)</f>
        <v>0</v>
      </c>
    </row>
    <row r="103" spans="1:27" ht="14">
      <c r="A103" t="str">
        <v>Técnicas de representación</v>
      </c>
      <c r="B103" t="str">
        <v>IID</v>
      </c>
      <c r="C103">
        <v>0</v>
      </c>
      <c r="D103">
        <v>0</v>
      </c>
      <c r="E103">
        <v>2</v>
      </c>
      <c r="F103">
        <v>0</v>
      </c>
      <c r="G103">
        <v>0</v>
      </c>
      <c r="H103">
        <v>0</v>
      </c>
      <c r="I103">
        <v>0</v>
      </c>
      <c r="J103">
        <v>64</v>
      </c>
      <c r="K103">
        <v>0</v>
      </c>
      <c r="L103">
        <v>0</v>
      </c>
      <c r="M103">
        <v>0</v>
      </c>
      <c r="N103" t="str">
        <v>026897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5</v>
      </c>
      <c r="V103">
        <v>0</v>
      </c>
      <c r="W103">
        <v>0</v>
      </c>
      <c r="X103">
        <v>0</v>
      </c>
      <c r="Y103">
        <v>0</v>
      </c>
      <c r="Z103" s="52">
        <v>0</v>
      </c>
      <c r="AA103" s="51">
        <f>COUNTIFS(base_de_datos[Materia],A103,base_de_datos[Misma o no],1)</f>
        <v>0</v>
      </c>
    </row>
    <row r="104" spans="1:27" ht="14">
      <c r="A104" t="str">
        <v>Álgebra lineal</v>
      </c>
      <c r="B104" t="str">
        <v>MAT</v>
      </c>
      <c r="C104">
        <v>2</v>
      </c>
      <c r="D104">
        <v>2</v>
      </c>
      <c r="E104">
        <v>0</v>
      </c>
      <c r="F104">
        <v>2</v>
      </c>
      <c r="G104">
        <v>2</v>
      </c>
      <c r="H104">
        <v>2</v>
      </c>
      <c r="I104">
        <v>2</v>
      </c>
      <c r="J104">
        <v>64</v>
      </c>
      <c r="K104">
        <v>0</v>
      </c>
      <c r="L104" t="str">
        <v>026790</v>
      </c>
      <c r="M104" t="str">
        <v>026790</v>
      </c>
      <c r="N104">
        <v>0</v>
      </c>
      <c r="O104" t="str">
        <v>028365</v>
      </c>
      <c r="P104" t="str">
        <v>018507</v>
      </c>
      <c r="Q104" t="str">
        <v>026790</v>
      </c>
      <c r="R104" t="str">
        <v>028365</v>
      </c>
      <c r="S104">
        <v>8</v>
      </c>
      <c r="T104">
        <v>8</v>
      </c>
      <c r="U104">
        <v>0</v>
      </c>
      <c r="V104">
        <v>8</v>
      </c>
      <c r="W104">
        <v>8</v>
      </c>
      <c r="X104">
        <v>8</v>
      </c>
      <c r="Y104">
        <v>8</v>
      </c>
      <c r="Z104" s="52">
        <v>2</v>
      </c>
      <c r="AA104" s="51">
        <f ca="1">COUNTIFS(base_de_datos[Materia],A104,base_de_datos[Misma o no],1)</f>
        <v>1</v>
      </c>
    </row>
    <row r="105" spans="1:27" ht="14">
      <c r="A105" t="str">
        <v>Cálculo integral</v>
      </c>
      <c r="B105" t="str">
        <v>MAT</v>
      </c>
      <c r="C105">
        <v>2</v>
      </c>
      <c r="D105">
        <v>2</v>
      </c>
      <c r="E105">
        <v>4</v>
      </c>
      <c r="F105">
        <v>2</v>
      </c>
      <c r="G105">
        <v>2</v>
      </c>
      <c r="H105">
        <v>2</v>
      </c>
      <c r="I105">
        <v>2</v>
      </c>
      <c r="J105">
        <v>64</v>
      </c>
      <c r="K105">
        <v>0</v>
      </c>
      <c r="L105" t="str">
        <v>026788</v>
      </c>
      <c r="M105" t="str">
        <v>026788</v>
      </c>
      <c r="N105" t="str">
        <v>026789</v>
      </c>
      <c r="O105" t="str">
        <v>028362</v>
      </c>
      <c r="P105" t="str">
        <v>018482</v>
      </c>
      <c r="Q105" t="str">
        <v>026788</v>
      </c>
      <c r="R105" t="str">
        <v>028362</v>
      </c>
      <c r="S105">
        <v>8</v>
      </c>
      <c r="T105">
        <v>0</v>
      </c>
      <c r="U105">
        <v>8</v>
      </c>
      <c r="V105">
        <v>8</v>
      </c>
      <c r="W105">
        <v>6</v>
      </c>
      <c r="X105">
        <v>8</v>
      </c>
      <c r="Y105">
        <v>8</v>
      </c>
      <c r="Z105" s="52">
        <v>1</v>
      </c>
      <c r="AA105" s="51">
        <f ca="1">COUNTIFS(base_de_datos[Materia],A105,base_de_datos[Misma o no],1)</f>
        <v>2</v>
      </c>
    </row>
    <row r="106" spans="1:27" ht="28">
      <c r="A106" t="str">
        <v>Cálculo numérico/Métodos numéricos</v>
      </c>
      <c r="B106" t="str">
        <v>MAT</v>
      </c>
      <c r="C106">
        <v>0</v>
      </c>
      <c r="D106">
        <v>0</v>
      </c>
      <c r="E106">
        <v>0</v>
      </c>
      <c r="F106">
        <v>4</v>
      </c>
      <c r="G106">
        <v>0</v>
      </c>
      <c r="H106">
        <v>0</v>
      </c>
      <c r="I106">
        <v>0</v>
      </c>
      <c r="J106">
        <v>64</v>
      </c>
      <c r="K106">
        <v>0</v>
      </c>
      <c r="L106">
        <v>0</v>
      </c>
      <c r="M106">
        <v>0</v>
      </c>
      <c r="N106">
        <v>0</v>
      </c>
      <c r="O106" t="str">
        <v>029612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8</v>
      </c>
      <c r="W106">
        <v>0</v>
      </c>
      <c r="X106">
        <v>0</v>
      </c>
      <c r="Y106">
        <v>0</v>
      </c>
      <c r="Z106" s="52">
        <v>6</v>
      </c>
      <c r="AA106" s="51">
        <f>COUNTIFS(base_de_datos[Materia],A106,base_de_datos[Misma o no],1)</f>
        <v>0</v>
      </c>
    </row>
    <row r="107" spans="1:27" ht="14">
      <c r="A107" t="str">
        <v>Ecuaciones diferenciales</v>
      </c>
      <c r="B107" t="str">
        <v>MAT</v>
      </c>
      <c r="C107">
        <v>3</v>
      </c>
      <c r="D107">
        <v>3</v>
      </c>
      <c r="E107">
        <v>0</v>
      </c>
      <c r="F107">
        <v>4</v>
      </c>
      <c r="G107">
        <v>4</v>
      </c>
      <c r="H107">
        <v>4</v>
      </c>
      <c r="I107">
        <v>3</v>
      </c>
      <c r="J107">
        <v>48</v>
      </c>
      <c r="K107">
        <v>0</v>
      </c>
      <c r="L107" t="str">
        <v>026936</v>
      </c>
      <c r="M107" t="str">
        <v>026936</v>
      </c>
      <c r="N107">
        <v>0</v>
      </c>
      <c r="O107" t="str">
        <v>029611</v>
      </c>
      <c r="P107" t="str">
        <v>018513</v>
      </c>
      <c r="Q107" t="str">
        <v>027055</v>
      </c>
      <c r="R107" t="str">
        <v>028371</v>
      </c>
      <c r="S107">
        <v>6</v>
      </c>
      <c r="T107">
        <v>6</v>
      </c>
      <c r="U107">
        <v>0</v>
      </c>
      <c r="V107">
        <v>6</v>
      </c>
      <c r="W107">
        <v>6</v>
      </c>
      <c r="X107">
        <v>6</v>
      </c>
      <c r="Y107">
        <v>6</v>
      </c>
      <c r="Z107" s="52">
        <v>6</v>
      </c>
      <c r="AA107" s="51">
        <f ca="1">COUNTIFS(base_de_datos[Materia],A107,base_de_datos[Misma o no],1)</f>
        <v>2</v>
      </c>
    </row>
    <row r="108" spans="1:27" ht="14">
      <c r="A108" t="str">
        <v>Estadística</v>
      </c>
      <c r="B108" t="str">
        <v>MAT</v>
      </c>
      <c r="C108">
        <v>4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48</v>
      </c>
      <c r="K108">
        <v>0</v>
      </c>
      <c r="L108" t="str">
        <v>026997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6</v>
      </c>
      <c r="U108">
        <v>0</v>
      </c>
      <c r="V108">
        <v>0</v>
      </c>
      <c r="W108">
        <v>0</v>
      </c>
      <c r="X108">
        <v>0</v>
      </c>
      <c r="Y108">
        <v>0</v>
      </c>
      <c r="Z108" s="52">
        <v>6</v>
      </c>
      <c r="AA108" s="51">
        <f>COUNTIFS(base_de_datos[Materia],A108,base_de_datos[Misma o no],1)</f>
        <v>0</v>
      </c>
    </row>
    <row r="109" spans="1:27" ht="14">
      <c r="A109" t="str">
        <v>Geometría y trigonometría</v>
      </c>
      <c r="B109" t="str">
        <v>MAT</v>
      </c>
      <c r="C109">
        <v>0</v>
      </c>
      <c r="D109">
        <v>0</v>
      </c>
      <c r="E109">
        <v>2</v>
      </c>
      <c r="F109">
        <v>0</v>
      </c>
      <c r="G109">
        <v>0</v>
      </c>
      <c r="H109">
        <v>0</v>
      </c>
      <c r="I109">
        <v>0</v>
      </c>
      <c r="J109">
        <v>48</v>
      </c>
      <c r="K109">
        <v>0</v>
      </c>
      <c r="L109">
        <v>0</v>
      </c>
      <c r="M109">
        <v>0</v>
      </c>
      <c r="N109" t="str">
        <v>026893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6</v>
      </c>
      <c r="V109">
        <v>0</v>
      </c>
      <c r="W109">
        <v>0</v>
      </c>
      <c r="X109">
        <v>0</v>
      </c>
      <c r="Y109">
        <v>0</v>
      </c>
      <c r="Z109" s="52">
        <v>2</v>
      </c>
      <c r="AA109" s="51">
        <f ca="1">COUNTIFS(base_de_datos[Materia],A109,base_de_datos[Misma o no],1)</f>
        <v>1</v>
      </c>
    </row>
    <row r="110" spans="1:27" ht="14">
      <c r="A110" t="str">
        <v>Matemáticas avanzadas</v>
      </c>
      <c r="B110" t="str">
        <v>MAT</v>
      </c>
      <c r="C110">
        <v>0</v>
      </c>
      <c r="D110">
        <v>4</v>
      </c>
      <c r="E110">
        <v>0</v>
      </c>
      <c r="F110">
        <v>0</v>
      </c>
      <c r="G110">
        <v>0</v>
      </c>
      <c r="H110">
        <v>0</v>
      </c>
      <c r="I110">
        <v>4</v>
      </c>
      <c r="J110">
        <v>48</v>
      </c>
      <c r="K110">
        <v>0</v>
      </c>
      <c r="L110">
        <v>0</v>
      </c>
      <c r="M110" t="str">
        <v>026953</v>
      </c>
      <c r="N110">
        <v>0</v>
      </c>
      <c r="O110">
        <v>0</v>
      </c>
      <c r="P110">
        <v>0</v>
      </c>
      <c r="Q110">
        <v>0</v>
      </c>
      <c r="R110" t="str">
        <v>028483</v>
      </c>
      <c r="S110">
        <v>0</v>
      </c>
      <c r="T110">
        <v>6</v>
      </c>
      <c r="U110">
        <v>0</v>
      </c>
      <c r="V110">
        <v>0</v>
      </c>
      <c r="W110">
        <v>0</v>
      </c>
      <c r="X110">
        <v>0</v>
      </c>
      <c r="Y110">
        <v>6</v>
      </c>
      <c r="Z110" s="52">
        <v>1</v>
      </c>
      <c r="AA110" s="51">
        <f>COUNTIFS(base_de_datos[Materia],A110,base_de_datos[Misma o no],1)</f>
        <v>0</v>
      </c>
    </row>
    <row r="111" spans="1:27" ht="14">
      <c r="A111" t="str">
        <v>Probabilidad y estadística</v>
      </c>
      <c r="B111" t="str">
        <v>MAT</v>
      </c>
      <c r="C111">
        <v>0</v>
      </c>
      <c r="D111">
        <v>5</v>
      </c>
      <c r="E111">
        <v>6</v>
      </c>
      <c r="F111">
        <v>5</v>
      </c>
      <c r="G111">
        <v>4</v>
      </c>
      <c r="H111">
        <v>4</v>
      </c>
      <c r="I111">
        <v>5</v>
      </c>
      <c r="J111">
        <v>64</v>
      </c>
      <c r="K111">
        <v>0</v>
      </c>
      <c r="L111">
        <v>0</v>
      </c>
      <c r="M111" t="str">
        <v>026909</v>
      </c>
      <c r="N111" t="str">
        <v>026909</v>
      </c>
      <c r="O111" t="str">
        <v>028691</v>
      </c>
      <c r="P111" t="str">
        <v>018520</v>
      </c>
      <c r="Q111" t="str">
        <v>027056</v>
      </c>
      <c r="R111" t="str">
        <v>028691</v>
      </c>
      <c r="S111">
        <v>0</v>
      </c>
      <c r="T111">
        <v>8</v>
      </c>
      <c r="U111">
        <v>8</v>
      </c>
      <c r="V111">
        <v>8</v>
      </c>
      <c r="W111">
        <v>8</v>
      </c>
      <c r="X111">
        <v>8</v>
      </c>
      <c r="Y111">
        <v>8</v>
      </c>
      <c r="Z111" s="52">
        <v>1</v>
      </c>
      <c r="AA111" s="51">
        <f ca="1">COUNTIFS(base_de_datos[Materia],A111,base_de_datos[Misma o no],1)</f>
        <v>2</v>
      </c>
    </row>
    <row r="112" spans="1:27" ht="28">
      <c r="A112" t="str">
        <v>Diseño asistido por computadora</v>
      </c>
      <c r="B112" t="str">
        <v>MEC</v>
      </c>
      <c r="C112">
        <v>2</v>
      </c>
      <c r="D112">
        <v>5</v>
      </c>
      <c r="E112">
        <v>2</v>
      </c>
      <c r="F112">
        <v>0</v>
      </c>
      <c r="G112">
        <v>3</v>
      </c>
      <c r="H112">
        <v>0</v>
      </c>
      <c r="I112">
        <v>0</v>
      </c>
      <c r="J112">
        <v>64</v>
      </c>
      <c r="K112">
        <v>0</v>
      </c>
      <c r="L112" t="str">
        <v>026894</v>
      </c>
      <c r="M112" t="str">
        <v>026895</v>
      </c>
      <c r="N112" t="str">
        <v>026894</v>
      </c>
      <c r="O112">
        <v>0</v>
      </c>
      <c r="P112" t="str">
        <v>018552</v>
      </c>
      <c r="Q112">
        <v>0</v>
      </c>
      <c r="R112">
        <v>0</v>
      </c>
      <c r="S112">
        <v>8</v>
      </c>
      <c r="T112">
        <v>8</v>
      </c>
      <c r="U112">
        <v>8</v>
      </c>
      <c r="V112">
        <v>0</v>
      </c>
      <c r="W112">
        <v>7</v>
      </c>
      <c r="X112">
        <v>0</v>
      </c>
      <c r="Y112">
        <v>0</v>
      </c>
      <c r="Z112" s="52">
        <v>2</v>
      </c>
      <c r="AA112" s="51">
        <f ca="1">COUNTIFS(base_de_datos[Materia],A112,base_de_datos[Misma o no],1)</f>
        <v>1</v>
      </c>
    </row>
    <row r="113" spans="1:27" ht="14">
      <c r="A113" t="str">
        <v>Diseño de máquinas</v>
      </c>
      <c r="B113" t="str">
        <v>MEC</v>
      </c>
      <c r="C113">
        <v>0</v>
      </c>
      <c r="D113">
        <v>8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64</v>
      </c>
      <c r="K113">
        <v>0</v>
      </c>
      <c r="L113">
        <v>0</v>
      </c>
      <c r="M113" t="str">
        <v>027037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7</v>
      </c>
      <c r="U113">
        <v>0</v>
      </c>
      <c r="V113">
        <v>0</v>
      </c>
      <c r="W113">
        <v>0</v>
      </c>
      <c r="X113">
        <v>0</v>
      </c>
      <c r="Y113">
        <v>0</v>
      </c>
      <c r="Z113" s="52">
        <v>2</v>
      </c>
      <c r="AA113" s="51">
        <f>COUNTIFS(base_de_datos[Materia],A113,base_de_datos[Misma o no],1)</f>
        <v>0</v>
      </c>
    </row>
    <row r="114" spans="1:27" ht="14">
      <c r="A114" t="str">
        <v>Estática</v>
      </c>
      <c r="B114" t="str">
        <v>MEC</v>
      </c>
      <c r="C114">
        <v>0</v>
      </c>
      <c r="D114">
        <v>2</v>
      </c>
      <c r="E114">
        <v>0</v>
      </c>
      <c r="F114">
        <v>0</v>
      </c>
      <c r="G114">
        <v>0</v>
      </c>
      <c r="H114">
        <v>2</v>
      </c>
      <c r="I114">
        <v>0</v>
      </c>
      <c r="J114">
        <v>48</v>
      </c>
      <c r="K114">
        <v>0</v>
      </c>
      <c r="L114">
        <v>0</v>
      </c>
      <c r="M114" t="str">
        <v>026932</v>
      </c>
      <c r="N114">
        <v>0</v>
      </c>
      <c r="O114">
        <v>0</v>
      </c>
      <c r="P114">
        <v>0</v>
      </c>
      <c r="Q114" t="str">
        <v>027046</v>
      </c>
      <c r="R114">
        <v>0</v>
      </c>
      <c r="S114">
        <v>0</v>
      </c>
      <c r="T114">
        <v>6</v>
      </c>
      <c r="U114">
        <v>0</v>
      </c>
      <c r="V114">
        <v>0</v>
      </c>
      <c r="W114">
        <v>0</v>
      </c>
      <c r="X114">
        <v>6</v>
      </c>
      <c r="Y114">
        <v>0</v>
      </c>
      <c r="Z114" s="52">
        <v>1</v>
      </c>
      <c r="AA114" s="51">
        <f>COUNTIFS(base_de_datos[Materia],A114,base_de_datos[Misma o no],1)</f>
        <v>0</v>
      </c>
    </row>
    <row r="115" spans="1:27" ht="28">
      <c r="A115" t="str">
        <v>Estudio y tecnología de materiales</v>
      </c>
      <c r="B115" t="str">
        <v>MEC</v>
      </c>
      <c r="C115">
        <v>0</v>
      </c>
      <c r="D115">
        <v>0</v>
      </c>
      <c r="E115">
        <v>6</v>
      </c>
      <c r="F115">
        <v>0</v>
      </c>
      <c r="G115">
        <v>0</v>
      </c>
      <c r="H115">
        <v>0</v>
      </c>
      <c r="I115">
        <v>0</v>
      </c>
      <c r="J115">
        <v>64</v>
      </c>
      <c r="K115">
        <v>0</v>
      </c>
      <c r="L115">
        <v>0</v>
      </c>
      <c r="M115">
        <v>0</v>
      </c>
      <c r="N115" t="str">
        <v>026972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7</v>
      </c>
      <c r="V115">
        <v>0</v>
      </c>
      <c r="W115">
        <v>0</v>
      </c>
      <c r="X115">
        <v>0</v>
      </c>
      <c r="Y115">
        <v>0</v>
      </c>
      <c r="Z115" s="52">
        <v>1</v>
      </c>
      <c r="AA115" s="51">
        <f>COUNTIFS(base_de_datos[Materia],A115,base_de_datos[Misma o no],1)</f>
        <v>0</v>
      </c>
    </row>
    <row r="116" spans="1:27" ht="14">
      <c r="A116" t="str">
        <v>Física</v>
      </c>
      <c r="B116" t="str">
        <v>MEC</v>
      </c>
      <c r="C116">
        <v>1</v>
      </c>
      <c r="D116">
        <v>1</v>
      </c>
      <c r="E116">
        <v>1</v>
      </c>
      <c r="F116">
        <v>1</v>
      </c>
      <c r="G116">
        <v>2</v>
      </c>
      <c r="H116">
        <v>1</v>
      </c>
      <c r="I116">
        <v>1</v>
      </c>
      <c r="J116">
        <v>64</v>
      </c>
      <c r="K116">
        <v>0</v>
      </c>
      <c r="L116" t="str">
        <v>026779</v>
      </c>
      <c r="M116" t="str">
        <v>026779</v>
      </c>
      <c r="N116" t="str">
        <v>026779</v>
      </c>
      <c r="O116" t="str">
        <v>028138</v>
      </c>
      <c r="P116" t="str">
        <v>018508</v>
      </c>
      <c r="Q116" t="str">
        <v>026779</v>
      </c>
      <c r="R116" t="str">
        <v>028138</v>
      </c>
      <c r="S116">
        <v>7</v>
      </c>
      <c r="T116">
        <v>7</v>
      </c>
      <c r="U116">
        <v>7</v>
      </c>
      <c r="V116">
        <v>7</v>
      </c>
      <c r="W116">
        <v>6</v>
      </c>
      <c r="X116">
        <v>7</v>
      </c>
      <c r="Y116">
        <v>7</v>
      </c>
      <c r="Z116" s="52">
        <v>6</v>
      </c>
      <c r="AA116" s="51">
        <f ca="1">COUNTIFS(base_de_datos[Materia],A116,base_de_datos[Misma o no],1)</f>
        <v>5</v>
      </c>
    </row>
    <row r="117" spans="1:27" ht="14">
      <c r="A117" t="str">
        <v>Ingeniería de materiales</v>
      </c>
      <c r="B117" t="str">
        <v>MEC</v>
      </c>
      <c r="C117">
        <v>4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64</v>
      </c>
      <c r="K117">
        <v>0</v>
      </c>
      <c r="L117" t="str">
        <v>026998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7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 s="52">
        <v>1</v>
      </c>
      <c r="AA117" s="51">
        <f>COUNTIFS(base_de_datos[Materia],A117,base_de_datos[Misma o no],1)</f>
        <v>0</v>
      </c>
    </row>
    <row r="118" spans="1:27" ht="14">
      <c r="A118" t="str">
        <v>Máquinas y herramientas</v>
      </c>
      <c r="B118" t="str">
        <v>MEC</v>
      </c>
      <c r="C118">
        <v>0</v>
      </c>
      <c r="D118">
        <v>2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48</v>
      </c>
      <c r="K118">
        <v>0</v>
      </c>
      <c r="L118">
        <v>0</v>
      </c>
      <c r="M118" t="str">
        <v>026933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4</v>
      </c>
      <c r="U118">
        <v>0</v>
      </c>
      <c r="V118">
        <v>0</v>
      </c>
      <c r="W118">
        <v>0</v>
      </c>
      <c r="X118">
        <v>0</v>
      </c>
      <c r="Y118">
        <v>0</v>
      </c>
      <c r="Z118" s="52">
        <v>1</v>
      </c>
      <c r="AA118" s="51">
        <f>COUNTIFS(base_de_datos[Materia],A118,base_de_datos[Misma o no],1)</f>
        <v>0</v>
      </c>
    </row>
    <row r="119" spans="1:27" ht="14">
      <c r="A119" t="str">
        <v>Mecánica</v>
      </c>
      <c r="B119" t="str">
        <v>MEC</v>
      </c>
      <c r="C119">
        <v>2</v>
      </c>
      <c r="D119">
        <v>0</v>
      </c>
      <c r="E119">
        <v>0</v>
      </c>
      <c r="F119">
        <v>2</v>
      </c>
      <c r="G119">
        <v>4</v>
      </c>
      <c r="H119">
        <v>0</v>
      </c>
      <c r="I119">
        <v>2</v>
      </c>
      <c r="J119">
        <v>48</v>
      </c>
      <c r="K119">
        <v>0</v>
      </c>
      <c r="L119" t="str">
        <v>027027</v>
      </c>
      <c r="M119">
        <v>0</v>
      </c>
      <c r="N119">
        <v>0</v>
      </c>
      <c r="O119" t="str">
        <v>028366</v>
      </c>
      <c r="P119" t="str">
        <v>018550</v>
      </c>
      <c r="Q119">
        <v>0</v>
      </c>
      <c r="R119" t="str">
        <v>028366</v>
      </c>
      <c r="S119">
        <v>6</v>
      </c>
      <c r="T119">
        <v>0</v>
      </c>
      <c r="U119">
        <v>0</v>
      </c>
      <c r="V119">
        <v>6</v>
      </c>
      <c r="W119">
        <v>7</v>
      </c>
      <c r="X119">
        <v>0</v>
      </c>
      <c r="Y119">
        <v>6</v>
      </c>
      <c r="Z119" s="52">
        <v>1</v>
      </c>
      <c r="AA119" s="51">
        <f>COUNTIFS(base_de_datos[Materia],A119,base_de_datos[Misma o no],1)</f>
        <v>0</v>
      </c>
    </row>
    <row r="120" spans="1:27" ht="14">
      <c r="A120" t="str">
        <v>Mecanismos</v>
      </c>
      <c r="B120" t="str">
        <v>MEC</v>
      </c>
      <c r="C120">
        <v>0</v>
      </c>
      <c r="D120">
        <v>6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48</v>
      </c>
      <c r="K120">
        <v>0</v>
      </c>
      <c r="L120">
        <v>0</v>
      </c>
      <c r="M120" t="str">
        <v>027029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6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7" ht="14">
      <c r="A121" t="str">
        <v>Procesos de manufactura</v>
      </c>
      <c r="B121" t="str">
        <v>MEC</v>
      </c>
      <c r="C121">
        <v>6</v>
      </c>
      <c r="D121">
        <v>6</v>
      </c>
      <c r="E121">
        <v>7</v>
      </c>
      <c r="F121">
        <v>0</v>
      </c>
      <c r="G121">
        <v>0</v>
      </c>
      <c r="H121">
        <v>0</v>
      </c>
      <c r="I121">
        <v>0</v>
      </c>
      <c r="J121">
        <v>64</v>
      </c>
      <c r="K121">
        <v>0</v>
      </c>
      <c r="L121" t="str">
        <v>026966</v>
      </c>
      <c r="M121" t="str">
        <v>026966</v>
      </c>
      <c r="N121">
        <v>26982</v>
      </c>
      <c r="O121">
        <v>0</v>
      </c>
      <c r="P121">
        <v>0</v>
      </c>
      <c r="Q121">
        <v>0</v>
      </c>
      <c r="R121">
        <v>0</v>
      </c>
      <c r="S121">
        <v>7</v>
      </c>
      <c r="T121">
        <v>7</v>
      </c>
      <c r="U121">
        <v>7</v>
      </c>
      <c r="V121">
        <v>0</v>
      </c>
      <c r="W121">
        <v>0</v>
      </c>
      <c r="X121">
        <v>0</v>
      </c>
      <c r="Y121">
        <v>0</v>
      </c>
    </row>
    <row r="122" spans="1:27" ht="14">
      <c r="A122" t="str">
        <v>Resistencia de materiales</v>
      </c>
      <c r="B122" t="str">
        <v>MEC</v>
      </c>
      <c r="C122">
        <v>0</v>
      </c>
      <c r="D122">
        <v>4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48</v>
      </c>
      <c r="K122">
        <v>0</v>
      </c>
      <c r="L122">
        <v>0</v>
      </c>
      <c r="M122" t="str">
        <v>026956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6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7" ht="28">
      <c r="A123" t="str">
        <v>Simulación asistida por computadora</v>
      </c>
      <c r="B123" t="str">
        <v>MEC</v>
      </c>
      <c r="C123">
        <v>0</v>
      </c>
      <c r="D123">
        <v>8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48</v>
      </c>
      <c r="K123" t="str">
        <v>x</v>
      </c>
      <c r="L123">
        <v>0</v>
      </c>
      <c r="M123" t="str">
        <v>027044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6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7" ht="28">
      <c r="A124" t="str">
        <v>Sistemas integrados de manufactura</v>
      </c>
      <c r="B124" t="str">
        <v>MEC</v>
      </c>
      <c r="C124">
        <v>8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64</v>
      </c>
      <c r="K124">
        <v>0</v>
      </c>
      <c r="L124" t="str">
        <v>027017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7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</sheetData>
  <autoFilter ref="A1:Y1" xr:uid="{BDE071A9-6B8E-4B5B-A474-983664B91F28}"/>
  <conditionalFormatting sqref="A2:AA2 Z3:Z84">
    <cfRule type="expression" dxfId="13" priority="2">
      <formula>$Z2=$AA2</formula>
    </cfRule>
  </conditionalFormatting>
  <conditionalFormatting sqref="A85:AA151 A3:Y84 AA3:AA84">
    <cfRule type="expression" dxfId="12" priority="1">
      <formula>$Z3=$AA3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B9C6C-8A22-4AFB-B5B6-BD293C2EEC83}">
  <sheetPr>
    <pageSetUpPr fitToPage="1"/>
  </sheetPr>
  <dimension ref="A1:S37"/>
  <sheetViews>
    <sheetView topLeftCell="A14" zoomScaleNormal="100" workbookViewId="0">
      <selection activeCell="M28" sqref="M28"/>
    </sheetView>
  </sheetViews>
  <sheetFormatPr baseColWidth="10" defaultColWidth="11.5" defaultRowHeight="14"/>
  <cols>
    <col min="1" max="1" width="11.5" style="120"/>
    <col min="2" max="2" width="22.83203125" style="120" customWidth="1"/>
    <col min="3" max="3" width="19.5" style="136" customWidth="1"/>
    <col min="4" max="4" width="20.5" style="121" customWidth="1"/>
    <col min="5" max="5" width="15.5" style="136" customWidth="1"/>
    <col min="6" max="6" width="14.5" style="136" customWidth="1"/>
    <col min="7" max="7" width="16.6640625" style="136" customWidth="1"/>
    <col min="8" max="8" width="16.83203125" style="136" customWidth="1"/>
    <col min="9" max="9" width="11.5" style="136" customWidth="1"/>
    <col min="10" max="10" width="16.6640625" style="136" customWidth="1"/>
    <col min="11" max="12" width="20.33203125" style="136" customWidth="1"/>
    <col min="13" max="13" width="13.5" style="136" customWidth="1"/>
    <col min="14" max="14" width="11.5" style="120" customWidth="1"/>
    <col min="15" max="15" width="16.33203125" style="120" customWidth="1"/>
    <col min="16" max="16" width="17.5" style="120" customWidth="1"/>
    <col min="17" max="19" width="11.5" style="120" customWidth="1"/>
    <col min="20" max="16384" width="11.5" style="120"/>
  </cols>
  <sheetData>
    <row r="1" spans="1:16" ht="29" hidden="1">
      <c r="B1" s="193" t="s">
        <v>974</v>
      </c>
      <c r="C1" s="193"/>
      <c r="D1" s="193"/>
      <c r="E1" s="193"/>
      <c r="F1" s="193"/>
      <c r="G1" s="118"/>
      <c r="H1" s="118"/>
      <c r="I1" s="118"/>
      <c r="J1" s="118"/>
      <c r="K1" s="118"/>
      <c r="L1" s="118"/>
      <c r="M1" s="118"/>
      <c r="N1" s="119"/>
      <c r="O1" s="119"/>
      <c r="P1" s="119"/>
    </row>
    <row r="2" spans="1:16" hidden="1">
      <c r="B2" s="119"/>
      <c r="C2" s="121"/>
      <c r="E2" s="121"/>
      <c r="F2" s="121"/>
      <c r="G2" s="121"/>
      <c r="H2" s="121"/>
      <c r="I2" s="121"/>
      <c r="J2" s="121"/>
      <c r="K2" s="121"/>
      <c r="L2" s="121"/>
      <c r="M2" s="121"/>
      <c r="N2" s="119"/>
      <c r="O2" s="119"/>
      <c r="P2" s="119"/>
    </row>
    <row r="3" spans="1:16" ht="60">
      <c r="A3" s="122" t="s">
        <v>975</v>
      </c>
      <c r="B3" s="122" t="s">
        <v>20</v>
      </c>
      <c r="C3" s="123" t="s">
        <v>976</v>
      </c>
      <c r="D3" s="123" t="s">
        <v>977</v>
      </c>
      <c r="E3" s="123" t="s">
        <v>978</v>
      </c>
      <c r="F3" s="123" t="s">
        <v>979</v>
      </c>
      <c r="G3" s="124" t="s">
        <v>980</v>
      </c>
      <c r="H3" s="124" t="s">
        <v>981</v>
      </c>
      <c r="I3" s="124" t="s">
        <v>982</v>
      </c>
      <c r="J3" s="124" t="s">
        <v>983</v>
      </c>
      <c r="K3" s="124" t="s">
        <v>984</v>
      </c>
      <c r="L3" s="124" t="s">
        <v>985</v>
      </c>
      <c r="M3" s="124" t="s">
        <v>986</v>
      </c>
      <c r="N3" s="124" t="s">
        <v>40</v>
      </c>
      <c r="O3" s="119"/>
      <c r="P3" s="119"/>
    </row>
    <row r="4" spans="1:16" s="129" customFormat="1" ht="45">
      <c r="A4" s="129" t="s">
        <v>987</v>
      </c>
      <c r="B4" s="125" t="s">
        <v>988</v>
      </c>
      <c r="C4" s="126">
        <v>6</v>
      </c>
      <c r="D4" s="126" t="s">
        <v>989</v>
      </c>
      <c r="E4" s="126" t="s">
        <v>990</v>
      </c>
      <c r="F4" s="126" t="s">
        <v>991</v>
      </c>
      <c r="G4" s="127" t="s">
        <v>992</v>
      </c>
      <c r="H4" s="127" t="s">
        <v>474</v>
      </c>
      <c r="I4" s="127" t="s">
        <v>993</v>
      </c>
      <c r="J4" s="127"/>
      <c r="K4" s="127"/>
      <c r="L4" s="127"/>
      <c r="M4" s="127"/>
      <c r="N4" s="128"/>
      <c r="O4" s="128"/>
      <c r="P4" s="128"/>
    </row>
    <row r="5" spans="1:16" s="129" customFormat="1" ht="45">
      <c r="A5" s="129" t="s">
        <v>987</v>
      </c>
      <c r="B5" s="125" t="s">
        <v>994</v>
      </c>
      <c r="C5" s="126">
        <v>6</v>
      </c>
      <c r="D5" s="126" t="s">
        <v>995</v>
      </c>
      <c r="E5" s="126" t="s">
        <v>990</v>
      </c>
      <c r="F5" s="126" t="s">
        <v>991</v>
      </c>
      <c r="G5" s="127" t="s">
        <v>996</v>
      </c>
      <c r="H5" s="127" t="s">
        <v>474</v>
      </c>
      <c r="I5" s="127" t="s">
        <v>997</v>
      </c>
      <c r="J5" s="127"/>
      <c r="K5" s="127"/>
      <c r="L5" s="127"/>
      <c r="M5" s="127"/>
      <c r="N5" s="128"/>
      <c r="O5" s="128"/>
      <c r="P5" s="128"/>
    </row>
    <row r="6" spans="1:16" s="129" customFormat="1" ht="45">
      <c r="A6" s="129" t="s">
        <v>987</v>
      </c>
      <c r="B6" s="125" t="s">
        <v>998</v>
      </c>
      <c r="C6" s="126">
        <v>6</v>
      </c>
      <c r="D6" s="126" t="s">
        <v>999</v>
      </c>
      <c r="E6" s="126" t="s">
        <v>990</v>
      </c>
      <c r="F6" s="126" t="s">
        <v>991</v>
      </c>
      <c r="G6" s="127" t="s">
        <v>490</v>
      </c>
      <c r="H6" s="127" t="s">
        <v>474</v>
      </c>
      <c r="I6" s="127" t="s">
        <v>1000</v>
      </c>
      <c r="J6" s="127"/>
      <c r="K6" s="127"/>
      <c r="L6" s="127"/>
      <c r="M6" s="127"/>
      <c r="N6" s="128"/>
      <c r="O6" s="128"/>
      <c r="P6" s="128"/>
    </row>
    <row r="7" spans="1:16" s="129" customFormat="1" ht="45">
      <c r="A7" s="129" t="s">
        <v>987</v>
      </c>
      <c r="B7" s="125" t="s">
        <v>1001</v>
      </c>
      <c r="C7" s="126">
        <v>4</v>
      </c>
      <c r="D7" s="126" t="s">
        <v>1002</v>
      </c>
      <c r="E7" s="126" t="s">
        <v>1003</v>
      </c>
      <c r="F7" s="126" t="s">
        <v>991</v>
      </c>
      <c r="G7" s="127" t="s">
        <v>491</v>
      </c>
      <c r="H7" s="127" t="s">
        <v>474</v>
      </c>
      <c r="I7" s="127" t="s">
        <v>1004</v>
      </c>
      <c r="J7" s="127"/>
      <c r="K7" s="127"/>
      <c r="L7" s="127"/>
      <c r="M7" s="127"/>
      <c r="N7" s="128"/>
      <c r="O7" s="128"/>
      <c r="P7" s="128"/>
    </row>
    <row r="8" spans="1:16" s="134" customFormat="1" ht="45">
      <c r="A8" s="134" t="s">
        <v>987</v>
      </c>
      <c r="B8" s="130" t="s">
        <v>1005</v>
      </c>
      <c r="C8" s="131">
        <v>6</v>
      </c>
      <c r="D8" s="131" t="s">
        <v>1006</v>
      </c>
      <c r="E8" s="131" t="s">
        <v>990</v>
      </c>
      <c r="F8" s="131" t="s">
        <v>991</v>
      </c>
      <c r="G8" s="132" t="s">
        <v>493</v>
      </c>
      <c r="H8" s="132" t="s">
        <v>474</v>
      </c>
      <c r="I8" s="132" t="s">
        <v>1007</v>
      </c>
      <c r="J8" s="132"/>
      <c r="K8" s="132" t="s">
        <v>1008</v>
      </c>
      <c r="L8" s="132"/>
      <c r="M8" s="132"/>
      <c r="N8" s="133"/>
      <c r="O8" s="133"/>
      <c r="P8" s="133"/>
    </row>
    <row r="9" spans="1:16" s="129" customFormat="1" ht="45">
      <c r="A9" s="129" t="s">
        <v>987</v>
      </c>
      <c r="B9" s="125" t="s">
        <v>1009</v>
      </c>
      <c r="C9" s="126">
        <v>6</v>
      </c>
      <c r="D9" s="126" t="s">
        <v>1010</v>
      </c>
      <c r="E9" s="126" t="s">
        <v>990</v>
      </c>
      <c r="F9" s="126" t="s">
        <v>991</v>
      </c>
      <c r="G9" s="127" t="s">
        <v>1011</v>
      </c>
      <c r="H9" s="127" t="s">
        <v>474</v>
      </c>
      <c r="I9" s="127" t="s">
        <v>1012</v>
      </c>
      <c r="J9" s="127"/>
      <c r="K9" s="127"/>
      <c r="L9" s="127"/>
      <c r="M9" s="127"/>
      <c r="N9" s="128"/>
      <c r="O9" s="128"/>
      <c r="P9" s="128"/>
    </row>
    <row r="10" spans="1:16" s="129" customFormat="1" ht="45">
      <c r="A10" s="129" t="s">
        <v>987</v>
      </c>
      <c r="B10" s="125" t="s">
        <v>1013</v>
      </c>
      <c r="C10" s="126">
        <v>6</v>
      </c>
      <c r="D10" s="142" t="s">
        <v>1014</v>
      </c>
      <c r="E10" s="126" t="s">
        <v>990</v>
      </c>
      <c r="F10" s="126" t="s">
        <v>991</v>
      </c>
      <c r="G10" s="127" t="s">
        <v>1015</v>
      </c>
      <c r="H10" s="127" t="s">
        <v>474</v>
      </c>
      <c r="I10" s="127" t="s">
        <v>1016</v>
      </c>
      <c r="J10" s="127"/>
      <c r="K10" s="127"/>
      <c r="L10" s="127"/>
      <c r="M10" s="127"/>
      <c r="N10" s="128"/>
      <c r="O10" s="128"/>
      <c r="P10" s="128"/>
    </row>
    <row r="11" spans="1:16" s="129" customFormat="1" ht="45">
      <c r="A11" s="129" t="s">
        <v>987</v>
      </c>
      <c r="B11" s="125" t="s">
        <v>998</v>
      </c>
      <c r="C11" s="126">
        <v>6</v>
      </c>
      <c r="D11" s="126" t="s">
        <v>1017</v>
      </c>
      <c r="E11" s="126" t="s">
        <v>990</v>
      </c>
      <c r="F11" s="126" t="s">
        <v>1018</v>
      </c>
      <c r="G11" s="127" t="s">
        <v>992</v>
      </c>
      <c r="H11" s="127" t="s">
        <v>1019</v>
      </c>
      <c r="I11" s="127" t="s">
        <v>1020</v>
      </c>
      <c r="J11" s="127"/>
      <c r="K11" s="127"/>
      <c r="L11" s="127"/>
      <c r="M11" s="127"/>
      <c r="N11" s="128"/>
      <c r="O11" s="128"/>
      <c r="P11" s="128"/>
    </row>
    <row r="12" spans="1:16" s="129" customFormat="1" ht="45">
      <c r="A12" s="129" t="s">
        <v>987</v>
      </c>
      <c r="B12" s="125" t="s">
        <v>1005</v>
      </c>
      <c r="C12" s="126">
        <v>6</v>
      </c>
      <c r="D12" s="142" t="s">
        <v>1021</v>
      </c>
      <c r="E12" s="126" t="s">
        <v>990</v>
      </c>
      <c r="F12" s="126" t="s">
        <v>1018</v>
      </c>
      <c r="G12" s="127" t="s">
        <v>1015</v>
      </c>
      <c r="H12" s="127" t="s">
        <v>1019</v>
      </c>
      <c r="I12" s="127" t="s">
        <v>1022</v>
      </c>
      <c r="J12" s="127"/>
      <c r="K12" s="127"/>
      <c r="L12" s="127"/>
      <c r="M12" s="127"/>
      <c r="N12" s="128"/>
      <c r="O12" s="128"/>
      <c r="P12" s="128"/>
    </row>
    <row r="13" spans="1:16" s="129" customFormat="1" ht="45">
      <c r="A13" s="129" t="s">
        <v>987</v>
      </c>
      <c r="B13" s="125" t="s">
        <v>1009</v>
      </c>
      <c r="C13" s="126">
        <v>6</v>
      </c>
      <c r="D13" s="142" t="s">
        <v>1023</v>
      </c>
      <c r="E13" s="126" t="s">
        <v>990</v>
      </c>
      <c r="F13" s="126" t="s">
        <v>1018</v>
      </c>
      <c r="G13" s="127" t="s">
        <v>494</v>
      </c>
      <c r="H13" s="127" t="s">
        <v>1019</v>
      </c>
      <c r="I13" s="127" t="s">
        <v>1024</v>
      </c>
      <c r="J13" s="127"/>
      <c r="K13" s="127"/>
      <c r="L13" s="127"/>
      <c r="M13" s="127"/>
      <c r="N13" s="128"/>
      <c r="O13" s="128"/>
      <c r="P13" s="128"/>
    </row>
    <row r="14" spans="1:16" s="129" customFormat="1" ht="45">
      <c r="A14" s="129" t="s">
        <v>987</v>
      </c>
      <c r="B14" s="125" t="s">
        <v>1013</v>
      </c>
      <c r="C14" s="126">
        <v>6</v>
      </c>
      <c r="D14" s="142" t="s">
        <v>1014</v>
      </c>
      <c r="E14" s="126" t="s">
        <v>990</v>
      </c>
      <c r="F14" s="126" t="s">
        <v>1018</v>
      </c>
      <c r="G14" s="127" t="s">
        <v>492</v>
      </c>
      <c r="H14" s="127" t="s">
        <v>1019</v>
      </c>
      <c r="I14" s="127" t="s">
        <v>1025</v>
      </c>
      <c r="J14" s="127"/>
      <c r="K14" s="127"/>
      <c r="L14" s="127"/>
      <c r="M14" s="127"/>
      <c r="N14" s="128"/>
      <c r="O14" s="128"/>
      <c r="P14" s="128"/>
    </row>
    <row r="15" spans="1:16" s="129" customFormat="1" ht="45">
      <c r="A15" s="129" t="s">
        <v>1026</v>
      </c>
      <c r="B15" s="125" t="s">
        <v>1027</v>
      </c>
      <c r="C15" s="126" t="s">
        <v>1028</v>
      </c>
      <c r="D15" s="126" t="s">
        <v>1029</v>
      </c>
      <c r="E15" s="126" t="s">
        <v>1030</v>
      </c>
      <c r="F15" s="126" t="s">
        <v>1031</v>
      </c>
      <c r="G15" s="127" t="s">
        <v>489</v>
      </c>
      <c r="H15" s="127"/>
      <c r="I15" s="127" t="s">
        <v>1032</v>
      </c>
      <c r="J15" s="127"/>
      <c r="K15" s="127"/>
      <c r="L15" s="127"/>
      <c r="M15" s="127">
        <v>28</v>
      </c>
      <c r="N15" s="127">
        <v>64</v>
      </c>
      <c r="O15" s="128" t="s">
        <v>1033</v>
      </c>
      <c r="P15" s="128" t="s">
        <v>1034</v>
      </c>
    </row>
    <row r="16" spans="1:16" s="164" customFormat="1" ht="45">
      <c r="A16" s="164" t="s">
        <v>987</v>
      </c>
      <c r="B16" s="160" t="s">
        <v>1035</v>
      </c>
      <c r="C16" s="161" t="s">
        <v>1036</v>
      </c>
      <c r="D16" s="161" t="s">
        <v>1037</v>
      </c>
      <c r="E16" s="161" t="s">
        <v>1030</v>
      </c>
      <c r="F16" s="161" t="s">
        <v>1031</v>
      </c>
      <c r="G16" s="162" t="s">
        <v>490</v>
      </c>
      <c r="H16" s="162"/>
      <c r="I16" s="162" t="s">
        <v>1038</v>
      </c>
      <c r="J16" s="162"/>
      <c r="K16" s="162"/>
      <c r="L16" s="162"/>
      <c r="M16" s="162">
        <v>4</v>
      </c>
      <c r="N16" s="162"/>
      <c r="O16" s="163"/>
      <c r="P16" s="163"/>
    </row>
    <row r="17" spans="1:19" s="129" customFormat="1" ht="45">
      <c r="A17" s="129" t="s">
        <v>1026</v>
      </c>
      <c r="B17" s="125" t="s">
        <v>1039</v>
      </c>
      <c r="C17" s="126">
        <v>8</v>
      </c>
      <c r="D17" s="126" t="s">
        <v>1040</v>
      </c>
      <c r="E17" s="126" t="s">
        <v>1030</v>
      </c>
      <c r="F17" s="126" t="s">
        <v>1041</v>
      </c>
      <c r="G17" s="127" t="s">
        <v>495</v>
      </c>
      <c r="H17" s="127"/>
      <c r="I17" s="127" t="s">
        <v>1042</v>
      </c>
      <c r="J17" s="127"/>
      <c r="K17" s="127"/>
      <c r="L17" s="127"/>
      <c r="M17" s="127">
        <v>27</v>
      </c>
      <c r="N17" s="127">
        <v>64</v>
      </c>
      <c r="O17" s="128" t="s">
        <v>1033</v>
      </c>
      <c r="P17" s="128" t="s">
        <v>1034</v>
      </c>
    </row>
    <row r="18" spans="1:19" s="129" customFormat="1" ht="45">
      <c r="A18" s="129" t="s">
        <v>1026</v>
      </c>
      <c r="B18" s="125" t="s">
        <v>1043</v>
      </c>
      <c r="C18" s="126">
        <v>6</v>
      </c>
      <c r="D18" s="126" t="s">
        <v>1044</v>
      </c>
      <c r="E18" s="126" t="s">
        <v>990</v>
      </c>
      <c r="F18" s="126" t="s">
        <v>1045</v>
      </c>
      <c r="G18" s="127" t="s">
        <v>493</v>
      </c>
      <c r="H18" s="127"/>
      <c r="I18" s="127" t="s">
        <v>1046</v>
      </c>
      <c r="J18" s="127"/>
      <c r="K18" s="127"/>
      <c r="L18" s="127"/>
      <c r="M18" s="127">
        <v>17</v>
      </c>
      <c r="N18" s="127">
        <v>48</v>
      </c>
      <c r="O18" s="128" t="s">
        <v>1047</v>
      </c>
      <c r="P18" s="128" t="s">
        <v>1034</v>
      </c>
    </row>
    <row r="19" spans="1:19" s="129" customFormat="1" ht="45">
      <c r="A19" s="129" t="s">
        <v>1026</v>
      </c>
      <c r="B19" s="125" t="s">
        <v>89</v>
      </c>
      <c r="C19" s="126">
        <v>8</v>
      </c>
      <c r="D19" s="126" t="s">
        <v>214</v>
      </c>
      <c r="E19" s="126" t="s">
        <v>1048</v>
      </c>
      <c r="F19" s="126" t="s">
        <v>1049</v>
      </c>
      <c r="G19" s="127" t="s">
        <v>1050</v>
      </c>
      <c r="H19" s="127"/>
      <c r="I19" s="127" t="s">
        <v>1051</v>
      </c>
      <c r="J19" s="127"/>
      <c r="K19" s="127"/>
      <c r="L19" s="127"/>
      <c r="M19" s="127">
        <v>7</v>
      </c>
      <c r="N19" s="127">
        <v>64</v>
      </c>
      <c r="O19" s="128" t="s">
        <v>1033</v>
      </c>
      <c r="P19" s="127">
        <f>64/20</f>
        <v>3.2</v>
      </c>
    </row>
    <row r="20" spans="1:19" s="164" customFormat="1" ht="45">
      <c r="A20" s="164" t="s">
        <v>987</v>
      </c>
      <c r="B20" s="160" t="s">
        <v>202</v>
      </c>
      <c r="C20" s="161">
        <v>7</v>
      </c>
      <c r="D20" s="161" t="s">
        <v>1052</v>
      </c>
      <c r="E20" s="161" t="s">
        <v>1030</v>
      </c>
      <c r="F20" s="161" t="s">
        <v>1053</v>
      </c>
      <c r="G20" s="162" t="s">
        <v>1054</v>
      </c>
      <c r="H20" s="162"/>
      <c r="I20" s="162" t="s">
        <v>1055</v>
      </c>
      <c r="J20" s="162"/>
      <c r="K20" s="162"/>
      <c r="L20" s="162"/>
      <c r="M20" s="162">
        <v>4</v>
      </c>
      <c r="N20" s="162">
        <v>64</v>
      </c>
      <c r="O20" s="163"/>
      <c r="P20" s="163" t="s">
        <v>1034</v>
      </c>
    </row>
    <row r="21" spans="1:19" s="164" customFormat="1" ht="45">
      <c r="A21" s="164" t="s">
        <v>987</v>
      </c>
      <c r="B21" s="160" t="s">
        <v>1056</v>
      </c>
      <c r="C21" s="161">
        <v>6</v>
      </c>
      <c r="D21" s="161" t="s">
        <v>1057</v>
      </c>
      <c r="E21" s="161" t="s">
        <v>1030</v>
      </c>
      <c r="F21" s="161" t="s">
        <v>1058</v>
      </c>
      <c r="G21" s="162" t="s">
        <v>1059</v>
      </c>
      <c r="H21" s="162"/>
      <c r="I21" s="162" t="s">
        <v>1060</v>
      </c>
      <c r="J21" s="162"/>
      <c r="K21" s="162"/>
      <c r="L21" s="162"/>
      <c r="M21" s="162">
        <v>5</v>
      </c>
      <c r="N21" s="162">
        <v>48</v>
      </c>
      <c r="O21" s="163"/>
      <c r="P21" s="163"/>
    </row>
    <row r="22" spans="1:19" s="129" customFormat="1" ht="60">
      <c r="A22" s="129" t="s">
        <v>1026</v>
      </c>
      <c r="B22" s="125" t="s">
        <v>1061</v>
      </c>
      <c r="C22" s="126">
        <v>5</v>
      </c>
      <c r="D22" s="126" t="s">
        <v>1062</v>
      </c>
      <c r="E22" s="126" t="s">
        <v>990</v>
      </c>
      <c r="F22" s="171" t="s">
        <v>1063</v>
      </c>
      <c r="G22" s="127" t="s">
        <v>1064</v>
      </c>
      <c r="H22" s="127"/>
      <c r="I22" s="127" t="s">
        <v>1065</v>
      </c>
      <c r="J22" s="127"/>
      <c r="K22" s="127"/>
      <c r="L22" s="127"/>
      <c r="M22" s="127">
        <v>11</v>
      </c>
      <c r="N22" s="127">
        <v>64</v>
      </c>
      <c r="O22" s="128" t="s">
        <v>1047</v>
      </c>
      <c r="P22" s="128" t="s">
        <v>1066</v>
      </c>
      <c r="Q22" s="129">
        <f>64/15</f>
        <v>4.2666666666666666</v>
      </c>
      <c r="R22" s="129">
        <f>4.27*15</f>
        <v>64.05</v>
      </c>
      <c r="S22" s="129">
        <f>Q22*60</f>
        <v>256</v>
      </c>
    </row>
    <row r="23" spans="1:19" s="129" customFormat="1" ht="30">
      <c r="A23" s="129" t="s">
        <v>1026</v>
      </c>
      <c r="B23" s="125" t="s">
        <v>323</v>
      </c>
      <c r="C23" s="126">
        <v>6</v>
      </c>
      <c r="D23" s="143" t="s">
        <v>1067</v>
      </c>
      <c r="E23" s="126" t="s">
        <v>1068</v>
      </c>
      <c r="F23" s="169" t="s">
        <v>1069</v>
      </c>
      <c r="G23" s="127" t="s">
        <v>1070</v>
      </c>
      <c r="H23" s="127"/>
      <c r="I23" s="127">
        <v>2719</v>
      </c>
      <c r="J23" s="127"/>
      <c r="K23" s="127"/>
      <c r="L23" s="127"/>
      <c r="M23" s="127">
        <v>10</v>
      </c>
      <c r="N23" s="127">
        <v>48</v>
      </c>
      <c r="O23" s="128" t="s">
        <v>1047</v>
      </c>
      <c r="P23" s="128" t="s">
        <v>1071</v>
      </c>
    </row>
    <row r="24" spans="1:19" s="134" customFormat="1" ht="45">
      <c r="A24" s="134" t="s">
        <v>1072</v>
      </c>
      <c r="B24" s="130" t="s">
        <v>1073</v>
      </c>
      <c r="C24" s="131" t="s">
        <v>1074</v>
      </c>
      <c r="D24" s="131" t="s">
        <v>1075</v>
      </c>
      <c r="E24" s="131" t="s">
        <v>1076</v>
      </c>
      <c r="F24" s="135" t="s">
        <v>1077</v>
      </c>
      <c r="G24" s="132" t="s">
        <v>1078</v>
      </c>
      <c r="H24" s="132"/>
      <c r="I24" s="132" t="s">
        <v>1079</v>
      </c>
      <c r="J24" s="132"/>
      <c r="K24" s="132" t="s">
        <v>1008</v>
      </c>
      <c r="L24" s="132"/>
      <c r="M24" s="132">
        <v>8</v>
      </c>
      <c r="N24" s="132">
        <v>32</v>
      </c>
      <c r="O24" s="133" t="s">
        <v>1080</v>
      </c>
      <c r="P24" s="133" t="s">
        <v>1081</v>
      </c>
    </row>
    <row r="25" spans="1:19" s="134" customFormat="1" ht="30">
      <c r="A25" s="134" t="s">
        <v>1082</v>
      </c>
      <c r="B25" s="130" t="s">
        <v>120</v>
      </c>
      <c r="C25" s="131">
        <v>6</v>
      </c>
      <c r="D25" s="131" t="s">
        <v>1083</v>
      </c>
      <c r="E25" s="131" t="s">
        <v>1084</v>
      </c>
      <c r="F25" s="131" t="s">
        <v>1085</v>
      </c>
      <c r="G25" s="170" t="s">
        <v>1086</v>
      </c>
      <c r="H25" s="170" t="s">
        <v>1087</v>
      </c>
      <c r="I25" s="132">
        <v>2152</v>
      </c>
      <c r="J25" s="132"/>
      <c r="K25" s="132" t="s">
        <v>1008</v>
      </c>
      <c r="L25" s="132"/>
      <c r="M25" s="132">
        <v>13</v>
      </c>
      <c r="N25" s="132">
        <v>32</v>
      </c>
      <c r="O25" s="133" t="s">
        <v>1088</v>
      </c>
      <c r="P25" s="133"/>
    </row>
    <row r="26" spans="1:19" s="129" customFormat="1" ht="45">
      <c r="A26" s="129" t="s">
        <v>1026</v>
      </c>
      <c r="B26" s="125" t="s">
        <v>194</v>
      </c>
      <c r="C26" s="126">
        <v>7</v>
      </c>
      <c r="D26" s="126" t="s">
        <v>1089</v>
      </c>
      <c r="E26" s="126" t="s">
        <v>1030</v>
      </c>
      <c r="F26" s="126" t="s">
        <v>1090</v>
      </c>
      <c r="G26" s="127" t="s">
        <v>1091</v>
      </c>
      <c r="H26" s="127"/>
      <c r="I26" s="127" t="s">
        <v>1092</v>
      </c>
      <c r="J26" s="127"/>
      <c r="K26" s="127"/>
      <c r="L26" s="127"/>
      <c r="M26" s="127">
        <v>13</v>
      </c>
      <c r="N26" s="127">
        <v>64</v>
      </c>
      <c r="O26" s="128" t="s">
        <v>1033</v>
      </c>
      <c r="P26" s="128" t="s">
        <v>1034</v>
      </c>
    </row>
    <row r="27" spans="1:19" s="129" customFormat="1" ht="45">
      <c r="A27" s="129" t="s">
        <v>987</v>
      </c>
      <c r="B27" s="125" t="s">
        <v>209</v>
      </c>
      <c r="C27" s="126">
        <v>6</v>
      </c>
      <c r="D27" s="126" t="s">
        <v>1089</v>
      </c>
      <c r="E27" s="126" t="s">
        <v>1030</v>
      </c>
      <c r="F27" s="171" t="s">
        <v>1093</v>
      </c>
      <c r="G27" s="127" t="s">
        <v>1064</v>
      </c>
      <c r="H27" s="127"/>
      <c r="I27" s="127" t="s">
        <v>1094</v>
      </c>
      <c r="J27" s="127"/>
      <c r="K27" s="127"/>
      <c r="L27" s="127"/>
      <c r="M27" s="127">
        <v>9</v>
      </c>
      <c r="N27" s="127">
        <v>48</v>
      </c>
      <c r="O27" s="128" t="s">
        <v>1033</v>
      </c>
      <c r="P27" s="128" t="s">
        <v>1095</v>
      </c>
      <c r="Q27" s="129">
        <f>48/20</f>
        <v>2.4</v>
      </c>
      <c r="R27" s="129">
        <f>2.4*20</f>
        <v>48</v>
      </c>
      <c r="S27" s="129">
        <f>Q27*60</f>
        <v>144</v>
      </c>
    </row>
    <row r="28" spans="1:19" s="129" customFormat="1" ht="45">
      <c r="A28" s="129" t="s">
        <v>1026</v>
      </c>
      <c r="B28" s="125" t="s">
        <v>1096</v>
      </c>
      <c r="C28" s="126">
        <v>8</v>
      </c>
      <c r="D28" s="126" t="s">
        <v>1097</v>
      </c>
      <c r="E28" s="126" t="s">
        <v>1030</v>
      </c>
      <c r="F28" s="126" t="s">
        <v>1098</v>
      </c>
      <c r="G28" s="127" t="s">
        <v>1091</v>
      </c>
      <c r="H28" s="127"/>
      <c r="I28" s="127">
        <v>1180</v>
      </c>
      <c r="J28" s="127"/>
      <c r="K28" s="127"/>
      <c r="L28" s="127"/>
      <c r="M28" s="127">
        <v>12</v>
      </c>
      <c r="N28" s="127">
        <v>64</v>
      </c>
      <c r="O28" s="128" t="s">
        <v>1033</v>
      </c>
      <c r="P28" s="128" t="s">
        <v>1034</v>
      </c>
    </row>
    <row r="30" spans="1:19">
      <c r="B30" s="119"/>
      <c r="C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19"/>
      <c r="P30" s="119"/>
    </row>
    <row r="31" spans="1:19">
      <c r="B31" s="119"/>
      <c r="C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19"/>
      <c r="P31" s="119"/>
    </row>
    <row r="32" spans="1:19">
      <c r="B32" s="119"/>
      <c r="C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19"/>
      <c r="P32" s="119"/>
    </row>
    <row r="33" spans="2:16">
      <c r="B33" s="119"/>
      <c r="C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19"/>
      <c r="P33" s="119"/>
    </row>
    <row r="34" spans="2:16" ht="30">
      <c r="B34" s="136" t="s">
        <v>1099</v>
      </c>
      <c r="C34" s="136" t="s">
        <v>1100</v>
      </c>
      <c r="D34" s="121" t="s">
        <v>1101</v>
      </c>
    </row>
    <row r="35" spans="2:16" ht="30">
      <c r="B35" s="136" t="s">
        <v>1102</v>
      </c>
      <c r="C35" s="136">
        <f>64/4</f>
        <v>16</v>
      </c>
      <c r="D35" s="121">
        <f>16/5</f>
        <v>3.2</v>
      </c>
      <c r="E35" s="136" t="s">
        <v>1103</v>
      </c>
    </row>
    <row r="36" spans="2:16" ht="30">
      <c r="B36" s="136" t="s">
        <v>1104</v>
      </c>
      <c r="C36" s="136">
        <f>48/3</f>
        <v>16</v>
      </c>
      <c r="D36" s="121">
        <f>16/5</f>
        <v>3.2</v>
      </c>
      <c r="E36" s="136" t="s">
        <v>1105</v>
      </c>
    </row>
    <row r="37" spans="2:16" ht="15">
      <c r="B37" s="136" t="s">
        <v>1106</v>
      </c>
      <c r="C37" s="136">
        <f>32/2</f>
        <v>16</v>
      </c>
      <c r="D37" s="121">
        <f>16/5</f>
        <v>3.2</v>
      </c>
      <c r="E37" s="136" t="s">
        <v>1107</v>
      </c>
    </row>
  </sheetData>
  <autoFilter ref="B3:Q28" xr:uid="{904B9C6C-8A22-4AFB-B5B6-BD293C2EEC83}"/>
  <mergeCells count="1">
    <mergeCell ref="B1:F1"/>
  </mergeCells>
  <phoneticPr fontId="7" type="noConversion"/>
  <printOptions horizontalCentered="1" verticalCentered="1"/>
  <pageMargins left="0.23622047244094491" right="0.23622047244094491" top="0.39370078740157483" bottom="0.35433070866141736" header="0.31496062992125984" footer="0.31496062992125984"/>
  <pageSetup scale="38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C0DD4-7A53-464E-8A8D-BD07C7215F73}">
  <sheetPr>
    <pageSetUpPr fitToPage="1"/>
  </sheetPr>
  <dimension ref="A1:G37"/>
  <sheetViews>
    <sheetView topLeftCell="A15" zoomScale="112" zoomScaleNormal="112" workbookViewId="0">
      <selection activeCell="E23" sqref="E23"/>
    </sheetView>
  </sheetViews>
  <sheetFormatPr baseColWidth="10" defaultColWidth="11.5" defaultRowHeight="14"/>
  <cols>
    <col min="1" max="1" width="25" style="120" customWidth="1"/>
    <col min="2" max="2" width="19.5" style="136" customWidth="1"/>
    <col min="3" max="3" width="20.5" style="121" customWidth="1"/>
    <col min="4" max="4" width="20.6640625" style="136" customWidth="1"/>
    <col min="5" max="5" width="14.5" style="136" customWidth="1"/>
    <col min="6" max="6" width="16.6640625" style="136" customWidth="1"/>
    <col min="7" max="16384" width="11.5" style="120"/>
  </cols>
  <sheetData>
    <row r="1" spans="1:7" ht="29" hidden="1">
      <c r="A1" s="194" t="s">
        <v>974</v>
      </c>
      <c r="B1" s="194"/>
      <c r="C1" s="194"/>
      <c r="D1" s="194"/>
      <c r="E1" s="194"/>
      <c r="F1" s="146"/>
    </row>
    <row r="2" spans="1:7" hidden="1">
      <c r="A2" s="147"/>
      <c r="B2" s="148"/>
      <c r="C2" s="148"/>
      <c r="D2" s="148"/>
      <c r="E2" s="148"/>
      <c r="F2" s="148"/>
    </row>
    <row r="3" spans="1:7" ht="20">
      <c r="A3" s="151" t="s">
        <v>20</v>
      </c>
      <c r="B3" s="152" t="s">
        <v>976</v>
      </c>
      <c r="C3" s="152" t="s">
        <v>977</v>
      </c>
      <c r="D3" s="152" t="s">
        <v>978</v>
      </c>
      <c r="E3" s="152" t="s">
        <v>979</v>
      </c>
      <c r="F3" s="153" t="s">
        <v>980</v>
      </c>
      <c r="G3" s="152" t="s">
        <v>62</v>
      </c>
    </row>
    <row r="4" spans="1:7" ht="30">
      <c r="A4" s="149" t="s">
        <v>988</v>
      </c>
      <c r="B4" s="144">
        <v>6</v>
      </c>
      <c r="C4" s="144" t="s">
        <v>989</v>
      </c>
      <c r="D4" s="144" t="s">
        <v>990</v>
      </c>
      <c r="E4" s="144" t="s">
        <v>991</v>
      </c>
      <c r="F4" s="150" t="s">
        <v>992</v>
      </c>
      <c r="G4" s="167"/>
    </row>
    <row r="5" spans="1:7" ht="45">
      <c r="A5" s="149" t="s">
        <v>994</v>
      </c>
      <c r="B5" s="144">
        <v>6</v>
      </c>
      <c r="C5" s="144" t="s">
        <v>995</v>
      </c>
      <c r="D5" s="144" t="s">
        <v>990</v>
      </c>
      <c r="E5" s="144" t="s">
        <v>991</v>
      </c>
      <c r="F5" s="150" t="s">
        <v>996</v>
      </c>
      <c r="G5" s="144"/>
    </row>
    <row r="6" spans="1:7" ht="30">
      <c r="A6" s="149" t="s">
        <v>998</v>
      </c>
      <c r="B6" s="144">
        <v>6</v>
      </c>
      <c r="C6" s="144" t="s">
        <v>999</v>
      </c>
      <c r="D6" s="144" t="s">
        <v>990</v>
      </c>
      <c r="E6" s="144" t="s">
        <v>991</v>
      </c>
      <c r="F6" s="150" t="s">
        <v>490</v>
      </c>
      <c r="G6" s="144"/>
    </row>
    <row r="7" spans="1:7" ht="45">
      <c r="A7" s="149" t="s">
        <v>1001</v>
      </c>
      <c r="B7" s="144">
        <v>4</v>
      </c>
      <c r="C7" s="144" t="s">
        <v>1002</v>
      </c>
      <c r="D7" s="144" t="s">
        <v>1003</v>
      </c>
      <c r="E7" s="144" t="s">
        <v>991</v>
      </c>
      <c r="F7" s="150" t="s">
        <v>491</v>
      </c>
      <c r="G7" s="144"/>
    </row>
    <row r="8" spans="1:7" ht="30">
      <c r="A8" s="149" t="s">
        <v>1005</v>
      </c>
      <c r="B8" s="144">
        <v>6</v>
      </c>
      <c r="C8" s="144" t="s">
        <v>1006</v>
      </c>
      <c r="D8" s="144" t="s">
        <v>990</v>
      </c>
      <c r="E8" s="144" t="s">
        <v>991</v>
      </c>
      <c r="F8" s="150" t="s">
        <v>493</v>
      </c>
      <c r="G8" s="144"/>
    </row>
    <row r="9" spans="1:7" ht="30">
      <c r="A9" s="149" t="s">
        <v>1009</v>
      </c>
      <c r="B9" s="144">
        <v>6</v>
      </c>
      <c r="C9" s="144" t="s">
        <v>1010</v>
      </c>
      <c r="D9" s="144" t="s">
        <v>990</v>
      </c>
      <c r="E9" s="144" t="s">
        <v>991</v>
      </c>
      <c r="F9" s="150" t="s">
        <v>1011</v>
      </c>
      <c r="G9" s="144"/>
    </row>
    <row r="10" spans="1:7" ht="30">
      <c r="A10" s="149" t="s">
        <v>1013</v>
      </c>
      <c r="B10" s="144">
        <v>6</v>
      </c>
      <c r="C10" s="144" t="s">
        <v>1014</v>
      </c>
      <c r="D10" s="144" t="s">
        <v>990</v>
      </c>
      <c r="E10" s="144" t="s">
        <v>991</v>
      </c>
      <c r="F10" s="150" t="s">
        <v>1015</v>
      </c>
      <c r="G10" s="144"/>
    </row>
    <row r="11" spans="1:7" ht="30">
      <c r="A11" s="149" t="s">
        <v>998</v>
      </c>
      <c r="B11" s="144">
        <v>6</v>
      </c>
      <c r="C11" s="144" t="s">
        <v>1017</v>
      </c>
      <c r="D11" s="144" t="s">
        <v>990</v>
      </c>
      <c r="E11" s="144" t="s">
        <v>1018</v>
      </c>
      <c r="F11" s="150" t="s">
        <v>992</v>
      </c>
      <c r="G11" s="144"/>
    </row>
    <row r="12" spans="1:7" ht="30">
      <c r="A12" s="149" t="s">
        <v>1005</v>
      </c>
      <c r="B12" s="144">
        <v>6</v>
      </c>
      <c r="C12" s="144" t="s">
        <v>1021</v>
      </c>
      <c r="D12" s="144" t="s">
        <v>990</v>
      </c>
      <c r="E12" s="144" t="s">
        <v>1018</v>
      </c>
      <c r="F12" s="150" t="s">
        <v>1015</v>
      </c>
      <c r="G12" s="144"/>
    </row>
    <row r="13" spans="1:7" ht="30">
      <c r="A13" s="149" t="s">
        <v>1009</v>
      </c>
      <c r="B13" s="144">
        <v>6</v>
      </c>
      <c r="C13" s="144" t="s">
        <v>1023</v>
      </c>
      <c r="D13" s="144" t="s">
        <v>990</v>
      </c>
      <c r="E13" s="144" t="s">
        <v>1018</v>
      </c>
      <c r="F13" s="150" t="s">
        <v>494</v>
      </c>
      <c r="G13" s="144"/>
    </row>
    <row r="14" spans="1:7" ht="30">
      <c r="A14" s="149" t="s">
        <v>1013</v>
      </c>
      <c r="B14" s="144">
        <v>6</v>
      </c>
      <c r="C14" s="144" t="s">
        <v>1014</v>
      </c>
      <c r="D14" s="144" t="s">
        <v>990</v>
      </c>
      <c r="E14" s="144" t="s">
        <v>1018</v>
      </c>
      <c r="F14" s="150" t="s">
        <v>492</v>
      </c>
      <c r="G14" s="144"/>
    </row>
    <row r="15" spans="1:7" ht="30">
      <c r="A15" s="149" t="s">
        <v>1027</v>
      </c>
      <c r="B15" s="144" t="s">
        <v>1028</v>
      </c>
      <c r="C15" s="144" t="s">
        <v>1029</v>
      </c>
      <c r="D15" s="144" t="s">
        <v>1030</v>
      </c>
      <c r="E15" s="144" t="s">
        <v>1031</v>
      </c>
      <c r="F15" s="150" t="s">
        <v>489</v>
      </c>
      <c r="G15" s="144"/>
    </row>
    <row r="16" spans="1:7" ht="30">
      <c r="A16" s="157" t="s">
        <v>1035</v>
      </c>
      <c r="B16" s="158" t="s">
        <v>1036</v>
      </c>
      <c r="C16" s="158" t="s">
        <v>1029</v>
      </c>
      <c r="D16" s="158" t="s">
        <v>1030</v>
      </c>
      <c r="E16" s="158" t="s">
        <v>1031</v>
      </c>
      <c r="F16" s="159" t="s">
        <v>489</v>
      </c>
      <c r="G16" s="158" t="s">
        <v>1108</v>
      </c>
    </row>
    <row r="17" spans="1:7" ht="30">
      <c r="A17" s="149" t="s">
        <v>1039</v>
      </c>
      <c r="B17" s="144">
        <v>8</v>
      </c>
      <c r="C17" s="144" t="s">
        <v>1040</v>
      </c>
      <c r="D17" s="144" t="s">
        <v>1030</v>
      </c>
      <c r="E17" s="144" t="s">
        <v>1041</v>
      </c>
      <c r="F17" s="150" t="s">
        <v>495</v>
      </c>
      <c r="G17" s="144"/>
    </row>
    <row r="18" spans="1:7" ht="30">
      <c r="A18" s="149" t="s">
        <v>1043</v>
      </c>
      <c r="B18" s="144">
        <v>6</v>
      </c>
      <c r="C18" s="144" t="s">
        <v>1044</v>
      </c>
      <c r="D18" s="144" t="s">
        <v>990</v>
      </c>
      <c r="E18" s="144" t="s">
        <v>1045</v>
      </c>
      <c r="F18" s="150" t="s">
        <v>493</v>
      </c>
      <c r="G18" s="144"/>
    </row>
    <row r="19" spans="1:7" ht="45">
      <c r="A19" s="165" t="s">
        <v>89</v>
      </c>
      <c r="B19" s="161">
        <v>8</v>
      </c>
      <c r="C19" s="161" t="s">
        <v>214</v>
      </c>
      <c r="D19" s="161" t="s">
        <v>1030</v>
      </c>
      <c r="E19" s="161" t="s">
        <v>1031</v>
      </c>
      <c r="F19" s="166" t="s">
        <v>1011</v>
      </c>
      <c r="G19" s="161" t="s">
        <v>1109</v>
      </c>
    </row>
    <row r="20" spans="1:7" ht="45">
      <c r="A20" s="165" t="s">
        <v>202</v>
      </c>
      <c r="B20" s="161">
        <v>7</v>
      </c>
      <c r="C20" s="161" t="s">
        <v>1052</v>
      </c>
      <c r="D20" s="161" t="s">
        <v>1030</v>
      </c>
      <c r="E20" s="161" t="s">
        <v>1053</v>
      </c>
      <c r="F20" s="166" t="s">
        <v>1054</v>
      </c>
      <c r="G20" s="161" t="s">
        <v>1109</v>
      </c>
    </row>
    <row r="21" spans="1:7" ht="45">
      <c r="A21" s="165" t="s">
        <v>1056</v>
      </c>
      <c r="B21" s="161">
        <v>6</v>
      </c>
      <c r="C21" s="161" t="s">
        <v>1057</v>
      </c>
      <c r="D21" s="161" t="s">
        <v>1030</v>
      </c>
      <c r="E21" s="161" t="s">
        <v>1058</v>
      </c>
      <c r="F21" s="166" t="s">
        <v>1059</v>
      </c>
      <c r="G21" s="161" t="s">
        <v>1109</v>
      </c>
    </row>
    <row r="22" spans="1:7" ht="30">
      <c r="A22" s="149" t="s">
        <v>1061</v>
      </c>
      <c r="B22" s="144">
        <v>5</v>
      </c>
      <c r="C22" s="144" t="s">
        <v>1062</v>
      </c>
      <c r="D22" s="144" t="s">
        <v>990</v>
      </c>
      <c r="E22" s="144" t="s">
        <v>1110</v>
      </c>
      <c r="F22" s="150" t="s">
        <v>1064</v>
      </c>
      <c r="G22" s="144"/>
    </row>
    <row r="23" spans="1:7" ht="30">
      <c r="A23" s="149" t="s">
        <v>323</v>
      </c>
      <c r="B23" s="144">
        <v>6</v>
      </c>
      <c r="C23" s="168" t="s">
        <v>1067</v>
      </c>
      <c r="D23" s="144" t="s">
        <v>1068</v>
      </c>
      <c r="E23" s="144" t="s">
        <v>1069</v>
      </c>
      <c r="F23" s="150" t="s">
        <v>1070</v>
      </c>
      <c r="G23" s="144"/>
    </row>
    <row r="24" spans="1:7" ht="45">
      <c r="A24" s="149" t="s">
        <v>1073</v>
      </c>
      <c r="B24" s="144" t="s">
        <v>1074</v>
      </c>
      <c r="C24" s="144" t="s">
        <v>1075</v>
      </c>
      <c r="D24" s="144" t="s">
        <v>1076</v>
      </c>
      <c r="E24" s="145" t="s">
        <v>1077</v>
      </c>
      <c r="F24" s="150" t="s">
        <v>1078</v>
      </c>
      <c r="G24" s="144"/>
    </row>
    <row r="25" spans="1:7" ht="30">
      <c r="A25" s="149" t="s">
        <v>120</v>
      </c>
      <c r="B25" s="144">
        <v>6</v>
      </c>
      <c r="C25" s="144" t="s">
        <v>1083</v>
      </c>
      <c r="D25" s="144" t="s">
        <v>1084</v>
      </c>
      <c r="E25" s="144" t="s">
        <v>1085</v>
      </c>
      <c r="F25" s="150" t="s">
        <v>1111</v>
      </c>
      <c r="G25" s="144"/>
    </row>
    <row r="26" spans="1:7" ht="30">
      <c r="A26" s="149" t="s">
        <v>194</v>
      </c>
      <c r="B26" s="144">
        <v>7</v>
      </c>
      <c r="C26" s="144" t="s">
        <v>1089</v>
      </c>
      <c r="D26" s="144" t="s">
        <v>1030</v>
      </c>
      <c r="E26" s="144" t="s">
        <v>1090</v>
      </c>
      <c r="F26" s="150" t="s">
        <v>1091</v>
      </c>
      <c r="G26" s="144"/>
    </row>
    <row r="27" spans="1:7" ht="30">
      <c r="A27" s="149" t="s">
        <v>209</v>
      </c>
      <c r="B27" s="144">
        <v>6</v>
      </c>
      <c r="C27" s="144" t="s">
        <v>1089</v>
      </c>
      <c r="D27" s="144" t="s">
        <v>1030</v>
      </c>
      <c r="E27" s="144" t="s">
        <v>1058</v>
      </c>
      <c r="F27" s="150" t="s">
        <v>1064</v>
      </c>
      <c r="G27" s="144"/>
    </row>
    <row r="28" spans="1:7" ht="30">
      <c r="A28" s="154" t="s">
        <v>1096</v>
      </c>
      <c r="B28" s="155">
        <v>8</v>
      </c>
      <c r="C28" s="155" t="s">
        <v>1097</v>
      </c>
      <c r="D28" s="155" t="s">
        <v>1030</v>
      </c>
      <c r="E28" s="155" t="s">
        <v>1098</v>
      </c>
      <c r="F28" s="156" t="s">
        <v>1091</v>
      </c>
      <c r="G28" s="155"/>
    </row>
    <row r="30" spans="1:7">
      <c r="A30" s="119"/>
      <c r="B30" s="121"/>
      <c r="D30" s="121"/>
      <c r="E30" s="121"/>
      <c r="F30" s="121"/>
    </row>
    <row r="31" spans="1:7">
      <c r="A31" s="119"/>
      <c r="B31" s="121"/>
      <c r="D31" s="121"/>
      <c r="E31" s="121"/>
      <c r="F31" s="121"/>
    </row>
    <row r="32" spans="1:7">
      <c r="A32" s="119"/>
      <c r="B32" s="121"/>
      <c r="D32" s="121"/>
      <c r="E32" s="121"/>
      <c r="F32" s="121"/>
    </row>
    <row r="33" spans="1:6">
      <c r="A33" s="119"/>
      <c r="B33" s="121"/>
      <c r="D33" s="121"/>
      <c r="E33" s="121"/>
      <c r="F33" s="121"/>
    </row>
    <row r="34" spans="1:6">
      <c r="A34" s="136"/>
    </row>
    <row r="35" spans="1:6">
      <c r="A35" s="136"/>
    </row>
    <row r="36" spans="1:6">
      <c r="A36" s="136"/>
    </row>
    <row r="37" spans="1:6">
      <c r="A37" s="136"/>
    </row>
  </sheetData>
  <mergeCells count="1">
    <mergeCell ref="A1:E1"/>
  </mergeCells>
  <printOptions horizontalCentered="1" verticalCentered="1"/>
  <pageMargins left="0.23622047244094491" right="0.23622047244094491" top="0.39370078740157483" bottom="0.35433070866141736" header="0.31496062992125984" footer="0.31496062992125984"/>
  <pageSetup scale="76"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55FA0-E463-4728-BC9E-2010BE09DC72}">
  <dimension ref="A2:D5"/>
  <sheetViews>
    <sheetView workbookViewId="0">
      <selection activeCell="B18" sqref="B18"/>
    </sheetView>
  </sheetViews>
  <sheetFormatPr baseColWidth="10" defaultColWidth="11.5" defaultRowHeight="13"/>
  <cols>
    <col min="1" max="1" width="47.6640625" customWidth="1"/>
    <col min="2" max="2" width="38.1640625" customWidth="1"/>
    <col min="3" max="3" width="26.83203125" customWidth="1"/>
  </cols>
  <sheetData>
    <row r="2" spans="1:4" ht="14">
      <c r="A2" s="141" t="s">
        <v>1112</v>
      </c>
      <c r="B2" s="141" t="s">
        <v>1113</v>
      </c>
      <c r="C2" s="141" t="s">
        <v>1114</v>
      </c>
      <c r="D2" s="34" t="s">
        <v>1115</v>
      </c>
    </row>
    <row r="3" spans="1:4" ht="34">
      <c r="A3" s="139" t="s">
        <v>1116</v>
      </c>
      <c r="B3" s="139" t="s">
        <v>1117</v>
      </c>
      <c r="C3" s="138" t="s">
        <v>1118</v>
      </c>
      <c r="D3" s="34" t="s">
        <v>1119</v>
      </c>
    </row>
    <row r="4" spans="1:4" ht="34">
      <c r="A4" s="139" t="s">
        <v>1120</v>
      </c>
      <c r="B4" s="139" t="s">
        <v>1121</v>
      </c>
      <c r="C4" s="138" t="s">
        <v>1118</v>
      </c>
      <c r="D4" s="34" t="s">
        <v>1119</v>
      </c>
    </row>
    <row r="5" spans="1:4">
      <c r="A5" s="14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50434-1DF7-44B3-92A2-870AE81A1A91}">
  <dimension ref="A1:C2"/>
  <sheetViews>
    <sheetView workbookViewId="0">
      <selection activeCell="B2" sqref="B2"/>
    </sheetView>
  </sheetViews>
  <sheetFormatPr baseColWidth="10" defaultColWidth="11.5" defaultRowHeight="13"/>
  <sheetData>
    <row r="1" spans="1:3" ht="14">
      <c r="A1" s="34" t="s">
        <v>487</v>
      </c>
      <c r="B1" s="34" t="s">
        <v>486</v>
      </c>
      <c r="C1" s="34" t="s">
        <v>20</v>
      </c>
    </row>
    <row r="2" spans="1:3" ht="56">
      <c r="A2" s="34" t="s">
        <v>1122</v>
      </c>
      <c r="C2" s="34" t="s">
        <v>1123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03B6BF7E7E0374DA92167CA2560DF42" ma:contentTypeVersion="5" ma:contentTypeDescription="Crear nuevo documento." ma:contentTypeScope="" ma:versionID="cb1122794106acbe3ddc520671d7377b">
  <xsd:schema xmlns:xsd="http://www.w3.org/2001/XMLSchema" xmlns:xs="http://www.w3.org/2001/XMLSchema" xmlns:p="http://schemas.microsoft.com/office/2006/metadata/properties" xmlns:ns3="c01d3775-c9e1-422d-8763-4def1575a9a7" xmlns:ns4="7bfa2f52-108b-4844-87bb-de7045dbe576" targetNamespace="http://schemas.microsoft.com/office/2006/metadata/properties" ma:root="true" ma:fieldsID="7c07c8bc9ed0b95a3d37b565b62aaa2f" ns3:_="" ns4:_="">
    <xsd:import namespace="c01d3775-c9e1-422d-8763-4def1575a9a7"/>
    <xsd:import namespace="7bfa2f52-108b-4844-87bb-de7045dbe57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1d3775-c9e1-422d-8763-4def1575a9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fa2f52-108b-4844-87bb-de7045dbe57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bfa2f52-108b-4844-87bb-de7045dbe576">
      <UserInfo>
        <DisplayName>Laura Patricia Renteria Solis</DisplayName>
        <AccountId>13</AccountId>
        <AccountType/>
      </UserInfo>
      <UserInfo>
        <DisplayName>Rogelio Barocio Lira</DisplayName>
        <AccountId>21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1BC1F2-359D-4ACA-B9F1-C9974373B6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1d3775-c9e1-422d-8763-4def1575a9a7"/>
    <ds:schemaRef ds:uri="7bfa2f52-108b-4844-87bb-de7045dbe5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66EE9E0-7741-42EC-8825-5DA9254953BA}">
  <ds:schemaRefs>
    <ds:schemaRef ds:uri="http://schemas.microsoft.com/office/2006/metadata/properties"/>
    <ds:schemaRef ds:uri="http://schemas.microsoft.com/office/infopath/2007/PartnerControls"/>
    <ds:schemaRef ds:uri="7bfa2f52-108b-4844-87bb-de7045dbe576"/>
  </ds:schemaRefs>
</ds:datastoreItem>
</file>

<file path=customXml/itemProps3.xml><?xml version="1.0" encoding="utf-8"?>
<ds:datastoreItem xmlns:ds="http://schemas.openxmlformats.org/officeDocument/2006/customXml" ds:itemID="{D7E9C26C-2B43-43CB-AA4D-B258203281C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25</vt:i4>
      </vt:variant>
    </vt:vector>
  </HeadingPairs>
  <TitlesOfParts>
    <vt:vector size="37" baseType="lpstr">
      <vt:lpstr>Horario profesor</vt:lpstr>
      <vt:lpstr>Horario grupo</vt:lpstr>
      <vt:lpstr>Horario aula</vt:lpstr>
      <vt:lpstr>Base de datos</vt:lpstr>
      <vt:lpstr>Índices</vt:lpstr>
      <vt:lpstr>Pronostico</vt:lpstr>
      <vt:lpstr>Planes de estudio</vt:lpstr>
      <vt:lpstr>Pares</vt:lpstr>
      <vt:lpstr>1224</vt:lpstr>
      <vt:lpstr>1224 PUBLICAR</vt:lpstr>
      <vt:lpstr>INTERCAMBIOS 1224</vt:lpstr>
      <vt:lpstr>Extraordinario</vt:lpstr>
      <vt:lpstr>Aula</vt:lpstr>
      <vt:lpstr>Bioelectrónica</vt:lpstr>
      <vt:lpstr>Carrera</vt:lpstr>
      <vt:lpstr>Carreras</vt:lpstr>
      <vt:lpstr>Civil_y_Administración</vt:lpstr>
      <vt:lpstr>'Horario aula'!Columna</vt:lpstr>
      <vt:lpstr>'Horario profesor'!Columna</vt:lpstr>
      <vt:lpstr>'Horario aula'!Concepto</vt:lpstr>
      <vt:lpstr>'Horario profesor'!Concepto</vt:lpstr>
      <vt:lpstr>Hora_de_fin</vt:lpstr>
      <vt:lpstr>Hora_de_inicio</vt:lpstr>
      <vt:lpstr>Horas</vt:lpstr>
      <vt:lpstr>Industrial</vt:lpstr>
      <vt:lpstr>Innovación_y_Diseño</vt:lpstr>
      <vt:lpstr>Inteligencia_Artificial</vt:lpstr>
      <vt:lpstr>'1224 PUBLICAR'!Materia_programada</vt:lpstr>
      <vt:lpstr>Materia_programada</vt:lpstr>
      <vt:lpstr>Materias</vt:lpstr>
      <vt:lpstr>Mecatrónica</vt:lpstr>
      <vt:lpstr>Optativa</vt:lpstr>
      <vt:lpstr>'Horario aula'!Profesor</vt:lpstr>
      <vt:lpstr>'Horario profesor'!Profesor</vt:lpstr>
      <vt:lpstr>Semestre</vt:lpstr>
      <vt:lpstr>Semestres</vt:lpstr>
      <vt:lpstr>Tecnologías_Energéticas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Bego</dc:creator>
  <cp:keywords/>
  <dc:description/>
  <cp:lastModifiedBy>Microsoft Office User</cp:lastModifiedBy>
  <cp:revision/>
  <dcterms:created xsi:type="dcterms:W3CDTF">2020-09-09T15:52:35Z</dcterms:created>
  <dcterms:modified xsi:type="dcterms:W3CDTF">2023-02-07T19:05:13Z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0x010100003B6BF7E7E0374DA92167CA2560DF42</vt:lpwstr>
  </property>
</Properties>
</file>