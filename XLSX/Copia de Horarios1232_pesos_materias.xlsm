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esktop\1232\Calendarios Exámenes\"/>
    </mc:Choice>
  </mc:AlternateContent>
  <xr:revisionPtr revIDLastSave="0" documentId="13_ncr:1_{F30D3B8B-087C-44B3-BBF0-9B3E4CC74945}" xr6:coauthVersionLast="47" xr6:coauthVersionMax="47" xr10:uidLastSave="{00000000-0000-0000-0000-000000000000}"/>
  <bookViews>
    <workbookView xWindow="-110" yWindow="-110" windowWidth="19420" windowHeight="10420" firstSheet="1" activeTab="4" xr2:uid="{E3E5A306-474F-4D96-B142-64C3D8D24DA1}"/>
  </bookViews>
  <sheets>
    <sheet name="Horario profesor" sheetId="46" r:id="rId1"/>
    <sheet name="Horario grupo" sheetId="45" r:id="rId2"/>
    <sheet name="Horario aula" sheetId="56" r:id="rId3"/>
    <sheet name="Índices" sheetId="57" r:id="rId4"/>
    <sheet name="Base de datos" sheetId="33" r:id="rId5"/>
    <sheet name="Profesores" sheetId="35" r:id="rId6"/>
    <sheet name="Pronostico" sheetId="48" r:id="rId7"/>
    <sheet name="Planes de estudio" sheetId="47" r:id="rId8"/>
    <sheet name="Pares" sheetId="59" r:id="rId9"/>
  </sheets>
  <externalReferences>
    <externalReference r:id="rId10"/>
  </externalReferences>
  <definedNames>
    <definedName name="_xlnm._FilterDatabase" localSheetId="8" hidden="1">Pares!$A$1:$Y$1</definedName>
    <definedName name="Aula">'Horario aula'!$D$2</definedName>
    <definedName name="Aulas">Profesores!$AQ$2:$AQ$68</definedName>
    <definedName name="Aulas_capacidad">Tabla12[]</definedName>
    <definedName name="Bioelectrónica">'Planes de estudio'!$J$3:$J$227</definedName>
    <definedName name="Cantidad_de_materias">Profesores!$U$3:$U$145</definedName>
    <definedName name="Capacidad">Profesores!$AR$2:$AR$68</definedName>
    <definedName name="Carrera">'Horario grupo'!$D$2</definedName>
    <definedName name="Carreras">'Planes de estudio'!$D$2:$J$2</definedName>
    <definedName name="Civil_y_Administración">'Planes de estudio'!$I$3:$I$227</definedName>
    <definedName name="Clases_Presenciales">Profesores!$K$3:$K$145</definedName>
    <definedName name="Columna" localSheetId="2">'Horario aula'!$H$2</definedName>
    <definedName name="Columna" localSheetId="0">'Horario profesor'!$J$2</definedName>
    <definedName name="Concepto" localSheetId="2">'Horario aula'!$H$2</definedName>
    <definedName name="Concepto" localSheetId="0">'Horario profesor'!$J$2</definedName>
    <definedName name="Equipo">Profesores!$AS$2:$AS$68</definedName>
    <definedName name="Gdo">Profesores!$AM$2:$AM$7</definedName>
    <definedName name="Gdo.">[1]Profesores!$AM$2:$AM$7</definedName>
    <definedName name="Grado">Profesores!$C$3:$C$145</definedName>
    <definedName name="Hora_de_fin">'Planes de estudio'!$AE$3:$AE$32</definedName>
    <definedName name="Hora_de_inicio">'Planes de estudio'!$AD$3:$AD$32</definedName>
    <definedName name="Horas">'Planes de estudio'!$K$3:$K$227</definedName>
    <definedName name="ICA">Profesores!#REF!</definedName>
    <definedName name="Industrial">'Planes de estudio'!$D$3:$D$227</definedName>
    <definedName name="Innovación_y_Diseño">'Planes de estudio'!$F$3:$F$227</definedName>
    <definedName name="Inteligencia_Artificial">'Planes de estudio'!$G$3:$G$227</definedName>
    <definedName name="Materia_programada">base_de_datos[Materia]</definedName>
    <definedName name="Materias">'Planes de estudio'!$B$3:$B$227</definedName>
    <definedName name="Mecatrónica">'Planes de estudio'!$E$3:$E$227</definedName>
    <definedName name="Metales">Profesores!$AQ$3:$AQ$18</definedName>
    <definedName name="Nombre">Profesores!$F$3:$F$145</definedName>
    <definedName name="Num">Profesores!$B$3:$B$145</definedName>
    <definedName name="Optativa">'Planes de estudio'!$L$3:$L$227</definedName>
    <definedName name="PHíbrido">Profesores!#REF!</definedName>
    <definedName name="Profesor" localSheetId="2">'Horario aula'!$D$2</definedName>
    <definedName name="Profesor" localSheetId="0">'Horario profesor'!$D$2</definedName>
    <definedName name="Sana_distancia">Profesores!$AT$2:$AT$68</definedName>
    <definedName name="Semestre">'Horario grupo'!$G$2</definedName>
    <definedName name="Semestres">'Planes de estudio'!$AB$3:$AB$12</definedName>
    <definedName name="Tecnologías_Energéticas">'Planes de estudio'!$H$3:$H$227</definedName>
    <definedName name="Tipo">Profesores!$D$3:$D$145</definedName>
    <definedName name="Tipo_de_profesor">Profesores!$AO$2:$AO$6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32" i="33" l="1"/>
  <c r="Y32" i="33"/>
  <c r="AA32" i="33"/>
  <c r="AC32" i="33"/>
  <c r="AL32" i="33" s="1"/>
  <c r="AD32" i="33"/>
  <c r="AE32" i="33"/>
  <c r="AF32" i="33"/>
  <c r="AG32" i="33"/>
  <c r="AH32" i="33"/>
  <c r="AI32" i="33"/>
  <c r="AJ32" i="33"/>
  <c r="AK32" i="33"/>
  <c r="AO32" i="33"/>
  <c r="AM32" i="33" l="1"/>
  <c r="AN32" i="33" s="1"/>
  <c r="AQ32" i="33"/>
  <c r="AU32" i="33"/>
  <c r="AT32" i="33"/>
  <c r="AP32" i="33"/>
  <c r="AR32" i="33"/>
  <c r="AS32" i="33"/>
  <c r="AV32" i="33"/>
  <c r="X131" i="33" l="1"/>
  <c r="Y131" i="33"/>
  <c r="AA131" i="33"/>
  <c r="AC131" i="33"/>
  <c r="AL131" i="33" s="1"/>
  <c r="AD131" i="33"/>
  <c r="AE131" i="33"/>
  <c r="AF131" i="33"/>
  <c r="AG131" i="33"/>
  <c r="AH131" i="33"/>
  <c r="AI131" i="33"/>
  <c r="AJ131" i="33"/>
  <c r="AK131" i="33"/>
  <c r="AO131" i="33"/>
  <c r="AJ86" i="35"/>
  <c r="X113" i="33"/>
  <c r="Y113" i="33"/>
  <c r="AA113" i="33"/>
  <c r="AC113" i="33"/>
  <c r="AL113" i="33" s="1"/>
  <c r="AD113" i="33"/>
  <c r="AE113" i="33"/>
  <c r="AF113" i="33"/>
  <c r="AG113" i="33"/>
  <c r="AH113" i="33"/>
  <c r="AI113" i="33"/>
  <c r="AJ113" i="33"/>
  <c r="AK113" i="33"/>
  <c r="AO113" i="33"/>
  <c r="AD39" i="33"/>
  <c r="AC51" i="33"/>
  <c r="AL51" i="33" s="1"/>
  <c r="AC73" i="33"/>
  <c r="AL73" i="33" s="1"/>
  <c r="AC76" i="33"/>
  <c r="AL76" i="33" s="1"/>
  <c r="AC78" i="33"/>
  <c r="AL78" i="33" s="1"/>
  <c r="AC95" i="33"/>
  <c r="AL95" i="33" s="1"/>
  <c r="AC126" i="33"/>
  <c r="AL126" i="33" s="1"/>
  <c r="X109" i="33"/>
  <c r="Y109" i="33"/>
  <c r="AA109" i="33"/>
  <c r="AC109" i="33"/>
  <c r="AL109" i="33" s="1"/>
  <c r="AD109" i="33"/>
  <c r="AE109" i="33"/>
  <c r="AF109" i="33"/>
  <c r="AG109" i="33"/>
  <c r="AH109" i="33"/>
  <c r="AI109" i="33"/>
  <c r="AJ109" i="33"/>
  <c r="AK109" i="33"/>
  <c r="AO109" i="33"/>
  <c r="X162" i="33"/>
  <c r="Y162" i="33"/>
  <c r="AA162" i="33"/>
  <c r="AC162" i="33"/>
  <c r="AL162" i="33" s="1"/>
  <c r="AD162" i="33"/>
  <c r="AE162" i="33"/>
  <c r="AF162" i="33"/>
  <c r="AG162" i="33"/>
  <c r="AH162" i="33"/>
  <c r="AI162" i="33"/>
  <c r="AJ162" i="33"/>
  <c r="AK162" i="33"/>
  <c r="AO162" i="33"/>
  <c r="AE84" i="35" s="1"/>
  <c r="X153" i="33"/>
  <c r="Y153" i="33"/>
  <c r="AA153" i="33"/>
  <c r="AC153" i="33"/>
  <c r="AL153" i="33" s="1"/>
  <c r="AD153" i="33"/>
  <c r="AE153" i="33"/>
  <c r="AF153" i="33"/>
  <c r="AG153" i="33"/>
  <c r="AH153" i="33"/>
  <c r="AI153" i="33"/>
  <c r="AJ153" i="33"/>
  <c r="AK153" i="33"/>
  <c r="AO153" i="33"/>
  <c r="X159" i="33"/>
  <c r="Y159" i="33"/>
  <c r="AA159" i="33"/>
  <c r="AC159" i="33"/>
  <c r="AL159" i="33" s="1"/>
  <c r="AD159" i="33"/>
  <c r="AE159" i="33"/>
  <c r="AF159" i="33"/>
  <c r="AG159" i="33"/>
  <c r="AH159" i="33"/>
  <c r="AI159" i="33"/>
  <c r="AJ159" i="33"/>
  <c r="AK159" i="33"/>
  <c r="AO159" i="33"/>
  <c r="X161" i="33"/>
  <c r="Y161" i="33"/>
  <c r="AA161" i="33"/>
  <c r="AC161" i="33"/>
  <c r="AL161" i="33" s="1"/>
  <c r="AD161" i="33"/>
  <c r="AE161" i="33"/>
  <c r="AF161" i="33"/>
  <c r="AG161" i="33"/>
  <c r="AH161" i="33"/>
  <c r="AI161" i="33"/>
  <c r="AJ161" i="33"/>
  <c r="AK161" i="33"/>
  <c r="AO161" i="33"/>
  <c r="X124" i="33"/>
  <c r="Y124" i="33"/>
  <c r="AA124" i="33"/>
  <c r="AC124" i="33"/>
  <c r="AL124" i="33" s="1"/>
  <c r="AD124" i="33"/>
  <c r="AE124" i="33"/>
  <c r="AF124" i="33"/>
  <c r="AG124" i="33"/>
  <c r="AH124" i="33"/>
  <c r="AI124" i="33"/>
  <c r="AJ124" i="33"/>
  <c r="AK124" i="33"/>
  <c r="AO124" i="33"/>
  <c r="X127" i="33"/>
  <c r="Y127" i="33"/>
  <c r="AA127" i="33"/>
  <c r="AC127" i="33"/>
  <c r="AL127" i="33" s="1"/>
  <c r="AD127" i="33"/>
  <c r="AE127" i="33"/>
  <c r="AF127" i="33"/>
  <c r="AG127" i="33"/>
  <c r="AH127" i="33"/>
  <c r="AI127" i="33"/>
  <c r="AJ127" i="33"/>
  <c r="AK127" i="33"/>
  <c r="AO127" i="33"/>
  <c r="X106" i="33"/>
  <c r="Y106" i="33"/>
  <c r="AA106" i="33"/>
  <c r="AC106" i="33"/>
  <c r="AL106" i="33" s="1"/>
  <c r="AD106" i="33"/>
  <c r="AE106" i="33"/>
  <c r="AF106" i="33"/>
  <c r="AG106" i="33"/>
  <c r="AH106" i="33"/>
  <c r="AI106" i="33"/>
  <c r="AJ106" i="33"/>
  <c r="AK106" i="33"/>
  <c r="AO106" i="33"/>
  <c r="W125" i="35" s="1"/>
  <c r="X103" i="33"/>
  <c r="Y103" i="33"/>
  <c r="AA103" i="33"/>
  <c r="AC103" i="33"/>
  <c r="AL103" i="33" s="1"/>
  <c r="AD103" i="33"/>
  <c r="AE103" i="33"/>
  <c r="AF103" i="33"/>
  <c r="AG103" i="33"/>
  <c r="AH103" i="33"/>
  <c r="AI103" i="33"/>
  <c r="AJ103" i="33"/>
  <c r="AK103" i="33"/>
  <c r="AO103" i="33"/>
  <c r="W51" i="35" s="1"/>
  <c r="X202" i="33"/>
  <c r="Y202" i="33"/>
  <c r="AA202" i="33"/>
  <c r="AC202" i="33"/>
  <c r="AL202" i="33" s="1"/>
  <c r="AD202" i="33"/>
  <c r="AE202" i="33"/>
  <c r="AF202" i="33"/>
  <c r="AG202" i="33"/>
  <c r="AH202" i="33"/>
  <c r="AI202" i="33"/>
  <c r="AJ202" i="33"/>
  <c r="AK202" i="33"/>
  <c r="AO202" i="33"/>
  <c r="AE123" i="35" s="1"/>
  <c r="X182" i="33"/>
  <c r="Y182" i="33"/>
  <c r="AA182" i="33"/>
  <c r="AC182" i="33"/>
  <c r="AL182" i="33" s="1"/>
  <c r="AD182" i="33"/>
  <c r="AE182" i="33"/>
  <c r="AF182" i="33"/>
  <c r="AG182" i="33"/>
  <c r="AH182" i="33"/>
  <c r="AI182" i="33"/>
  <c r="AJ182" i="33"/>
  <c r="AK182" i="33"/>
  <c r="AO182" i="33"/>
  <c r="X63" i="33"/>
  <c r="Y63" i="33"/>
  <c r="AA63" i="33"/>
  <c r="AC63" i="33"/>
  <c r="AL63" i="33" s="1"/>
  <c r="AD63" i="33"/>
  <c r="AE63" i="33"/>
  <c r="AF63" i="33"/>
  <c r="AG63" i="33"/>
  <c r="AH63" i="33"/>
  <c r="AI63" i="33"/>
  <c r="AJ63" i="33"/>
  <c r="AK63" i="33"/>
  <c r="AO63" i="33"/>
  <c r="X5" i="33"/>
  <c r="Y5" i="33"/>
  <c r="AA5" i="33"/>
  <c r="AC5" i="33"/>
  <c r="AL5" i="33" s="1"/>
  <c r="AD5" i="33"/>
  <c r="AE5" i="33"/>
  <c r="AF5" i="33"/>
  <c r="AG5" i="33"/>
  <c r="AH5" i="33"/>
  <c r="AI5" i="33"/>
  <c r="AJ5" i="33"/>
  <c r="AK5" i="33"/>
  <c r="AO5" i="33"/>
  <c r="X177" i="33"/>
  <c r="Y177" i="33"/>
  <c r="AA177" i="33"/>
  <c r="AC177" i="33"/>
  <c r="AL177" i="33" s="1"/>
  <c r="AD177" i="33"/>
  <c r="AE177" i="33"/>
  <c r="AF177" i="33"/>
  <c r="AG177" i="33"/>
  <c r="AH177" i="33"/>
  <c r="AI177" i="33"/>
  <c r="AJ177" i="33"/>
  <c r="AK177" i="33"/>
  <c r="AO177" i="33"/>
  <c r="X223" i="33"/>
  <c r="Y223" i="33"/>
  <c r="AA223" i="33"/>
  <c r="AC223" i="33"/>
  <c r="AL223" i="33" s="1"/>
  <c r="AD223" i="33"/>
  <c r="AE223" i="33"/>
  <c r="AF223" i="33"/>
  <c r="AG223" i="33"/>
  <c r="AH223" i="33"/>
  <c r="AI223" i="33"/>
  <c r="AJ223" i="33"/>
  <c r="AK223" i="33"/>
  <c r="AO223" i="33"/>
  <c r="AG61" i="35" s="1"/>
  <c r="X168" i="33"/>
  <c r="Y168" i="33"/>
  <c r="AA168" i="33"/>
  <c r="AC168" i="33"/>
  <c r="AL168" i="33" s="1"/>
  <c r="AD168" i="33"/>
  <c r="AE168" i="33"/>
  <c r="AF168" i="33"/>
  <c r="AG168" i="33"/>
  <c r="AH168" i="33"/>
  <c r="AI168" i="33"/>
  <c r="AJ168" i="33"/>
  <c r="AK168" i="33"/>
  <c r="AO168" i="33"/>
  <c r="AB27" i="35" s="1"/>
  <c r="X140" i="33"/>
  <c r="Y140" i="33"/>
  <c r="AA140" i="33"/>
  <c r="AC140" i="33"/>
  <c r="AL140" i="33" s="1"/>
  <c r="AD140" i="33"/>
  <c r="AE140" i="33"/>
  <c r="AF140" i="33"/>
  <c r="AG140" i="33"/>
  <c r="AH140" i="33"/>
  <c r="AI140" i="33"/>
  <c r="AJ140" i="33"/>
  <c r="AK140" i="33"/>
  <c r="AO140" i="33"/>
  <c r="V71" i="35" s="1"/>
  <c r="X132" i="33"/>
  <c r="Y132" i="33"/>
  <c r="AA132" i="33"/>
  <c r="AC132" i="33"/>
  <c r="AL132" i="33" s="1"/>
  <c r="AD132" i="33"/>
  <c r="AE132" i="33"/>
  <c r="AF132" i="33"/>
  <c r="AG132" i="33"/>
  <c r="AH132" i="33"/>
  <c r="AI132" i="33"/>
  <c r="AJ132" i="33"/>
  <c r="AK132" i="33"/>
  <c r="AO132" i="33"/>
  <c r="AG48" i="35" s="1"/>
  <c r="X166" i="33"/>
  <c r="Y166" i="33"/>
  <c r="AA166" i="33"/>
  <c r="AC166" i="33"/>
  <c r="AL166" i="33" s="1"/>
  <c r="AD166" i="33"/>
  <c r="AE166" i="33"/>
  <c r="AF166" i="33"/>
  <c r="AG166" i="33"/>
  <c r="AH166" i="33"/>
  <c r="AI166" i="33"/>
  <c r="AJ166" i="33"/>
  <c r="AK166" i="33"/>
  <c r="AO166" i="33"/>
  <c r="X164" i="33"/>
  <c r="Y164" i="33"/>
  <c r="AA164" i="33"/>
  <c r="AC164" i="33"/>
  <c r="AL164" i="33" s="1"/>
  <c r="AD164" i="33"/>
  <c r="AE164" i="33"/>
  <c r="AF164" i="33"/>
  <c r="AG164" i="33"/>
  <c r="AH164" i="33"/>
  <c r="AI164" i="33"/>
  <c r="AJ164" i="33"/>
  <c r="AK164" i="33"/>
  <c r="AO164" i="33"/>
  <c r="Z70" i="35" s="1"/>
  <c r="X118" i="33"/>
  <c r="Y118" i="33"/>
  <c r="AA118" i="33"/>
  <c r="AC118" i="33"/>
  <c r="AL118" i="33" s="1"/>
  <c r="AD118" i="33"/>
  <c r="AE118" i="33"/>
  <c r="AF118" i="33"/>
  <c r="AG118" i="33"/>
  <c r="AH118" i="33"/>
  <c r="AI118" i="33"/>
  <c r="AJ118" i="33"/>
  <c r="AK118" i="33"/>
  <c r="AO118" i="33"/>
  <c r="X71" i="33"/>
  <c r="Y71" i="33"/>
  <c r="AA71" i="33"/>
  <c r="AC71" i="33"/>
  <c r="AL71" i="33" s="1"/>
  <c r="AD71" i="33"/>
  <c r="AE71" i="33"/>
  <c r="AF71" i="33"/>
  <c r="AG71" i="33"/>
  <c r="AH71" i="33"/>
  <c r="AI71" i="33"/>
  <c r="AJ71" i="33"/>
  <c r="AK71" i="33"/>
  <c r="AO71" i="33"/>
  <c r="X16" i="33"/>
  <c r="Y16" i="33"/>
  <c r="AA16" i="33"/>
  <c r="AC16" i="33"/>
  <c r="AL16" i="33" s="1"/>
  <c r="AD16" i="33"/>
  <c r="AE16" i="33"/>
  <c r="AF16" i="33"/>
  <c r="AG16" i="33"/>
  <c r="AH16" i="33"/>
  <c r="AI16" i="33"/>
  <c r="AJ16" i="33"/>
  <c r="AK16" i="33"/>
  <c r="AO16" i="33"/>
  <c r="AA41" i="35" s="1"/>
  <c r="X14" i="33"/>
  <c r="Y14" i="33"/>
  <c r="AA14" i="33"/>
  <c r="AC14" i="33"/>
  <c r="AL14" i="33" s="1"/>
  <c r="AD14" i="33"/>
  <c r="AE14" i="33"/>
  <c r="AF14" i="33"/>
  <c r="AG14" i="33"/>
  <c r="AH14" i="33"/>
  <c r="AI14" i="33"/>
  <c r="AJ14" i="33"/>
  <c r="AK14" i="33"/>
  <c r="AO14" i="33"/>
  <c r="AA39" i="35" s="1"/>
  <c r="X76" i="33"/>
  <c r="Y76" i="33"/>
  <c r="AA76" i="33"/>
  <c r="AD76" i="33"/>
  <c r="AE76" i="33"/>
  <c r="AF76" i="33"/>
  <c r="AG76" i="33"/>
  <c r="AH76" i="33"/>
  <c r="AI76" i="33"/>
  <c r="AJ76" i="33"/>
  <c r="AK76" i="33"/>
  <c r="AO76" i="33"/>
  <c r="X19" i="33"/>
  <c r="Y19" i="33"/>
  <c r="AA19" i="33"/>
  <c r="Z19" i="33" s="1"/>
  <c r="AC19" i="33"/>
  <c r="AL19" i="33" s="1"/>
  <c r="AD19" i="33"/>
  <c r="AE19" i="33"/>
  <c r="AF19" i="33"/>
  <c r="AG19" i="33"/>
  <c r="AH19" i="33"/>
  <c r="AI19" i="33"/>
  <c r="AJ19" i="33"/>
  <c r="AK19" i="33"/>
  <c r="AO19" i="33"/>
  <c r="AJ79" i="35"/>
  <c r="AJ80" i="35"/>
  <c r="AJ85" i="35"/>
  <c r="X26" i="33"/>
  <c r="Y26" i="33"/>
  <c r="AA26" i="33"/>
  <c r="AC26" i="33"/>
  <c r="AL26" i="33" s="1"/>
  <c r="AD26" i="33"/>
  <c r="AE26" i="33"/>
  <c r="AF26" i="33"/>
  <c r="AG26" i="33"/>
  <c r="AH26" i="33"/>
  <c r="AI26" i="33"/>
  <c r="AJ26" i="33"/>
  <c r="AK26" i="33"/>
  <c r="AO26" i="33"/>
  <c r="X25" i="33"/>
  <c r="Y25" i="33"/>
  <c r="AA25" i="33"/>
  <c r="AC25" i="33"/>
  <c r="AL25" i="33" s="1"/>
  <c r="AD25" i="33"/>
  <c r="AE25" i="33"/>
  <c r="AF25" i="33"/>
  <c r="AG25" i="33"/>
  <c r="AH25" i="33"/>
  <c r="AI25" i="33"/>
  <c r="AJ25" i="33"/>
  <c r="AK25" i="33"/>
  <c r="AO25" i="33"/>
  <c r="AE13" i="35" s="1"/>
  <c r="Z136" i="35"/>
  <c r="AJ136" i="35"/>
  <c r="X67" i="33"/>
  <c r="Y67" i="33"/>
  <c r="AA67" i="33"/>
  <c r="AC67" i="33"/>
  <c r="AL67" i="33" s="1"/>
  <c r="AD67" i="33"/>
  <c r="AE67" i="33"/>
  <c r="AF67" i="33"/>
  <c r="AG67" i="33"/>
  <c r="AH67" i="33"/>
  <c r="AI67" i="33"/>
  <c r="AJ67" i="33"/>
  <c r="AK67" i="33"/>
  <c r="AO67" i="33"/>
  <c r="X65" i="33"/>
  <c r="Y65" i="33"/>
  <c r="AA65" i="33"/>
  <c r="AC65" i="33"/>
  <c r="AL65" i="33" s="1"/>
  <c r="AD65" i="33"/>
  <c r="AE65" i="33"/>
  <c r="AF65" i="33"/>
  <c r="AG65" i="33"/>
  <c r="AH65" i="33"/>
  <c r="AI65" i="33"/>
  <c r="AJ65" i="33"/>
  <c r="AK65" i="33"/>
  <c r="AO65" i="33"/>
  <c r="X54" i="33"/>
  <c r="Y54" i="33"/>
  <c r="AA54" i="33"/>
  <c r="AC54" i="33"/>
  <c r="AL54" i="33" s="1"/>
  <c r="AD54" i="33"/>
  <c r="AE54" i="33"/>
  <c r="AF54" i="33"/>
  <c r="AG54" i="33"/>
  <c r="AH54" i="33"/>
  <c r="AI54" i="33"/>
  <c r="AJ54" i="33"/>
  <c r="AK54" i="33"/>
  <c r="AO54" i="33"/>
  <c r="AO149" i="33"/>
  <c r="AK149" i="33"/>
  <c r="AJ149" i="33"/>
  <c r="AI149" i="33"/>
  <c r="AH149" i="33"/>
  <c r="AG149" i="33"/>
  <c r="AF149" i="33"/>
  <c r="AE149" i="33"/>
  <c r="AD149" i="33"/>
  <c r="AC149" i="33"/>
  <c r="AL149" i="33" s="1"/>
  <c r="AA149" i="33"/>
  <c r="Y149" i="33"/>
  <c r="X149" i="33"/>
  <c r="AO48" i="33"/>
  <c r="AK48" i="33"/>
  <c r="AJ48" i="33"/>
  <c r="AI48" i="33"/>
  <c r="AH48" i="33"/>
  <c r="AG48" i="33"/>
  <c r="AF48" i="33"/>
  <c r="AE48" i="33"/>
  <c r="AD48" i="33"/>
  <c r="AC48" i="33"/>
  <c r="AL48" i="33" s="1"/>
  <c r="AA48" i="33"/>
  <c r="Y48" i="33"/>
  <c r="X48" i="33"/>
  <c r="X134" i="33"/>
  <c r="Y134" i="33"/>
  <c r="AA134" i="33"/>
  <c r="AC134" i="33"/>
  <c r="AL134" i="33" s="1"/>
  <c r="AD134" i="33"/>
  <c r="AE134" i="33"/>
  <c r="AF134" i="33"/>
  <c r="AG134" i="33"/>
  <c r="AH134" i="33"/>
  <c r="AI134" i="33"/>
  <c r="AJ134" i="33"/>
  <c r="AK134" i="33"/>
  <c r="AO134" i="33"/>
  <c r="AG136" i="35"/>
  <c r="AA136" i="35"/>
  <c r="Y136" i="35"/>
  <c r="AE136" i="35"/>
  <c r="V136" i="35"/>
  <c r="AC136" i="35"/>
  <c r="AF136" i="35"/>
  <c r="AB136" i="35"/>
  <c r="W136" i="35"/>
  <c r="AD136" i="35"/>
  <c r="X87" i="33"/>
  <c r="Y87" i="33"/>
  <c r="AA87" i="33"/>
  <c r="AC87" i="33"/>
  <c r="AL87" i="33" s="1"/>
  <c r="AD87" i="33"/>
  <c r="AE87" i="33"/>
  <c r="AF87" i="33"/>
  <c r="AG87" i="33"/>
  <c r="AH87" i="33"/>
  <c r="AI87" i="33"/>
  <c r="AJ87" i="33"/>
  <c r="AK87" i="33"/>
  <c r="AO87" i="33"/>
  <c r="X92" i="33"/>
  <c r="Y92" i="33"/>
  <c r="AA92" i="33"/>
  <c r="AC92" i="33"/>
  <c r="AL92" i="33" s="1"/>
  <c r="AD92" i="33"/>
  <c r="AE92" i="33"/>
  <c r="AF92" i="33"/>
  <c r="AG92" i="33"/>
  <c r="AH92" i="33"/>
  <c r="AI92" i="33"/>
  <c r="AJ92" i="33"/>
  <c r="AK92" i="33"/>
  <c r="AO92" i="33"/>
  <c r="X215" i="33"/>
  <c r="Y215" i="33"/>
  <c r="AA215" i="33"/>
  <c r="AC215" i="33"/>
  <c r="AL215" i="33" s="1"/>
  <c r="AD215" i="33"/>
  <c r="AE215" i="33"/>
  <c r="AF215" i="33"/>
  <c r="AG215" i="33"/>
  <c r="AH215" i="33"/>
  <c r="AI215" i="33"/>
  <c r="AJ215" i="33"/>
  <c r="AK215" i="33"/>
  <c r="AO215" i="33"/>
  <c r="X196" i="33"/>
  <c r="Y196" i="33"/>
  <c r="AA196" i="33"/>
  <c r="AC196" i="33"/>
  <c r="AL196" i="33" s="1"/>
  <c r="AD196" i="33"/>
  <c r="AE196" i="33"/>
  <c r="AF196" i="33"/>
  <c r="AG196" i="33"/>
  <c r="AH196" i="33"/>
  <c r="AI196" i="33"/>
  <c r="AJ196" i="33"/>
  <c r="AK196" i="33"/>
  <c r="AO196" i="33"/>
  <c r="AJ78" i="35"/>
  <c r="X200" i="33"/>
  <c r="Y200" i="33"/>
  <c r="AA200" i="33"/>
  <c r="AC200" i="33"/>
  <c r="AL200" i="33" s="1"/>
  <c r="AD200" i="33"/>
  <c r="AE200" i="33"/>
  <c r="AF200" i="33"/>
  <c r="AG200" i="33"/>
  <c r="AH200" i="33"/>
  <c r="AI200" i="33"/>
  <c r="AJ200" i="33"/>
  <c r="AK200" i="33"/>
  <c r="AO200" i="33"/>
  <c r="X157" i="33"/>
  <c r="Y157" i="33"/>
  <c r="AA157" i="33"/>
  <c r="AC157" i="33"/>
  <c r="AL157" i="33" s="1"/>
  <c r="AD157" i="33"/>
  <c r="AE157" i="33"/>
  <c r="AF157" i="33"/>
  <c r="AG157" i="33"/>
  <c r="AH157" i="33"/>
  <c r="AI157" i="33"/>
  <c r="AJ157" i="33"/>
  <c r="AK157" i="33"/>
  <c r="AO157" i="33"/>
  <c r="X90" i="33"/>
  <c r="Y90" i="33"/>
  <c r="AA90" i="33"/>
  <c r="AC90" i="33"/>
  <c r="AL90" i="33" s="1"/>
  <c r="AD90" i="33"/>
  <c r="AE90" i="33"/>
  <c r="AF90" i="33"/>
  <c r="AG90" i="33"/>
  <c r="AH90" i="33"/>
  <c r="AI90" i="33"/>
  <c r="AJ90" i="33"/>
  <c r="AK90" i="33"/>
  <c r="AO90" i="33"/>
  <c r="X89" i="33"/>
  <c r="Y89" i="33"/>
  <c r="AA89" i="33"/>
  <c r="AC89" i="33"/>
  <c r="AL89" i="33" s="1"/>
  <c r="AD89" i="33"/>
  <c r="AE89" i="33"/>
  <c r="AF89" i="33"/>
  <c r="AG89" i="33"/>
  <c r="AH89" i="33"/>
  <c r="AI89" i="33"/>
  <c r="AJ89" i="33"/>
  <c r="AK89" i="33"/>
  <c r="AO89" i="33"/>
  <c r="AC57" i="35" s="1"/>
  <c r="AJ104" i="35"/>
  <c r="X43" i="33"/>
  <c r="Y43" i="33"/>
  <c r="AA43" i="33"/>
  <c r="AC43" i="33"/>
  <c r="AL43" i="33" s="1"/>
  <c r="AD43" i="33"/>
  <c r="AE43" i="33"/>
  <c r="AF43" i="33"/>
  <c r="AG43" i="33"/>
  <c r="AH43" i="33"/>
  <c r="AI43" i="33"/>
  <c r="AJ43" i="33"/>
  <c r="AK43" i="33"/>
  <c r="AO43" i="33"/>
  <c r="AC28" i="35" s="1"/>
  <c r="X44" i="33"/>
  <c r="Y44" i="33"/>
  <c r="AA44" i="33"/>
  <c r="AC44" i="33"/>
  <c r="AL44" i="33" s="1"/>
  <c r="AD44" i="33"/>
  <c r="AE44" i="33"/>
  <c r="AF44" i="33"/>
  <c r="AG44" i="33"/>
  <c r="AH44" i="33"/>
  <c r="AI44" i="33"/>
  <c r="AJ44" i="33"/>
  <c r="AK44" i="33"/>
  <c r="AO44" i="33"/>
  <c r="X6" i="33"/>
  <c r="Y6" i="33"/>
  <c r="AA6" i="33"/>
  <c r="AC6" i="33"/>
  <c r="AL6" i="33" s="1"/>
  <c r="AD6" i="33"/>
  <c r="AE6" i="33"/>
  <c r="AF6" i="33"/>
  <c r="AG6" i="33"/>
  <c r="AH6" i="33"/>
  <c r="AI6" i="33"/>
  <c r="AJ6" i="33"/>
  <c r="AK6" i="33"/>
  <c r="AO6" i="33"/>
  <c r="X86" i="33"/>
  <c r="Y86" i="33"/>
  <c r="AA86" i="33"/>
  <c r="AC86" i="33"/>
  <c r="AL86" i="33" s="1"/>
  <c r="AD86" i="33"/>
  <c r="AE86" i="33"/>
  <c r="AF86" i="33"/>
  <c r="AG86" i="33"/>
  <c r="AH86" i="33"/>
  <c r="AI86" i="33"/>
  <c r="AJ86" i="33"/>
  <c r="AK86" i="33"/>
  <c r="AO86" i="33"/>
  <c r="X85" i="33"/>
  <c r="Y85" i="33"/>
  <c r="AA85" i="33"/>
  <c r="AC85" i="33"/>
  <c r="AL85" i="33" s="1"/>
  <c r="AD85" i="33"/>
  <c r="AE85" i="33"/>
  <c r="AF85" i="33"/>
  <c r="AG85" i="33"/>
  <c r="AH85" i="33"/>
  <c r="AI85" i="33"/>
  <c r="AJ85" i="33"/>
  <c r="AK85" i="33"/>
  <c r="AO85" i="33"/>
  <c r="AJ81" i="35"/>
  <c r="AJ75" i="35"/>
  <c r="X3" i="33"/>
  <c r="Y3" i="33"/>
  <c r="AA3" i="33"/>
  <c r="AC3" i="33"/>
  <c r="AL3" i="33" s="1"/>
  <c r="AD3" i="33"/>
  <c r="AE3" i="33"/>
  <c r="AF3" i="33"/>
  <c r="AG3" i="33"/>
  <c r="AH3" i="33"/>
  <c r="AI3" i="33"/>
  <c r="AJ3" i="33"/>
  <c r="AK3" i="33"/>
  <c r="AO3" i="33"/>
  <c r="Z75" i="35" s="1"/>
  <c r="X73" i="33"/>
  <c r="Y73" i="33"/>
  <c r="AA73" i="33"/>
  <c r="AD73" i="33"/>
  <c r="AE73" i="33"/>
  <c r="AF73" i="33"/>
  <c r="AG73" i="33"/>
  <c r="AH73" i="33"/>
  <c r="AI73" i="33"/>
  <c r="AJ73" i="33"/>
  <c r="AK73" i="33"/>
  <c r="AO73" i="33"/>
  <c r="AA74" i="35" s="1"/>
  <c r="AJ74" i="35"/>
  <c r="X122" i="33"/>
  <c r="Y122" i="33"/>
  <c r="AA122" i="33"/>
  <c r="AC122" i="33"/>
  <c r="AL122" i="33" s="1"/>
  <c r="AD122" i="33"/>
  <c r="AE122" i="33"/>
  <c r="AF122" i="33"/>
  <c r="AG122" i="33"/>
  <c r="AH122" i="33"/>
  <c r="AI122" i="33"/>
  <c r="AJ122" i="33"/>
  <c r="AK122" i="33"/>
  <c r="AO122" i="33"/>
  <c r="AG47" i="35" s="1"/>
  <c r="X129" i="33"/>
  <c r="Y129" i="33"/>
  <c r="AA129" i="33"/>
  <c r="AC129" i="33"/>
  <c r="AL129" i="33" s="1"/>
  <c r="AD129" i="33"/>
  <c r="AE129" i="33"/>
  <c r="AF129" i="33"/>
  <c r="AG129" i="33"/>
  <c r="AH129" i="33"/>
  <c r="AI129" i="33"/>
  <c r="AJ129" i="33"/>
  <c r="AK129" i="33"/>
  <c r="AO129" i="33"/>
  <c r="X125" i="33"/>
  <c r="Y125" i="33"/>
  <c r="AA125" i="33"/>
  <c r="AC125" i="33"/>
  <c r="AL125" i="33" s="1"/>
  <c r="AD125" i="33"/>
  <c r="AE125" i="33"/>
  <c r="AF125" i="33"/>
  <c r="AG125" i="33"/>
  <c r="AH125" i="33"/>
  <c r="AI125" i="33"/>
  <c r="AJ125" i="33"/>
  <c r="AK125" i="33"/>
  <c r="AO125" i="33"/>
  <c r="AE50" i="35" s="1"/>
  <c r="X9" i="33"/>
  <c r="Y9" i="33"/>
  <c r="AA9" i="33"/>
  <c r="Z9" i="33" s="1"/>
  <c r="AC9" i="33"/>
  <c r="AL9" i="33" s="1"/>
  <c r="AD9" i="33"/>
  <c r="AE9" i="33"/>
  <c r="AF9" i="33"/>
  <c r="AG9" i="33"/>
  <c r="AH9" i="33"/>
  <c r="AI9" i="33"/>
  <c r="AJ9" i="33"/>
  <c r="AK9" i="33"/>
  <c r="AO9" i="33"/>
  <c r="AJ73" i="35"/>
  <c r="AJ77" i="35"/>
  <c r="X183" i="33"/>
  <c r="Y183" i="33"/>
  <c r="AA183" i="33"/>
  <c r="AC183" i="33"/>
  <c r="AL183" i="33" s="1"/>
  <c r="AD183" i="33"/>
  <c r="AE183" i="33"/>
  <c r="AF183" i="33"/>
  <c r="AG183" i="33"/>
  <c r="AH183" i="33"/>
  <c r="AI183" i="33"/>
  <c r="AJ183" i="33"/>
  <c r="AK183" i="33"/>
  <c r="AO183" i="33"/>
  <c r="X121" i="33"/>
  <c r="Y121" i="33"/>
  <c r="AA121" i="33"/>
  <c r="AC121" i="33"/>
  <c r="AL121" i="33" s="1"/>
  <c r="AD121" i="33"/>
  <c r="AE121" i="33"/>
  <c r="AF121" i="33"/>
  <c r="AG121" i="33"/>
  <c r="AH121" i="33"/>
  <c r="AI121" i="33"/>
  <c r="AJ121" i="33"/>
  <c r="AK121" i="33"/>
  <c r="AO121" i="33"/>
  <c r="X7" i="33"/>
  <c r="Y7" i="33"/>
  <c r="AA7" i="33"/>
  <c r="AC7" i="33"/>
  <c r="AL7" i="33" s="1"/>
  <c r="AD7" i="33"/>
  <c r="AE7" i="33"/>
  <c r="AF7" i="33"/>
  <c r="AG7" i="33"/>
  <c r="AH7" i="33"/>
  <c r="AI7" i="33"/>
  <c r="AJ7" i="33"/>
  <c r="AK7" i="33"/>
  <c r="AO7" i="33"/>
  <c r="X224" i="33"/>
  <c r="Y224" i="33"/>
  <c r="AA224" i="33"/>
  <c r="Z224" i="33" s="1"/>
  <c r="AC224" i="33"/>
  <c r="AL224" i="33" s="1"/>
  <c r="AD224" i="33"/>
  <c r="AE224" i="33"/>
  <c r="AF224" i="33"/>
  <c r="AG224" i="33"/>
  <c r="AH224" i="33"/>
  <c r="AI224" i="33"/>
  <c r="AJ224" i="33"/>
  <c r="AK224" i="33"/>
  <c r="AO224" i="33"/>
  <c r="X34" i="33"/>
  <c r="Y34" i="33"/>
  <c r="AA34" i="33"/>
  <c r="AC34" i="33"/>
  <c r="AL34" i="33" s="1"/>
  <c r="AD34" i="33"/>
  <c r="AE34" i="33"/>
  <c r="AF34" i="33"/>
  <c r="AG34" i="33"/>
  <c r="AH34" i="33"/>
  <c r="AI34" i="33"/>
  <c r="AJ34" i="33"/>
  <c r="AK34" i="33"/>
  <c r="AO34" i="33"/>
  <c r="AC60" i="35" s="1"/>
  <c r="X68" i="33"/>
  <c r="Y68" i="33"/>
  <c r="AA68" i="33"/>
  <c r="AC68" i="33"/>
  <c r="AL68" i="33" s="1"/>
  <c r="AD68" i="33"/>
  <c r="AE68" i="33"/>
  <c r="AF68" i="33"/>
  <c r="AG68" i="33"/>
  <c r="AH68" i="33"/>
  <c r="AI68" i="33"/>
  <c r="AJ68" i="33"/>
  <c r="AK68" i="33"/>
  <c r="AO68" i="33"/>
  <c r="AG26" i="35" s="1"/>
  <c r="X72" i="33"/>
  <c r="Y72" i="33"/>
  <c r="AA72" i="33"/>
  <c r="AC72" i="33"/>
  <c r="AL72" i="33" s="1"/>
  <c r="AD72" i="33"/>
  <c r="AE72" i="33"/>
  <c r="AF72" i="33"/>
  <c r="AG72" i="33"/>
  <c r="AH72" i="33"/>
  <c r="AI72" i="33"/>
  <c r="AJ72" i="33"/>
  <c r="AK72" i="33"/>
  <c r="AO72" i="33"/>
  <c r="X42" i="33"/>
  <c r="Y42" i="33"/>
  <c r="AA42" i="33"/>
  <c r="AC42" i="33"/>
  <c r="AL42" i="33" s="1"/>
  <c r="AD42" i="33"/>
  <c r="AE42" i="33"/>
  <c r="AF42" i="33"/>
  <c r="AG42" i="33"/>
  <c r="AH42" i="33"/>
  <c r="AI42" i="33"/>
  <c r="AJ42" i="33"/>
  <c r="AK42" i="33"/>
  <c r="AO42" i="33"/>
  <c r="X35" i="33"/>
  <c r="Y35" i="33"/>
  <c r="AA35" i="33"/>
  <c r="AC35" i="33"/>
  <c r="AL35" i="33" s="1"/>
  <c r="AD35" i="33"/>
  <c r="AE35" i="33"/>
  <c r="AF35" i="33"/>
  <c r="AG35" i="33"/>
  <c r="AH35" i="33"/>
  <c r="AI35" i="33"/>
  <c r="AJ35" i="33"/>
  <c r="AK35" i="33"/>
  <c r="AO35" i="33"/>
  <c r="AJ76" i="35"/>
  <c r="X180" i="33"/>
  <c r="Y180" i="33"/>
  <c r="AA180" i="33"/>
  <c r="AC180" i="33"/>
  <c r="AL180" i="33" s="1"/>
  <c r="AD180" i="33"/>
  <c r="AE180" i="33"/>
  <c r="AF180" i="33"/>
  <c r="AG180" i="33"/>
  <c r="AH180" i="33"/>
  <c r="AI180" i="33"/>
  <c r="AJ180" i="33"/>
  <c r="AK180" i="33"/>
  <c r="AO180" i="33"/>
  <c r="AD23" i="35" s="1"/>
  <c r="X169" i="33"/>
  <c r="Y169" i="33"/>
  <c r="AA169" i="33"/>
  <c r="AC169" i="33"/>
  <c r="AL169" i="33" s="1"/>
  <c r="AD169" i="33"/>
  <c r="AE169" i="33"/>
  <c r="AF169" i="33"/>
  <c r="AG169" i="33"/>
  <c r="AH169" i="33"/>
  <c r="AI169" i="33"/>
  <c r="AJ169" i="33"/>
  <c r="AK169" i="33"/>
  <c r="AO169" i="33"/>
  <c r="X100" i="33"/>
  <c r="Y100" i="33"/>
  <c r="AA100" i="33"/>
  <c r="AC100" i="33"/>
  <c r="AL100" i="33" s="1"/>
  <c r="AD100" i="33"/>
  <c r="AE100" i="33"/>
  <c r="AF100" i="33"/>
  <c r="AG100" i="33"/>
  <c r="AH100" i="33"/>
  <c r="AI100" i="33"/>
  <c r="AJ100" i="33"/>
  <c r="AK100" i="33"/>
  <c r="AO100" i="33"/>
  <c r="X18" i="33"/>
  <c r="Y18" i="33"/>
  <c r="AA18" i="33"/>
  <c r="AC18" i="33"/>
  <c r="AL18" i="33" s="1"/>
  <c r="AD18" i="33"/>
  <c r="AE18" i="33"/>
  <c r="AF18" i="33"/>
  <c r="AG18" i="33"/>
  <c r="AH18" i="33"/>
  <c r="AI18" i="33"/>
  <c r="AJ18" i="33"/>
  <c r="AK18" i="33"/>
  <c r="AO18" i="33"/>
  <c r="AB24" i="35" s="1"/>
  <c r="AO154" i="33"/>
  <c r="AK154" i="33"/>
  <c r="AJ154" i="33"/>
  <c r="AI154" i="33"/>
  <c r="AH154" i="33"/>
  <c r="AG154" i="33"/>
  <c r="AF154" i="33"/>
  <c r="AE154" i="33"/>
  <c r="AD154" i="33"/>
  <c r="AC154" i="33"/>
  <c r="AL154" i="33" s="1"/>
  <c r="AA154" i="33"/>
  <c r="Y154" i="33"/>
  <c r="X154" i="33"/>
  <c r="X199" i="33"/>
  <c r="Y199" i="33"/>
  <c r="AA199" i="33"/>
  <c r="AC199" i="33"/>
  <c r="AL199" i="33" s="1"/>
  <c r="AD199" i="33"/>
  <c r="AE199" i="33"/>
  <c r="AF199" i="33"/>
  <c r="AG199" i="33"/>
  <c r="AH199" i="33"/>
  <c r="AI199" i="33"/>
  <c r="AJ199" i="33"/>
  <c r="AK199" i="33"/>
  <c r="AO199" i="33"/>
  <c r="X62" i="33"/>
  <c r="Y62" i="33"/>
  <c r="AA62" i="33"/>
  <c r="AC62" i="33"/>
  <c r="AL62" i="33" s="1"/>
  <c r="AD62" i="33"/>
  <c r="AE62" i="33"/>
  <c r="AF62" i="33"/>
  <c r="AG62" i="33"/>
  <c r="AH62" i="33"/>
  <c r="AI62" i="33"/>
  <c r="AJ62" i="33"/>
  <c r="AK62" i="33"/>
  <c r="AO62" i="33"/>
  <c r="AG100" i="35" s="1"/>
  <c r="X123" i="33"/>
  <c r="Y123" i="33"/>
  <c r="AA123" i="33"/>
  <c r="AC123" i="33"/>
  <c r="AL123" i="33" s="1"/>
  <c r="AD123" i="33"/>
  <c r="AE123" i="33"/>
  <c r="AF123" i="33"/>
  <c r="AG123" i="33"/>
  <c r="AH123" i="33"/>
  <c r="AI123" i="33"/>
  <c r="AJ123" i="33"/>
  <c r="AK123" i="33"/>
  <c r="AO123" i="33"/>
  <c r="X193" i="33"/>
  <c r="Y193" i="33"/>
  <c r="AA193" i="33"/>
  <c r="AC193" i="33"/>
  <c r="AL193" i="33" s="1"/>
  <c r="AD193" i="33"/>
  <c r="AE193" i="33"/>
  <c r="AF193" i="33"/>
  <c r="AG193" i="33"/>
  <c r="AH193" i="33"/>
  <c r="AI193" i="33"/>
  <c r="AJ193" i="33"/>
  <c r="AK193" i="33"/>
  <c r="AO193" i="33"/>
  <c r="X217" i="33"/>
  <c r="Y217" i="33"/>
  <c r="AA217" i="33"/>
  <c r="AC217" i="33"/>
  <c r="AL217" i="33" s="1"/>
  <c r="AD217" i="33"/>
  <c r="AE217" i="33"/>
  <c r="AF217" i="33"/>
  <c r="AG217" i="33"/>
  <c r="AH217" i="33"/>
  <c r="AI217" i="33"/>
  <c r="AJ217" i="33"/>
  <c r="AK217" i="33"/>
  <c r="AO217" i="33"/>
  <c r="AG101" i="35" s="1"/>
  <c r="AJ140" i="35"/>
  <c r="X203" i="33"/>
  <c r="Y203" i="33"/>
  <c r="AA203" i="33"/>
  <c r="AC203" i="33"/>
  <c r="AL203" i="33" s="1"/>
  <c r="AD203" i="33"/>
  <c r="AE203" i="33"/>
  <c r="AF203" i="33"/>
  <c r="AG203" i="33"/>
  <c r="AH203" i="33"/>
  <c r="AI203" i="33"/>
  <c r="AJ203" i="33"/>
  <c r="AK203" i="33"/>
  <c r="AO203" i="33"/>
  <c r="AE80" i="35" s="1"/>
  <c r="X191" i="33"/>
  <c r="Y191" i="33"/>
  <c r="AA191" i="33"/>
  <c r="AC191" i="33"/>
  <c r="AL191" i="33" s="1"/>
  <c r="AD191" i="33"/>
  <c r="AE191" i="33"/>
  <c r="AF191" i="33"/>
  <c r="AG191" i="33"/>
  <c r="AH191" i="33"/>
  <c r="AI191" i="33"/>
  <c r="AJ191" i="33"/>
  <c r="AK191" i="33"/>
  <c r="AO191" i="33"/>
  <c r="AJ145" i="35"/>
  <c r="X211" i="33"/>
  <c r="Y211" i="33"/>
  <c r="AA211" i="33"/>
  <c r="AC211" i="33"/>
  <c r="AL211" i="33" s="1"/>
  <c r="AD211" i="33"/>
  <c r="AE211" i="33"/>
  <c r="AF211" i="33"/>
  <c r="AG211" i="33"/>
  <c r="AH211" i="33"/>
  <c r="AI211" i="33"/>
  <c r="AJ211" i="33"/>
  <c r="AK211" i="33"/>
  <c r="AO211" i="33"/>
  <c r="X117" i="33"/>
  <c r="Y117" i="33"/>
  <c r="AA117" i="33"/>
  <c r="AC117" i="33"/>
  <c r="AL117" i="33" s="1"/>
  <c r="AD117" i="33"/>
  <c r="AE117" i="33"/>
  <c r="AF117" i="33"/>
  <c r="AG117" i="33"/>
  <c r="AH117" i="33"/>
  <c r="AI117" i="33"/>
  <c r="AJ117" i="33"/>
  <c r="AK117" i="33"/>
  <c r="AO117" i="33"/>
  <c r="V145" i="35"/>
  <c r="X197" i="33"/>
  <c r="Y197" i="33"/>
  <c r="AA197" i="33"/>
  <c r="AC197" i="33"/>
  <c r="AL197" i="33" s="1"/>
  <c r="AD197" i="33"/>
  <c r="AE197" i="33"/>
  <c r="AF197" i="33"/>
  <c r="AG197" i="33"/>
  <c r="AH197" i="33"/>
  <c r="AI197" i="33"/>
  <c r="AJ197" i="33"/>
  <c r="AK197" i="33"/>
  <c r="AO197" i="33"/>
  <c r="X190" i="33"/>
  <c r="Y190" i="33"/>
  <c r="AA190" i="33"/>
  <c r="AC190" i="33"/>
  <c r="AL190" i="33" s="1"/>
  <c r="AD190" i="33"/>
  <c r="AE190" i="33"/>
  <c r="AF190" i="33"/>
  <c r="AG190" i="33"/>
  <c r="AH190" i="33"/>
  <c r="AI190" i="33"/>
  <c r="AJ190" i="33"/>
  <c r="AK190" i="33"/>
  <c r="AO190" i="33"/>
  <c r="X194" i="33"/>
  <c r="Y194" i="33"/>
  <c r="AA194" i="33"/>
  <c r="AC194" i="33"/>
  <c r="AL194" i="33" s="1"/>
  <c r="AD194" i="33"/>
  <c r="AE194" i="33"/>
  <c r="AF194" i="33"/>
  <c r="AG194" i="33"/>
  <c r="AH194" i="33"/>
  <c r="AI194" i="33"/>
  <c r="AJ194" i="33"/>
  <c r="AK194" i="33"/>
  <c r="AO194" i="33"/>
  <c r="X188" i="33"/>
  <c r="Y188" i="33"/>
  <c r="AA188" i="33"/>
  <c r="AC188" i="33"/>
  <c r="AL188" i="33" s="1"/>
  <c r="AD188" i="33"/>
  <c r="AE188" i="33"/>
  <c r="AF188" i="33"/>
  <c r="AG188" i="33"/>
  <c r="AH188" i="33"/>
  <c r="AI188" i="33"/>
  <c r="AJ188" i="33"/>
  <c r="AK188" i="33"/>
  <c r="AO188" i="33"/>
  <c r="Z99" i="35" s="1"/>
  <c r="X96" i="33"/>
  <c r="Y96" i="33"/>
  <c r="AA96" i="33"/>
  <c r="AC96" i="33"/>
  <c r="AL96" i="33" s="1"/>
  <c r="AD96" i="33"/>
  <c r="AE96" i="33"/>
  <c r="AF96" i="33"/>
  <c r="AG96" i="33"/>
  <c r="AH96" i="33"/>
  <c r="AI96" i="33"/>
  <c r="AJ96" i="33"/>
  <c r="AK96" i="33"/>
  <c r="AO96" i="33"/>
  <c r="AF111" i="35" s="1"/>
  <c r="X59" i="33"/>
  <c r="Y59" i="33"/>
  <c r="AA59" i="33"/>
  <c r="AC59" i="33"/>
  <c r="AL59" i="33" s="1"/>
  <c r="AD59" i="33"/>
  <c r="AE59" i="33"/>
  <c r="AF59" i="33"/>
  <c r="AG59" i="33"/>
  <c r="AH59" i="33"/>
  <c r="AI59" i="33"/>
  <c r="AJ59" i="33"/>
  <c r="AK59" i="33"/>
  <c r="AO59" i="33"/>
  <c r="AG98" i="35" s="1"/>
  <c r="X58" i="33"/>
  <c r="Y58" i="33"/>
  <c r="AA58" i="33"/>
  <c r="AC58" i="33"/>
  <c r="AL58" i="33" s="1"/>
  <c r="AD58" i="33"/>
  <c r="AE58" i="33"/>
  <c r="AF58" i="33"/>
  <c r="AG58" i="33"/>
  <c r="AH58" i="33"/>
  <c r="AI58" i="33"/>
  <c r="AJ58" i="33"/>
  <c r="AK58" i="33"/>
  <c r="AO58" i="33"/>
  <c r="W5" i="35" s="1"/>
  <c r="X51" i="33"/>
  <c r="Y51" i="33"/>
  <c r="AA51" i="33"/>
  <c r="AD51" i="33"/>
  <c r="AE51" i="33"/>
  <c r="AF51" i="33"/>
  <c r="AG51" i="33"/>
  <c r="AH51" i="33"/>
  <c r="AI51" i="33"/>
  <c r="AJ51" i="33"/>
  <c r="AK51" i="33"/>
  <c r="AO51" i="33"/>
  <c r="AE81" i="35" s="1"/>
  <c r="X189" i="33"/>
  <c r="Y189" i="33"/>
  <c r="AA189" i="33"/>
  <c r="AC189" i="33"/>
  <c r="AL189" i="33" s="1"/>
  <c r="AD189" i="33"/>
  <c r="AE189" i="33"/>
  <c r="AF189" i="33"/>
  <c r="AG189" i="33"/>
  <c r="AH189" i="33"/>
  <c r="AI189" i="33"/>
  <c r="AJ189" i="33"/>
  <c r="AK189" i="33"/>
  <c r="AO189" i="33"/>
  <c r="AC73" i="35" s="1"/>
  <c r="X17" i="33"/>
  <c r="Y17" i="33"/>
  <c r="AA17" i="33"/>
  <c r="AC17" i="33"/>
  <c r="AL17" i="33" s="1"/>
  <c r="AD17" i="33"/>
  <c r="AE17" i="33"/>
  <c r="AF17" i="33"/>
  <c r="AG17" i="33"/>
  <c r="AH17" i="33"/>
  <c r="AI17" i="33"/>
  <c r="AJ17" i="33"/>
  <c r="AK17" i="33"/>
  <c r="AO17" i="33"/>
  <c r="AG10" i="35" s="1"/>
  <c r="X22" i="33"/>
  <c r="Y22" i="33"/>
  <c r="AA22" i="33"/>
  <c r="AC22" i="33"/>
  <c r="AL22" i="33" s="1"/>
  <c r="AD22" i="33"/>
  <c r="AE22" i="33"/>
  <c r="AF22" i="33"/>
  <c r="AG22" i="33"/>
  <c r="AH22" i="33"/>
  <c r="AI22" i="33"/>
  <c r="AJ22" i="33"/>
  <c r="AK22" i="33"/>
  <c r="AO22" i="33"/>
  <c r="X21" i="33"/>
  <c r="Y21" i="33"/>
  <c r="AA21" i="33"/>
  <c r="AC21" i="33"/>
  <c r="AL21" i="33" s="1"/>
  <c r="AD21" i="33"/>
  <c r="AE21" i="33"/>
  <c r="AF21" i="33"/>
  <c r="AG21" i="33"/>
  <c r="AH21" i="33"/>
  <c r="AI21" i="33"/>
  <c r="AJ21" i="33"/>
  <c r="AK21" i="33"/>
  <c r="AO21" i="33"/>
  <c r="X64" i="33"/>
  <c r="Y64" i="33"/>
  <c r="AA64" i="33"/>
  <c r="AC64" i="33"/>
  <c r="AL64" i="33" s="1"/>
  <c r="AD64" i="33"/>
  <c r="AE64" i="33"/>
  <c r="AF64" i="33"/>
  <c r="AG64" i="33"/>
  <c r="AH64" i="33"/>
  <c r="AI64" i="33"/>
  <c r="AJ64" i="33"/>
  <c r="AK64" i="33"/>
  <c r="AO64" i="33"/>
  <c r="V52" i="35" s="1"/>
  <c r="AD145" i="35"/>
  <c r="Z145" i="35"/>
  <c r="AG145" i="35"/>
  <c r="AC145" i="35"/>
  <c r="Y145" i="35"/>
  <c r="AF145" i="35"/>
  <c r="AB145" i="35"/>
  <c r="W145" i="35"/>
  <c r="AE145" i="35"/>
  <c r="AA145" i="35"/>
  <c r="AJ72" i="35"/>
  <c r="AJ103" i="35"/>
  <c r="X221" i="33"/>
  <c r="Y221" i="33"/>
  <c r="AA221" i="33"/>
  <c r="AC221" i="33"/>
  <c r="AL221" i="33" s="1"/>
  <c r="AD221" i="33"/>
  <c r="AE221" i="33"/>
  <c r="AF221" i="33"/>
  <c r="AG221" i="33"/>
  <c r="AH221" i="33"/>
  <c r="AI221" i="33"/>
  <c r="AJ221" i="33"/>
  <c r="AK221" i="33"/>
  <c r="AO221" i="33"/>
  <c r="AA32" i="35" s="1"/>
  <c r="X104" i="33"/>
  <c r="Y104" i="33"/>
  <c r="AA104" i="33"/>
  <c r="AC104" i="33"/>
  <c r="AL104" i="33" s="1"/>
  <c r="AD104" i="33"/>
  <c r="AE104" i="33"/>
  <c r="AF104" i="33"/>
  <c r="AG104" i="33"/>
  <c r="AH104" i="33"/>
  <c r="AI104" i="33"/>
  <c r="AJ104" i="33"/>
  <c r="AK104" i="33"/>
  <c r="AO104" i="33"/>
  <c r="X95" i="33"/>
  <c r="Y95" i="33"/>
  <c r="AA95" i="33"/>
  <c r="AD95" i="33"/>
  <c r="AE95" i="33"/>
  <c r="AF95" i="33"/>
  <c r="AG95" i="33"/>
  <c r="AH95" i="33"/>
  <c r="AI95" i="33"/>
  <c r="AJ95" i="33"/>
  <c r="AK95" i="33"/>
  <c r="AO95" i="33"/>
  <c r="AF79" i="35" s="1"/>
  <c r="AJ71" i="35"/>
  <c r="X158" i="33"/>
  <c r="Y158" i="33"/>
  <c r="AA158" i="33"/>
  <c r="AC158" i="33"/>
  <c r="AL158" i="33" s="1"/>
  <c r="AD158" i="33"/>
  <c r="AE158" i="33"/>
  <c r="AF158" i="33"/>
  <c r="AG158" i="33"/>
  <c r="AH158" i="33"/>
  <c r="AI158" i="33"/>
  <c r="AJ158" i="33"/>
  <c r="AK158" i="33"/>
  <c r="AO158" i="33"/>
  <c r="X77" i="33"/>
  <c r="Y77" i="33"/>
  <c r="AA77" i="33"/>
  <c r="AC77" i="33"/>
  <c r="AL77" i="33" s="1"/>
  <c r="AD77" i="33"/>
  <c r="AE77" i="33"/>
  <c r="AF77" i="33"/>
  <c r="AG77" i="33"/>
  <c r="AH77" i="33"/>
  <c r="AI77" i="33"/>
  <c r="AJ77" i="33"/>
  <c r="AK77" i="33"/>
  <c r="AO77" i="33"/>
  <c r="AB22" i="35" s="1"/>
  <c r="X139" i="33"/>
  <c r="Y139" i="33"/>
  <c r="AA139" i="33"/>
  <c r="AC139" i="33"/>
  <c r="AL139" i="33" s="1"/>
  <c r="AD139" i="33"/>
  <c r="AE139" i="33"/>
  <c r="AF139" i="33"/>
  <c r="AG139" i="33"/>
  <c r="AH139" i="33"/>
  <c r="AI139" i="33"/>
  <c r="AJ139" i="33"/>
  <c r="AK139" i="33"/>
  <c r="AO139" i="33"/>
  <c r="X20" i="33"/>
  <c r="Y20" i="33"/>
  <c r="AA20" i="33"/>
  <c r="AC20" i="33"/>
  <c r="AL20" i="33" s="1"/>
  <c r="AD20" i="33"/>
  <c r="AE20" i="33"/>
  <c r="AF20" i="33"/>
  <c r="AG20" i="33"/>
  <c r="AH20" i="33"/>
  <c r="AI20" i="33"/>
  <c r="AJ20" i="33"/>
  <c r="AK20" i="33"/>
  <c r="AO20" i="33"/>
  <c r="X15" i="33"/>
  <c r="Y15" i="33"/>
  <c r="AA15" i="33"/>
  <c r="AC15" i="33"/>
  <c r="AL15" i="33" s="1"/>
  <c r="AD15" i="33"/>
  <c r="AE15" i="33"/>
  <c r="AF15" i="33"/>
  <c r="AG15" i="33"/>
  <c r="AH15" i="33"/>
  <c r="AI15" i="33"/>
  <c r="AJ15" i="33"/>
  <c r="AK15" i="33"/>
  <c r="AO15" i="33"/>
  <c r="X50" i="33"/>
  <c r="Y50" i="33"/>
  <c r="AA50" i="33"/>
  <c r="AC50" i="33"/>
  <c r="AL50" i="33" s="1"/>
  <c r="AD50" i="33"/>
  <c r="AE50" i="33"/>
  <c r="AF50" i="33"/>
  <c r="AG50" i="33"/>
  <c r="AH50" i="33"/>
  <c r="AI50" i="33"/>
  <c r="AJ50" i="33"/>
  <c r="AK50" i="33"/>
  <c r="AO50" i="33"/>
  <c r="X218" i="33"/>
  <c r="Y218" i="33"/>
  <c r="AA218" i="33"/>
  <c r="AC218" i="33"/>
  <c r="AL218" i="33" s="1"/>
  <c r="AD218" i="33"/>
  <c r="AE218" i="33"/>
  <c r="AF218" i="33"/>
  <c r="AG218" i="33"/>
  <c r="AH218" i="33"/>
  <c r="AI218" i="33"/>
  <c r="AJ218" i="33"/>
  <c r="AK218" i="33"/>
  <c r="AO218" i="33"/>
  <c r="X142" i="33"/>
  <c r="Y142" i="33"/>
  <c r="AA142" i="33"/>
  <c r="AC142" i="33"/>
  <c r="AL142" i="33" s="1"/>
  <c r="AD142" i="33"/>
  <c r="AE142" i="33"/>
  <c r="AF142" i="33"/>
  <c r="AG142" i="33"/>
  <c r="AH142" i="33"/>
  <c r="AI142" i="33"/>
  <c r="AJ142" i="33"/>
  <c r="AK142" i="33"/>
  <c r="AO142" i="33"/>
  <c r="V140" i="35"/>
  <c r="Y140" i="35"/>
  <c r="AD140" i="35"/>
  <c r="AA140" i="35"/>
  <c r="Z140" i="35"/>
  <c r="AB140" i="35"/>
  <c r="AF140" i="35"/>
  <c r="W140" i="35"/>
  <c r="AG140" i="35"/>
  <c r="AE140" i="35"/>
  <c r="AC140" i="35"/>
  <c r="X101" i="33"/>
  <c r="Y101" i="33"/>
  <c r="AA101" i="33"/>
  <c r="AC101" i="33"/>
  <c r="AL101" i="33" s="1"/>
  <c r="AD101" i="33"/>
  <c r="AE101" i="33"/>
  <c r="AF101" i="33"/>
  <c r="AG101" i="33"/>
  <c r="AH101" i="33"/>
  <c r="AI101" i="33"/>
  <c r="AJ101" i="33"/>
  <c r="AK101" i="33"/>
  <c r="AO101" i="33"/>
  <c r="W54" i="35" s="1"/>
  <c r="X133" i="33"/>
  <c r="Y133" i="33"/>
  <c r="AA133" i="33"/>
  <c r="AC133" i="33"/>
  <c r="AL133" i="33" s="1"/>
  <c r="AD133" i="33"/>
  <c r="AE133" i="33"/>
  <c r="AF133" i="33"/>
  <c r="AG133" i="33"/>
  <c r="AH133" i="33"/>
  <c r="AI133" i="33"/>
  <c r="AJ133" i="33"/>
  <c r="AK133" i="33"/>
  <c r="AO133" i="33"/>
  <c r="AE72" i="35" s="1"/>
  <c r="X220" i="33"/>
  <c r="Y220" i="33"/>
  <c r="AA220" i="33"/>
  <c r="AC220" i="33"/>
  <c r="AL220" i="33" s="1"/>
  <c r="AD220" i="33"/>
  <c r="AE220" i="33"/>
  <c r="AF220" i="33"/>
  <c r="AG220" i="33"/>
  <c r="AH220" i="33"/>
  <c r="AI220" i="33"/>
  <c r="AJ220" i="33"/>
  <c r="AK220" i="33"/>
  <c r="AO220" i="33"/>
  <c r="X49" i="33"/>
  <c r="Y49" i="33"/>
  <c r="AA49" i="33"/>
  <c r="AC49" i="33"/>
  <c r="AL49" i="33" s="1"/>
  <c r="AD49" i="33"/>
  <c r="AE49" i="33"/>
  <c r="AF49" i="33"/>
  <c r="AG49" i="33"/>
  <c r="AH49" i="33"/>
  <c r="AI49" i="33"/>
  <c r="AJ49" i="33"/>
  <c r="AK49" i="33"/>
  <c r="AO49" i="33"/>
  <c r="Z43" i="35" s="1"/>
  <c r="X12" i="33"/>
  <c r="Y12" i="33"/>
  <c r="AA12" i="33"/>
  <c r="AC12" i="33"/>
  <c r="AL12" i="33" s="1"/>
  <c r="AD12" i="33"/>
  <c r="AE12" i="33"/>
  <c r="AF12" i="33"/>
  <c r="AG12" i="33"/>
  <c r="AH12" i="33"/>
  <c r="AI12" i="33"/>
  <c r="AJ12" i="33"/>
  <c r="AK12" i="33"/>
  <c r="AO12" i="33"/>
  <c r="X186" i="33"/>
  <c r="Y186" i="33"/>
  <c r="AA186" i="33"/>
  <c r="AC186" i="33"/>
  <c r="AL186" i="33" s="1"/>
  <c r="AD186" i="33"/>
  <c r="AE186" i="33"/>
  <c r="AF186" i="33"/>
  <c r="AG186" i="33"/>
  <c r="AH186" i="33"/>
  <c r="AI186" i="33"/>
  <c r="AJ186" i="33"/>
  <c r="AK186" i="33"/>
  <c r="AO186" i="33"/>
  <c r="X181" i="33"/>
  <c r="Y181" i="33"/>
  <c r="AA181" i="33"/>
  <c r="AC181" i="33"/>
  <c r="AL181" i="33" s="1"/>
  <c r="AD181" i="33"/>
  <c r="AE181" i="33"/>
  <c r="AF181" i="33"/>
  <c r="AG181" i="33"/>
  <c r="AH181" i="33"/>
  <c r="AI181" i="33"/>
  <c r="AJ181" i="33"/>
  <c r="AK181" i="33"/>
  <c r="AO181" i="33"/>
  <c r="X70" i="33"/>
  <c r="Y70" i="33"/>
  <c r="AA70" i="33"/>
  <c r="AC70" i="33"/>
  <c r="AL70" i="33" s="1"/>
  <c r="AD70" i="33"/>
  <c r="AE70" i="33"/>
  <c r="AF70" i="33"/>
  <c r="AG70" i="33"/>
  <c r="AH70" i="33"/>
  <c r="AI70" i="33"/>
  <c r="AJ70" i="33"/>
  <c r="AK70" i="33"/>
  <c r="AO70" i="33"/>
  <c r="Y35" i="35" s="1"/>
  <c r="X8" i="33"/>
  <c r="Y8" i="33"/>
  <c r="AA8" i="33"/>
  <c r="AC8" i="33"/>
  <c r="AL8" i="33" s="1"/>
  <c r="AD8" i="33"/>
  <c r="AE8" i="33"/>
  <c r="AF8" i="33"/>
  <c r="AG8" i="33"/>
  <c r="AH8" i="33"/>
  <c r="AI8" i="33"/>
  <c r="AJ8" i="33"/>
  <c r="AK8" i="33"/>
  <c r="AO8" i="33"/>
  <c r="V105" i="35" s="1"/>
  <c r="X137" i="33"/>
  <c r="Y137" i="33"/>
  <c r="AA137" i="33"/>
  <c r="AC137" i="33"/>
  <c r="AL137" i="33" s="1"/>
  <c r="AD137" i="33"/>
  <c r="AE137" i="33"/>
  <c r="AF137" i="33"/>
  <c r="AG137" i="33"/>
  <c r="AH137" i="33"/>
  <c r="AI137" i="33"/>
  <c r="AJ137" i="33"/>
  <c r="AK137" i="33"/>
  <c r="AO137" i="33"/>
  <c r="X213" i="33"/>
  <c r="Y213" i="33"/>
  <c r="AA213" i="33"/>
  <c r="AC213" i="33"/>
  <c r="AL213" i="33" s="1"/>
  <c r="AD213" i="33"/>
  <c r="AE213" i="33"/>
  <c r="AF213" i="33"/>
  <c r="AG213" i="33"/>
  <c r="AH213" i="33"/>
  <c r="AI213" i="33"/>
  <c r="AJ213" i="33"/>
  <c r="AK213" i="33"/>
  <c r="AO213" i="33"/>
  <c r="X136" i="33"/>
  <c r="Y136" i="33"/>
  <c r="AA136" i="33"/>
  <c r="AC136" i="33"/>
  <c r="AL136" i="33" s="1"/>
  <c r="AD136" i="33"/>
  <c r="AE136" i="33"/>
  <c r="AF136" i="33"/>
  <c r="AG136" i="33"/>
  <c r="AH136" i="33"/>
  <c r="AI136" i="33"/>
  <c r="AJ136" i="33"/>
  <c r="AK136" i="33"/>
  <c r="AO136" i="33"/>
  <c r="AD66" i="35" s="1"/>
  <c r="X206" i="33"/>
  <c r="Y206" i="33"/>
  <c r="AA206" i="33"/>
  <c r="AC206" i="33"/>
  <c r="AL206" i="33" s="1"/>
  <c r="AD206" i="33"/>
  <c r="AE206" i="33"/>
  <c r="AF206" i="33"/>
  <c r="AG206" i="33"/>
  <c r="AH206" i="33"/>
  <c r="AI206" i="33"/>
  <c r="AJ206" i="33"/>
  <c r="AK206" i="33"/>
  <c r="AO206" i="33"/>
  <c r="AJ69" i="35"/>
  <c r="X209" i="33"/>
  <c r="Y209" i="33"/>
  <c r="AA209" i="33"/>
  <c r="AC209" i="33"/>
  <c r="AL209" i="33" s="1"/>
  <c r="AD209" i="33"/>
  <c r="AE209" i="33"/>
  <c r="AF209" i="33"/>
  <c r="AG209" i="33"/>
  <c r="AH209" i="33"/>
  <c r="AI209" i="33"/>
  <c r="AJ209" i="33"/>
  <c r="AK209" i="33"/>
  <c r="AO209" i="33"/>
  <c r="X208" i="33"/>
  <c r="Y208" i="33"/>
  <c r="AA208" i="33"/>
  <c r="AC208" i="33"/>
  <c r="AL208" i="33" s="1"/>
  <c r="AD208" i="33"/>
  <c r="AE208" i="33"/>
  <c r="AF208" i="33"/>
  <c r="AG208" i="33"/>
  <c r="AH208" i="33"/>
  <c r="AI208" i="33"/>
  <c r="AJ208" i="33"/>
  <c r="AK208" i="33"/>
  <c r="AO208" i="33"/>
  <c r="AC69" i="35" s="1"/>
  <c r="X84" i="33"/>
  <c r="Y84" i="33"/>
  <c r="AA84" i="33"/>
  <c r="AC84" i="33"/>
  <c r="AL84" i="33" s="1"/>
  <c r="AD84" i="33"/>
  <c r="AE84" i="33"/>
  <c r="AF84" i="33"/>
  <c r="AG84" i="33"/>
  <c r="AH84" i="33"/>
  <c r="AI84" i="33"/>
  <c r="AJ84" i="33"/>
  <c r="AK84" i="33"/>
  <c r="AO84" i="33"/>
  <c r="X83" i="33"/>
  <c r="Y83" i="33"/>
  <c r="AA83" i="33"/>
  <c r="AC83" i="33"/>
  <c r="AL83" i="33" s="1"/>
  <c r="AD83" i="33"/>
  <c r="AE83" i="33"/>
  <c r="AF83" i="33"/>
  <c r="AG83" i="33"/>
  <c r="AH83" i="33"/>
  <c r="AI83" i="33"/>
  <c r="AJ83" i="33"/>
  <c r="AK83" i="33"/>
  <c r="AO83" i="33"/>
  <c r="AB16" i="35" s="1"/>
  <c r="X147" i="33"/>
  <c r="Y147" i="33"/>
  <c r="AA147" i="33"/>
  <c r="AC147" i="33"/>
  <c r="AL147" i="33" s="1"/>
  <c r="AD147" i="33"/>
  <c r="AE147" i="33"/>
  <c r="AF147" i="33"/>
  <c r="AG147" i="33"/>
  <c r="AH147" i="33"/>
  <c r="AI147" i="33"/>
  <c r="AJ147" i="33"/>
  <c r="AK147" i="33"/>
  <c r="AO147" i="33"/>
  <c r="W78" i="35" s="1"/>
  <c r="X146" i="33"/>
  <c r="Y146" i="33"/>
  <c r="AA146" i="33"/>
  <c r="AC146" i="33"/>
  <c r="AL146" i="33" s="1"/>
  <c r="AD146" i="33"/>
  <c r="AE146" i="33"/>
  <c r="AF146" i="33"/>
  <c r="AG146" i="33"/>
  <c r="AH146" i="33"/>
  <c r="AI146" i="33"/>
  <c r="AJ146" i="33"/>
  <c r="AK146" i="33"/>
  <c r="AO146" i="33"/>
  <c r="X23" i="33"/>
  <c r="Y23" i="33"/>
  <c r="AA23" i="33"/>
  <c r="AC23" i="33"/>
  <c r="AL23" i="33" s="1"/>
  <c r="AD23" i="33"/>
  <c r="AE23" i="33"/>
  <c r="AF23" i="33"/>
  <c r="AG23" i="33"/>
  <c r="AH23" i="33"/>
  <c r="AI23" i="33"/>
  <c r="AJ23" i="33"/>
  <c r="AK23" i="33"/>
  <c r="AO23" i="33"/>
  <c r="X222" i="33"/>
  <c r="Y222" i="33"/>
  <c r="AA222" i="33"/>
  <c r="AC222" i="33"/>
  <c r="AL222" i="33" s="1"/>
  <c r="AD222" i="33"/>
  <c r="AE222" i="33"/>
  <c r="AF222" i="33"/>
  <c r="AG222" i="33"/>
  <c r="AH222" i="33"/>
  <c r="AI222" i="33"/>
  <c r="AJ222" i="33"/>
  <c r="AK222" i="33"/>
  <c r="AO222" i="33"/>
  <c r="X10" i="33"/>
  <c r="Y10" i="33"/>
  <c r="AA10" i="33"/>
  <c r="AC10" i="33"/>
  <c r="AL10" i="33" s="1"/>
  <c r="AD10" i="33"/>
  <c r="AE10" i="33"/>
  <c r="AF10" i="33"/>
  <c r="AG10" i="33"/>
  <c r="AH10" i="33"/>
  <c r="AI10" i="33"/>
  <c r="AJ10" i="33"/>
  <c r="AK10" i="33"/>
  <c r="AO10" i="33"/>
  <c r="AC34" i="35" s="1"/>
  <c r="X185" i="33"/>
  <c r="Y185" i="33"/>
  <c r="AA185" i="33"/>
  <c r="AC185" i="33"/>
  <c r="AL185" i="33" s="1"/>
  <c r="AD185" i="33"/>
  <c r="AE185" i="33"/>
  <c r="AF185" i="33"/>
  <c r="AG185" i="33"/>
  <c r="AH185" i="33"/>
  <c r="AI185" i="33"/>
  <c r="AJ185" i="33"/>
  <c r="AK185" i="33"/>
  <c r="AO185" i="33"/>
  <c r="X178" i="33"/>
  <c r="Y178" i="33"/>
  <c r="AA178" i="33"/>
  <c r="AC178" i="33"/>
  <c r="AL178" i="33" s="1"/>
  <c r="AD178" i="33"/>
  <c r="AE178" i="33"/>
  <c r="AF178" i="33"/>
  <c r="AG178" i="33"/>
  <c r="AH178" i="33"/>
  <c r="AI178" i="33"/>
  <c r="AJ178" i="33"/>
  <c r="AK178" i="33"/>
  <c r="AO178" i="33"/>
  <c r="X120" i="33"/>
  <c r="Y120" i="33"/>
  <c r="AA120" i="33"/>
  <c r="AC120" i="33"/>
  <c r="AL120" i="33" s="1"/>
  <c r="AD120" i="33"/>
  <c r="AE120" i="33"/>
  <c r="AF120" i="33"/>
  <c r="AG120" i="33"/>
  <c r="AH120" i="33"/>
  <c r="AI120" i="33"/>
  <c r="AJ120" i="33"/>
  <c r="AK120" i="33"/>
  <c r="AO120" i="33"/>
  <c r="Y8" i="35" s="1"/>
  <c r="X102" i="33"/>
  <c r="Y102" i="33"/>
  <c r="AA102" i="33"/>
  <c r="AC102" i="33"/>
  <c r="AL102" i="33" s="1"/>
  <c r="AD102" i="33"/>
  <c r="AE102" i="33"/>
  <c r="AF102" i="33"/>
  <c r="AG102" i="33"/>
  <c r="AH102" i="33"/>
  <c r="AI102" i="33"/>
  <c r="AJ102" i="33"/>
  <c r="AK102" i="33"/>
  <c r="AO102" i="33"/>
  <c r="W103" i="35" s="1"/>
  <c r="X143" i="33"/>
  <c r="Y143" i="33"/>
  <c r="AA143" i="33"/>
  <c r="AC143" i="33"/>
  <c r="AL143" i="33" s="1"/>
  <c r="AD143" i="33"/>
  <c r="AE143" i="33"/>
  <c r="AF143" i="33"/>
  <c r="AG143" i="33"/>
  <c r="AH143" i="33"/>
  <c r="AI143" i="33"/>
  <c r="AJ143" i="33"/>
  <c r="AU143" i="33" s="1"/>
  <c r="AK143" i="33"/>
  <c r="AO143" i="33"/>
  <c r="X141" i="33"/>
  <c r="Y141" i="33"/>
  <c r="AA141" i="33"/>
  <c r="AC141" i="33"/>
  <c r="AL141" i="33" s="1"/>
  <c r="AD141" i="33"/>
  <c r="AE141" i="33"/>
  <c r="AF141" i="33"/>
  <c r="AG141" i="33"/>
  <c r="AH141" i="33"/>
  <c r="AI141" i="33"/>
  <c r="AJ141" i="33"/>
  <c r="AK141" i="33"/>
  <c r="AO141" i="33"/>
  <c r="X38" i="33"/>
  <c r="Y38" i="33"/>
  <c r="AA38" i="33"/>
  <c r="AC38" i="33"/>
  <c r="AL38" i="33" s="1"/>
  <c r="AD38" i="33"/>
  <c r="AE38" i="33"/>
  <c r="AF38" i="33"/>
  <c r="AG38" i="33"/>
  <c r="AH38" i="33"/>
  <c r="AI38" i="33"/>
  <c r="AJ38" i="33"/>
  <c r="AK38" i="33"/>
  <c r="AO38" i="33"/>
  <c r="W18" i="35" s="1"/>
  <c r="X27" i="33"/>
  <c r="Y27" i="33"/>
  <c r="AA27" i="33"/>
  <c r="AC27" i="33"/>
  <c r="AL27" i="33" s="1"/>
  <c r="AD27" i="33"/>
  <c r="AE27" i="33"/>
  <c r="AF27" i="33"/>
  <c r="AG27" i="33"/>
  <c r="AH27" i="33"/>
  <c r="AI27" i="33"/>
  <c r="AJ27" i="33"/>
  <c r="AK27" i="33"/>
  <c r="AO27" i="33"/>
  <c r="AD6" i="35" s="1"/>
  <c r="X175" i="33"/>
  <c r="Y175" i="33"/>
  <c r="AA175" i="33"/>
  <c r="AC175" i="33"/>
  <c r="AL175" i="33" s="1"/>
  <c r="AD175" i="33"/>
  <c r="AE175" i="33"/>
  <c r="AF175" i="33"/>
  <c r="AG175" i="33"/>
  <c r="AH175" i="33"/>
  <c r="AI175" i="33"/>
  <c r="AJ175" i="33"/>
  <c r="AK175" i="33"/>
  <c r="AO175" i="33"/>
  <c r="AG17" i="35" s="1"/>
  <c r="X176" i="33"/>
  <c r="Y176" i="33"/>
  <c r="AA176" i="33"/>
  <c r="AC176" i="33"/>
  <c r="AL176" i="33" s="1"/>
  <c r="AD176" i="33"/>
  <c r="AE176" i="33"/>
  <c r="AF176" i="33"/>
  <c r="AG176" i="33"/>
  <c r="AH176" i="33"/>
  <c r="AI176" i="33"/>
  <c r="AJ176" i="33"/>
  <c r="AK176" i="33"/>
  <c r="AO176" i="33"/>
  <c r="AC44" i="35" s="1"/>
  <c r="X170" i="33"/>
  <c r="Y170" i="33"/>
  <c r="AA170" i="33"/>
  <c r="AC170" i="33"/>
  <c r="AL170" i="33" s="1"/>
  <c r="AD170" i="33"/>
  <c r="AE170" i="33"/>
  <c r="AF170" i="33"/>
  <c r="AG170" i="33"/>
  <c r="AH170" i="33"/>
  <c r="AI170" i="33"/>
  <c r="AJ170" i="33"/>
  <c r="AK170" i="33"/>
  <c r="AO170" i="33"/>
  <c r="V7" i="35" s="1"/>
  <c r="AO145" i="33"/>
  <c r="AK145" i="33"/>
  <c r="AJ145" i="33"/>
  <c r="AI145" i="33"/>
  <c r="AH145" i="33"/>
  <c r="AG145" i="33"/>
  <c r="AF145" i="33"/>
  <c r="AE145" i="33"/>
  <c r="AD145" i="33"/>
  <c r="AC145" i="33"/>
  <c r="AL145" i="33" s="1"/>
  <c r="AA145" i="33"/>
  <c r="Y145" i="33"/>
  <c r="X145" i="33"/>
  <c r="AO69" i="33"/>
  <c r="AK69" i="33"/>
  <c r="AJ69" i="33"/>
  <c r="AI69" i="33"/>
  <c r="AH69" i="33"/>
  <c r="AG69" i="33"/>
  <c r="AF69" i="33"/>
  <c r="AE69" i="33"/>
  <c r="AD69" i="33"/>
  <c r="AC69" i="33"/>
  <c r="AL69" i="33" s="1"/>
  <c r="AA69" i="33"/>
  <c r="Y69" i="33"/>
  <c r="X69" i="33"/>
  <c r="AO173" i="33"/>
  <c r="AK173" i="33"/>
  <c r="AJ173" i="33"/>
  <c r="AI173" i="33"/>
  <c r="AH173" i="33"/>
  <c r="AG173" i="33"/>
  <c r="AF173" i="33"/>
  <c r="AE173" i="33"/>
  <c r="AD173" i="33"/>
  <c r="AC173" i="33"/>
  <c r="AL173" i="33" s="1"/>
  <c r="AA173" i="33"/>
  <c r="Y173" i="33"/>
  <c r="X173" i="33"/>
  <c r="AO174" i="33"/>
  <c r="AK174" i="33"/>
  <c r="AJ174" i="33"/>
  <c r="AI174" i="33"/>
  <c r="AH174" i="33"/>
  <c r="AG174" i="33"/>
  <c r="AF174" i="33"/>
  <c r="AE174" i="33"/>
  <c r="AD174" i="33"/>
  <c r="AC174" i="33"/>
  <c r="AL174" i="33" s="1"/>
  <c r="AA174" i="33"/>
  <c r="Y174" i="33"/>
  <c r="X174" i="33"/>
  <c r="AO214" i="33"/>
  <c r="AK214" i="33"/>
  <c r="AJ214" i="33"/>
  <c r="AI214" i="33"/>
  <c r="AH214" i="33"/>
  <c r="AG214" i="33"/>
  <c r="AF214" i="33"/>
  <c r="AE214" i="33"/>
  <c r="AD214" i="33"/>
  <c r="AC214" i="33"/>
  <c r="AL214" i="33" s="1"/>
  <c r="AA214" i="33"/>
  <c r="Y214" i="33"/>
  <c r="X214" i="33"/>
  <c r="AO148" i="33"/>
  <c r="AK148" i="33"/>
  <c r="AJ148" i="33"/>
  <c r="AI148" i="33"/>
  <c r="AH148" i="33"/>
  <c r="AG148" i="33"/>
  <c r="AF148" i="33"/>
  <c r="AE148" i="33"/>
  <c r="AD148" i="33"/>
  <c r="AC148" i="33"/>
  <c r="AL148" i="33" s="1"/>
  <c r="AA148" i="33"/>
  <c r="Y148" i="33"/>
  <c r="X148" i="33"/>
  <c r="X66" i="33"/>
  <c r="Y66" i="33"/>
  <c r="AA66" i="33"/>
  <c r="AC66" i="33"/>
  <c r="AL66" i="33" s="1"/>
  <c r="AD66" i="33"/>
  <c r="AE66" i="33"/>
  <c r="AF66" i="33"/>
  <c r="AG66" i="33"/>
  <c r="AH66" i="33"/>
  <c r="AI66" i="33"/>
  <c r="AJ66" i="33"/>
  <c r="AK66" i="33"/>
  <c r="AO66" i="33"/>
  <c r="AJ144" i="35"/>
  <c r="X61" i="33"/>
  <c r="Y61" i="33"/>
  <c r="AA61" i="33"/>
  <c r="AC61" i="33"/>
  <c r="AL61" i="33" s="1"/>
  <c r="AD61" i="33"/>
  <c r="AE61" i="33"/>
  <c r="AF61" i="33"/>
  <c r="AG61" i="33"/>
  <c r="AH61" i="33"/>
  <c r="AI61" i="33"/>
  <c r="AJ61" i="33"/>
  <c r="AK61" i="33"/>
  <c r="AO61" i="33"/>
  <c r="Z30" i="35" s="1"/>
  <c r="V144" i="35"/>
  <c r="AD144" i="35"/>
  <c r="Z144" i="35"/>
  <c r="AG144" i="35"/>
  <c r="AC144" i="35"/>
  <c r="Y144" i="35"/>
  <c r="AF144" i="35"/>
  <c r="AB144" i="35"/>
  <c r="W144" i="35"/>
  <c r="AE144" i="35"/>
  <c r="AA144" i="35"/>
  <c r="AJ134" i="35"/>
  <c r="X37" i="33"/>
  <c r="Y37" i="33"/>
  <c r="AA37" i="33"/>
  <c r="AC37" i="33"/>
  <c r="AL37" i="33" s="1"/>
  <c r="AD37" i="33"/>
  <c r="AE37" i="33"/>
  <c r="AF37" i="33"/>
  <c r="AG37" i="33"/>
  <c r="AH37" i="33"/>
  <c r="AI37" i="33"/>
  <c r="AJ37" i="33"/>
  <c r="AK37" i="33"/>
  <c r="AO37" i="33"/>
  <c r="Z134" i="35" s="1"/>
  <c r="X212" i="33"/>
  <c r="Y212" i="33"/>
  <c r="AA212" i="33"/>
  <c r="AC212" i="33"/>
  <c r="AL212" i="33" s="1"/>
  <c r="AD212" i="33"/>
  <c r="AE212" i="33"/>
  <c r="AF212" i="33"/>
  <c r="AG212" i="33"/>
  <c r="AH212" i="33"/>
  <c r="AI212" i="33"/>
  <c r="AJ212" i="33"/>
  <c r="AK212" i="33"/>
  <c r="AO212" i="33"/>
  <c r="Z131" i="35" s="1"/>
  <c r="X81" i="33"/>
  <c r="Y81" i="33"/>
  <c r="AA81" i="33"/>
  <c r="AC81" i="33"/>
  <c r="AL81" i="33" s="1"/>
  <c r="AD81" i="33"/>
  <c r="AE81" i="33"/>
  <c r="AF81" i="33"/>
  <c r="AG81" i="33"/>
  <c r="AH81" i="33"/>
  <c r="AI81" i="33"/>
  <c r="AJ81" i="33"/>
  <c r="AK81" i="33"/>
  <c r="AO81" i="33"/>
  <c r="R16" i="48"/>
  <c r="S16" i="48"/>
  <c r="T16" i="48"/>
  <c r="U16" i="48"/>
  <c r="V16" i="48"/>
  <c r="W16" i="48"/>
  <c r="X16" i="48"/>
  <c r="Y16" i="48"/>
  <c r="Z16" i="48"/>
  <c r="Q16" i="48"/>
  <c r="X78" i="33"/>
  <c r="Y78" i="33"/>
  <c r="AA78" i="33"/>
  <c r="AD78" i="33"/>
  <c r="AE78" i="33"/>
  <c r="AF78" i="33"/>
  <c r="AG78" i="33"/>
  <c r="AH78" i="33"/>
  <c r="AI78" i="33"/>
  <c r="AJ78" i="33"/>
  <c r="AK78" i="33"/>
  <c r="AO78" i="33"/>
  <c r="X41" i="33"/>
  <c r="Y41" i="33"/>
  <c r="AA41" i="33"/>
  <c r="AC41" i="33"/>
  <c r="AL41" i="33" s="1"/>
  <c r="AD41" i="33"/>
  <c r="AE41" i="33"/>
  <c r="AF41" i="33"/>
  <c r="AG41" i="33"/>
  <c r="AH41" i="33"/>
  <c r="AI41" i="33"/>
  <c r="AJ41" i="33"/>
  <c r="AK41" i="33"/>
  <c r="AO41" i="33"/>
  <c r="X39" i="33"/>
  <c r="Y39" i="33"/>
  <c r="AA39" i="33"/>
  <c r="AC39" i="33"/>
  <c r="AL39" i="33" s="1"/>
  <c r="AE39" i="33"/>
  <c r="AF39" i="33"/>
  <c r="AG39" i="33"/>
  <c r="AH39" i="33"/>
  <c r="AI39" i="33"/>
  <c r="AJ39" i="33"/>
  <c r="AK39" i="33"/>
  <c r="AO39" i="33"/>
  <c r="AA130" i="35" s="1"/>
  <c r="X31" i="33"/>
  <c r="Y31" i="33"/>
  <c r="AA31" i="33"/>
  <c r="AC31" i="33"/>
  <c r="AL31" i="33" s="1"/>
  <c r="AD31" i="33"/>
  <c r="AE31" i="33"/>
  <c r="AF31" i="33"/>
  <c r="AG31" i="33"/>
  <c r="AH31" i="33"/>
  <c r="AI31" i="33"/>
  <c r="AJ31" i="33"/>
  <c r="AK31" i="33"/>
  <c r="AO31" i="33"/>
  <c r="AE132" i="35" s="1"/>
  <c r="AO216" i="33"/>
  <c r="AK216" i="33"/>
  <c r="AJ216" i="33"/>
  <c r="AI216" i="33"/>
  <c r="AH216" i="33"/>
  <c r="AG216" i="33"/>
  <c r="AF216" i="33"/>
  <c r="AE216" i="33"/>
  <c r="AD216" i="33"/>
  <c r="AC216" i="33"/>
  <c r="AL216" i="33" s="1"/>
  <c r="AA216" i="33"/>
  <c r="Y216" i="33"/>
  <c r="X216" i="33"/>
  <c r="X47" i="33"/>
  <c r="Y47" i="33"/>
  <c r="AA47" i="33"/>
  <c r="AC47" i="33"/>
  <c r="AL47" i="33" s="1"/>
  <c r="AD47" i="33"/>
  <c r="AE47" i="33"/>
  <c r="AF47" i="33"/>
  <c r="AG47" i="33"/>
  <c r="AH47" i="33"/>
  <c r="AI47" i="33"/>
  <c r="AJ47" i="33"/>
  <c r="AK47" i="33"/>
  <c r="AO47" i="33"/>
  <c r="AJ132" i="35"/>
  <c r="AO24" i="33"/>
  <c r="AK24" i="33"/>
  <c r="AJ24" i="33"/>
  <c r="AI24" i="33"/>
  <c r="AH24" i="33"/>
  <c r="AG24" i="33"/>
  <c r="AF24" i="33"/>
  <c r="AE24" i="33"/>
  <c r="AD24" i="33"/>
  <c r="AC24" i="33"/>
  <c r="AL24" i="33" s="1"/>
  <c r="AA24" i="33"/>
  <c r="Y24" i="33"/>
  <c r="X24" i="33"/>
  <c r="AJ133" i="35"/>
  <c r="AJ70" i="35"/>
  <c r="AJ102" i="35"/>
  <c r="AO75" i="33"/>
  <c r="AD102" i="35" s="1"/>
  <c r="AK75" i="33"/>
  <c r="AJ75" i="33"/>
  <c r="AI75" i="33"/>
  <c r="AH75" i="33"/>
  <c r="AG75" i="33"/>
  <c r="AF75" i="33"/>
  <c r="AE75" i="33"/>
  <c r="AD75" i="33"/>
  <c r="AC75" i="33"/>
  <c r="AL75" i="33" s="1"/>
  <c r="AA75" i="33"/>
  <c r="Y75" i="33"/>
  <c r="X75" i="33"/>
  <c r="AO192" i="33"/>
  <c r="AK192" i="33"/>
  <c r="AJ192" i="33"/>
  <c r="AI192" i="33"/>
  <c r="AH192" i="33"/>
  <c r="AG192" i="33"/>
  <c r="AF192" i="33"/>
  <c r="AE192" i="33"/>
  <c r="AD192" i="33"/>
  <c r="AC192" i="33"/>
  <c r="AL192" i="33" s="1"/>
  <c r="AA192" i="33"/>
  <c r="Y192" i="33"/>
  <c r="X192" i="33"/>
  <c r="AO53" i="33"/>
  <c r="AK53" i="33"/>
  <c r="AJ53" i="33"/>
  <c r="AI53" i="33"/>
  <c r="AH53" i="33"/>
  <c r="AG53" i="33"/>
  <c r="AF53" i="33"/>
  <c r="AE53" i="33"/>
  <c r="AD53" i="33"/>
  <c r="AC53" i="33"/>
  <c r="AL53" i="33" s="1"/>
  <c r="AA53" i="33"/>
  <c r="Y53" i="33"/>
  <c r="X53" i="33"/>
  <c r="AO57" i="33"/>
  <c r="AK57" i="33"/>
  <c r="AJ57" i="33"/>
  <c r="AI57" i="33"/>
  <c r="AH57" i="33"/>
  <c r="AG57" i="33"/>
  <c r="AF57" i="33"/>
  <c r="AE57" i="33"/>
  <c r="AD57" i="33"/>
  <c r="AC57" i="33"/>
  <c r="AL57" i="33" s="1"/>
  <c r="AA57" i="33"/>
  <c r="Y57" i="33"/>
  <c r="X57" i="33"/>
  <c r="X204" i="33"/>
  <c r="Y204" i="33"/>
  <c r="AA204" i="33"/>
  <c r="AC204" i="33"/>
  <c r="AL204" i="33" s="1"/>
  <c r="AD204" i="33"/>
  <c r="AE204" i="33"/>
  <c r="AF204" i="33"/>
  <c r="AG204" i="33"/>
  <c r="AH204" i="33"/>
  <c r="AI204" i="33"/>
  <c r="AJ204" i="33"/>
  <c r="AK204" i="33"/>
  <c r="AO204" i="33"/>
  <c r="X171" i="33"/>
  <c r="Y171" i="33"/>
  <c r="AA171" i="33"/>
  <c r="AC171" i="33"/>
  <c r="AL171" i="33" s="1"/>
  <c r="AD171" i="33"/>
  <c r="AE171" i="33"/>
  <c r="AF171" i="33"/>
  <c r="AG171" i="33"/>
  <c r="AH171" i="33"/>
  <c r="AI171" i="33"/>
  <c r="AJ171" i="33"/>
  <c r="AK171" i="33"/>
  <c r="AO171" i="33"/>
  <c r="X116" i="33"/>
  <c r="Y116" i="33"/>
  <c r="AA116" i="33"/>
  <c r="AC116" i="33"/>
  <c r="AL116" i="33" s="1"/>
  <c r="AD116" i="33"/>
  <c r="AE116" i="33"/>
  <c r="AF116" i="33"/>
  <c r="AG116" i="33"/>
  <c r="AH116" i="33"/>
  <c r="AI116" i="33"/>
  <c r="AJ116" i="33"/>
  <c r="AK116" i="33"/>
  <c r="AO116" i="33"/>
  <c r="AO60" i="33"/>
  <c r="AK60" i="33"/>
  <c r="AJ60" i="33"/>
  <c r="AI60" i="33"/>
  <c r="AH60" i="33"/>
  <c r="AG60" i="33"/>
  <c r="AF60" i="33"/>
  <c r="AE60" i="33"/>
  <c r="AD60" i="33"/>
  <c r="AC60" i="33"/>
  <c r="AL60" i="33" s="1"/>
  <c r="AA60" i="33"/>
  <c r="Y60" i="33"/>
  <c r="X60" i="33"/>
  <c r="X151" i="33"/>
  <c r="Y151" i="33"/>
  <c r="AA151" i="33"/>
  <c r="AC151" i="33"/>
  <c r="AL151" i="33" s="1"/>
  <c r="AD151" i="33"/>
  <c r="AE151" i="33"/>
  <c r="AF151" i="33"/>
  <c r="AG151" i="33"/>
  <c r="AH151" i="33"/>
  <c r="AI151" i="33"/>
  <c r="AJ151" i="33"/>
  <c r="AK151" i="33"/>
  <c r="AO151" i="33"/>
  <c r="X165" i="33"/>
  <c r="Y165" i="33"/>
  <c r="AA165" i="33"/>
  <c r="AC165" i="33"/>
  <c r="AL165" i="33" s="1"/>
  <c r="AD165" i="33"/>
  <c r="AE165" i="33"/>
  <c r="AF165" i="33"/>
  <c r="AG165" i="33"/>
  <c r="AH165" i="33"/>
  <c r="AI165" i="33"/>
  <c r="AJ165" i="33"/>
  <c r="AK165" i="33"/>
  <c r="AO165" i="33"/>
  <c r="X93" i="33"/>
  <c r="Y93" i="33"/>
  <c r="AA93" i="33"/>
  <c r="AC93" i="33"/>
  <c r="AL93" i="33" s="1"/>
  <c r="AD93" i="33"/>
  <c r="AE93" i="33"/>
  <c r="AF93" i="33"/>
  <c r="AG93" i="33"/>
  <c r="AH93" i="33"/>
  <c r="AI93" i="33"/>
  <c r="AJ93" i="33"/>
  <c r="AK93" i="33"/>
  <c r="AO93" i="33"/>
  <c r="X45" i="33"/>
  <c r="Y45" i="33"/>
  <c r="AA45" i="33"/>
  <c r="AC45" i="33"/>
  <c r="AL45" i="33" s="1"/>
  <c r="AD45" i="33"/>
  <c r="AE45" i="33"/>
  <c r="AF45" i="33"/>
  <c r="AG45" i="33"/>
  <c r="AH45" i="33"/>
  <c r="AI45" i="33"/>
  <c r="AJ45" i="33"/>
  <c r="AK45" i="33"/>
  <c r="AO45" i="33"/>
  <c r="Z118" i="35" s="1"/>
  <c r="X55" i="33"/>
  <c r="Y55" i="33"/>
  <c r="AA55" i="33"/>
  <c r="AC55" i="33"/>
  <c r="AL55" i="33" s="1"/>
  <c r="AD55" i="33"/>
  <c r="AE55" i="33"/>
  <c r="AF55" i="33"/>
  <c r="AG55" i="33"/>
  <c r="AH55" i="33"/>
  <c r="AI55" i="33"/>
  <c r="AJ55" i="33"/>
  <c r="AK55" i="33"/>
  <c r="AO55" i="33"/>
  <c r="X167" i="33"/>
  <c r="Y167" i="33"/>
  <c r="AA167" i="33"/>
  <c r="AC167" i="33"/>
  <c r="AL167" i="33" s="1"/>
  <c r="AD167" i="33"/>
  <c r="AE167" i="33"/>
  <c r="AF167" i="33"/>
  <c r="AG167" i="33"/>
  <c r="AH167" i="33"/>
  <c r="AI167" i="33"/>
  <c r="AJ167" i="33"/>
  <c r="AK167" i="33"/>
  <c r="AO167" i="33"/>
  <c r="X33" i="33"/>
  <c r="Y33" i="33"/>
  <c r="AA33" i="33"/>
  <c r="Z32" i="33" s="1"/>
  <c r="AB32" i="33" s="1"/>
  <c r="AC33" i="33"/>
  <c r="AL33" i="33" s="1"/>
  <c r="AD33" i="33"/>
  <c r="AE33" i="33"/>
  <c r="AF33" i="33"/>
  <c r="AG33" i="33"/>
  <c r="AH33" i="33"/>
  <c r="AI33" i="33"/>
  <c r="AJ33" i="33"/>
  <c r="AK33" i="33"/>
  <c r="AO33" i="33"/>
  <c r="Y42" i="35" s="1"/>
  <c r="X13" i="33"/>
  <c r="Y13" i="33"/>
  <c r="AA13" i="33"/>
  <c r="AC13" i="33"/>
  <c r="AL13" i="33" s="1"/>
  <c r="AD13" i="33"/>
  <c r="AE13" i="33"/>
  <c r="AF13" i="33"/>
  <c r="AG13" i="33"/>
  <c r="AH13" i="33"/>
  <c r="AI13" i="33"/>
  <c r="AJ13" i="33"/>
  <c r="AK13" i="33"/>
  <c r="AO13" i="33"/>
  <c r="W38" i="35" s="1"/>
  <c r="X11" i="33"/>
  <c r="Y11" i="33"/>
  <c r="AA11" i="33"/>
  <c r="AC11" i="33"/>
  <c r="AL11" i="33" s="1"/>
  <c r="AD11" i="33"/>
  <c r="AE11" i="33"/>
  <c r="AF11" i="33"/>
  <c r="AG11" i="33"/>
  <c r="AH11" i="33"/>
  <c r="AI11" i="33"/>
  <c r="AJ11" i="33"/>
  <c r="AK11" i="33"/>
  <c r="AO11" i="33"/>
  <c r="AE104" i="35" s="1"/>
  <c r="K21" i="48"/>
  <c r="K19" i="48"/>
  <c r="K17" i="48"/>
  <c r="K15" i="48"/>
  <c r="K13" i="48"/>
  <c r="K11" i="48"/>
  <c r="K9" i="48"/>
  <c r="K7" i="48"/>
  <c r="X30" i="33"/>
  <c r="Y30" i="33"/>
  <c r="AA30" i="33"/>
  <c r="AC30" i="33"/>
  <c r="AL30" i="33" s="1"/>
  <c r="AD30" i="33"/>
  <c r="AE30" i="33"/>
  <c r="AF30" i="33"/>
  <c r="AG30" i="33"/>
  <c r="AH30" i="33"/>
  <c r="AI30" i="33"/>
  <c r="AJ30" i="33"/>
  <c r="AK30" i="33"/>
  <c r="AO30" i="33"/>
  <c r="AB82" i="35" s="1"/>
  <c r="X115" i="33"/>
  <c r="Y115" i="33"/>
  <c r="AA115" i="33"/>
  <c r="AC115" i="33"/>
  <c r="AL115" i="33" s="1"/>
  <c r="AD115" i="33"/>
  <c r="AE115" i="33"/>
  <c r="AF115" i="33"/>
  <c r="AG115" i="33"/>
  <c r="AH115" i="33"/>
  <c r="AI115" i="33"/>
  <c r="AJ115" i="33"/>
  <c r="AK115" i="33"/>
  <c r="AO115" i="33"/>
  <c r="X111" i="33"/>
  <c r="Y111" i="33"/>
  <c r="AA111" i="33"/>
  <c r="AC111" i="33"/>
  <c r="AL111" i="33" s="1"/>
  <c r="AD111" i="33"/>
  <c r="AE111" i="33"/>
  <c r="AF111" i="33"/>
  <c r="AG111" i="33"/>
  <c r="AH111" i="33"/>
  <c r="AI111" i="33"/>
  <c r="AJ111" i="33"/>
  <c r="AK111" i="33"/>
  <c r="AO111" i="33"/>
  <c r="X29" i="33"/>
  <c r="Y29" i="33"/>
  <c r="AA29" i="33"/>
  <c r="AC29" i="33"/>
  <c r="AL29" i="33" s="1"/>
  <c r="AD29" i="33"/>
  <c r="AE29" i="33"/>
  <c r="AF29" i="33"/>
  <c r="AG29" i="33"/>
  <c r="AH29" i="33"/>
  <c r="AI29" i="33"/>
  <c r="AJ29" i="33"/>
  <c r="AK29" i="33"/>
  <c r="AO29" i="33"/>
  <c r="AC152" i="33"/>
  <c r="AL152" i="33" s="1"/>
  <c r="X172" i="33"/>
  <c r="Y172" i="33"/>
  <c r="AA172" i="33"/>
  <c r="AC172" i="33"/>
  <c r="AL172" i="33" s="1"/>
  <c r="AD172" i="33"/>
  <c r="AE172" i="33"/>
  <c r="AF172" i="33"/>
  <c r="AG172" i="33"/>
  <c r="AH172" i="33"/>
  <c r="AI172" i="33"/>
  <c r="AJ172" i="33"/>
  <c r="AK172" i="33"/>
  <c r="AO172" i="33"/>
  <c r="X112" i="33"/>
  <c r="Y112" i="33"/>
  <c r="AA112" i="33"/>
  <c r="AC112" i="33"/>
  <c r="AL112" i="33" s="1"/>
  <c r="AD112" i="33"/>
  <c r="AE112" i="33"/>
  <c r="AF112" i="33"/>
  <c r="AG112" i="33"/>
  <c r="AH112" i="33"/>
  <c r="AI112" i="33"/>
  <c r="AJ112" i="33"/>
  <c r="AK112" i="33"/>
  <c r="AO112" i="33"/>
  <c r="AE83" i="35" s="1"/>
  <c r="X163" i="33"/>
  <c r="Y163" i="33"/>
  <c r="AA163" i="33"/>
  <c r="AC163" i="33"/>
  <c r="AL163" i="33" s="1"/>
  <c r="AD163" i="33"/>
  <c r="AE163" i="33"/>
  <c r="AF163" i="33"/>
  <c r="AG163" i="33"/>
  <c r="AH163" i="33"/>
  <c r="AI163" i="33"/>
  <c r="AJ163" i="33"/>
  <c r="AK163" i="33"/>
  <c r="AO163" i="33"/>
  <c r="X110" i="33"/>
  <c r="Y110" i="33"/>
  <c r="AA110" i="33"/>
  <c r="Z110" i="33" s="1"/>
  <c r="AC110" i="33"/>
  <c r="AL110" i="33" s="1"/>
  <c r="AD110" i="33"/>
  <c r="AE110" i="33"/>
  <c r="AF110" i="33"/>
  <c r="AG110" i="33"/>
  <c r="AH110" i="33"/>
  <c r="AI110" i="33"/>
  <c r="AJ110" i="33"/>
  <c r="AK110" i="33"/>
  <c r="AO110" i="33"/>
  <c r="AJ68" i="35"/>
  <c r="X138" i="33"/>
  <c r="Y138" i="33"/>
  <c r="AA138" i="33"/>
  <c r="AC138" i="33"/>
  <c r="AL138" i="33" s="1"/>
  <c r="AD138" i="33"/>
  <c r="AE138" i="33"/>
  <c r="AF138" i="33"/>
  <c r="AG138" i="33"/>
  <c r="AH138" i="33"/>
  <c r="AI138" i="33"/>
  <c r="AJ138" i="33"/>
  <c r="AK138" i="33"/>
  <c r="AO138" i="33"/>
  <c r="AJ67" i="35"/>
  <c r="V67" i="35"/>
  <c r="AJ66" i="35"/>
  <c r="AJ65" i="35"/>
  <c r="X219" i="33"/>
  <c r="X126" i="33"/>
  <c r="X160" i="33"/>
  <c r="X28" i="33"/>
  <c r="X108" i="33"/>
  <c r="X98" i="33"/>
  <c r="X156" i="33"/>
  <c r="X155" i="33"/>
  <c r="X105" i="33"/>
  <c r="X201" i="33"/>
  <c r="X40" i="33"/>
  <c r="X36" i="33"/>
  <c r="X179" i="33"/>
  <c r="X135" i="33"/>
  <c r="X130" i="33"/>
  <c r="X198" i="33"/>
  <c r="X4" i="33"/>
  <c r="X91" i="33"/>
  <c r="X82" i="33"/>
  <c r="X56" i="33"/>
  <c r="X152" i="33"/>
  <c r="X88" i="33"/>
  <c r="X46" i="33"/>
  <c r="X210" i="33"/>
  <c r="X52" i="33"/>
  <c r="X114" i="33"/>
  <c r="X184" i="33"/>
  <c r="X99" i="33"/>
  <c r="X187" i="33"/>
  <c r="X205" i="33"/>
  <c r="X94" i="33"/>
  <c r="X195" i="33"/>
  <c r="X97" i="33"/>
  <c r="X207" i="33"/>
  <c r="X79" i="33"/>
  <c r="X150" i="33"/>
  <c r="X80" i="33"/>
  <c r="X119" i="33"/>
  <c r="X128" i="33"/>
  <c r="X74" i="33"/>
  <c r="X144" i="33"/>
  <c r="X107" i="33"/>
  <c r="AJ131" i="35"/>
  <c r="AJ84" i="35"/>
  <c r="AJ83" i="35"/>
  <c r="AJ82" i="35"/>
  <c r="AJ95" i="35"/>
  <c r="AJ94" i="35"/>
  <c r="AJ93" i="35"/>
  <c r="AJ92" i="35"/>
  <c r="AJ64" i="35"/>
  <c r="AJ63" i="35"/>
  <c r="AJ62" i="35"/>
  <c r="AJ61" i="35"/>
  <c r="AJ60" i="35"/>
  <c r="AJ91" i="35"/>
  <c r="AJ90" i="35"/>
  <c r="AJ89" i="35"/>
  <c r="AJ88" i="35"/>
  <c r="AJ87" i="35"/>
  <c r="AJ59" i="35"/>
  <c r="Y187" i="33"/>
  <c r="Y28" i="33"/>
  <c r="Y36" i="33"/>
  <c r="Y40" i="33"/>
  <c r="Y210" i="33"/>
  <c r="Y56" i="33"/>
  <c r="Y52" i="33"/>
  <c r="Y82" i="33"/>
  <c r="Y88" i="33"/>
  <c r="Y91" i="33"/>
  <c r="Y46" i="33"/>
  <c r="Y94" i="33"/>
  <c r="Y97" i="33"/>
  <c r="Y99" i="33"/>
  <c r="Y79" i="33"/>
  <c r="Y107" i="33"/>
  <c r="Y80" i="33"/>
  <c r="Y98" i="33"/>
  <c r="Y108" i="33"/>
  <c r="Y105" i="33"/>
  <c r="Y114" i="33"/>
  <c r="Y119" i="33"/>
  <c r="Y126" i="33"/>
  <c r="Y128" i="33"/>
  <c r="Y130" i="33"/>
  <c r="Y135" i="33"/>
  <c r="Y207" i="33"/>
  <c r="Y144" i="33"/>
  <c r="Y74" i="33"/>
  <c r="Y152" i="33"/>
  <c r="Y150" i="33"/>
  <c r="Y156" i="33"/>
  <c r="Y160" i="33"/>
  <c r="Y155" i="33"/>
  <c r="Y179" i="33"/>
  <c r="Y184" i="33"/>
  <c r="Y201" i="33"/>
  <c r="Y198" i="33"/>
  <c r="Y195" i="33"/>
  <c r="Y219" i="33"/>
  <c r="Y205" i="33"/>
  <c r="AC187" i="33"/>
  <c r="AL187" i="33" s="1"/>
  <c r="AD187" i="33"/>
  <c r="AE187" i="33"/>
  <c r="AF187" i="33"/>
  <c r="AG187" i="33"/>
  <c r="AH187" i="33"/>
  <c r="AI187" i="33"/>
  <c r="AJ187" i="33"/>
  <c r="AK187" i="33"/>
  <c r="AC28" i="33"/>
  <c r="AL28" i="33" s="1"/>
  <c r="AD28" i="33"/>
  <c r="AE28" i="33"/>
  <c r="AF28" i="33"/>
  <c r="AG28" i="33"/>
  <c r="AH28" i="33"/>
  <c r="AI28" i="33"/>
  <c r="AJ28" i="33"/>
  <c r="AK28" i="33"/>
  <c r="AC36" i="33"/>
  <c r="AL36" i="33" s="1"/>
  <c r="AD36" i="33"/>
  <c r="AE36" i="33"/>
  <c r="AF36" i="33"/>
  <c r="AG36" i="33"/>
  <c r="AH36" i="33"/>
  <c r="AI36" i="33"/>
  <c r="AJ36" i="33"/>
  <c r="AK36" i="33"/>
  <c r="AC40" i="33"/>
  <c r="AL40" i="33" s="1"/>
  <c r="AD40" i="33"/>
  <c r="AE40" i="33"/>
  <c r="AF40" i="33"/>
  <c r="AG40" i="33"/>
  <c r="AH40" i="33"/>
  <c r="AI40" i="33"/>
  <c r="AJ40" i="33"/>
  <c r="AK40" i="33"/>
  <c r="AC210" i="33"/>
  <c r="AL210" i="33" s="1"/>
  <c r="AD210" i="33"/>
  <c r="AE210" i="33"/>
  <c r="AF210" i="33"/>
  <c r="AG210" i="33"/>
  <c r="AH210" i="33"/>
  <c r="AI210" i="33"/>
  <c r="AJ210" i="33"/>
  <c r="AK210" i="33"/>
  <c r="AC56" i="33"/>
  <c r="AL56" i="33" s="1"/>
  <c r="AD56" i="33"/>
  <c r="AE56" i="33"/>
  <c r="AF56" i="33"/>
  <c r="AG56" i="33"/>
  <c r="AH56" i="33"/>
  <c r="AI56" i="33"/>
  <c r="AJ56" i="33"/>
  <c r="AK56" i="33"/>
  <c r="AC52" i="33"/>
  <c r="AL52" i="33" s="1"/>
  <c r="AD52" i="33"/>
  <c r="AE52" i="33"/>
  <c r="AF52" i="33"/>
  <c r="AG52" i="33"/>
  <c r="AH52" i="33"/>
  <c r="AI52" i="33"/>
  <c r="AJ52" i="33"/>
  <c r="AK52" i="33"/>
  <c r="AC82" i="33"/>
  <c r="AL82" i="33" s="1"/>
  <c r="AD82" i="33"/>
  <c r="AE82" i="33"/>
  <c r="AF82" i="33"/>
  <c r="AG82" i="33"/>
  <c r="AH82" i="33"/>
  <c r="AI82" i="33"/>
  <c r="AJ82" i="33"/>
  <c r="AK82" i="33"/>
  <c r="AC88" i="33"/>
  <c r="AL88" i="33" s="1"/>
  <c r="AD88" i="33"/>
  <c r="AE88" i="33"/>
  <c r="AF88" i="33"/>
  <c r="AG88" i="33"/>
  <c r="AH88" i="33"/>
  <c r="AI88" i="33"/>
  <c r="AJ88" i="33"/>
  <c r="AK88" i="33"/>
  <c r="AC91" i="33"/>
  <c r="AL91" i="33" s="1"/>
  <c r="AD91" i="33"/>
  <c r="AE91" i="33"/>
  <c r="AF91" i="33"/>
  <c r="AG91" i="33"/>
  <c r="AH91" i="33"/>
  <c r="AI91" i="33"/>
  <c r="AJ91" i="33"/>
  <c r="AK91" i="33"/>
  <c r="AC46" i="33"/>
  <c r="AL46" i="33" s="1"/>
  <c r="AD46" i="33"/>
  <c r="AE46" i="33"/>
  <c r="AF46" i="33"/>
  <c r="AG46" i="33"/>
  <c r="AH46" i="33"/>
  <c r="AI46" i="33"/>
  <c r="AJ46" i="33"/>
  <c r="AK46" i="33"/>
  <c r="AC94" i="33"/>
  <c r="AL94" i="33" s="1"/>
  <c r="AD94" i="33"/>
  <c r="AE94" i="33"/>
  <c r="AF94" i="33"/>
  <c r="AG94" i="33"/>
  <c r="AH94" i="33"/>
  <c r="AI94" i="33"/>
  <c r="AJ94" i="33"/>
  <c r="AK94" i="33"/>
  <c r="AC97" i="33"/>
  <c r="AL97" i="33" s="1"/>
  <c r="AD97" i="33"/>
  <c r="AE97" i="33"/>
  <c r="AF97" i="33"/>
  <c r="AG97" i="33"/>
  <c r="AH97" i="33"/>
  <c r="AI97" i="33"/>
  <c r="AJ97" i="33"/>
  <c r="AK97" i="33"/>
  <c r="AC99" i="33"/>
  <c r="AL99" i="33" s="1"/>
  <c r="AD99" i="33"/>
  <c r="AE99" i="33"/>
  <c r="AF99" i="33"/>
  <c r="AG99" i="33"/>
  <c r="AH99" i="33"/>
  <c r="AI99" i="33"/>
  <c r="AJ99" i="33"/>
  <c r="AK99" i="33"/>
  <c r="AC79" i="33"/>
  <c r="AL79" i="33" s="1"/>
  <c r="AD79" i="33"/>
  <c r="AE79" i="33"/>
  <c r="AF79" i="33"/>
  <c r="AG79" i="33"/>
  <c r="AH79" i="33"/>
  <c r="AI79" i="33"/>
  <c r="AJ79" i="33"/>
  <c r="AK79" i="33"/>
  <c r="AC107" i="33"/>
  <c r="AL107" i="33" s="1"/>
  <c r="AD107" i="33"/>
  <c r="AE107" i="33"/>
  <c r="AF107" i="33"/>
  <c r="AG107" i="33"/>
  <c r="AH107" i="33"/>
  <c r="AI107" i="33"/>
  <c r="AJ107" i="33"/>
  <c r="AK107" i="33"/>
  <c r="AC80" i="33"/>
  <c r="AL80" i="33" s="1"/>
  <c r="AD80" i="33"/>
  <c r="AE80" i="33"/>
  <c r="AF80" i="33"/>
  <c r="AG80" i="33"/>
  <c r="AH80" i="33"/>
  <c r="AI80" i="33"/>
  <c r="AJ80" i="33"/>
  <c r="AK80" i="33"/>
  <c r="AC98" i="33"/>
  <c r="AL98" i="33" s="1"/>
  <c r="AD98" i="33"/>
  <c r="AE98" i="33"/>
  <c r="AF98" i="33"/>
  <c r="AG98" i="33"/>
  <c r="AH98" i="33"/>
  <c r="AI98" i="33"/>
  <c r="AJ98" i="33"/>
  <c r="AK98" i="33"/>
  <c r="AC108" i="33"/>
  <c r="AL108" i="33" s="1"/>
  <c r="AD108" i="33"/>
  <c r="AE108" i="33"/>
  <c r="AF108" i="33"/>
  <c r="AG108" i="33"/>
  <c r="AH108" i="33"/>
  <c r="AI108" i="33"/>
  <c r="AJ108" i="33"/>
  <c r="AK108" i="33"/>
  <c r="AC105" i="33"/>
  <c r="AL105" i="33" s="1"/>
  <c r="AD105" i="33"/>
  <c r="AE105" i="33"/>
  <c r="AF105" i="33"/>
  <c r="AG105" i="33"/>
  <c r="AH105" i="33"/>
  <c r="AI105" i="33"/>
  <c r="AJ105" i="33"/>
  <c r="AK105" i="33"/>
  <c r="AC114" i="33"/>
  <c r="AL114" i="33" s="1"/>
  <c r="AD114" i="33"/>
  <c r="AE114" i="33"/>
  <c r="AF114" i="33"/>
  <c r="AG114" i="33"/>
  <c r="AH114" i="33"/>
  <c r="AI114" i="33"/>
  <c r="AJ114" i="33"/>
  <c r="AK114" i="33"/>
  <c r="AC119" i="33"/>
  <c r="AL119" i="33" s="1"/>
  <c r="AD119" i="33"/>
  <c r="AE119" i="33"/>
  <c r="AF119" i="33"/>
  <c r="AG119" i="33"/>
  <c r="AH119" i="33"/>
  <c r="AI119" i="33"/>
  <c r="AJ119" i="33"/>
  <c r="AK119" i="33"/>
  <c r="AD126" i="33"/>
  <c r="AE126" i="33"/>
  <c r="AF126" i="33"/>
  <c r="AG126" i="33"/>
  <c r="AH126" i="33"/>
  <c r="AI126" i="33"/>
  <c r="AJ126" i="33"/>
  <c r="AK126" i="33"/>
  <c r="AC128" i="33"/>
  <c r="AL128" i="33" s="1"/>
  <c r="AD128" i="33"/>
  <c r="AE128" i="33"/>
  <c r="AF128" i="33"/>
  <c r="AG128" i="33"/>
  <c r="AH128" i="33"/>
  <c r="AI128" i="33"/>
  <c r="AJ128" i="33"/>
  <c r="AK128" i="33"/>
  <c r="AC130" i="33"/>
  <c r="AL130" i="33" s="1"/>
  <c r="AD130" i="33"/>
  <c r="AE130" i="33"/>
  <c r="AF130" i="33"/>
  <c r="AG130" i="33"/>
  <c r="AH130" i="33"/>
  <c r="AI130" i="33"/>
  <c r="AJ130" i="33"/>
  <c r="AK130" i="33"/>
  <c r="AC135" i="33"/>
  <c r="AL135" i="33" s="1"/>
  <c r="AD135" i="33"/>
  <c r="AE135" i="33"/>
  <c r="AF135" i="33"/>
  <c r="AG135" i="33"/>
  <c r="AH135" i="33"/>
  <c r="AI135" i="33"/>
  <c r="AJ135" i="33"/>
  <c r="AK135" i="33"/>
  <c r="AC207" i="33"/>
  <c r="AL207" i="33" s="1"/>
  <c r="AD207" i="33"/>
  <c r="AE207" i="33"/>
  <c r="AF207" i="33"/>
  <c r="AG207" i="33"/>
  <c r="AH207" i="33"/>
  <c r="AI207" i="33"/>
  <c r="AJ207" i="33"/>
  <c r="AK207" i="33"/>
  <c r="AC144" i="33"/>
  <c r="AL144" i="33" s="1"/>
  <c r="AD144" i="33"/>
  <c r="AE144" i="33"/>
  <c r="AF144" i="33"/>
  <c r="AG144" i="33"/>
  <c r="AH144" i="33"/>
  <c r="AI144" i="33"/>
  <c r="AJ144" i="33"/>
  <c r="AK144" i="33"/>
  <c r="AC74" i="33"/>
  <c r="AL74" i="33" s="1"/>
  <c r="AD74" i="33"/>
  <c r="AE74" i="33"/>
  <c r="AF74" i="33"/>
  <c r="AG74" i="33"/>
  <c r="AH74" i="33"/>
  <c r="AI74" i="33"/>
  <c r="AJ74" i="33"/>
  <c r="AK74" i="33"/>
  <c r="AD152" i="33"/>
  <c r="AE152" i="33"/>
  <c r="AF152" i="33"/>
  <c r="AG152" i="33"/>
  <c r="AH152" i="33"/>
  <c r="AI152" i="33"/>
  <c r="AJ152" i="33"/>
  <c r="AK152" i="33"/>
  <c r="AC150" i="33"/>
  <c r="AL150" i="33" s="1"/>
  <c r="AD150" i="33"/>
  <c r="AE150" i="33"/>
  <c r="AF150" i="33"/>
  <c r="AG150" i="33"/>
  <c r="AH150" i="33"/>
  <c r="AI150" i="33"/>
  <c r="AJ150" i="33"/>
  <c r="AK150" i="33"/>
  <c r="AC156" i="33"/>
  <c r="AL156" i="33" s="1"/>
  <c r="AD156" i="33"/>
  <c r="AE156" i="33"/>
  <c r="AF156" i="33"/>
  <c r="AG156" i="33"/>
  <c r="AH156" i="33"/>
  <c r="AI156" i="33"/>
  <c r="AJ156" i="33"/>
  <c r="AK156" i="33"/>
  <c r="AC160" i="33"/>
  <c r="AL160" i="33" s="1"/>
  <c r="AD160" i="33"/>
  <c r="AE160" i="33"/>
  <c r="AF160" i="33"/>
  <c r="AG160" i="33"/>
  <c r="AH160" i="33"/>
  <c r="AI160" i="33"/>
  <c r="AJ160" i="33"/>
  <c r="AK160" i="33"/>
  <c r="AC155" i="33"/>
  <c r="AL155" i="33" s="1"/>
  <c r="AD155" i="33"/>
  <c r="AE155" i="33"/>
  <c r="AF155" i="33"/>
  <c r="AG155" i="33"/>
  <c r="AH155" i="33"/>
  <c r="AI155" i="33"/>
  <c r="AJ155" i="33"/>
  <c r="AK155" i="33"/>
  <c r="AC179" i="33"/>
  <c r="AL179" i="33" s="1"/>
  <c r="AD179" i="33"/>
  <c r="AE179" i="33"/>
  <c r="AF179" i="33"/>
  <c r="AG179" i="33"/>
  <c r="AH179" i="33"/>
  <c r="AI179" i="33"/>
  <c r="AJ179" i="33"/>
  <c r="AK179" i="33"/>
  <c r="AC184" i="33"/>
  <c r="AL184" i="33" s="1"/>
  <c r="AD184" i="33"/>
  <c r="AE184" i="33"/>
  <c r="AF184" i="33"/>
  <c r="AG184" i="33"/>
  <c r="AH184" i="33"/>
  <c r="AI184" i="33"/>
  <c r="AJ184" i="33"/>
  <c r="AK184" i="33"/>
  <c r="AC201" i="33"/>
  <c r="AL201" i="33" s="1"/>
  <c r="AD201" i="33"/>
  <c r="AE201" i="33"/>
  <c r="AF201" i="33"/>
  <c r="AG201" i="33"/>
  <c r="AH201" i="33"/>
  <c r="AI201" i="33"/>
  <c r="AJ201" i="33"/>
  <c r="AK201" i="33"/>
  <c r="AC198" i="33"/>
  <c r="AL198" i="33" s="1"/>
  <c r="AD198" i="33"/>
  <c r="AE198" i="33"/>
  <c r="AF198" i="33"/>
  <c r="AG198" i="33"/>
  <c r="AH198" i="33"/>
  <c r="AI198" i="33"/>
  <c r="AJ198" i="33"/>
  <c r="AK198" i="33"/>
  <c r="AC195" i="33"/>
  <c r="AL195" i="33" s="1"/>
  <c r="AD195" i="33"/>
  <c r="AE195" i="33"/>
  <c r="AF195" i="33"/>
  <c r="AG195" i="33"/>
  <c r="AH195" i="33"/>
  <c r="AI195" i="33"/>
  <c r="AJ195" i="33"/>
  <c r="AK195" i="33"/>
  <c r="AC219" i="33"/>
  <c r="AL219" i="33" s="1"/>
  <c r="AD219" i="33"/>
  <c r="AE219" i="33"/>
  <c r="AF219" i="33"/>
  <c r="AG219" i="33"/>
  <c r="AH219" i="33"/>
  <c r="AI219" i="33"/>
  <c r="AJ219" i="33"/>
  <c r="AK219" i="33"/>
  <c r="AC205" i="33"/>
  <c r="AL205" i="33" s="1"/>
  <c r="AD205" i="33"/>
  <c r="AE205" i="33"/>
  <c r="AF205" i="33"/>
  <c r="AG205" i="33"/>
  <c r="AH205" i="33"/>
  <c r="AI205" i="33"/>
  <c r="AJ205" i="33"/>
  <c r="AK205" i="33"/>
  <c r="AO187" i="33"/>
  <c r="AO28" i="33"/>
  <c r="AE94" i="35" s="1"/>
  <c r="AO36" i="33"/>
  <c r="Z106" i="35" s="1"/>
  <c r="AB58" i="35"/>
  <c r="V68" i="35"/>
  <c r="AO40" i="33"/>
  <c r="AO210" i="33"/>
  <c r="AO56" i="33"/>
  <c r="AB25" i="35"/>
  <c r="AO52" i="33"/>
  <c r="Z107" i="35" s="1"/>
  <c r="AE64" i="35"/>
  <c r="AF4" i="35"/>
  <c r="AO82" i="33"/>
  <c r="AO88" i="33"/>
  <c r="AO91" i="33"/>
  <c r="AO46" i="33"/>
  <c r="Y120" i="35" s="1"/>
  <c r="AO94" i="33"/>
  <c r="V59" i="35"/>
  <c r="AO97" i="33"/>
  <c r="AB122" i="35" s="1"/>
  <c r="AO99" i="33"/>
  <c r="AO79" i="33"/>
  <c r="AO107" i="33"/>
  <c r="AO80" i="33"/>
  <c r="AF45" i="35"/>
  <c r="AG46" i="35"/>
  <c r="AO98" i="33"/>
  <c r="AC88" i="35" s="1"/>
  <c r="AO108" i="33"/>
  <c r="V85" i="35" s="1"/>
  <c r="AO105" i="33"/>
  <c r="AE86" i="35" s="1"/>
  <c r="AO114" i="33"/>
  <c r="AD87" i="35"/>
  <c r="AO119" i="33"/>
  <c r="AO126" i="33"/>
  <c r="AO128" i="33"/>
  <c r="AO130" i="33"/>
  <c r="AE11" i="35"/>
  <c r="AO135" i="33"/>
  <c r="AE96" i="35" s="1"/>
  <c r="AO207" i="33"/>
  <c r="AO144" i="33"/>
  <c r="AG49" i="35"/>
  <c r="AO74" i="33"/>
  <c r="AO152" i="33"/>
  <c r="AD53" i="35"/>
  <c r="AO150" i="33"/>
  <c r="Z117" i="35" s="1"/>
  <c r="AO156" i="33"/>
  <c r="AB90" i="35" s="1"/>
  <c r="AO160" i="33"/>
  <c r="AO155" i="33"/>
  <c r="AO179" i="33"/>
  <c r="Z126" i="35" s="1"/>
  <c r="AO184" i="33"/>
  <c r="AB36" i="35"/>
  <c r="AO201" i="33"/>
  <c r="AG97" i="35" s="1"/>
  <c r="AO198" i="33"/>
  <c r="AB128" i="35" s="1"/>
  <c r="AO195" i="33"/>
  <c r="V12" i="35"/>
  <c r="Y14" i="35"/>
  <c r="AO219" i="33"/>
  <c r="AO205" i="33"/>
  <c r="AB21" i="35"/>
  <c r="AA108" i="33"/>
  <c r="AA98" i="33"/>
  <c r="AA28" i="33"/>
  <c r="AA156" i="33"/>
  <c r="AA160" i="33"/>
  <c r="AA126" i="33"/>
  <c r="AJ58" i="35"/>
  <c r="AJ57" i="35"/>
  <c r="AJ56" i="35"/>
  <c r="AA207" i="33"/>
  <c r="AG142" i="35"/>
  <c r="AJ55" i="35"/>
  <c r="AJ54" i="35"/>
  <c r="AA219" i="33"/>
  <c r="AJ53" i="35"/>
  <c r="AA74" i="33"/>
  <c r="AA88" i="33"/>
  <c r="AA187" i="33"/>
  <c r="AJ52" i="35"/>
  <c r="AA80" i="33"/>
  <c r="AA144" i="33"/>
  <c r="AJ51" i="35"/>
  <c r="AJ50" i="35"/>
  <c r="AJ49" i="35"/>
  <c r="AJ48" i="35"/>
  <c r="AJ47" i="35"/>
  <c r="AA128" i="33"/>
  <c r="AJ139" i="35"/>
  <c r="AA46" i="33"/>
  <c r="AA150" i="33"/>
  <c r="AJ46" i="35"/>
  <c r="AJ45" i="35"/>
  <c r="AJ44" i="35"/>
  <c r="AJ101" i="35"/>
  <c r="AJ43" i="35"/>
  <c r="AA40" i="33"/>
  <c r="AJ42" i="35"/>
  <c r="AJ41" i="35"/>
  <c r="AJ130" i="35"/>
  <c r="AJ40" i="35"/>
  <c r="AJ39" i="35"/>
  <c r="AJ38" i="35"/>
  <c r="AJ37" i="35"/>
  <c r="AJ36" i="35"/>
  <c r="AJ135" i="35"/>
  <c r="AJ12" i="35"/>
  <c r="AJ30" i="35"/>
  <c r="AJ11" i="35"/>
  <c r="AJ96" i="35"/>
  <c r="AJ3" i="35"/>
  <c r="AJ5" i="35"/>
  <c r="AJ7" i="35"/>
  <c r="AJ6" i="35"/>
  <c r="AJ22" i="35"/>
  <c r="AJ137" i="35"/>
  <c r="AJ106" i="35"/>
  <c r="AJ138" i="35"/>
  <c r="AJ107" i="35"/>
  <c r="AJ17" i="35"/>
  <c r="AJ108" i="35"/>
  <c r="AJ109" i="35"/>
  <c r="AJ110" i="35"/>
  <c r="AJ111" i="35"/>
  <c r="AJ4" i="35"/>
  <c r="AJ24" i="35"/>
  <c r="AJ112" i="35"/>
  <c r="AJ15" i="35"/>
  <c r="AJ31" i="35"/>
  <c r="AJ129" i="35"/>
  <c r="AJ113" i="35"/>
  <c r="AJ114" i="35"/>
  <c r="AJ141" i="35"/>
  <c r="AJ13" i="35"/>
  <c r="AJ142" i="35"/>
  <c r="AJ105" i="35"/>
  <c r="AJ9" i="35"/>
  <c r="AJ23" i="35"/>
  <c r="AJ21" i="35"/>
  <c r="AJ26" i="35"/>
  <c r="AJ10" i="35"/>
  <c r="AJ20" i="35"/>
  <c r="AJ32" i="35"/>
  <c r="AJ98" i="35"/>
  <c r="AJ33" i="35"/>
  <c r="AJ100" i="35"/>
  <c r="AJ115" i="35"/>
  <c r="AJ8" i="35"/>
  <c r="AJ29" i="35"/>
  <c r="AJ99" i="35"/>
  <c r="AJ116" i="35"/>
  <c r="AJ117" i="35"/>
  <c r="AJ118" i="35"/>
  <c r="AJ143" i="35"/>
  <c r="AJ16" i="35"/>
  <c r="AJ128" i="35"/>
  <c r="AJ119" i="35"/>
  <c r="AJ25" i="35"/>
  <c r="AJ120" i="35"/>
  <c r="AJ121" i="35"/>
  <c r="AJ19" i="35"/>
  <c r="AJ27" i="35"/>
  <c r="AJ127" i="35"/>
  <c r="AJ122" i="35"/>
  <c r="AJ97" i="35"/>
  <c r="AJ35" i="35"/>
  <c r="AJ123" i="35"/>
  <c r="AJ124" i="35"/>
  <c r="AJ28" i="35"/>
  <c r="AJ125" i="35"/>
  <c r="AJ34" i="35"/>
  <c r="AJ18" i="35"/>
  <c r="AJ14" i="35"/>
  <c r="AJ126" i="35"/>
  <c r="AA195" i="33"/>
  <c r="AA205" i="33"/>
  <c r="AA107" i="33"/>
  <c r="AA94" i="33"/>
  <c r="AA52" i="33"/>
  <c r="AA56" i="33"/>
  <c r="AA82" i="33"/>
  <c r="AA184" i="33"/>
  <c r="AA114" i="33"/>
  <c r="Z114" i="33" s="1"/>
  <c r="AA97" i="33"/>
  <c r="AA36" i="33"/>
  <c r="AA198" i="33"/>
  <c r="AA201" i="33"/>
  <c r="AA99" i="33"/>
  <c r="AA130" i="33"/>
  <c r="AA79" i="33"/>
  <c r="AA152" i="33"/>
  <c r="Y4" i="33"/>
  <c r="AA4" i="33"/>
  <c r="AA210" i="33"/>
  <c r="AC4" i="33"/>
  <c r="AL4" i="33" s="1"/>
  <c r="AD4" i="33"/>
  <c r="AE4" i="33"/>
  <c r="AF4" i="33"/>
  <c r="AG4" i="33"/>
  <c r="AH4" i="33"/>
  <c r="AI4" i="33"/>
  <c r="AJ4" i="33"/>
  <c r="AK4" i="33"/>
  <c r="AO4" i="33"/>
  <c r="W135" i="35"/>
  <c r="AV15" i="45"/>
  <c r="AV16" i="45"/>
  <c r="AV17" i="45"/>
  <c r="W2" i="45"/>
  <c r="A2" i="59" a="1"/>
  <c r="A2" i="59" s="1"/>
  <c r="AV14" i="45"/>
  <c r="AA179" i="33"/>
  <c r="AA119" i="33"/>
  <c r="AA91" i="33"/>
  <c r="AA155" i="33"/>
  <c r="AA105" i="33"/>
  <c r="AA135" i="33"/>
  <c r="E17" i="56" a="1"/>
  <c r="E17" i="56" s="1"/>
  <c r="F6" i="56" a="1"/>
  <c r="F6" i="56" s="1"/>
  <c r="G6" i="56" a="1"/>
  <c r="G6" i="56" s="1"/>
  <c r="H6" i="56" a="1"/>
  <c r="H6" i="56" s="1"/>
  <c r="I6" i="56" a="1"/>
  <c r="I6" i="56" s="1"/>
  <c r="J6" i="56" a="1"/>
  <c r="J6" i="56" s="1"/>
  <c r="K6" i="56" a="1"/>
  <c r="K6" i="56" s="1"/>
  <c r="L6" i="56" a="1"/>
  <c r="L6" i="56" s="1"/>
  <c r="M6" i="56" a="1"/>
  <c r="M6" i="56" s="1"/>
  <c r="N6" i="56" a="1"/>
  <c r="N6" i="56" s="1"/>
  <c r="O6" i="56" a="1"/>
  <c r="O6" i="56" s="1"/>
  <c r="F7" i="56" a="1"/>
  <c r="F7" i="56" s="1"/>
  <c r="G7" i="56" a="1"/>
  <c r="G7" i="56" s="1"/>
  <c r="H7" i="56" a="1"/>
  <c r="H7" i="56" s="1"/>
  <c r="I7" i="56" a="1"/>
  <c r="I7" i="56" s="1"/>
  <c r="J7" i="56" a="1"/>
  <c r="J7" i="56" s="1"/>
  <c r="K7" i="56" a="1"/>
  <c r="K7" i="56" s="1"/>
  <c r="L7" i="56" a="1"/>
  <c r="L7" i="56" s="1"/>
  <c r="M7" i="56" a="1"/>
  <c r="M7" i="56" s="1"/>
  <c r="N7" i="56" a="1"/>
  <c r="N7" i="56" s="1"/>
  <c r="O7" i="56" a="1"/>
  <c r="O7" i="56" s="1"/>
  <c r="F8" i="56" a="1"/>
  <c r="F8" i="56" s="1"/>
  <c r="G8" i="56" a="1"/>
  <c r="G8" i="56" s="1"/>
  <c r="H8" i="56" a="1"/>
  <c r="H8" i="56" s="1"/>
  <c r="I8" i="56" a="1"/>
  <c r="I8" i="56" s="1"/>
  <c r="J8" i="56" a="1"/>
  <c r="J8" i="56" s="1"/>
  <c r="K8" i="56" a="1"/>
  <c r="K8" i="56" s="1"/>
  <c r="L8" i="56" a="1"/>
  <c r="L8" i="56" s="1"/>
  <c r="M8" i="56" a="1"/>
  <c r="M8" i="56" s="1"/>
  <c r="N8" i="56" a="1"/>
  <c r="N8" i="56" s="1"/>
  <c r="O8" i="56" a="1"/>
  <c r="O8" i="56" s="1"/>
  <c r="F9" i="56" a="1"/>
  <c r="F9" i="56" s="1"/>
  <c r="G9" i="56" a="1"/>
  <c r="G9" i="56" s="1"/>
  <c r="H9" i="56" a="1"/>
  <c r="H9" i="56" s="1"/>
  <c r="I9" i="56" a="1"/>
  <c r="I9" i="56" s="1"/>
  <c r="J9" i="56" a="1"/>
  <c r="J9" i="56" s="1"/>
  <c r="K9" i="56" a="1"/>
  <c r="K9" i="56" s="1"/>
  <c r="L9" i="56" a="1"/>
  <c r="L9" i="56" s="1"/>
  <c r="M9" i="56" a="1"/>
  <c r="M9" i="56" s="1"/>
  <c r="N9" i="56" a="1"/>
  <c r="N9" i="56" s="1"/>
  <c r="O9" i="56" a="1"/>
  <c r="O9" i="56" s="1"/>
  <c r="F10" i="56" a="1"/>
  <c r="F10" i="56" s="1"/>
  <c r="G10" i="56" a="1"/>
  <c r="G10" i="56" s="1"/>
  <c r="H10" i="56" a="1"/>
  <c r="H10" i="56" s="1"/>
  <c r="I10" i="56" a="1"/>
  <c r="I10" i="56" s="1"/>
  <c r="J10" i="56" a="1"/>
  <c r="J10" i="56" s="1"/>
  <c r="K10" i="56" a="1"/>
  <c r="K10" i="56" s="1"/>
  <c r="L10" i="56" a="1"/>
  <c r="L10" i="56" s="1"/>
  <c r="M10" i="56" a="1"/>
  <c r="M10" i="56" s="1"/>
  <c r="N10" i="56" a="1"/>
  <c r="N10" i="56" s="1"/>
  <c r="O10" i="56" a="1"/>
  <c r="O10" i="56" s="1"/>
  <c r="F11" i="56" a="1"/>
  <c r="F11" i="56" s="1"/>
  <c r="G11" i="56" a="1"/>
  <c r="G11" i="56" s="1"/>
  <c r="H11" i="56" a="1"/>
  <c r="H11" i="56" s="1"/>
  <c r="I11" i="56" a="1"/>
  <c r="I11" i="56" s="1"/>
  <c r="J11" i="56" a="1"/>
  <c r="J11" i="56" s="1"/>
  <c r="K11" i="56" a="1"/>
  <c r="K11" i="56" s="1"/>
  <c r="L11" i="56" a="1"/>
  <c r="L11" i="56" s="1"/>
  <c r="M11" i="56" a="1"/>
  <c r="M11" i="56" s="1"/>
  <c r="N11" i="56" a="1"/>
  <c r="N11" i="56" s="1"/>
  <c r="O11" i="56" a="1"/>
  <c r="O11" i="56" s="1"/>
  <c r="F12" i="56" a="1"/>
  <c r="F12" i="56" s="1"/>
  <c r="G12" i="56" a="1"/>
  <c r="G12" i="56" s="1"/>
  <c r="H12" i="56" a="1"/>
  <c r="H12" i="56" s="1"/>
  <c r="I12" i="56" a="1"/>
  <c r="I12" i="56" s="1"/>
  <c r="J12" i="56" a="1"/>
  <c r="J12" i="56" s="1"/>
  <c r="K12" i="56" a="1"/>
  <c r="K12" i="56" s="1"/>
  <c r="L12" i="56" a="1"/>
  <c r="L12" i="56" s="1"/>
  <c r="M12" i="56" a="1"/>
  <c r="M12" i="56" s="1"/>
  <c r="N12" i="56" a="1"/>
  <c r="N12" i="56" s="1"/>
  <c r="O12" i="56" a="1"/>
  <c r="O12" i="56" s="1"/>
  <c r="F13" i="56" a="1"/>
  <c r="F13" i="56" s="1"/>
  <c r="G13" i="56" a="1"/>
  <c r="G13" i="56" s="1"/>
  <c r="H13" i="56" a="1"/>
  <c r="H13" i="56" s="1"/>
  <c r="I13" i="56" a="1"/>
  <c r="I13" i="56" s="1"/>
  <c r="J13" i="56" a="1"/>
  <c r="J13" i="56" s="1"/>
  <c r="K13" i="56" a="1"/>
  <c r="K13" i="56" s="1"/>
  <c r="L13" i="56" a="1"/>
  <c r="L13" i="56" s="1"/>
  <c r="M13" i="56" a="1"/>
  <c r="M13" i="56" s="1"/>
  <c r="N13" i="56" a="1"/>
  <c r="N13" i="56" s="1"/>
  <c r="O13" i="56" a="1"/>
  <c r="O13" i="56" s="1"/>
  <c r="F14" i="56" a="1"/>
  <c r="F14" i="56" s="1"/>
  <c r="G14" i="56" a="1"/>
  <c r="G14" i="56" s="1"/>
  <c r="H14" i="56" a="1"/>
  <c r="H14" i="56" s="1"/>
  <c r="I14" i="56" a="1"/>
  <c r="I14" i="56" s="1"/>
  <c r="J14" i="56" a="1"/>
  <c r="J14" i="56" s="1"/>
  <c r="K14" i="56" a="1"/>
  <c r="K14" i="56" s="1"/>
  <c r="L14" i="56" a="1"/>
  <c r="L14" i="56" s="1"/>
  <c r="M14" i="56" a="1"/>
  <c r="M14" i="56" s="1"/>
  <c r="N14" i="56" a="1"/>
  <c r="N14" i="56" s="1"/>
  <c r="O14" i="56" a="1"/>
  <c r="O14" i="56" s="1"/>
  <c r="F15" i="56" a="1"/>
  <c r="F15" i="56" s="1"/>
  <c r="G15" i="56" a="1"/>
  <c r="G15" i="56" s="1"/>
  <c r="H15" i="56" a="1"/>
  <c r="H15" i="56" s="1"/>
  <c r="I15" i="56" a="1"/>
  <c r="I15" i="56" s="1"/>
  <c r="J15" i="56" a="1"/>
  <c r="J15" i="56" s="1"/>
  <c r="K15" i="56" a="1"/>
  <c r="K15" i="56" s="1"/>
  <c r="L15" i="56" a="1"/>
  <c r="L15" i="56" s="1"/>
  <c r="M15" i="56" a="1"/>
  <c r="M15" i="56" s="1"/>
  <c r="N15" i="56" a="1"/>
  <c r="N15" i="56" s="1"/>
  <c r="O15" i="56" a="1"/>
  <c r="O15" i="56" s="1"/>
  <c r="F16" i="56" a="1"/>
  <c r="F16" i="56" s="1"/>
  <c r="G16" i="56" a="1"/>
  <c r="G16" i="56" s="1"/>
  <c r="H16" i="56" a="1"/>
  <c r="H16" i="56" s="1"/>
  <c r="I16" i="56" a="1"/>
  <c r="I16" i="56" s="1"/>
  <c r="J16" i="56" a="1"/>
  <c r="J16" i="56" s="1"/>
  <c r="K16" i="56" a="1"/>
  <c r="K16" i="56" s="1"/>
  <c r="L16" i="56" a="1"/>
  <c r="L16" i="56" s="1"/>
  <c r="M16" i="56" a="1"/>
  <c r="M16" i="56" s="1"/>
  <c r="N16" i="56" a="1"/>
  <c r="N16" i="56" s="1"/>
  <c r="O16" i="56" a="1"/>
  <c r="O16" i="56" s="1"/>
  <c r="F17" i="56" a="1"/>
  <c r="F17" i="56" s="1"/>
  <c r="G17" i="56" a="1"/>
  <c r="G17" i="56" s="1"/>
  <c r="H17" i="56" a="1"/>
  <c r="H17" i="56" s="1"/>
  <c r="I17" i="56" a="1"/>
  <c r="I17" i="56" s="1"/>
  <c r="J17" i="56" a="1"/>
  <c r="J17" i="56" s="1"/>
  <c r="K17" i="56" a="1"/>
  <c r="K17" i="56" s="1"/>
  <c r="L17" i="56" a="1"/>
  <c r="L17" i="56" s="1"/>
  <c r="M17" i="56" a="1"/>
  <c r="M17" i="56" s="1"/>
  <c r="N17" i="56" a="1"/>
  <c r="N17" i="56" s="1"/>
  <c r="O17" i="56" a="1"/>
  <c r="O17" i="56" s="1"/>
  <c r="F18" i="56" a="1"/>
  <c r="F18" i="56" s="1"/>
  <c r="G18" i="56" a="1"/>
  <c r="G18" i="56" s="1"/>
  <c r="H18" i="56" a="1"/>
  <c r="H18" i="56" s="1"/>
  <c r="I18" i="56" a="1"/>
  <c r="I18" i="56" s="1"/>
  <c r="J18" i="56" a="1"/>
  <c r="J18" i="56" s="1"/>
  <c r="K18" i="56" a="1"/>
  <c r="K18" i="56" s="1"/>
  <c r="L18" i="56" a="1"/>
  <c r="L18" i="56" s="1"/>
  <c r="M18" i="56" a="1"/>
  <c r="M18" i="56" s="1"/>
  <c r="N18" i="56" a="1"/>
  <c r="N18" i="56" s="1"/>
  <c r="O18" i="56" a="1"/>
  <c r="O18" i="56" s="1"/>
  <c r="F19" i="56" a="1"/>
  <c r="F19" i="56" s="1"/>
  <c r="G19" i="56" a="1"/>
  <c r="G19" i="56" s="1"/>
  <c r="H19" i="56" a="1"/>
  <c r="H19" i="56" s="1"/>
  <c r="I19" i="56" a="1"/>
  <c r="I19" i="56" s="1"/>
  <c r="J19" i="56" a="1"/>
  <c r="J19" i="56" s="1"/>
  <c r="K19" i="56" a="1"/>
  <c r="K19" i="56" s="1"/>
  <c r="L19" i="56" a="1"/>
  <c r="L19" i="56" s="1"/>
  <c r="M19" i="56" a="1"/>
  <c r="M19" i="56" s="1"/>
  <c r="N19" i="56" a="1"/>
  <c r="N19" i="56" s="1"/>
  <c r="O19" i="56" a="1"/>
  <c r="O19" i="56" s="1"/>
  <c r="F20" i="56" a="1"/>
  <c r="F20" i="56" s="1"/>
  <c r="G20" i="56" a="1"/>
  <c r="G20" i="56" s="1"/>
  <c r="H20" i="56" a="1"/>
  <c r="H20" i="56" s="1"/>
  <c r="I20" i="56" a="1"/>
  <c r="I20" i="56" s="1"/>
  <c r="J20" i="56" a="1"/>
  <c r="J20" i="56" s="1"/>
  <c r="K20" i="56" a="1"/>
  <c r="K20" i="56" s="1"/>
  <c r="L20" i="56" a="1"/>
  <c r="L20" i="56" s="1"/>
  <c r="M20" i="56" a="1"/>
  <c r="M20" i="56" s="1"/>
  <c r="N20" i="56" a="1"/>
  <c r="N20" i="56" s="1"/>
  <c r="O20" i="56" a="1"/>
  <c r="O20" i="56" s="1"/>
  <c r="F21" i="56" a="1"/>
  <c r="F21" i="56" s="1"/>
  <c r="G21" i="56" a="1"/>
  <c r="G21" i="56" s="1"/>
  <c r="H21" i="56" a="1"/>
  <c r="H21" i="56" s="1"/>
  <c r="I21" i="56" a="1"/>
  <c r="I21" i="56" s="1"/>
  <c r="J21" i="56" a="1"/>
  <c r="J21" i="56" s="1"/>
  <c r="K21" i="56" a="1"/>
  <c r="K21" i="56" s="1"/>
  <c r="L21" i="56" a="1"/>
  <c r="L21" i="56" s="1"/>
  <c r="M21" i="56" a="1"/>
  <c r="M21" i="56" s="1"/>
  <c r="N21" i="56" a="1"/>
  <c r="N21" i="56" s="1"/>
  <c r="O21" i="56" a="1"/>
  <c r="O21" i="56" s="1"/>
  <c r="F22" i="56" a="1"/>
  <c r="F22" i="56" s="1"/>
  <c r="G22" i="56" a="1"/>
  <c r="G22" i="56" s="1"/>
  <c r="H22" i="56" a="1"/>
  <c r="H22" i="56" s="1"/>
  <c r="I22" i="56" a="1"/>
  <c r="I22" i="56" s="1"/>
  <c r="J22" i="56" a="1"/>
  <c r="J22" i="56" s="1"/>
  <c r="K22" i="56" a="1"/>
  <c r="K22" i="56" s="1"/>
  <c r="L22" i="56" a="1"/>
  <c r="L22" i="56" s="1"/>
  <c r="M22" i="56" a="1"/>
  <c r="M22" i="56" s="1"/>
  <c r="N22" i="56" a="1"/>
  <c r="N22" i="56" s="1"/>
  <c r="O22" i="56" a="1"/>
  <c r="O22" i="56" s="1"/>
  <c r="F23" i="56" a="1"/>
  <c r="F23" i="56" s="1"/>
  <c r="G23" i="56" a="1"/>
  <c r="G23" i="56" s="1"/>
  <c r="H23" i="56" a="1"/>
  <c r="H23" i="56" s="1"/>
  <c r="I23" i="56" a="1"/>
  <c r="I23" i="56" s="1"/>
  <c r="J23" i="56" a="1"/>
  <c r="J23" i="56" s="1"/>
  <c r="K23" i="56" a="1"/>
  <c r="K23" i="56" s="1"/>
  <c r="L23" i="56" a="1"/>
  <c r="L23" i="56" s="1"/>
  <c r="M23" i="56" a="1"/>
  <c r="M23" i="56" s="1"/>
  <c r="N23" i="56" a="1"/>
  <c r="N23" i="56" s="1"/>
  <c r="O23" i="56" a="1"/>
  <c r="O23" i="56" s="1"/>
  <c r="F24" i="56" a="1"/>
  <c r="F24" i="56" s="1"/>
  <c r="G24" i="56" a="1"/>
  <c r="G24" i="56" s="1"/>
  <c r="H24" i="56" a="1"/>
  <c r="H24" i="56" s="1"/>
  <c r="I24" i="56" a="1"/>
  <c r="I24" i="56" s="1"/>
  <c r="J24" i="56" a="1"/>
  <c r="J24" i="56" s="1"/>
  <c r="K24" i="56" a="1"/>
  <c r="K24" i="56" s="1"/>
  <c r="L24" i="56" a="1"/>
  <c r="L24" i="56" s="1"/>
  <c r="M24" i="56" a="1"/>
  <c r="M24" i="56" s="1"/>
  <c r="N24" i="56" a="1"/>
  <c r="N24" i="56" s="1"/>
  <c r="O24" i="56" a="1"/>
  <c r="O24" i="56" s="1"/>
  <c r="F25" i="56" a="1"/>
  <c r="F25" i="56" s="1"/>
  <c r="G25" i="56" a="1"/>
  <c r="G25" i="56" s="1"/>
  <c r="H25" i="56" a="1"/>
  <c r="H25" i="56" s="1"/>
  <c r="I25" i="56" a="1"/>
  <c r="I25" i="56" s="1"/>
  <c r="J25" i="56" a="1"/>
  <c r="J25" i="56" s="1"/>
  <c r="K25" i="56" a="1"/>
  <c r="K25" i="56" s="1"/>
  <c r="L25" i="56" a="1"/>
  <c r="L25" i="56" s="1"/>
  <c r="M25" i="56" a="1"/>
  <c r="M25" i="56" s="1"/>
  <c r="N25" i="56" a="1"/>
  <c r="N25" i="56" s="1"/>
  <c r="O25" i="56" a="1"/>
  <c r="O25" i="56" s="1"/>
  <c r="F26" i="56" a="1"/>
  <c r="F26" i="56" s="1"/>
  <c r="G26" i="56" a="1"/>
  <c r="G26" i="56" s="1"/>
  <c r="H26" i="56" a="1"/>
  <c r="H26" i="56" s="1"/>
  <c r="I26" i="56" a="1"/>
  <c r="I26" i="56" s="1"/>
  <c r="J26" i="56" a="1"/>
  <c r="J26" i="56" s="1"/>
  <c r="K26" i="56" a="1"/>
  <c r="K26" i="56" s="1"/>
  <c r="L26" i="56" a="1"/>
  <c r="L26" i="56" s="1"/>
  <c r="M26" i="56" a="1"/>
  <c r="M26" i="56" s="1"/>
  <c r="N26" i="56" a="1"/>
  <c r="N26" i="56" s="1"/>
  <c r="O26" i="56" a="1"/>
  <c r="O26" i="56" s="1"/>
  <c r="F27" i="56" a="1"/>
  <c r="F27" i="56" s="1"/>
  <c r="G27" i="56" a="1"/>
  <c r="G27" i="56" s="1"/>
  <c r="H27" i="56" a="1"/>
  <c r="H27" i="56" s="1"/>
  <c r="I27" i="56" a="1"/>
  <c r="I27" i="56" s="1"/>
  <c r="J27" i="56" a="1"/>
  <c r="J27" i="56" s="1"/>
  <c r="K27" i="56" a="1"/>
  <c r="K27" i="56" s="1"/>
  <c r="L27" i="56" a="1"/>
  <c r="L27" i="56" s="1"/>
  <c r="M27" i="56" a="1"/>
  <c r="M27" i="56" s="1"/>
  <c r="N27" i="56" a="1"/>
  <c r="N27" i="56" s="1"/>
  <c r="O27" i="56" a="1"/>
  <c r="O27" i="56" s="1"/>
  <c r="F28" i="56" a="1"/>
  <c r="F28" i="56" s="1"/>
  <c r="G28" i="56" a="1"/>
  <c r="G28" i="56" s="1"/>
  <c r="H28" i="56" a="1"/>
  <c r="H28" i="56" s="1"/>
  <c r="I28" i="56" a="1"/>
  <c r="I28" i="56" s="1"/>
  <c r="J28" i="56" a="1"/>
  <c r="J28" i="56" s="1"/>
  <c r="K28" i="56" a="1"/>
  <c r="K28" i="56" s="1"/>
  <c r="L28" i="56" a="1"/>
  <c r="L28" i="56" s="1"/>
  <c r="M28" i="56" a="1"/>
  <c r="M28" i="56" s="1"/>
  <c r="N28" i="56" a="1"/>
  <c r="N28" i="56" s="1"/>
  <c r="O28" i="56" a="1"/>
  <c r="O28" i="56" s="1"/>
  <c r="F29" i="56" a="1"/>
  <c r="F29" i="56" s="1"/>
  <c r="G29" i="56" a="1"/>
  <c r="G29" i="56" s="1"/>
  <c r="H29" i="56" a="1"/>
  <c r="H29" i="56" s="1"/>
  <c r="I29" i="56" a="1"/>
  <c r="I29" i="56" s="1"/>
  <c r="J29" i="56" a="1"/>
  <c r="J29" i="56" s="1"/>
  <c r="K29" i="56" a="1"/>
  <c r="K29" i="56" s="1"/>
  <c r="L29" i="56" a="1"/>
  <c r="L29" i="56" s="1"/>
  <c r="M29" i="56" a="1"/>
  <c r="M29" i="56" s="1"/>
  <c r="N29" i="56" a="1"/>
  <c r="N29" i="56" s="1"/>
  <c r="O29" i="56" a="1"/>
  <c r="O29" i="56" s="1"/>
  <c r="F30" i="56" a="1"/>
  <c r="F30" i="56" s="1"/>
  <c r="G30" i="56" a="1"/>
  <c r="G30" i="56" s="1"/>
  <c r="H30" i="56" a="1"/>
  <c r="H30" i="56" s="1"/>
  <c r="I30" i="56" a="1"/>
  <c r="I30" i="56" s="1"/>
  <c r="J30" i="56" a="1"/>
  <c r="J30" i="56" s="1"/>
  <c r="K30" i="56" a="1"/>
  <c r="K30" i="56" s="1"/>
  <c r="L30" i="56" a="1"/>
  <c r="L30" i="56" s="1"/>
  <c r="M30" i="56" a="1"/>
  <c r="M30" i="56" s="1"/>
  <c r="N30" i="56" a="1"/>
  <c r="N30" i="56" s="1"/>
  <c r="O30" i="56" a="1"/>
  <c r="O30" i="56" s="1"/>
  <c r="F31" i="56" a="1"/>
  <c r="F31" i="56" s="1"/>
  <c r="G31" i="56" a="1"/>
  <c r="G31" i="56" s="1"/>
  <c r="H31" i="56" a="1"/>
  <c r="H31" i="56" s="1"/>
  <c r="I31" i="56" a="1"/>
  <c r="I31" i="56" s="1"/>
  <c r="J31" i="56" a="1"/>
  <c r="J31" i="56" s="1"/>
  <c r="K31" i="56" a="1"/>
  <c r="K31" i="56" s="1"/>
  <c r="L31" i="56" a="1"/>
  <c r="L31" i="56" s="1"/>
  <c r="M31" i="56" a="1"/>
  <c r="M31" i="56" s="1"/>
  <c r="N31" i="56" a="1"/>
  <c r="N31" i="56" s="1"/>
  <c r="O31" i="56" a="1"/>
  <c r="O31" i="56" s="1"/>
  <c r="F32" i="56" a="1"/>
  <c r="F32" i="56" s="1"/>
  <c r="G32" i="56" a="1"/>
  <c r="G32" i="56" s="1"/>
  <c r="H32" i="56" a="1"/>
  <c r="H32" i="56" s="1"/>
  <c r="I32" i="56" a="1"/>
  <c r="I32" i="56" s="1"/>
  <c r="J32" i="56" a="1"/>
  <c r="J32" i="56" s="1"/>
  <c r="K32" i="56" a="1"/>
  <c r="K32" i="56" s="1"/>
  <c r="L32" i="56" a="1"/>
  <c r="L32" i="56" s="1"/>
  <c r="M32" i="56" a="1"/>
  <c r="M32" i="56" s="1"/>
  <c r="N32" i="56" a="1"/>
  <c r="N32" i="56" s="1"/>
  <c r="O32" i="56" a="1"/>
  <c r="O32" i="56" s="1"/>
  <c r="F33" i="56" a="1"/>
  <c r="F33" i="56" s="1"/>
  <c r="G33" i="56" a="1"/>
  <c r="G33" i="56" s="1"/>
  <c r="H33" i="56" a="1"/>
  <c r="H33" i="56" s="1"/>
  <c r="I33" i="56" a="1"/>
  <c r="I33" i="56" s="1"/>
  <c r="J33" i="56" a="1"/>
  <c r="J33" i="56" s="1"/>
  <c r="K33" i="56" a="1"/>
  <c r="K33" i="56" s="1"/>
  <c r="L33" i="56" a="1"/>
  <c r="L33" i="56" s="1"/>
  <c r="M33" i="56" a="1"/>
  <c r="M33" i="56" s="1"/>
  <c r="N33" i="56" a="1"/>
  <c r="N33" i="56" s="1"/>
  <c r="O33" i="56" a="1"/>
  <c r="O33" i="56" s="1"/>
  <c r="F34" i="56" a="1"/>
  <c r="F34" i="56" s="1"/>
  <c r="G34" i="56" a="1"/>
  <c r="G34" i="56" s="1"/>
  <c r="H34" i="56" a="1"/>
  <c r="H34" i="56" s="1"/>
  <c r="I34" i="56" a="1"/>
  <c r="I34" i="56" s="1"/>
  <c r="J34" i="56" a="1"/>
  <c r="J34" i="56" s="1"/>
  <c r="K34" i="56" a="1"/>
  <c r="K34" i="56" s="1"/>
  <c r="L34" i="56" a="1"/>
  <c r="L34" i="56" s="1"/>
  <c r="M34" i="56" a="1"/>
  <c r="M34" i="56" s="1"/>
  <c r="N34" i="56" a="1"/>
  <c r="N34" i="56" s="1"/>
  <c r="O34" i="56" a="1"/>
  <c r="O34" i="56" s="1"/>
  <c r="O5" i="56" a="1"/>
  <c r="O5" i="56" s="1"/>
  <c r="N5" i="56" a="1"/>
  <c r="N5" i="56" s="1"/>
  <c r="M5" i="56" a="1"/>
  <c r="M5" i="56" s="1"/>
  <c r="L5" i="56" a="1"/>
  <c r="L5" i="56" s="1"/>
  <c r="K5" i="56" a="1"/>
  <c r="K5" i="56" s="1"/>
  <c r="J5" i="56" a="1"/>
  <c r="J5" i="56" s="1"/>
  <c r="I5" i="56" a="1"/>
  <c r="I5" i="56" s="1"/>
  <c r="H5" i="56" a="1"/>
  <c r="H5" i="56" s="1"/>
  <c r="G5" i="56" a="1"/>
  <c r="G5" i="56" s="1"/>
  <c r="F5" i="56" a="1"/>
  <c r="F5" i="56" s="1"/>
  <c r="E6" i="56" a="1"/>
  <c r="E6" i="56" s="1"/>
  <c r="E7" i="56" a="1"/>
  <c r="E7" i="56" s="1"/>
  <c r="E8" i="56" a="1"/>
  <c r="E8" i="56" s="1"/>
  <c r="E9" i="56" a="1"/>
  <c r="E9" i="56" s="1"/>
  <c r="E10" i="56" a="1"/>
  <c r="E10" i="56" s="1"/>
  <c r="E11" i="56" a="1"/>
  <c r="E11" i="56" s="1"/>
  <c r="E12" i="56" a="1"/>
  <c r="E12" i="56" s="1"/>
  <c r="E13" i="56" a="1"/>
  <c r="E13" i="56" s="1"/>
  <c r="E14" i="56" a="1"/>
  <c r="E14" i="56" s="1"/>
  <c r="E15" i="56" a="1"/>
  <c r="E15" i="56" s="1"/>
  <c r="E16" i="56" a="1"/>
  <c r="E16" i="56" s="1"/>
  <c r="E18" i="56" a="1"/>
  <c r="E18" i="56" s="1"/>
  <c r="E19" i="56" a="1"/>
  <c r="E19" i="56" s="1"/>
  <c r="E20" i="56" a="1"/>
  <c r="E20" i="56" s="1"/>
  <c r="E21" i="56" a="1"/>
  <c r="E21" i="56" s="1"/>
  <c r="E22" i="56" a="1"/>
  <c r="E22" i="56" s="1"/>
  <c r="E23" i="56" a="1"/>
  <c r="E23" i="56" s="1"/>
  <c r="E24" i="56" a="1"/>
  <c r="E24" i="56" s="1"/>
  <c r="E25" i="56" a="1"/>
  <c r="E25" i="56" s="1"/>
  <c r="E26" i="56" a="1"/>
  <c r="E26" i="56" s="1"/>
  <c r="E27" i="56" a="1"/>
  <c r="E27" i="56" s="1"/>
  <c r="E28" i="56" a="1"/>
  <c r="E28" i="56" s="1"/>
  <c r="E29" i="56" a="1"/>
  <c r="E29" i="56" s="1"/>
  <c r="E30" i="56" a="1"/>
  <c r="E30" i="56" s="1"/>
  <c r="E31" i="56" a="1"/>
  <c r="E31" i="56" s="1"/>
  <c r="E32" i="56" a="1"/>
  <c r="E32" i="56" s="1"/>
  <c r="E33" i="56" a="1"/>
  <c r="E33" i="56" s="1"/>
  <c r="E34" i="56" a="1"/>
  <c r="E34" i="56" s="1"/>
  <c r="E5" i="56" a="1"/>
  <c r="E5" i="56" s="1"/>
  <c r="D6" i="56" a="1"/>
  <c r="D6" i="56" s="1"/>
  <c r="D7" i="56" a="1"/>
  <c r="D7" i="56" s="1"/>
  <c r="D8" i="56" a="1"/>
  <c r="D8" i="56" s="1"/>
  <c r="D9" i="56" a="1"/>
  <c r="D9" i="56" s="1"/>
  <c r="D10" i="56" a="1"/>
  <c r="D10" i="56" s="1"/>
  <c r="D11" i="56" a="1"/>
  <c r="D11" i="56" s="1"/>
  <c r="D12" i="56" a="1"/>
  <c r="D12" i="56" s="1"/>
  <c r="D13" i="56" a="1"/>
  <c r="D13" i="56" s="1"/>
  <c r="D14" i="56" a="1"/>
  <c r="D14" i="56" s="1"/>
  <c r="D15" i="56" a="1"/>
  <c r="D15" i="56" s="1"/>
  <c r="D16" i="56" a="1"/>
  <c r="D16" i="56" s="1"/>
  <c r="D17" i="56" a="1"/>
  <c r="D17" i="56" s="1"/>
  <c r="D18" i="56" a="1"/>
  <c r="D18" i="56" s="1"/>
  <c r="D19" i="56" a="1"/>
  <c r="D19" i="56" s="1"/>
  <c r="D20" i="56" a="1"/>
  <c r="D20" i="56" s="1"/>
  <c r="D21" i="56" a="1"/>
  <c r="D21" i="56" s="1"/>
  <c r="D22" i="56" a="1"/>
  <c r="D22" i="56" s="1"/>
  <c r="D23" i="56" a="1"/>
  <c r="D23" i="56" s="1"/>
  <c r="D24" i="56" a="1"/>
  <c r="D24" i="56" s="1"/>
  <c r="D25" i="56" a="1"/>
  <c r="D25" i="56" s="1"/>
  <c r="D26" i="56" a="1"/>
  <c r="D26" i="56" s="1"/>
  <c r="D27" i="56" a="1"/>
  <c r="D27" i="56" s="1"/>
  <c r="D28" i="56" a="1"/>
  <c r="D28" i="56" s="1"/>
  <c r="D29" i="56" a="1"/>
  <c r="D29" i="56" s="1"/>
  <c r="D30" i="56" a="1"/>
  <c r="D30" i="56" s="1"/>
  <c r="D31" i="56" a="1"/>
  <c r="D31" i="56" s="1"/>
  <c r="D32" i="56" a="1"/>
  <c r="D32" i="56" s="1"/>
  <c r="D33" i="56" a="1"/>
  <c r="D33" i="56" s="1"/>
  <c r="D34" i="56" a="1"/>
  <c r="D34" i="56" s="1"/>
  <c r="D5" i="56" a="1"/>
  <c r="D5" i="56" s="1"/>
  <c r="U34" i="46" a="1"/>
  <c r="U34" i="46" s="1"/>
  <c r="S34" i="46" a="1"/>
  <c r="S34" i="46" s="1"/>
  <c r="U33" i="46" a="1"/>
  <c r="U33" i="46" s="1"/>
  <c r="S33" i="46" a="1"/>
  <c r="S33" i="46" s="1"/>
  <c r="U32" i="46" a="1"/>
  <c r="U32" i="46" s="1"/>
  <c r="S32" i="46" a="1"/>
  <c r="S32" i="46" s="1"/>
  <c r="U31" i="46" a="1"/>
  <c r="U31" i="46" s="1"/>
  <c r="S31" i="46" a="1"/>
  <c r="S31" i="46" s="1"/>
  <c r="U30" i="46" a="1"/>
  <c r="U30" i="46" s="1"/>
  <c r="S30" i="46" a="1"/>
  <c r="S30" i="46" s="1"/>
  <c r="U29" i="46" a="1"/>
  <c r="U29" i="46" s="1"/>
  <c r="S29" i="46" a="1"/>
  <c r="S29" i="46" s="1"/>
  <c r="U28" i="46" a="1"/>
  <c r="U28" i="46" s="1"/>
  <c r="S28" i="46" a="1"/>
  <c r="S28" i="46" s="1"/>
  <c r="U27" i="46" a="1"/>
  <c r="U27" i="46" s="1"/>
  <c r="S27" i="46" a="1"/>
  <c r="S27" i="46" s="1"/>
  <c r="U26" i="46" a="1"/>
  <c r="U26" i="46" s="1"/>
  <c r="S26" i="46" a="1"/>
  <c r="S26" i="46" s="1"/>
  <c r="U25" i="46" a="1"/>
  <c r="U25" i="46" s="1"/>
  <c r="S25" i="46" a="1"/>
  <c r="S25" i="46" s="1"/>
  <c r="U24" i="46" a="1"/>
  <c r="U24" i="46" s="1"/>
  <c r="S24" i="46" a="1"/>
  <c r="S24" i="46" s="1"/>
  <c r="U23" i="46" a="1"/>
  <c r="U23" i="46" s="1"/>
  <c r="S23" i="46" a="1"/>
  <c r="S23" i="46" s="1"/>
  <c r="U22" i="46" a="1"/>
  <c r="U22" i="46" s="1"/>
  <c r="S22" i="46" a="1"/>
  <c r="S22" i="46" s="1"/>
  <c r="U21" i="46" a="1"/>
  <c r="U21" i="46" s="1"/>
  <c r="S21" i="46" a="1"/>
  <c r="S21" i="46" s="1"/>
  <c r="U20" i="46" a="1"/>
  <c r="U20" i="46" s="1"/>
  <c r="S20" i="46" a="1"/>
  <c r="S20" i="46" s="1"/>
  <c r="U19" i="46" a="1"/>
  <c r="U19" i="46" s="1"/>
  <c r="S19" i="46" a="1"/>
  <c r="S19" i="46" s="1"/>
  <c r="U18" i="46" a="1"/>
  <c r="U18" i="46" s="1"/>
  <c r="S18" i="46" a="1"/>
  <c r="S18" i="46" s="1"/>
  <c r="U17" i="46" a="1"/>
  <c r="U17" i="46" s="1"/>
  <c r="S17" i="46" a="1"/>
  <c r="S17" i="46" s="1"/>
  <c r="U16" i="46" a="1"/>
  <c r="U16" i="46" s="1"/>
  <c r="S16" i="46" a="1"/>
  <c r="S16" i="46" s="1"/>
  <c r="U15" i="46" a="1"/>
  <c r="U15" i="46" s="1"/>
  <c r="S15" i="46" a="1"/>
  <c r="S15" i="46" s="1"/>
  <c r="U14" i="46" a="1"/>
  <c r="U14" i="46" s="1"/>
  <c r="S14" i="46" a="1"/>
  <c r="S14" i="46" s="1"/>
  <c r="U13" i="46" a="1"/>
  <c r="U13" i="46" s="1"/>
  <c r="S13" i="46" a="1"/>
  <c r="S13" i="46" s="1"/>
  <c r="U12" i="46" a="1"/>
  <c r="U12" i="46" s="1"/>
  <c r="S12" i="46" a="1"/>
  <c r="S12" i="46" s="1"/>
  <c r="U11" i="46" a="1"/>
  <c r="U11" i="46" s="1"/>
  <c r="S11" i="46" a="1"/>
  <c r="S11" i="46" s="1"/>
  <c r="U10" i="46" a="1"/>
  <c r="U10" i="46" s="1"/>
  <c r="S10" i="46" a="1"/>
  <c r="S10" i="46" s="1"/>
  <c r="U9" i="46" a="1"/>
  <c r="U9" i="46" s="1"/>
  <c r="S9" i="46" a="1"/>
  <c r="S9" i="46" s="1"/>
  <c r="U8" i="46" a="1"/>
  <c r="U8" i="46" s="1"/>
  <c r="S8" i="46" a="1"/>
  <c r="S8" i="46" s="1"/>
  <c r="U7" i="46" a="1"/>
  <c r="U7" i="46" s="1"/>
  <c r="S7" i="46" a="1"/>
  <c r="S7" i="46" s="1"/>
  <c r="U6" i="46" a="1"/>
  <c r="U6" i="46" s="1"/>
  <c r="S6" i="46" a="1"/>
  <c r="S6" i="46" s="1"/>
  <c r="U5" i="46" a="1"/>
  <c r="U5" i="46" s="1"/>
  <c r="S5" i="46" a="1"/>
  <c r="S5" i="46" s="1"/>
  <c r="R34" i="46" a="1"/>
  <c r="R34" i="46" s="1"/>
  <c r="P34" i="46" a="1"/>
  <c r="P34" i="46" s="1"/>
  <c r="O34" i="46" a="1"/>
  <c r="O34" i="46" s="1"/>
  <c r="M34" i="46" a="1"/>
  <c r="M34" i="46" s="1"/>
  <c r="L34" i="46" a="1"/>
  <c r="L34" i="46" s="1"/>
  <c r="J34" i="46" a="1"/>
  <c r="J34" i="46" s="1"/>
  <c r="I34" i="46" a="1"/>
  <c r="I34" i="46" s="1"/>
  <c r="G34" i="46" a="1"/>
  <c r="G34" i="46" s="1"/>
  <c r="F34" i="46" a="1"/>
  <c r="F34" i="46" s="1"/>
  <c r="D34" i="46" a="1"/>
  <c r="D34" i="46" s="1"/>
  <c r="R33" i="46" a="1"/>
  <c r="R33" i="46" s="1"/>
  <c r="P33" i="46" a="1"/>
  <c r="P33" i="46" s="1"/>
  <c r="O33" i="46" a="1"/>
  <c r="O33" i="46" s="1"/>
  <c r="M33" i="46" a="1"/>
  <c r="M33" i="46" s="1"/>
  <c r="L33" i="46" a="1"/>
  <c r="L33" i="46" s="1"/>
  <c r="J33" i="46" a="1"/>
  <c r="J33" i="46" s="1"/>
  <c r="I33" i="46" a="1"/>
  <c r="I33" i="46" s="1"/>
  <c r="G33" i="46" a="1"/>
  <c r="G33" i="46" s="1"/>
  <c r="F33" i="46" a="1"/>
  <c r="F33" i="46" s="1"/>
  <c r="D33" i="46" a="1"/>
  <c r="D33" i="46" s="1"/>
  <c r="R32" i="46" a="1"/>
  <c r="R32" i="46" s="1"/>
  <c r="P32" i="46" a="1"/>
  <c r="P32" i="46" s="1"/>
  <c r="O32" i="46" a="1"/>
  <c r="O32" i="46" s="1"/>
  <c r="M32" i="46" a="1"/>
  <c r="M32" i="46" s="1"/>
  <c r="L32" i="46" a="1"/>
  <c r="L32" i="46" s="1"/>
  <c r="J32" i="46" a="1"/>
  <c r="J32" i="46" s="1"/>
  <c r="I32" i="46" a="1"/>
  <c r="I32" i="46" s="1"/>
  <c r="G32" i="46" a="1"/>
  <c r="G32" i="46" s="1"/>
  <c r="F32" i="46" a="1"/>
  <c r="F32" i="46" s="1"/>
  <c r="D32" i="46" a="1"/>
  <c r="D32" i="46" s="1"/>
  <c r="R31" i="46" a="1"/>
  <c r="R31" i="46" s="1"/>
  <c r="P31" i="46" a="1"/>
  <c r="P31" i="46" s="1"/>
  <c r="O31" i="46" a="1"/>
  <c r="O31" i="46" s="1"/>
  <c r="M31" i="46" a="1"/>
  <c r="M31" i="46" s="1"/>
  <c r="L31" i="46" a="1"/>
  <c r="L31" i="46" s="1"/>
  <c r="J31" i="46" a="1"/>
  <c r="J31" i="46" s="1"/>
  <c r="I31" i="46" a="1"/>
  <c r="I31" i="46" s="1"/>
  <c r="G31" i="46" a="1"/>
  <c r="G31" i="46" s="1"/>
  <c r="F31" i="46" a="1"/>
  <c r="F31" i="46" s="1"/>
  <c r="D31" i="46" a="1"/>
  <c r="D31" i="46" s="1"/>
  <c r="R30" i="46" a="1"/>
  <c r="R30" i="46" s="1"/>
  <c r="P30" i="46" a="1"/>
  <c r="P30" i="46" s="1"/>
  <c r="O30" i="46" a="1"/>
  <c r="O30" i="46" s="1"/>
  <c r="M30" i="46" a="1"/>
  <c r="M30" i="46" s="1"/>
  <c r="L30" i="46" a="1"/>
  <c r="L30" i="46" s="1"/>
  <c r="J30" i="46" a="1"/>
  <c r="J30" i="46" s="1"/>
  <c r="I30" i="46" a="1"/>
  <c r="I30" i="46" s="1"/>
  <c r="G30" i="46" a="1"/>
  <c r="G30" i="46" s="1"/>
  <c r="F30" i="46" a="1"/>
  <c r="F30" i="46" s="1"/>
  <c r="D30" i="46" a="1"/>
  <c r="D30" i="46" s="1"/>
  <c r="R29" i="46" a="1"/>
  <c r="R29" i="46" s="1"/>
  <c r="P29" i="46" a="1"/>
  <c r="P29" i="46" s="1"/>
  <c r="O29" i="46" a="1"/>
  <c r="O29" i="46" s="1"/>
  <c r="M29" i="46" a="1"/>
  <c r="M29" i="46" s="1"/>
  <c r="L29" i="46" a="1"/>
  <c r="L29" i="46" s="1"/>
  <c r="J29" i="46" a="1"/>
  <c r="J29" i="46" s="1"/>
  <c r="I29" i="46" a="1"/>
  <c r="I29" i="46" s="1"/>
  <c r="G29" i="46" a="1"/>
  <c r="G29" i="46" s="1"/>
  <c r="F29" i="46" a="1"/>
  <c r="F29" i="46" s="1"/>
  <c r="D29" i="46" a="1"/>
  <c r="D29" i="46" s="1"/>
  <c r="R28" i="46" a="1"/>
  <c r="R28" i="46" s="1"/>
  <c r="P28" i="46" a="1"/>
  <c r="P28" i="46" s="1"/>
  <c r="O28" i="46" a="1"/>
  <c r="O28" i="46" s="1"/>
  <c r="M28" i="46" a="1"/>
  <c r="M28" i="46" s="1"/>
  <c r="L28" i="46" a="1"/>
  <c r="L28" i="46" s="1"/>
  <c r="J28" i="46" a="1"/>
  <c r="J28" i="46" s="1"/>
  <c r="I28" i="46" a="1"/>
  <c r="I28" i="46" s="1"/>
  <c r="G28" i="46" a="1"/>
  <c r="G28" i="46" s="1"/>
  <c r="F28" i="46" a="1"/>
  <c r="F28" i="46" s="1"/>
  <c r="D28" i="46" a="1"/>
  <c r="D28" i="46" s="1"/>
  <c r="R27" i="46" a="1"/>
  <c r="R27" i="46" s="1"/>
  <c r="P27" i="46" a="1"/>
  <c r="P27" i="46" s="1"/>
  <c r="O27" i="46" a="1"/>
  <c r="O27" i="46" s="1"/>
  <c r="M27" i="46" a="1"/>
  <c r="M27" i="46" s="1"/>
  <c r="L27" i="46" a="1"/>
  <c r="L27" i="46" s="1"/>
  <c r="J27" i="46" a="1"/>
  <c r="J27" i="46" s="1"/>
  <c r="I27" i="46" a="1"/>
  <c r="I27" i="46" s="1"/>
  <c r="G27" i="46" a="1"/>
  <c r="G27" i="46" s="1"/>
  <c r="F27" i="46" a="1"/>
  <c r="F27" i="46" s="1"/>
  <c r="D27" i="46" a="1"/>
  <c r="D27" i="46" s="1"/>
  <c r="R26" i="46" a="1"/>
  <c r="R26" i="46" s="1"/>
  <c r="P26" i="46" a="1"/>
  <c r="P26" i="46" s="1"/>
  <c r="O26" i="46" a="1"/>
  <c r="O26" i="46" s="1"/>
  <c r="M26" i="46" a="1"/>
  <c r="M26" i="46" s="1"/>
  <c r="L26" i="46" a="1"/>
  <c r="L26" i="46" s="1"/>
  <c r="J26" i="46" a="1"/>
  <c r="J26" i="46" s="1"/>
  <c r="I26" i="46" a="1"/>
  <c r="I26" i="46" s="1"/>
  <c r="G26" i="46" a="1"/>
  <c r="G26" i="46" s="1"/>
  <c r="F26" i="46" a="1"/>
  <c r="F26" i="46" s="1"/>
  <c r="D26" i="46" a="1"/>
  <c r="D26" i="46" s="1"/>
  <c r="R25" i="46" a="1"/>
  <c r="R25" i="46" s="1"/>
  <c r="P25" i="46" a="1"/>
  <c r="P25" i="46" s="1"/>
  <c r="O25" i="46" a="1"/>
  <c r="O25" i="46" s="1"/>
  <c r="M25" i="46" a="1"/>
  <c r="M25" i="46" s="1"/>
  <c r="L25" i="46" a="1"/>
  <c r="L25" i="46" s="1"/>
  <c r="J25" i="46" a="1"/>
  <c r="J25" i="46" s="1"/>
  <c r="I25" i="46" a="1"/>
  <c r="I25" i="46" s="1"/>
  <c r="G25" i="46" a="1"/>
  <c r="G25" i="46" s="1"/>
  <c r="F25" i="46" a="1"/>
  <c r="F25" i="46" s="1"/>
  <c r="D25" i="46" a="1"/>
  <c r="D25" i="46" s="1"/>
  <c r="R24" i="46" a="1"/>
  <c r="R24" i="46" s="1"/>
  <c r="P24" i="46" a="1"/>
  <c r="P24" i="46" s="1"/>
  <c r="O24" i="46" a="1"/>
  <c r="O24" i="46" s="1"/>
  <c r="M24" i="46" a="1"/>
  <c r="M24" i="46" s="1"/>
  <c r="L24" i="46" a="1"/>
  <c r="L24" i="46" s="1"/>
  <c r="J24" i="46" a="1"/>
  <c r="J24" i="46" s="1"/>
  <c r="I24" i="46" a="1"/>
  <c r="I24" i="46" s="1"/>
  <c r="G24" i="46" a="1"/>
  <c r="G24" i="46" s="1"/>
  <c r="F24" i="46" a="1"/>
  <c r="F24" i="46" s="1"/>
  <c r="D24" i="46" a="1"/>
  <c r="D24" i="46" s="1"/>
  <c r="R23" i="46" a="1"/>
  <c r="R23" i="46" s="1"/>
  <c r="P23" i="46" a="1"/>
  <c r="P23" i="46" s="1"/>
  <c r="O23" i="46" a="1"/>
  <c r="O23" i="46" s="1"/>
  <c r="M23" i="46" a="1"/>
  <c r="M23" i="46" s="1"/>
  <c r="L23" i="46" a="1"/>
  <c r="L23" i="46" s="1"/>
  <c r="J23" i="46" a="1"/>
  <c r="J23" i="46" s="1"/>
  <c r="I23" i="46" a="1"/>
  <c r="I23" i="46" s="1"/>
  <c r="G23" i="46" a="1"/>
  <c r="G23" i="46" s="1"/>
  <c r="F23" i="46" a="1"/>
  <c r="F23" i="46" s="1"/>
  <c r="D23" i="46" a="1"/>
  <c r="D23" i="46" s="1"/>
  <c r="R22" i="46" a="1"/>
  <c r="R22" i="46" s="1"/>
  <c r="P22" i="46" a="1"/>
  <c r="P22" i="46" s="1"/>
  <c r="O22" i="46" a="1"/>
  <c r="O22" i="46" s="1"/>
  <c r="M22" i="46" a="1"/>
  <c r="M22" i="46" s="1"/>
  <c r="L22" i="46" a="1"/>
  <c r="L22" i="46" s="1"/>
  <c r="J22" i="46" a="1"/>
  <c r="J22" i="46" s="1"/>
  <c r="I22" i="46" a="1"/>
  <c r="I22" i="46" s="1"/>
  <c r="G22" i="46" a="1"/>
  <c r="G22" i="46" s="1"/>
  <c r="F22" i="46" a="1"/>
  <c r="F22" i="46" s="1"/>
  <c r="D22" i="46" a="1"/>
  <c r="D22" i="46" s="1"/>
  <c r="R21" i="46" a="1"/>
  <c r="R21" i="46" s="1"/>
  <c r="P21" i="46" a="1"/>
  <c r="P21" i="46" s="1"/>
  <c r="O21" i="46" a="1"/>
  <c r="O21" i="46" s="1"/>
  <c r="M21" i="46" a="1"/>
  <c r="M21" i="46" s="1"/>
  <c r="L21" i="46" a="1"/>
  <c r="L21" i="46" s="1"/>
  <c r="J21" i="46" a="1"/>
  <c r="J21" i="46" s="1"/>
  <c r="I21" i="46" a="1"/>
  <c r="I21" i="46" s="1"/>
  <c r="G21" i="46" a="1"/>
  <c r="G21" i="46" s="1"/>
  <c r="F21" i="46" a="1"/>
  <c r="F21" i="46" s="1"/>
  <c r="D21" i="46" a="1"/>
  <c r="D21" i="46" s="1"/>
  <c r="R20" i="46" a="1"/>
  <c r="R20" i="46" s="1"/>
  <c r="P20" i="46" a="1"/>
  <c r="P20" i="46" s="1"/>
  <c r="O20" i="46" a="1"/>
  <c r="O20" i="46" s="1"/>
  <c r="M20" i="46" a="1"/>
  <c r="M20" i="46" s="1"/>
  <c r="L20" i="46" a="1"/>
  <c r="L20" i="46" s="1"/>
  <c r="J20" i="46" a="1"/>
  <c r="J20" i="46" s="1"/>
  <c r="I20" i="46" a="1"/>
  <c r="I20" i="46" s="1"/>
  <c r="G20" i="46" a="1"/>
  <c r="G20" i="46" s="1"/>
  <c r="F20" i="46" a="1"/>
  <c r="F20" i="46" s="1"/>
  <c r="D20" i="46" a="1"/>
  <c r="D20" i="46" s="1"/>
  <c r="R19" i="46" a="1"/>
  <c r="R19" i="46" s="1"/>
  <c r="P19" i="46" a="1"/>
  <c r="P19" i="46" s="1"/>
  <c r="O19" i="46" a="1"/>
  <c r="O19" i="46" s="1"/>
  <c r="M19" i="46" a="1"/>
  <c r="M19" i="46" s="1"/>
  <c r="L19" i="46" a="1"/>
  <c r="L19" i="46" s="1"/>
  <c r="J19" i="46" a="1"/>
  <c r="J19" i="46" s="1"/>
  <c r="I19" i="46" a="1"/>
  <c r="I19" i="46" s="1"/>
  <c r="G19" i="46" a="1"/>
  <c r="G19" i="46" s="1"/>
  <c r="F19" i="46" a="1"/>
  <c r="F19" i="46" s="1"/>
  <c r="D19" i="46" a="1"/>
  <c r="D19" i="46" s="1"/>
  <c r="R18" i="46" a="1"/>
  <c r="R18" i="46" s="1"/>
  <c r="P18" i="46" a="1"/>
  <c r="P18" i="46" s="1"/>
  <c r="O18" i="46" a="1"/>
  <c r="O18" i="46" s="1"/>
  <c r="M18" i="46" a="1"/>
  <c r="M18" i="46" s="1"/>
  <c r="L18" i="46" a="1"/>
  <c r="L18" i="46" s="1"/>
  <c r="J18" i="46" a="1"/>
  <c r="J18" i="46" s="1"/>
  <c r="I18" i="46" a="1"/>
  <c r="I18" i="46" s="1"/>
  <c r="G18" i="46" a="1"/>
  <c r="G18" i="46" s="1"/>
  <c r="F18" i="46" a="1"/>
  <c r="F18" i="46" s="1"/>
  <c r="D18" i="46" a="1"/>
  <c r="D18" i="46" s="1"/>
  <c r="R17" i="46" a="1"/>
  <c r="R17" i="46" s="1"/>
  <c r="P17" i="46" a="1"/>
  <c r="P17" i="46" s="1"/>
  <c r="O17" i="46" a="1"/>
  <c r="O17" i="46" s="1"/>
  <c r="M17" i="46" a="1"/>
  <c r="M17" i="46" s="1"/>
  <c r="L17" i="46" a="1"/>
  <c r="L17" i="46" s="1"/>
  <c r="J17" i="46" a="1"/>
  <c r="J17" i="46" s="1"/>
  <c r="I17" i="46" a="1"/>
  <c r="I17" i="46" s="1"/>
  <c r="G17" i="46" a="1"/>
  <c r="G17" i="46" s="1"/>
  <c r="F17" i="46" a="1"/>
  <c r="F17" i="46" s="1"/>
  <c r="D17" i="46" a="1"/>
  <c r="D17" i="46" s="1"/>
  <c r="R16" i="46" a="1"/>
  <c r="R16" i="46" s="1"/>
  <c r="P16" i="46" a="1"/>
  <c r="P16" i="46" s="1"/>
  <c r="O16" i="46" a="1"/>
  <c r="O16" i="46" s="1"/>
  <c r="M16" i="46" a="1"/>
  <c r="M16" i="46" s="1"/>
  <c r="L16" i="46" a="1"/>
  <c r="L16" i="46" s="1"/>
  <c r="J16" i="46" a="1"/>
  <c r="J16" i="46" s="1"/>
  <c r="I16" i="46" a="1"/>
  <c r="I16" i="46" s="1"/>
  <c r="G16" i="46" a="1"/>
  <c r="G16" i="46" s="1"/>
  <c r="F16" i="46" a="1"/>
  <c r="F16" i="46" s="1"/>
  <c r="D16" i="46" a="1"/>
  <c r="D16" i="46" s="1"/>
  <c r="R15" i="46" a="1"/>
  <c r="R15" i="46" s="1"/>
  <c r="P15" i="46" a="1"/>
  <c r="P15" i="46" s="1"/>
  <c r="O15" i="46" a="1"/>
  <c r="O15" i="46" s="1"/>
  <c r="M15" i="46" a="1"/>
  <c r="M15" i="46" s="1"/>
  <c r="L15" i="46" a="1"/>
  <c r="L15" i="46" s="1"/>
  <c r="J15" i="46" a="1"/>
  <c r="J15" i="46" s="1"/>
  <c r="I15" i="46" a="1"/>
  <c r="I15" i="46" s="1"/>
  <c r="G15" i="46" a="1"/>
  <c r="G15" i="46" s="1"/>
  <c r="F15" i="46" a="1"/>
  <c r="F15" i="46" s="1"/>
  <c r="D15" i="46" a="1"/>
  <c r="D15" i="46" s="1"/>
  <c r="R14" i="46" a="1"/>
  <c r="R14" i="46" s="1"/>
  <c r="P14" i="46" a="1"/>
  <c r="P14" i="46" s="1"/>
  <c r="O14" i="46" a="1"/>
  <c r="O14" i="46" s="1"/>
  <c r="M14" i="46" a="1"/>
  <c r="M14" i="46" s="1"/>
  <c r="L14" i="46" a="1"/>
  <c r="L14" i="46" s="1"/>
  <c r="J14" i="46" a="1"/>
  <c r="J14" i="46" s="1"/>
  <c r="I14" i="46" a="1"/>
  <c r="I14" i="46" s="1"/>
  <c r="G14" i="46" a="1"/>
  <c r="G14" i="46" s="1"/>
  <c r="F14" i="46" a="1"/>
  <c r="F14" i="46" s="1"/>
  <c r="D14" i="46" a="1"/>
  <c r="D14" i="46" s="1"/>
  <c r="R13" i="46" a="1"/>
  <c r="R13" i="46" s="1"/>
  <c r="P13" i="46" a="1"/>
  <c r="P13" i="46" s="1"/>
  <c r="O13" i="46" a="1"/>
  <c r="O13" i="46" s="1"/>
  <c r="M13" i="46" a="1"/>
  <c r="M13" i="46" s="1"/>
  <c r="L13" i="46" a="1"/>
  <c r="L13" i="46" s="1"/>
  <c r="J13" i="46" a="1"/>
  <c r="J13" i="46" s="1"/>
  <c r="I13" i="46" a="1"/>
  <c r="I13" i="46" s="1"/>
  <c r="G13" i="46" a="1"/>
  <c r="G13" i="46" s="1"/>
  <c r="F13" i="46" a="1"/>
  <c r="F13" i="46" s="1"/>
  <c r="D13" i="46" a="1"/>
  <c r="D13" i="46" s="1"/>
  <c r="R12" i="46" a="1"/>
  <c r="R12" i="46" s="1"/>
  <c r="P12" i="46" a="1"/>
  <c r="P12" i="46" s="1"/>
  <c r="O12" i="46" a="1"/>
  <c r="O12" i="46" s="1"/>
  <c r="M12" i="46" a="1"/>
  <c r="M12" i="46" s="1"/>
  <c r="L12" i="46" a="1"/>
  <c r="L12" i="46" s="1"/>
  <c r="J12" i="46" a="1"/>
  <c r="J12" i="46" s="1"/>
  <c r="I12" i="46" a="1"/>
  <c r="I12" i="46" s="1"/>
  <c r="G12" i="46" a="1"/>
  <c r="G12" i="46" s="1"/>
  <c r="F12" i="46" a="1"/>
  <c r="F12" i="46" s="1"/>
  <c r="D12" i="46" a="1"/>
  <c r="D12" i="46" s="1"/>
  <c r="R11" i="46" a="1"/>
  <c r="R11" i="46" s="1"/>
  <c r="P11" i="46" a="1"/>
  <c r="P11" i="46" s="1"/>
  <c r="O11" i="46" a="1"/>
  <c r="O11" i="46" s="1"/>
  <c r="M11" i="46" a="1"/>
  <c r="M11" i="46" s="1"/>
  <c r="L11" i="46" a="1"/>
  <c r="L11" i="46" s="1"/>
  <c r="J11" i="46" a="1"/>
  <c r="J11" i="46" s="1"/>
  <c r="I11" i="46" a="1"/>
  <c r="I11" i="46" s="1"/>
  <c r="G11" i="46" a="1"/>
  <c r="G11" i="46" s="1"/>
  <c r="F11" i="46" a="1"/>
  <c r="F11" i="46" s="1"/>
  <c r="D11" i="46" a="1"/>
  <c r="D11" i="46" s="1"/>
  <c r="R10" i="46" a="1"/>
  <c r="R10" i="46" s="1"/>
  <c r="P10" i="46" a="1"/>
  <c r="P10" i="46" s="1"/>
  <c r="O10" i="46" a="1"/>
  <c r="O10" i="46" s="1"/>
  <c r="M10" i="46" a="1"/>
  <c r="M10" i="46" s="1"/>
  <c r="L10" i="46" a="1"/>
  <c r="L10" i="46" s="1"/>
  <c r="J10" i="46" a="1"/>
  <c r="J10" i="46" s="1"/>
  <c r="I10" i="46" a="1"/>
  <c r="I10" i="46" s="1"/>
  <c r="G10" i="46" a="1"/>
  <c r="G10" i="46" s="1"/>
  <c r="F10" i="46" a="1"/>
  <c r="F10" i="46" s="1"/>
  <c r="D10" i="46" a="1"/>
  <c r="D10" i="46" s="1"/>
  <c r="R9" i="46" a="1"/>
  <c r="R9" i="46" s="1"/>
  <c r="P9" i="46" a="1"/>
  <c r="P9" i="46" s="1"/>
  <c r="O9" i="46" a="1"/>
  <c r="O9" i="46" s="1"/>
  <c r="M9" i="46" a="1"/>
  <c r="M9" i="46" s="1"/>
  <c r="L9" i="46" a="1"/>
  <c r="L9" i="46" s="1"/>
  <c r="J9" i="46" a="1"/>
  <c r="J9" i="46" s="1"/>
  <c r="I9" i="46" a="1"/>
  <c r="I9" i="46" s="1"/>
  <c r="G9" i="46" a="1"/>
  <c r="G9" i="46" s="1"/>
  <c r="F9" i="46" a="1"/>
  <c r="F9" i="46" s="1"/>
  <c r="D9" i="46" a="1"/>
  <c r="D9" i="46" s="1"/>
  <c r="R8" i="46" a="1"/>
  <c r="R8" i="46" s="1"/>
  <c r="P8" i="46" a="1"/>
  <c r="P8" i="46" s="1"/>
  <c r="O8" i="46" a="1"/>
  <c r="O8" i="46" s="1"/>
  <c r="M8" i="46" a="1"/>
  <c r="M8" i="46" s="1"/>
  <c r="L8" i="46" a="1"/>
  <c r="L8" i="46" s="1"/>
  <c r="J8" i="46" a="1"/>
  <c r="J8" i="46" s="1"/>
  <c r="I8" i="46" a="1"/>
  <c r="I8" i="46" s="1"/>
  <c r="G8" i="46" a="1"/>
  <c r="G8" i="46" s="1"/>
  <c r="F8" i="46" a="1"/>
  <c r="F8" i="46" s="1"/>
  <c r="D8" i="46" a="1"/>
  <c r="D8" i="46" s="1"/>
  <c r="R7" i="46" a="1"/>
  <c r="R7" i="46" s="1"/>
  <c r="P7" i="46" a="1"/>
  <c r="P7" i="46" s="1"/>
  <c r="O7" i="46" a="1"/>
  <c r="O7" i="46" s="1"/>
  <c r="M7" i="46" a="1"/>
  <c r="M7" i="46" s="1"/>
  <c r="L7" i="46" a="1"/>
  <c r="L7" i="46" s="1"/>
  <c r="J7" i="46" a="1"/>
  <c r="J7" i="46" s="1"/>
  <c r="I7" i="46" a="1"/>
  <c r="I7" i="46" s="1"/>
  <c r="G7" i="46" a="1"/>
  <c r="G7" i="46" s="1"/>
  <c r="F7" i="46" a="1"/>
  <c r="F7" i="46" s="1"/>
  <c r="D7" i="46" a="1"/>
  <c r="D7" i="46" s="1"/>
  <c r="R6" i="46" a="1"/>
  <c r="R6" i="46" s="1"/>
  <c r="P6" i="46" a="1"/>
  <c r="P6" i="46" s="1"/>
  <c r="O6" i="46" a="1"/>
  <c r="O6" i="46" s="1"/>
  <c r="M6" i="46" a="1"/>
  <c r="M6" i="46" s="1"/>
  <c r="L6" i="46" a="1"/>
  <c r="L6" i="46" s="1"/>
  <c r="J6" i="46" a="1"/>
  <c r="J6" i="46" s="1"/>
  <c r="I6" i="46" a="1"/>
  <c r="I6" i="46" s="1"/>
  <c r="G6" i="46" a="1"/>
  <c r="G6" i="46" s="1"/>
  <c r="F6" i="46" a="1"/>
  <c r="F6" i="46" s="1"/>
  <c r="D6" i="46" a="1"/>
  <c r="D6" i="46" s="1"/>
  <c r="R5" i="46" a="1"/>
  <c r="R5" i="46" s="1"/>
  <c r="P5" i="46" a="1"/>
  <c r="P5" i="46" s="1"/>
  <c r="O5" i="46" a="1"/>
  <c r="O5" i="46" s="1"/>
  <c r="M5" i="46" a="1"/>
  <c r="M5" i="46" s="1"/>
  <c r="L5" i="46" a="1"/>
  <c r="L5" i="46" s="1"/>
  <c r="J5" i="46" a="1"/>
  <c r="J5" i="46" s="1"/>
  <c r="I5" i="46" a="1"/>
  <c r="I5" i="46" s="1"/>
  <c r="G5" i="46" a="1"/>
  <c r="G5" i="46" s="1"/>
  <c r="F5" i="46" a="1"/>
  <c r="F5" i="46" s="1"/>
  <c r="D5" i="46" a="1"/>
  <c r="D5" i="46" s="1"/>
  <c r="Y137" i="35"/>
  <c r="V139" i="35"/>
  <c r="AA139" i="35"/>
  <c r="AE139" i="35"/>
  <c r="W139" i="35"/>
  <c r="AB139" i="35"/>
  <c r="AF139" i="35"/>
  <c r="Y139" i="35"/>
  <c r="AC139" i="35"/>
  <c r="AG139" i="35"/>
  <c r="Z139" i="35"/>
  <c r="AD139" i="35"/>
  <c r="Y143" i="35"/>
  <c r="AE135" i="35"/>
  <c r="AE137" i="35"/>
  <c r="AD137" i="35"/>
  <c r="AC137" i="35"/>
  <c r="AG137" i="35"/>
  <c r="AA137" i="35"/>
  <c r="Z137" i="35"/>
  <c r="AB137" i="35"/>
  <c r="W137" i="35"/>
  <c r="AF137" i="35"/>
  <c r="V137" i="35"/>
  <c r="AA143" i="35"/>
  <c r="AD143" i="35"/>
  <c r="V135" i="35"/>
  <c r="AF143" i="35"/>
  <c r="AF135" i="35"/>
  <c r="AB143" i="35"/>
  <c r="AG135" i="35"/>
  <c r="AC135" i="35"/>
  <c r="AE143" i="35"/>
  <c r="AB135" i="35"/>
  <c r="V143" i="35"/>
  <c r="W143" i="35"/>
  <c r="AA135" i="35"/>
  <c r="Y135" i="35"/>
  <c r="Z143" i="35"/>
  <c r="AD135" i="35"/>
  <c r="AG143" i="35"/>
  <c r="Z135" i="35"/>
  <c r="AC143" i="35"/>
  <c r="AA142" i="35"/>
  <c r="AF142" i="35"/>
  <c r="Z142" i="35"/>
  <c r="AE142" i="35"/>
  <c r="Y142" i="35"/>
  <c r="AD142" i="35"/>
  <c r="W142" i="35"/>
  <c r="AC142" i="35"/>
  <c r="V142" i="35"/>
  <c r="AB142" i="35"/>
  <c r="Z138" i="35"/>
  <c r="AA138" i="35"/>
  <c r="AD138" i="35"/>
  <c r="W138" i="35"/>
  <c r="AF138" i="35"/>
  <c r="V138" i="35"/>
  <c r="AB138" i="35"/>
  <c r="AE138" i="35"/>
  <c r="AC138" i="35"/>
  <c r="Y141" i="35"/>
  <c r="AG138" i="35"/>
  <c r="Y138" i="35"/>
  <c r="N7" i="46" a="1"/>
  <c r="N7" i="46" s="1"/>
  <c r="Z141" i="35"/>
  <c r="K8" i="46" a="1"/>
  <c r="K8" i="46" s="1"/>
  <c r="H5" i="46" a="1"/>
  <c r="H5" i="46" s="1"/>
  <c r="N29" i="46" a="1"/>
  <c r="N29" i="46" s="1"/>
  <c r="T14" i="46" a="1"/>
  <c r="T14" i="46" s="1"/>
  <c r="H15" i="46" a="1"/>
  <c r="H15" i="46" s="1"/>
  <c r="H13" i="46" a="1"/>
  <c r="H13" i="46" s="1"/>
  <c r="Q32" i="46" a="1"/>
  <c r="Q32" i="46" s="1"/>
  <c r="E17" i="46" a="1"/>
  <c r="E17" i="46" s="1"/>
  <c r="N6" i="46" a="1"/>
  <c r="N6" i="46" s="1"/>
  <c r="T28" i="46" a="1"/>
  <c r="T28" i="46" s="1"/>
  <c r="T13" i="46" a="1"/>
  <c r="T13" i="46" s="1"/>
  <c r="T31" i="46" a="1"/>
  <c r="T31" i="46" s="1"/>
  <c r="T30" i="46" a="1"/>
  <c r="T30" i="46" s="1"/>
  <c r="E15" i="46" a="1"/>
  <c r="E15" i="46" s="1"/>
  <c r="K9" i="46" a="1"/>
  <c r="K9" i="46" s="1"/>
  <c r="N32" i="46" a="1"/>
  <c r="N32" i="46" s="1"/>
  <c r="T21" i="46" a="1"/>
  <c r="T21" i="46" s="1"/>
  <c r="H26" i="46" a="1"/>
  <c r="H26" i="46" s="1"/>
  <c r="T23" i="46" a="1"/>
  <c r="T23" i="46" s="1"/>
  <c r="H34" i="46" a="1"/>
  <c r="H34" i="46" s="1"/>
  <c r="K16" i="46" a="1"/>
  <c r="K16" i="46" s="1"/>
  <c r="Q33" i="46" a="1"/>
  <c r="Q33" i="46" s="1"/>
  <c r="T16" i="46" a="1"/>
  <c r="T16" i="46" s="1"/>
  <c r="Q19" i="46" a="1"/>
  <c r="Q19" i="46" s="1"/>
  <c r="Q20" i="46" a="1"/>
  <c r="Q20" i="46" s="1"/>
  <c r="N10" i="46" a="1"/>
  <c r="N10" i="46" s="1"/>
  <c r="T22" i="46" a="1"/>
  <c r="T22" i="46" s="1"/>
  <c r="T26" i="46" a="1"/>
  <c r="T26" i="46" s="1"/>
  <c r="Q6" i="46" a="1"/>
  <c r="Q6" i="46" s="1"/>
  <c r="E14" i="46" a="1"/>
  <c r="E14" i="46" s="1"/>
  <c r="K26" i="46" a="1"/>
  <c r="K26" i="46" s="1"/>
  <c r="H18" i="46" a="1"/>
  <c r="H18" i="46" s="1"/>
  <c r="H17" i="46" a="1"/>
  <c r="H17" i="46" s="1"/>
  <c r="H28" i="46" a="1"/>
  <c r="H28" i="46" s="1"/>
  <c r="K15" i="46" a="1"/>
  <c r="K15" i="46" s="1"/>
  <c r="H29" i="46" a="1"/>
  <c r="H29" i="46" s="1"/>
  <c r="N22" i="46" a="1"/>
  <c r="N22" i="46" s="1"/>
  <c r="H16" i="46" a="1"/>
  <c r="H16" i="46" s="1"/>
  <c r="N20" i="46" a="1"/>
  <c r="N20" i="46" s="1"/>
  <c r="T15" i="46" a="1"/>
  <c r="T15" i="46" s="1"/>
  <c r="N23" i="46" a="1"/>
  <c r="N23" i="46" s="1"/>
  <c r="K13" i="46" a="1"/>
  <c r="K13" i="46" s="1"/>
  <c r="K10" i="46" a="1"/>
  <c r="K10" i="46" s="1"/>
  <c r="T8" i="46" a="1"/>
  <c r="T8" i="46" s="1"/>
  <c r="N18" i="46" a="1"/>
  <c r="N18" i="46" s="1"/>
  <c r="T9" i="46" a="1"/>
  <c r="T9" i="46" s="1"/>
  <c r="K20" i="46" a="1"/>
  <c r="K20" i="46" s="1"/>
  <c r="Q11" i="46" a="1"/>
  <c r="Q11" i="46" s="1"/>
  <c r="N21" i="46" a="1"/>
  <c r="N21" i="46" s="1"/>
  <c r="N17" i="46" a="1"/>
  <c r="N17" i="46" s="1"/>
  <c r="N27" i="46" a="1"/>
  <c r="N27" i="46" s="1"/>
  <c r="Q29" i="46" a="1"/>
  <c r="Q29" i="46" s="1"/>
  <c r="K29" i="46" a="1"/>
  <c r="K29" i="46" s="1"/>
  <c r="T24" i="46" a="1"/>
  <c r="T24" i="46" s="1"/>
  <c r="T7" i="46" a="1"/>
  <c r="T7" i="46" s="1"/>
  <c r="K18" i="46" a="1"/>
  <c r="K18" i="46" s="1"/>
  <c r="K23" i="46" a="1"/>
  <c r="K23" i="46" s="1"/>
  <c r="E28" i="46" a="1"/>
  <c r="E28" i="46" s="1"/>
  <c r="E20" i="46" a="1"/>
  <c r="E20" i="46" s="1"/>
  <c r="K34" i="46" a="1"/>
  <c r="K34" i="46" s="1"/>
  <c r="T11" i="46" a="1"/>
  <c r="T11" i="46" s="1"/>
  <c r="Q9" i="46" a="1"/>
  <c r="Q9" i="46" s="1"/>
  <c r="N12" i="46" a="1"/>
  <c r="N12" i="46" s="1"/>
  <c r="H11" i="46" a="1"/>
  <c r="H11" i="46" s="1"/>
  <c r="N19" i="46" a="1"/>
  <c r="N19" i="46" s="1"/>
  <c r="K30" i="46" a="1"/>
  <c r="K30" i="46" s="1"/>
  <c r="H14" i="46" a="1"/>
  <c r="H14" i="46" s="1"/>
  <c r="Q34" i="46" a="1"/>
  <c r="Q34" i="46" s="1"/>
  <c r="K24" i="46" a="1"/>
  <c r="K24" i="46" s="1"/>
  <c r="H21" i="46" a="1"/>
  <c r="H21" i="46" s="1"/>
  <c r="Q22" i="46" a="1"/>
  <c r="Q22" i="46" s="1"/>
  <c r="N34" i="46" a="1"/>
  <c r="N34" i="46" s="1"/>
  <c r="T34" i="46" a="1"/>
  <c r="T34" i="46" s="1"/>
  <c r="Q18" i="46" a="1"/>
  <c r="Q18" i="46" s="1"/>
  <c r="Q8" i="46" a="1"/>
  <c r="Q8" i="46" s="1"/>
  <c r="Q26" i="46" a="1"/>
  <c r="Q26" i="46" s="1"/>
  <c r="E22" i="46" a="1"/>
  <c r="E22" i="46" s="1"/>
  <c r="H31" i="46" a="1"/>
  <c r="H31" i="46" s="1"/>
  <c r="T12" i="46" a="1"/>
  <c r="T12" i="46" s="1"/>
  <c r="E23" i="46" a="1"/>
  <c r="E23" i="46" s="1"/>
  <c r="K7" i="46" a="1"/>
  <c r="K7" i="46" s="1"/>
  <c r="Q25" i="46" a="1"/>
  <c r="Q25" i="46" s="1"/>
  <c r="N14" i="46" a="1"/>
  <c r="N14" i="46" s="1"/>
  <c r="E13" i="46" a="1"/>
  <c r="E13" i="46" s="1"/>
  <c r="E7" i="46" a="1"/>
  <c r="E7" i="46" s="1"/>
  <c r="N25" i="46" a="1"/>
  <c r="N25" i="46" s="1"/>
  <c r="N9" i="46" a="1"/>
  <c r="N9" i="46" s="1"/>
  <c r="K6" i="46" a="1"/>
  <c r="K6" i="46" s="1"/>
  <c r="K19" i="46" a="1"/>
  <c r="K19" i="46" s="1"/>
  <c r="E25" i="46" a="1"/>
  <c r="E25" i="46" s="1"/>
  <c r="H7" i="46" a="1"/>
  <c r="H7" i="46" s="1"/>
  <c r="H33" i="46" a="1"/>
  <c r="H33" i="46" s="1"/>
  <c r="T29" i="46" a="1"/>
  <c r="T29" i="46" s="1"/>
  <c r="Q21" i="46" a="1"/>
  <c r="Q21" i="46" s="1"/>
  <c r="N24" i="46" a="1"/>
  <c r="N24" i="46" s="1"/>
  <c r="H10" i="46" a="1"/>
  <c r="H10" i="46" s="1"/>
  <c r="K28" i="46" a="1"/>
  <c r="K28" i="46" s="1"/>
  <c r="K14" i="46" a="1"/>
  <c r="K14" i="46" s="1"/>
  <c r="H9" i="46" a="1"/>
  <c r="H9" i="46" s="1"/>
  <c r="E6" i="46" a="1"/>
  <c r="E6" i="46" s="1"/>
  <c r="Q5" i="46" a="1"/>
  <c r="Q5" i="46" s="1"/>
  <c r="E11" i="46" a="1"/>
  <c r="E11" i="46" s="1"/>
  <c r="Q28" i="46" a="1"/>
  <c r="Q28" i="46" s="1"/>
  <c r="E9" i="46" a="1"/>
  <c r="E9" i="46" s="1"/>
  <c r="T20" i="46" a="1"/>
  <c r="T20" i="46" s="1"/>
  <c r="H8" i="46" a="1"/>
  <c r="H8" i="46" s="1"/>
  <c r="K25" i="46" a="1"/>
  <c r="K25" i="46" s="1"/>
  <c r="H12" i="46" a="1"/>
  <c r="H12" i="46" s="1"/>
  <c r="K21" i="46" a="1"/>
  <c r="K21" i="46" s="1"/>
  <c r="N31" i="46" a="1"/>
  <c r="N31" i="46" s="1"/>
  <c r="E8" i="46" a="1"/>
  <c r="E8" i="46" s="1"/>
  <c r="Q24" i="46" a="1"/>
  <c r="Q24" i="46" s="1"/>
  <c r="N13" i="46" a="1"/>
  <c r="N13" i="46" s="1"/>
  <c r="E29" i="46" a="1"/>
  <c r="E29" i="46" s="1"/>
  <c r="N30" i="46" a="1"/>
  <c r="N30" i="46" s="1"/>
  <c r="K32" i="46" a="1"/>
  <c r="K32" i="46" s="1"/>
  <c r="H25" i="46" a="1"/>
  <c r="H25" i="46" s="1"/>
  <c r="H30" i="46" a="1"/>
  <c r="H30" i="46" s="1"/>
  <c r="T5" i="46" a="1"/>
  <c r="T5" i="46" s="1"/>
  <c r="E19" i="46" a="1"/>
  <c r="E19" i="46" s="1"/>
  <c r="Q31" i="46" a="1"/>
  <c r="Q31" i="46" s="1"/>
  <c r="K33" i="46" a="1"/>
  <c r="K33" i="46" s="1"/>
  <c r="H6" i="46" a="1"/>
  <c r="H6" i="46" s="1"/>
  <c r="T18" i="46" a="1"/>
  <c r="T18" i="46" s="1"/>
  <c r="Q30" i="46" a="1"/>
  <c r="Q30" i="46" s="1"/>
  <c r="E5" i="46" a="1"/>
  <c r="E5" i="46" s="1"/>
  <c r="T27" i="46" a="1"/>
  <c r="T27" i="46" s="1"/>
  <c r="Q7" i="46" a="1"/>
  <c r="Q7" i="46" s="1"/>
  <c r="K22" i="46" a="1"/>
  <c r="K22" i="46" s="1"/>
  <c r="Q27" i="46" a="1"/>
  <c r="Q27" i="46" s="1"/>
  <c r="H19" i="46" a="1"/>
  <c r="H19" i="46" s="1"/>
  <c r="N8" i="46" a="1"/>
  <c r="N8" i="46" s="1"/>
  <c r="Q14" i="46" a="1"/>
  <c r="Q14" i="46" s="1"/>
  <c r="Q16" i="46" a="1"/>
  <c r="Q16" i="46" s="1"/>
  <c r="T25" i="46" a="1"/>
  <c r="T25" i="46" s="1"/>
  <c r="T17" i="46" a="1"/>
  <c r="T17" i="46" s="1"/>
  <c r="E18" i="46" a="1"/>
  <c r="E18" i="46" s="1"/>
  <c r="N11" i="46" a="1"/>
  <c r="N11" i="46" s="1"/>
  <c r="T33" i="46" a="1"/>
  <c r="T33" i="46" s="1"/>
  <c r="T19" i="46" a="1"/>
  <c r="T19" i="46" s="1"/>
  <c r="K12" i="46" a="1"/>
  <c r="K12" i="46" s="1"/>
  <c r="E31" i="46" a="1"/>
  <c r="E31" i="46" s="1"/>
  <c r="E34" i="46" a="1"/>
  <c r="E34" i="46" s="1"/>
  <c r="E30" i="46" a="1"/>
  <c r="E30" i="46" s="1"/>
  <c r="E27" i="46" a="1"/>
  <c r="E27" i="46" s="1"/>
  <c r="Q12" i="46" a="1"/>
  <c r="Q12" i="46" s="1"/>
  <c r="H20" i="46" a="1"/>
  <c r="H20" i="46" s="1"/>
  <c r="E21" i="46" a="1"/>
  <c r="E21" i="46" s="1"/>
  <c r="E12" i="46" a="1"/>
  <c r="E12" i="46" s="1"/>
  <c r="E33" i="46" a="1"/>
  <c r="E33" i="46" s="1"/>
  <c r="T32" i="46" a="1"/>
  <c r="T32" i="46" s="1"/>
  <c r="Q13" i="46" a="1"/>
  <c r="Q13" i="46" s="1"/>
  <c r="H32" i="46" a="1"/>
  <c r="H32" i="46" s="1"/>
  <c r="E24" i="46" a="1"/>
  <c r="E24" i="46" s="1"/>
  <c r="Q17" i="46" a="1"/>
  <c r="Q17" i="46" s="1"/>
  <c r="E16" i="46" a="1"/>
  <c r="E16" i="46" s="1"/>
  <c r="Q15" i="46" a="1"/>
  <c r="Q15" i="46" s="1"/>
  <c r="E32" i="46" a="1"/>
  <c r="E32" i="46" s="1"/>
  <c r="K17" i="46" a="1"/>
  <c r="K17" i="46" s="1"/>
  <c r="Q10" i="46" a="1"/>
  <c r="Q10" i="46" s="1"/>
  <c r="N33" i="46" a="1"/>
  <c r="N33" i="46" s="1"/>
  <c r="N15" i="46" a="1"/>
  <c r="N15" i="46" s="1"/>
  <c r="H27" i="46" a="1"/>
  <c r="H27" i="46" s="1"/>
  <c r="H22" i="46" a="1"/>
  <c r="H22" i="46" s="1"/>
  <c r="K27" i="46" a="1"/>
  <c r="K27" i="46" s="1"/>
  <c r="H24" i="46" a="1"/>
  <c r="H24" i="46" s="1"/>
  <c r="T10" i="46" a="1"/>
  <c r="T10" i="46" s="1"/>
  <c r="K11" i="46" a="1"/>
  <c r="K11" i="46" s="1"/>
  <c r="K5" i="46" a="1"/>
  <c r="K5" i="46" s="1"/>
  <c r="Q23" i="46" a="1"/>
  <c r="Q23" i="46" s="1"/>
  <c r="K31" i="46" a="1"/>
  <c r="K31" i="46" s="1"/>
  <c r="N5" i="46" a="1"/>
  <c r="N5" i="46" s="1"/>
  <c r="N16" i="46" a="1"/>
  <c r="N16" i="46" s="1"/>
  <c r="N28" i="46" a="1"/>
  <c r="N28" i="46" s="1"/>
  <c r="H23" i="46" a="1"/>
  <c r="H23" i="46" s="1"/>
  <c r="E26" i="46" a="1"/>
  <c r="E26" i="46" s="1"/>
  <c r="N26" i="46" a="1"/>
  <c r="N26" i="46" s="1"/>
  <c r="T6" i="46" a="1"/>
  <c r="T6" i="46" s="1"/>
  <c r="E10" i="46" a="1"/>
  <c r="E10" i="46" s="1"/>
  <c r="AE61" i="35"/>
  <c r="Z67" i="35"/>
  <c r="AG67" i="35"/>
  <c r="AB67" i="35"/>
  <c r="AA67" i="35"/>
  <c r="AA23" i="35"/>
  <c r="V54" i="35"/>
  <c r="AA141" i="35"/>
  <c r="AG141" i="35"/>
  <c r="W141" i="35"/>
  <c r="AE141" i="35"/>
  <c r="AF141" i="35"/>
  <c r="V141" i="35"/>
  <c r="AD141" i="35"/>
  <c r="AC141" i="35"/>
  <c r="AB141" i="35"/>
  <c r="Y93" i="35"/>
  <c r="AA91" i="35"/>
  <c r="AA89" i="35"/>
  <c r="Z85" i="35"/>
  <c r="AD85" i="35"/>
  <c r="AF92" i="35"/>
  <c r="V70" i="35"/>
  <c r="AA70" i="35"/>
  <c r="AE70" i="35"/>
  <c r="W70" i="35"/>
  <c r="AB70" i="35"/>
  <c r="AF70" i="35"/>
  <c r="Y70" i="35"/>
  <c r="AC70" i="35"/>
  <c r="AG70" i="35"/>
  <c r="AD70" i="35"/>
  <c r="AG113" i="35"/>
  <c r="K5" i="48"/>
  <c r="K3" i="48"/>
  <c r="AE51" i="35"/>
  <c r="AE7" i="35"/>
  <c r="Z54" i="35"/>
  <c r="Z22" i="35"/>
  <c r="AG56" i="35"/>
  <c r="AF67" i="35"/>
  <c r="Y58" i="35"/>
  <c r="W52" i="35"/>
  <c r="AA58" i="35"/>
  <c r="AD61" i="35"/>
  <c r="AB61" i="35"/>
  <c r="Y33" i="35"/>
  <c r="AF14" i="35"/>
  <c r="AD46" i="35"/>
  <c r="V33" i="35"/>
  <c r="AA83" i="35"/>
  <c r="V46" i="35"/>
  <c r="Y52" i="35"/>
  <c r="AD83" i="35"/>
  <c r="AG83" i="35"/>
  <c r="Y22" i="35"/>
  <c r="AF56" i="35"/>
  <c r="Y12" i="35"/>
  <c r="AA30" i="35"/>
  <c r="AB83" i="35"/>
  <c r="AD12" i="35"/>
  <c r="AD22" i="35"/>
  <c r="AF33" i="35"/>
  <c r="AD14" i="35"/>
  <c r="AG34" i="35"/>
  <c r="AE46" i="35"/>
  <c r="AG30" i="35"/>
  <c r="Z46" i="35"/>
  <c r="Z33" i="35"/>
  <c r="V51" i="35"/>
  <c r="V32" i="35"/>
  <c r="AG14" i="35"/>
  <c r="Y101" i="35"/>
  <c r="AF34" i="35"/>
  <c r="Z34" i="35"/>
  <c r="AE67" i="35"/>
  <c r="Y67" i="35"/>
  <c r="AD67" i="35"/>
  <c r="AB46" i="35"/>
  <c r="AF52" i="35"/>
  <c r="AG92" i="35"/>
  <c r="AE33" i="35"/>
  <c r="W46" i="35"/>
  <c r="AB92" i="35"/>
  <c r="AG51" i="35"/>
  <c r="AB14" i="35"/>
  <c r="Z14" i="35"/>
  <c r="AG32" i="35"/>
  <c r="Z130" i="35"/>
  <c r="AD130" i="35"/>
  <c r="AF38" i="35"/>
  <c r="W67" i="35"/>
  <c r="AC67" i="35"/>
  <c r="AB38" i="35"/>
  <c r="AC46" i="35"/>
  <c r="AF22" i="35"/>
  <c r="W32" i="35"/>
  <c r="V14" i="35"/>
  <c r="AF55" i="35"/>
  <c r="Y56" i="35"/>
  <c r="Y131" i="35"/>
  <c r="W23" i="35"/>
  <c r="Y4" i="35"/>
  <c r="AF54" i="35"/>
  <c r="AC7" i="35"/>
  <c r="Z7" i="35"/>
  <c r="AF131" i="35"/>
  <c r="AB23" i="35"/>
  <c r="AE54" i="35"/>
  <c r="AF36" i="35"/>
  <c r="W93" i="35"/>
  <c r="W131" i="35"/>
  <c r="V131" i="35"/>
  <c r="AC61" i="35"/>
  <c r="Y61" i="35"/>
  <c r="V61" i="35"/>
  <c r="AF61" i="35"/>
  <c r="W61" i="35"/>
  <c r="Z61" i="35"/>
  <c r="AA61" i="35"/>
  <c r="AC131" i="35"/>
  <c r="AG54" i="35"/>
  <c r="AC36" i="35"/>
  <c r="V36" i="35"/>
  <c r="AB7" i="35"/>
  <c r="AB59" i="35"/>
  <c r="AB121" i="35"/>
  <c r="AC45" i="35"/>
  <c r="AB20" i="35"/>
  <c r="AG23" i="35"/>
  <c r="AE23" i="35"/>
  <c r="Y23" i="35"/>
  <c r="AD131" i="35"/>
  <c r="Z23" i="35"/>
  <c r="AG36" i="35"/>
  <c r="Y54" i="35"/>
  <c r="AC23" i="35"/>
  <c r="AA36" i="35"/>
  <c r="AC93" i="35"/>
  <c r="AG7" i="35"/>
  <c r="AB93" i="35"/>
  <c r="AG131" i="35"/>
  <c r="AE131" i="35"/>
  <c r="AC54" i="35"/>
  <c r="AF24" i="35"/>
  <c r="AA131" i="35"/>
  <c r="V93" i="35"/>
  <c r="V23" i="35"/>
  <c r="AB54" i="35"/>
  <c r="AD54" i="35"/>
  <c r="AB131" i="35"/>
  <c r="AF23" i="35"/>
  <c r="Y36" i="35"/>
  <c r="AD36" i="35"/>
  <c r="AA54" i="35"/>
  <c r="AF108" i="35"/>
  <c r="Z36" i="35"/>
  <c r="W36" i="35"/>
  <c r="AE36" i="35"/>
  <c r="W7" i="35"/>
  <c r="AA7" i="35"/>
  <c r="AD93" i="35"/>
  <c r="AF93" i="35"/>
  <c r="Y7" i="35"/>
  <c r="AB10" i="35"/>
  <c r="AE28" i="35"/>
  <c r="AB64" i="35"/>
  <c r="AE10" i="35"/>
  <c r="AC121" i="35"/>
  <c r="AA105" i="35"/>
  <c r="AG64" i="35"/>
  <c r="Z10" i="35"/>
  <c r="AA46" i="35"/>
  <c r="Y30" i="35"/>
  <c r="Z83" i="35"/>
  <c r="AA92" i="35"/>
  <c r="AA52" i="35"/>
  <c r="Y51" i="35"/>
  <c r="W83" i="35"/>
  <c r="AE52" i="35"/>
  <c r="V22" i="35"/>
  <c r="Y83" i="35"/>
  <c r="W22" i="35"/>
  <c r="AA33" i="35"/>
  <c r="AC52" i="35"/>
  <c r="AE14" i="35"/>
  <c r="AF51" i="35"/>
  <c r="AB55" i="35"/>
  <c r="Z12" i="35"/>
  <c r="AG58" i="35"/>
  <c r="W130" i="35"/>
  <c r="AE58" i="35"/>
  <c r="V34" i="35"/>
  <c r="AB56" i="35"/>
  <c r="AE130" i="35"/>
  <c r="W55" i="35"/>
  <c r="AA38" i="35"/>
  <c r="AA56" i="35"/>
  <c r="AD58" i="35"/>
  <c r="AF46" i="35"/>
  <c r="V30" i="35"/>
  <c r="AE22" i="35"/>
  <c r="AB51" i="35"/>
  <c r="AF83" i="35"/>
  <c r="AC83" i="35"/>
  <c r="Z51" i="35"/>
  <c r="AC51" i="35"/>
  <c r="AG33" i="35"/>
  <c r="AB32" i="35"/>
  <c r="AC32" i="35"/>
  <c r="AA51" i="35"/>
  <c r="AD51" i="35"/>
  <c r="AB34" i="35"/>
  <c r="W58" i="35"/>
  <c r="AB130" i="35"/>
  <c r="W56" i="35"/>
  <c r="V124" i="35"/>
  <c r="V58" i="35"/>
  <c r="AE32" i="35"/>
  <c r="AB30" i="35"/>
  <c r="AA14" i="35"/>
  <c r="Y32" i="35"/>
  <c r="AE12" i="35"/>
  <c r="AB101" i="35"/>
  <c r="V101" i="35"/>
  <c r="Y55" i="35"/>
  <c r="Z38" i="35"/>
  <c r="AE38" i="35"/>
  <c r="AE34" i="35"/>
  <c r="AD25" i="35"/>
  <c r="AG99" i="35"/>
  <c r="AE111" i="35"/>
  <c r="AD41" i="35"/>
  <c r="AG41" i="35"/>
  <c r="AA44" i="35"/>
  <c r="AB41" i="35"/>
  <c r="V41" i="35"/>
  <c r="AE41" i="35"/>
  <c r="AC99" i="35"/>
  <c r="AC41" i="35"/>
  <c r="Z41" i="35"/>
  <c r="AF41" i="35"/>
  <c r="W41" i="35"/>
  <c r="Y41" i="35"/>
  <c r="AA99" i="35"/>
  <c r="AE39" i="35"/>
  <c r="W8" i="35"/>
  <c r="AF7" i="35"/>
  <c r="AA93" i="35"/>
  <c r="W26" i="35"/>
  <c r="AC59" i="35"/>
  <c r="V47" i="35"/>
  <c r="Z89" i="35"/>
  <c r="Y91" i="35"/>
  <c r="V10" i="35"/>
  <c r="AF10" i="35"/>
  <c r="AF59" i="35"/>
  <c r="AA6" i="35"/>
  <c r="AG105" i="35"/>
  <c r="V40" i="35"/>
  <c r="AA125" i="35"/>
  <c r="AF25" i="35"/>
  <c r="V91" i="35"/>
  <c r="AG91" i="35"/>
  <c r="AE47" i="35"/>
  <c r="Z105" i="35"/>
  <c r="V28" i="35"/>
  <c r="AA40" i="35"/>
  <c r="AC20" i="35"/>
  <c r="AD10" i="35"/>
  <c r="W10" i="35"/>
  <c r="AD59" i="35"/>
  <c r="AA59" i="35"/>
  <c r="AE59" i="35"/>
  <c r="W59" i="35"/>
  <c r="AD105" i="35"/>
  <c r="AG121" i="35"/>
  <c r="AB45" i="35"/>
  <c r="W105" i="35"/>
  <c r="AD64" i="35"/>
  <c r="AG20" i="35"/>
  <c r="Z45" i="35"/>
  <c r="W30" i="35"/>
  <c r="AC30" i="35"/>
  <c r="Y46" i="35"/>
  <c r="W92" i="35"/>
  <c r="AG52" i="35"/>
  <c r="AD52" i="35"/>
  <c r="Y117" i="35"/>
  <c r="AA22" i="35"/>
  <c r="AC33" i="35"/>
  <c r="AC22" i="35"/>
  <c r="W117" i="35"/>
  <c r="V92" i="35"/>
  <c r="W14" i="35"/>
  <c r="AF32" i="35"/>
  <c r="AD32" i="35"/>
  <c r="AB33" i="35"/>
  <c r="AF130" i="35"/>
  <c r="V130" i="35"/>
  <c r="AC130" i="35"/>
  <c r="Z55" i="35"/>
  <c r="AF58" i="35"/>
  <c r="Y130" i="35"/>
  <c r="V56" i="35"/>
  <c r="AC56" i="35"/>
  <c r="W34" i="35"/>
  <c r="Y34" i="35"/>
  <c r="AG130" i="35"/>
  <c r="AB12" i="35"/>
  <c r="W12" i="35"/>
  <c r="AE101" i="35"/>
  <c r="V83" i="35"/>
  <c r="AE129" i="35"/>
  <c r="AG12" i="35"/>
  <c r="Z58" i="35"/>
  <c r="AF12" i="35"/>
  <c r="Y38" i="35"/>
  <c r="AC92" i="35"/>
  <c r="Z32" i="35"/>
  <c r="AD33" i="35"/>
  <c r="AG22" i="35"/>
  <c r="V55" i="35"/>
  <c r="AC14" i="35"/>
  <c r="AG38" i="35"/>
  <c r="AC12" i="35"/>
  <c r="W101" i="35"/>
  <c r="AA101" i="35"/>
  <c r="Z101" i="35"/>
  <c r="AD101" i="35"/>
  <c r="AE55" i="35"/>
  <c r="AF101" i="35"/>
  <c r="AD30" i="35"/>
  <c r="AD56" i="35"/>
  <c r="AA55" i="35"/>
  <c r="AC101" i="35"/>
  <c r="AC58" i="35"/>
  <c r="AE30" i="35"/>
  <c r="AA12" i="35"/>
  <c r="AD55" i="35"/>
  <c r="Y92" i="35"/>
  <c r="V38" i="35"/>
  <c r="AC55" i="35"/>
  <c r="AD34" i="35"/>
  <c r="AA34" i="35"/>
  <c r="AD38" i="35"/>
  <c r="AC38" i="35"/>
  <c r="AG59" i="35"/>
  <c r="Z59" i="35"/>
  <c r="Y59" i="35"/>
  <c r="AA3" i="35"/>
  <c r="AD125" i="35"/>
  <c r="AG40" i="35"/>
  <c r="AD20" i="35"/>
  <c r="AF47" i="35"/>
  <c r="Z28" i="35"/>
  <c r="AC40" i="35"/>
  <c r="Z121" i="35"/>
  <c r="Y125" i="35"/>
  <c r="AA20" i="35"/>
  <c r="W57" i="35"/>
  <c r="AF89" i="35"/>
  <c r="Y9" i="35"/>
  <c r="AC47" i="35"/>
  <c r="Y40" i="35"/>
  <c r="AD45" i="35"/>
  <c r="AC10" i="35"/>
  <c r="AG125" i="35"/>
  <c r="W47" i="35"/>
  <c r="Y28" i="35"/>
  <c r="AB40" i="35"/>
  <c r="W121" i="35"/>
  <c r="AB125" i="35"/>
  <c r="W20" i="35"/>
  <c r="AE9" i="35"/>
  <c r="AF9" i="35"/>
  <c r="AC64" i="35"/>
  <c r="AF57" i="35"/>
  <c r="AD91" i="35"/>
  <c r="Z91" i="35"/>
  <c r="AB28" i="35"/>
  <c r="W39" i="35"/>
  <c r="AG3" i="35"/>
  <c r="W3" i="35"/>
  <c r="AA25" i="35"/>
  <c r="Y44" i="35"/>
  <c r="W25" i="35"/>
  <c r="AG93" i="35"/>
  <c r="Z93" i="35"/>
  <c r="AE93" i="35"/>
  <c r="AD7" i="35"/>
  <c r="AC39" i="35"/>
  <c r="AC3" i="35"/>
  <c r="AA16" i="35"/>
  <c r="Y5" i="35"/>
  <c r="AA26" i="35"/>
  <c r="V6" i="35"/>
  <c r="AB26" i="35"/>
  <c r="Z8" i="35"/>
  <c r="AD29" i="35"/>
  <c r="Z44" i="35"/>
  <c r="AE29" i="35"/>
  <c r="AF6" i="35"/>
  <c r="AG5" i="35"/>
  <c r="Y6" i="35"/>
  <c r="AA19" i="35"/>
  <c r="W44" i="35"/>
  <c r="V39" i="35"/>
  <c r="Y39" i="35"/>
  <c r="W106" i="35"/>
  <c r="AB99" i="35"/>
  <c r="AD16" i="35"/>
  <c r="AA106" i="35"/>
  <c r="AB5" i="35"/>
  <c r="AC49" i="35"/>
  <c r="AG111" i="35"/>
  <c r="AB111" i="35"/>
  <c r="W49" i="35"/>
  <c r="Y111" i="35"/>
  <c r="Y106" i="35"/>
  <c r="AE16" i="35"/>
  <c r="AG106" i="35"/>
  <c r="AG39" i="35"/>
  <c r="AF49" i="35"/>
  <c r="AF99" i="35"/>
  <c r="AE99" i="35"/>
  <c r="Y3" i="35"/>
  <c r="W99" i="35"/>
  <c r="W6" i="35"/>
  <c r="AC25" i="35"/>
  <c r="Y26" i="35"/>
  <c r="AA49" i="35"/>
  <c r="V29" i="35"/>
  <c r="Z5" i="35"/>
  <c r="AE8" i="35"/>
  <c r="AG29" i="35"/>
  <c r="V62" i="35"/>
  <c r="AF39" i="35"/>
  <c r="Y19" i="35"/>
  <c r="AF62" i="35"/>
  <c r="V106" i="35"/>
  <c r="AF30" i="35"/>
  <c r="AE44" i="35"/>
  <c r="AF106" i="35"/>
  <c r="AG45" i="35"/>
  <c r="W91" i="35"/>
  <c r="Y57" i="35"/>
  <c r="W64" i="35"/>
  <c r="AE89" i="35"/>
  <c r="AD89" i="35"/>
  <c r="AG57" i="35"/>
  <c r="AD57" i="35"/>
  <c r="AF64" i="35"/>
  <c r="V89" i="35"/>
  <c r="AE91" i="35"/>
  <c r="W89" i="35"/>
  <c r="AB89" i="35"/>
  <c r="Y45" i="35"/>
  <c r="V20" i="35"/>
  <c r="V9" i="35"/>
  <c r="AA28" i="35"/>
  <c r="AA10" i="35"/>
  <c r="AB105" i="35"/>
  <c r="AA121" i="35"/>
  <c r="AD40" i="35"/>
  <c r="AA47" i="35"/>
  <c r="Y105" i="35"/>
  <c r="AF28" i="35"/>
  <c r="W40" i="35"/>
  <c r="V121" i="35"/>
  <c r="Y121" i="35"/>
  <c r="AE125" i="35"/>
  <c r="Z125" i="35"/>
  <c r="Y20" i="35"/>
  <c r="AA9" i="35"/>
  <c r="AB47" i="35"/>
  <c r="W45" i="35"/>
  <c r="Z57" i="35"/>
  <c r="AC91" i="35"/>
  <c r="AB57" i="35"/>
  <c r="Y64" i="35"/>
  <c r="V64" i="35"/>
  <c r="Y89" i="35"/>
  <c r="AC89" i="35"/>
  <c r="AA45" i="35"/>
  <c r="Z20" i="35"/>
  <c r="Z9" i="35"/>
  <c r="AD28" i="35"/>
  <c r="AE45" i="35"/>
  <c r="AF125" i="35"/>
  <c r="Y10" i="35"/>
  <c r="AF40" i="35"/>
  <c r="AE121" i="35"/>
  <c r="AC125" i="35"/>
  <c r="AF105" i="35"/>
  <c r="AG28" i="35"/>
  <c r="AD47" i="35"/>
  <c r="Y47" i="35"/>
  <c r="AE105" i="35"/>
  <c r="W28" i="35"/>
  <c r="Z40" i="35"/>
  <c r="AD121" i="35"/>
  <c r="V125" i="35"/>
  <c r="V45" i="35"/>
  <c r="AE20" i="35"/>
  <c r="AC105" i="35"/>
  <c r="Z47" i="35"/>
  <c r="V57" i="35"/>
  <c r="AG89" i="35"/>
  <c r="AB91" i="35"/>
  <c r="AA57" i="35"/>
  <c r="AA64" i="35"/>
  <c r="Z64" i="35"/>
  <c r="AF91" i="35"/>
  <c r="AE57" i="35"/>
  <c r="AG9" i="35"/>
  <c r="AC9" i="35"/>
  <c r="AB9" i="35"/>
  <c r="AG44" i="35"/>
  <c r="AF8" i="35"/>
  <c r="AE19" i="35"/>
  <c r="AA62" i="35"/>
  <c r="AB113" i="35"/>
  <c r="AE113" i="35"/>
  <c r="AF19" i="35"/>
  <c r="AE106" i="35"/>
  <c r="AF16" i="35"/>
  <c r="AG19" i="35"/>
  <c r="Z39" i="35"/>
  <c r="Z19" i="35"/>
  <c r="AC19" i="35"/>
  <c r="AD19" i="35"/>
  <c r="V99" i="35"/>
  <c r="Z16" i="35"/>
  <c r="AG16" i="35"/>
  <c r="AB62" i="35"/>
  <c r="AD99" i="35"/>
  <c r="AD3" i="35"/>
  <c r="AC16" i="35"/>
  <c r="AD106" i="35"/>
  <c r="Z25" i="35"/>
  <c r="Y25" i="35"/>
  <c r="AF26" i="35"/>
  <c r="AE26" i="35"/>
  <c r="AB44" i="35"/>
  <c r="AA8" i="35"/>
  <c r="AE49" i="35"/>
  <c r="AB8" i="35"/>
  <c r="AC8" i="35"/>
  <c r="AG25" i="35"/>
  <c r="AD111" i="35"/>
  <c r="Z3" i="35"/>
  <c r="AA5" i="35"/>
  <c r="AC62" i="35"/>
  <c r="AE25" i="35"/>
  <c r="AF5" i="35"/>
  <c r="Z49" i="35"/>
  <c r="AA120" i="35"/>
  <c r="AD49" i="35"/>
  <c r="V111" i="35"/>
  <c r="Y29" i="35"/>
  <c r="Z111" i="35"/>
  <c r="AF3" i="35"/>
  <c r="AG62" i="35"/>
  <c r="V25" i="35"/>
  <c r="AA29" i="35"/>
  <c r="Z56" i="35"/>
  <c r="W113" i="35"/>
  <c r="Z6" i="35"/>
  <c r="AB124" i="35"/>
  <c r="AE6" i="35"/>
  <c r="AC5" i="35"/>
  <c r="AC106" i="35"/>
  <c r="AC6" i="35"/>
  <c r="AB19" i="35"/>
  <c r="AC113" i="35"/>
  <c r="Y16" i="35"/>
  <c r="V19" i="35"/>
  <c r="AD39" i="35"/>
  <c r="AC26" i="35"/>
  <c r="Z26" i="35"/>
  <c r="V16" i="35"/>
  <c r="W16" i="35"/>
  <c r="Y99" i="35"/>
  <c r="AE3" i="35"/>
  <c r="V5" i="35"/>
  <c r="AD26" i="35"/>
  <c r="AB120" i="35"/>
  <c r="AF44" i="35"/>
  <c r="V44" i="35"/>
  <c r="AD8" i="35"/>
  <c r="AB49" i="35"/>
  <c r="Y49" i="35"/>
  <c r="AE120" i="35"/>
  <c r="AE62" i="35"/>
  <c r="AA111" i="35"/>
  <c r="W29" i="35"/>
  <c r="AC111" i="35"/>
  <c r="AB3" i="35"/>
  <c r="AD5" i="35"/>
  <c r="AD44" i="35"/>
  <c r="AB29" i="35"/>
  <c r="AG8" i="35"/>
  <c r="V49" i="35"/>
  <c r="W111" i="35"/>
  <c r="AC29" i="35"/>
  <c r="V8" i="35"/>
  <c r="AB39" i="35"/>
  <c r="AG6" i="35"/>
  <c r="Z29" i="35"/>
  <c r="Y113" i="35"/>
  <c r="AE5" i="35"/>
  <c r="AB106" i="35"/>
  <c r="AB6" i="35"/>
  <c r="AD120" i="35"/>
  <c r="V26" i="35"/>
  <c r="AD21" i="35"/>
  <c r="AE21" i="35"/>
  <c r="AG21" i="35"/>
  <c r="AA21" i="35"/>
  <c r="AC21" i="35"/>
  <c r="V21" i="35"/>
  <c r="Z21" i="35"/>
  <c r="AF21" i="35"/>
  <c r="Z27" i="35"/>
  <c r="AC27" i="35"/>
  <c r="W27" i="35"/>
  <c r="AE27" i="35"/>
  <c r="AF27" i="35"/>
  <c r="V27" i="35"/>
  <c r="AG27" i="35"/>
  <c r="AD27" i="35"/>
  <c r="Y27" i="35"/>
  <c r="AA27" i="35"/>
  <c r="V53" i="35"/>
  <c r="AF53" i="35"/>
  <c r="AB53" i="35"/>
  <c r="AA53" i="35"/>
  <c r="Z53" i="35"/>
  <c r="AC53" i="35"/>
  <c r="AG53" i="35"/>
  <c r="Y53" i="35"/>
  <c r="AE53" i="35"/>
  <c r="AD11" i="35"/>
  <c r="AG11" i="35"/>
  <c r="AF11" i="35"/>
  <c r="AB11" i="35"/>
  <c r="Z11" i="35"/>
  <c r="AA11" i="35"/>
  <c r="W11" i="35"/>
  <c r="AC11" i="35"/>
  <c r="Y11" i="35"/>
  <c r="V11" i="35"/>
  <c r="W122" i="35"/>
  <c r="AG122" i="35"/>
  <c r="AA122" i="35"/>
  <c r="Y122" i="35"/>
  <c r="AD122" i="35"/>
  <c r="V122" i="35"/>
  <c r="Z122" i="35"/>
  <c r="AF122" i="35"/>
  <c r="AC122" i="35"/>
  <c r="AF109" i="35"/>
  <c r="AC109" i="35"/>
  <c r="V109" i="35"/>
  <c r="Z109" i="35"/>
  <c r="W109" i="35"/>
  <c r="AD109" i="35"/>
  <c r="AA109" i="35"/>
  <c r="AG109" i="35"/>
  <c r="Y109" i="35"/>
  <c r="AB109" i="35"/>
  <c r="AF82" i="35"/>
  <c r="AA82" i="35"/>
  <c r="W82" i="35"/>
  <c r="V82" i="35"/>
  <c r="AD82" i="35"/>
  <c r="AE82" i="35"/>
  <c r="Y82" i="35"/>
  <c r="Z82" i="35"/>
  <c r="AG82" i="35"/>
  <c r="W24" i="35"/>
  <c r="AA24" i="35"/>
  <c r="Z24" i="35"/>
  <c r="V24" i="35"/>
  <c r="AG24" i="35"/>
  <c r="Y24" i="35"/>
  <c r="AD24" i="35"/>
  <c r="AC24" i="35"/>
  <c r="AE24" i="35"/>
  <c r="AF119" i="35"/>
  <c r="Y119" i="35"/>
  <c r="AA119" i="35"/>
  <c r="V119" i="35"/>
  <c r="AC119" i="35"/>
  <c r="AB119" i="35"/>
  <c r="W119" i="35"/>
  <c r="AG119" i="35"/>
  <c r="AD119" i="35"/>
  <c r="AE119" i="35"/>
  <c r="AE31" i="35"/>
  <c r="V31" i="35"/>
  <c r="AD31" i="35"/>
  <c r="AF31" i="35"/>
  <c r="AG31" i="35"/>
  <c r="AB31" i="35"/>
  <c r="Z31" i="35"/>
  <c r="W31" i="35"/>
  <c r="Y31" i="35"/>
  <c r="AA31" i="35"/>
  <c r="AC31" i="35"/>
  <c r="Z65" i="35"/>
  <c r="AE65" i="35"/>
  <c r="V65" i="35"/>
  <c r="AF65" i="35"/>
  <c r="AC65" i="35"/>
  <c r="AG65" i="35"/>
  <c r="Y65" i="35"/>
  <c r="AD65" i="35"/>
  <c r="AB108" i="35"/>
  <c r="AE108" i="35"/>
  <c r="V108" i="35"/>
  <c r="Z108" i="35"/>
  <c r="AA108" i="35"/>
  <c r="AC108" i="35"/>
  <c r="W108" i="35"/>
  <c r="Y108" i="35"/>
  <c r="AA87" i="35"/>
  <c r="AC87" i="35"/>
  <c r="V87" i="35"/>
  <c r="Y87" i="35"/>
  <c r="AE87" i="35"/>
  <c r="AB87" i="35"/>
  <c r="Z87" i="35"/>
  <c r="W87" i="35"/>
  <c r="V63" i="35"/>
  <c r="AE63" i="35"/>
  <c r="AF63" i="35"/>
  <c r="AG63" i="35"/>
  <c r="Z63" i="35"/>
  <c r="Y63" i="35"/>
  <c r="AB63" i="35"/>
  <c r="AC63" i="35"/>
  <c r="AA63" i="35"/>
  <c r="W63" i="35"/>
  <c r="Z4" i="35"/>
  <c r="AD4" i="35"/>
  <c r="AB4" i="35"/>
  <c r="V4" i="35"/>
  <c r="AE4" i="35"/>
  <c r="AA4" i="35"/>
  <c r="AC4" i="35"/>
  <c r="W4" i="35"/>
  <c r="AD107" i="35"/>
  <c r="AB18" i="35"/>
  <c r="AD18" i="35"/>
  <c r="Y18" i="35"/>
  <c r="V18" i="35"/>
  <c r="Z18" i="35"/>
  <c r="AA18" i="35"/>
  <c r="AE18" i="35"/>
  <c r="AG95" i="35"/>
  <c r="AB95" i="35"/>
  <c r="AE95" i="35"/>
  <c r="AD95" i="35"/>
  <c r="Y95" i="35"/>
  <c r="AA95" i="35"/>
  <c r="V95" i="35"/>
  <c r="Y37" i="35"/>
  <c r="AB37" i="35"/>
  <c r="AF37" i="35"/>
  <c r="AA37" i="35"/>
  <c r="AG37" i="35"/>
  <c r="W37" i="35"/>
  <c r="AC37" i="35"/>
  <c r="V37" i="35"/>
  <c r="Z37" i="35"/>
  <c r="AE37" i="35"/>
  <c r="W21" i="35"/>
  <c r="AG87" i="35"/>
  <c r="AF87" i="35"/>
  <c r="AD37" i="35"/>
  <c r="Z119" i="35"/>
  <c r="W65" i="35"/>
  <c r="AA65" i="35"/>
  <c r="AB65" i="35"/>
  <c r="AC95" i="35"/>
  <c r="AG4" i="35"/>
  <c r="AG108" i="35"/>
  <c r="AD63" i="35"/>
  <c r="Y21" i="35"/>
  <c r="AE109" i="35"/>
  <c r="AE122" i="35"/>
  <c r="W53" i="35"/>
  <c r="AD68" i="35"/>
  <c r="Z68" i="35"/>
  <c r="AG68" i="35"/>
  <c r="AC68" i="35"/>
  <c r="Y68" i="35"/>
  <c r="AF68" i="35"/>
  <c r="AB68" i="35"/>
  <c r="W68" i="35"/>
  <c r="AE68" i="35"/>
  <c r="AA68" i="35"/>
  <c r="AA118" i="59"/>
  <c r="AA119" i="59"/>
  <c r="AD9" i="35"/>
  <c r="H4" i="57"/>
  <c r="H9" i="57"/>
  <c r="H6" i="57"/>
  <c r="H8" i="57"/>
  <c r="H3" i="57"/>
  <c r="H7" i="57"/>
  <c r="H5" i="57"/>
  <c r="AV13" i="45"/>
  <c r="AV12" i="45"/>
  <c r="Y112" i="35" l="1"/>
  <c r="V3" i="35"/>
  <c r="AB115" i="35"/>
  <c r="W95" i="35"/>
  <c r="AE56" i="35"/>
  <c r="Y124" i="35"/>
  <c r="Z42" i="33"/>
  <c r="Z139" i="33"/>
  <c r="AB139" i="33" s="1"/>
  <c r="Z67" i="33"/>
  <c r="AB67" i="33" s="1"/>
  <c r="AF113" i="35"/>
  <c r="AE114" i="35"/>
  <c r="AD129" i="35"/>
  <c r="Z213" i="33"/>
  <c r="AB213" i="33" s="1"/>
  <c r="Z66" i="33"/>
  <c r="AB66" i="33" s="1"/>
  <c r="Z126" i="33"/>
  <c r="AB126" i="33" s="1"/>
  <c r="Z62" i="35"/>
  <c r="Z92" i="35"/>
  <c r="V114" i="35"/>
  <c r="AB129" i="35"/>
  <c r="AF129" i="35"/>
  <c r="AD92" i="35"/>
  <c r="AA129" i="35"/>
  <c r="V129" i="35"/>
  <c r="W129" i="35"/>
  <c r="AD62" i="35"/>
  <c r="Y62" i="35"/>
  <c r="AE92" i="35"/>
  <c r="W114" i="35"/>
  <c r="AG114" i="35"/>
  <c r="Z76" i="33"/>
  <c r="AB76" i="33" s="1"/>
  <c r="Y129" i="35"/>
  <c r="Z204" i="33"/>
  <c r="AB204" i="33" s="1"/>
  <c r="Z131" i="33"/>
  <c r="AB131" i="33" s="1"/>
  <c r="Z53" i="33"/>
  <c r="AB53" i="33" s="1"/>
  <c r="W15" i="35"/>
  <c r="Z193" i="33"/>
  <c r="AB193" i="33" s="1"/>
  <c r="Z178" i="33"/>
  <c r="AB178" i="33" s="1"/>
  <c r="W62" i="35"/>
  <c r="AF29" i="35"/>
  <c r="AF95" i="35"/>
  <c r="Z95" i="35"/>
  <c r="AC18" i="35"/>
  <c r="AG129" i="35"/>
  <c r="AB52" i="35"/>
  <c r="AG124" i="35"/>
  <c r="Z113" i="35"/>
  <c r="Z129" i="35"/>
  <c r="AG18" i="35"/>
  <c r="AF18" i="35"/>
  <c r="AD113" i="35"/>
  <c r="V113" i="35"/>
  <c r="AA113" i="35"/>
  <c r="AC129" i="35"/>
  <c r="Z52" i="35"/>
  <c r="AG55" i="35"/>
  <c r="Z169" i="33"/>
  <c r="AB169" i="33" s="1"/>
  <c r="Z22" i="33"/>
  <c r="AB22" i="33" s="1"/>
  <c r="Z222" i="33"/>
  <c r="AB222" i="33" s="1"/>
  <c r="Z44" i="33"/>
  <c r="Z199" i="33"/>
  <c r="AB199" i="33" s="1"/>
  <c r="W116" i="35"/>
  <c r="AF20" i="35"/>
  <c r="AD108" i="35"/>
  <c r="Z218" i="33"/>
  <c r="AB218" i="33" s="1"/>
  <c r="Z54" i="33"/>
  <c r="AB54" i="33" s="1"/>
  <c r="AB127" i="35"/>
  <c r="Z128" i="33"/>
  <c r="W19" i="35"/>
  <c r="Z151" i="33"/>
  <c r="AB151" i="33" s="1"/>
  <c r="V77" i="35"/>
  <c r="W9" i="35"/>
  <c r="V110" i="35"/>
  <c r="AD124" i="35"/>
  <c r="Z86" i="33"/>
  <c r="AB86" i="33" s="1"/>
  <c r="Z192" i="33"/>
  <c r="AB192" i="33" s="1"/>
  <c r="Z161" i="33"/>
  <c r="AB161" i="33" s="1"/>
  <c r="W33" i="35"/>
  <c r="Z186" i="33"/>
  <c r="AB186" i="33" s="1"/>
  <c r="AF114" i="35"/>
  <c r="AC82" i="35"/>
  <c r="AF121" i="35"/>
  <c r="AE40" i="35"/>
  <c r="Z159" i="33"/>
  <c r="AB159" i="33" s="1"/>
  <c r="AU67" i="33"/>
  <c r="AU161" i="33"/>
  <c r="AU211" i="33"/>
  <c r="AU101" i="33"/>
  <c r="AQ67" i="33"/>
  <c r="W110" i="35"/>
  <c r="Z88" i="35"/>
  <c r="AG88" i="35"/>
  <c r="AE107" i="35"/>
  <c r="AD110" i="35"/>
  <c r="V88" i="35"/>
  <c r="Y88" i="35"/>
  <c r="Y107" i="35"/>
  <c r="Z110" i="35"/>
  <c r="V94" i="35"/>
  <c r="AA110" i="35"/>
  <c r="W107" i="35"/>
  <c r="AG107" i="35"/>
  <c r="AB110" i="35"/>
  <c r="Z94" i="35"/>
  <c r="AA94" i="35"/>
  <c r="AF88" i="35"/>
  <c r="AF97" i="35"/>
  <c r="AB88" i="35"/>
  <c r="AA107" i="35"/>
  <c r="AF107" i="35"/>
  <c r="AC110" i="35"/>
  <c r="AE110" i="35"/>
  <c r="AG110" i="35"/>
  <c r="AC94" i="35"/>
  <c r="AD94" i="35"/>
  <c r="Y94" i="35"/>
  <c r="AG94" i="35"/>
  <c r="AB107" i="35"/>
  <c r="AC107" i="35"/>
  <c r="V107" i="35"/>
  <c r="AF110" i="35"/>
  <c r="Y110" i="35"/>
  <c r="AF94" i="35"/>
  <c r="AB94" i="35"/>
  <c r="W94" i="35"/>
  <c r="W88" i="35"/>
  <c r="AA88" i="35"/>
  <c r="Z97" i="35"/>
  <c r="AE88" i="35"/>
  <c r="AU185" i="33"/>
  <c r="AM198" i="33"/>
  <c r="AN198" i="33" s="1"/>
  <c r="AM155" i="33"/>
  <c r="AN155" i="33" s="1"/>
  <c r="AM152" i="33"/>
  <c r="AN152" i="33" s="1"/>
  <c r="AM74" i="33"/>
  <c r="AN74" i="33" s="1"/>
  <c r="AM130" i="33"/>
  <c r="AN130" i="33" s="1"/>
  <c r="AM105" i="33"/>
  <c r="AN105" i="33" s="1"/>
  <c r="AM107" i="33"/>
  <c r="AN107" i="33" s="1"/>
  <c r="AM94" i="33"/>
  <c r="AN94" i="33" s="1"/>
  <c r="AM82" i="33"/>
  <c r="AN82" i="33" s="1"/>
  <c r="AM40" i="33"/>
  <c r="AN40" i="33" s="1"/>
  <c r="AM172" i="33"/>
  <c r="AN172" i="33" s="1"/>
  <c r="AM115" i="33"/>
  <c r="AN115" i="33" s="1"/>
  <c r="AM53" i="33"/>
  <c r="AN53" i="33" s="1"/>
  <c r="AM4" i="33"/>
  <c r="AN4" i="33" s="1"/>
  <c r="AM205" i="33"/>
  <c r="AN205" i="33" s="1"/>
  <c r="AM179" i="33"/>
  <c r="AN179" i="33" s="1"/>
  <c r="AM150" i="33"/>
  <c r="AN150" i="33" s="1"/>
  <c r="AM128" i="33"/>
  <c r="AN128" i="33" s="1"/>
  <c r="AM99" i="33"/>
  <c r="AN99" i="33" s="1"/>
  <c r="AM187" i="33"/>
  <c r="AN187" i="33" s="1"/>
  <c r="AM111" i="33"/>
  <c r="AN111" i="33" s="1"/>
  <c r="AM30" i="33"/>
  <c r="AN30" i="33" s="1"/>
  <c r="AM184" i="33"/>
  <c r="AN184" i="33" s="1"/>
  <c r="AM207" i="33"/>
  <c r="AN207" i="33" s="1"/>
  <c r="AM98" i="33"/>
  <c r="AN98" i="33" s="1"/>
  <c r="AA114" i="35"/>
  <c r="AD114" i="35"/>
  <c r="AC117" i="35"/>
  <c r="AC97" i="35"/>
  <c r="AF85" i="35"/>
  <c r="AC120" i="35"/>
  <c r="Z120" i="35"/>
  <c r="AC124" i="35"/>
  <c r="AG117" i="35"/>
  <c r="W85" i="35"/>
  <c r="AM39" i="33"/>
  <c r="AN39" i="33" s="1"/>
  <c r="AM28" i="33"/>
  <c r="AN28" i="33" s="1"/>
  <c r="AB114" i="35"/>
  <c r="AC114" i="35"/>
  <c r="Y114" i="35"/>
  <c r="AB13" i="35"/>
  <c r="W120" i="35"/>
  <c r="AC17" i="35"/>
  <c r="AE124" i="35"/>
  <c r="Z124" i="35"/>
  <c r="AE97" i="35"/>
  <c r="AA124" i="35"/>
  <c r="AD117" i="35"/>
  <c r="AE117" i="35"/>
  <c r="W124" i="35"/>
  <c r="AC85" i="35"/>
  <c r="AE85" i="35"/>
  <c r="V120" i="35"/>
  <c r="AG120" i="35"/>
  <c r="Z114" i="35"/>
  <c r="AF120" i="35"/>
  <c r="AB117" i="35"/>
  <c r="AF124" i="35"/>
  <c r="AF117" i="35"/>
  <c r="V117" i="35"/>
  <c r="AB97" i="35"/>
  <c r="AD97" i="35"/>
  <c r="AA117" i="35"/>
  <c r="Y85" i="35"/>
  <c r="AA85" i="35"/>
  <c r="Z96" i="35"/>
  <c r="AM80" i="33"/>
  <c r="AN80" i="33" s="1"/>
  <c r="AM97" i="33"/>
  <c r="AN97" i="33" s="1"/>
  <c r="AM138" i="33"/>
  <c r="AN138" i="33" s="1"/>
  <c r="AM163" i="33"/>
  <c r="AN163" i="33" s="1"/>
  <c r="AM160" i="33"/>
  <c r="AN160" i="33" s="1"/>
  <c r="AM144" i="33"/>
  <c r="AN144" i="33" s="1"/>
  <c r="AM79" i="33"/>
  <c r="AN79" i="33" s="1"/>
  <c r="AM112" i="33"/>
  <c r="AN112" i="33" s="1"/>
  <c r="AM31" i="33"/>
  <c r="AN31" i="33" s="1"/>
  <c r="AF48" i="35"/>
  <c r="AD98" i="35"/>
  <c r="AD74" i="35"/>
  <c r="AM195" i="33"/>
  <c r="AN195" i="33" s="1"/>
  <c r="AM201" i="33"/>
  <c r="AN201" i="33" s="1"/>
  <c r="AM126" i="33"/>
  <c r="AN126" i="33" s="1"/>
  <c r="AM108" i="33"/>
  <c r="AN108" i="33" s="1"/>
  <c r="AM46" i="33"/>
  <c r="AN46" i="33" s="1"/>
  <c r="AM88" i="33"/>
  <c r="AN88" i="33" s="1"/>
  <c r="AM110" i="33"/>
  <c r="AN110" i="33" s="1"/>
  <c r="AM29" i="33"/>
  <c r="AN29" i="33" s="1"/>
  <c r="AM119" i="33"/>
  <c r="AN119" i="33" s="1"/>
  <c r="AM91" i="33"/>
  <c r="AN91" i="33" s="1"/>
  <c r="AM210" i="33"/>
  <c r="AN210" i="33" s="1"/>
  <c r="AD60" i="35"/>
  <c r="V48" i="35"/>
  <c r="AF126" i="35"/>
  <c r="AD84" i="35"/>
  <c r="W84" i="35"/>
  <c r="Z112" i="35"/>
  <c r="V43" i="35"/>
  <c r="AG50" i="35"/>
  <c r="W50" i="35"/>
  <c r="AF13" i="35"/>
  <c r="AA115" i="35"/>
  <c r="AA96" i="35"/>
  <c r="Z17" i="35"/>
  <c r="AB96" i="35"/>
  <c r="AC96" i="35"/>
  <c r="AD43" i="35"/>
  <c r="AC123" i="35"/>
  <c r="AD88" i="35"/>
  <c r="AF96" i="35"/>
  <c r="V74" i="35"/>
  <c r="AB42" i="35"/>
  <c r="AM156" i="33"/>
  <c r="AN156" i="33" s="1"/>
  <c r="AM36" i="33"/>
  <c r="AN36" i="33" s="1"/>
  <c r="AM13" i="33"/>
  <c r="AN13" i="33" s="1"/>
  <c r="AM41" i="33"/>
  <c r="AN41" i="33" s="1"/>
  <c r="AF128" i="35"/>
  <c r="AB35" i="35"/>
  <c r="V128" i="35"/>
  <c r="Y115" i="35"/>
  <c r="Z127" i="35"/>
  <c r="AG115" i="35"/>
  <c r="Z13" i="35"/>
  <c r="V116" i="35"/>
  <c r="AE42" i="35"/>
  <c r="AF86" i="35"/>
  <c r="AM219" i="33"/>
  <c r="AN219" i="33" s="1"/>
  <c r="V60" i="35"/>
  <c r="AE126" i="35"/>
  <c r="AE112" i="35"/>
  <c r="AE98" i="35"/>
  <c r="AF50" i="35"/>
  <c r="Y50" i="35"/>
  <c r="W43" i="35"/>
  <c r="Z35" i="35"/>
  <c r="Z128" i="35"/>
  <c r="V126" i="35"/>
  <c r="V84" i="35"/>
  <c r="Y17" i="35"/>
  <c r="AE90" i="35"/>
  <c r="Z98" i="35"/>
  <c r="AF98" i="35"/>
  <c r="AA17" i="35"/>
  <c r="AA90" i="35"/>
  <c r="Y98" i="35"/>
  <c r="AE15" i="35"/>
  <c r="AE116" i="35"/>
  <c r="W42" i="35"/>
  <c r="Y74" i="35"/>
  <c r="V35" i="35"/>
  <c r="AC48" i="35"/>
  <c r="Y126" i="35"/>
  <c r="AC126" i="35"/>
  <c r="AA126" i="35"/>
  <c r="Y127" i="35"/>
  <c r="AF17" i="35"/>
  <c r="AA127" i="35"/>
  <c r="AG90" i="35"/>
  <c r="Z115" i="35"/>
  <c r="V115" i="35"/>
  <c r="AG84" i="35"/>
  <c r="V15" i="35"/>
  <c r="AD112" i="35"/>
  <c r="AA15" i="35"/>
  <c r="Z50" i="35"/>
  <c r="W112" i="35"/>
  <c r="AB98" i="35"/>
  <c r="AA43" i="35"/>
  <c r="AA112" i="35"/>
  <c r="AG112" i="35"/>
  <c r="AE115" i="35"/>
  <c r="Z90" i="35"/>
  <c r="AC127" i="35"/>
  <c r="AD13" i="35"/>
  <c r="AB50" i="35"/>
  <c r="AF15" i="35"/>
  <c r="AD100" i="35"/>
  <c r="W100" i="35"/>
  <c r="AA100" i="35"/>
  <c r="AF123" i="35"/>
  <c r="AD50" i="35"/>
  <c r="AD123" i="35"/>
  <c r="AA116" i="35"/>
  <c r="V96" i="35"/>
  <c r="AA42" i="35"/>
  <c r="AF74" i="35"/>
  <c r="Z74" i="35"/>
  <c r="AB86" i="35"/>
  <c r="AD42" i="35"/>
  <c r="AG42" i="35"/>
  <c r="Y60" i="35"/>
  <c r="AA35" i="35"/>
  <c r="AG128" i="35"/>
  <c r="Y48" i="35"/>
  <c r="AG60" i="35"/>
  <c r="W35" i="35"/>
  <c r="AD48" i="35"/>
  <c r="AE35" i="35"/>
  <c r="Y128" i="35"/>
  <c r="AE48" i="35"/>
  <c r="AA48" i="35"/>
  <c r="AD126" i="35"/>
  <c r="AG126" i="35"/>
  <c r="AD17" i="35"/>
  <c r="AC90" i="35"/>
  <c r="AA13" i="35"/>
  <c r="AD90" i="35"/>
  <c r="Y90" i="35"/>
  <c r="V13" i="35"/>
  <c r="AB84" i="35"/>
  <c r="W90" i="35"/>
  <c r="AC50" i="35"/>
  <c r="AC98" i="35"/>
  <c r="AB15" i="35"/>
  <c r="AG15" i="35"/>
  <c r="AB43" i="35"/>
  <c r="V112" i="35"/>
  <c r="AC115" i="35"/>
  <c r="Y84" i="35"/>
  <c r="W115" i="35"/>
  <c r="V17" i="35"/>
  <c r="V90" i="35"/>
  <c r="AD127" i="35"/>
  <c r="AC15" i="35"/>
  <c r="AG43" i="35"/>
  <c r="Z84" i="35"/>
  <c r="AD15" i="35"/>
  <c r="AC43" i="35"/>
  <c r="AF127" i="35"/>
  <c r="AD128" i="35"/>
  <c r="AB100" i="35"/>
  <c r="V123" i="35"/>
  <c r="AA98" i="35"/>
  <c r="AF100" i="35"/>
  <c r="W123" i="35"/>
  <c r="AC100" i="35"/>
  <c r="AD116" i="35"/>
  <c r="AB60" i="35"/>
  <c r="AF116" i="35"/>
  <c r="AB116" i="35"/>
  <c r="V98" i="35"/>
  <c r="AA123" i="35"/>
  <c r="AC42" i="35"/>
  <c r="W96" i="35"/>
  <c r="Y123" i="35"/>
  <c r="AG74" i="35"/>
  <c r="AB74" i="35"/>
  <c r="AE74" i="35"/>
  <c r="AG86" i="35"/>
  <c r="AA86" i="35"/>
  <c r="AF42" i="35"/>
  <c r="W60" i="35"/>
  <c r="AB48" i="35"/>
  <c r="AE128" i="35"/>
  <c r="Z60" i="35"/>
  <c r="AD35" i="35"/>
  <c r="AG35" i="35"/>
  <c r="AC128" i="35"/>
  <c r="AF60" i="35"/>
  <c r="AA60" i="35"/>
  <c r="W48" i="35"/>
  <c r="AC35" i="35"/>
  <c r="AF35" i="35"/>
  <c r="W128" i="35"/>
  <c r="AA128" i="35"/>
  <c r="Z48" i="35"/>
  <c r="AB126" i="35"/>
  <c r="W126" i="35"/>
  <c r="AD115" i="35"/>
  <c r="AF90" i="35"/>
  <c r="AE17" i="35"/>
  <c r="AF115" i="35"/>
  <c r="AE127" i="35"/>
  <c r="AB17" i="35"/>
  <c r="W127" i="35"/>
  <c r="AC13" i="35"/>
  <c r="AA84" i="35"/>
  <c r="V127" i="35"/>
  <c r="Y15" i="35"/>
  <c r="W98" i="35"/>
  <c r="AE43" i="35"/>
  <c r="AB112" i="35"/>
  <c r="Y43" i="35"/>
  <c r="AC84" i="35"/>
  <c r="AG127" i="35"/>
  <c r="Y13" i="35"/>
  <c r="W17" i="35"/>
  <c r="AF84" i="35"/>
  <c r="AG13" i="35"/>
  <c r="AG116" i="35"/>
  <c r="Z15" i="35"/>
  <c r="W13" i="35"/>
  <c r="AG96" i="35"/>
  <c r="Z100" i="35"/>
  <c r="AB123" i="35"/>
  <c r="AG123" i="35"/>
  <c r="AD96" i="35"/>
  <c r="V50" i="35"/>
  <c r="AF43" i="35"/>
  <c r="AA50" i="35"/>
  <c r="AC112" i="35"/>
  <c r="V100" i="35"/>
  <c r="Y100" i="35"/>
  <c r="Y96" i="35"/>
  <c r="Z123" i="35"/>
  <c r="Z116" i="35"/>
  <c r="AE60" i="35"/>
  <c r="AC116" i="35"/>
  <c r="AE100" i="35"/>
  <c r="Z42" i="35"/>
  <c r="V42" i="35"/>
  <c r="Y116" i="35"/>
  <c r="AC74" i="35"/>
  <c r="W74" i="35"/>
  <c r="AC86" i="35"/>
  <c r="V86" i="35"/>
  <c r="AU222" i="33"/>
  <c r="AU59" i="33"/>
  <c r="AU190" i="33"/>
  <c r="AU62" i="33"/>
  <c r="AU157" i="33"/>
  <c r="AU70" i="33"/>
  <c r="AQ70" i="33"/>
  <c r="AU213" i="33"/>
  <c r="AU159" i="33"/>
  <c r="AU47" i="33"/>
  <c r="AU23" i="33"/>
  <c r="AU49" i="33"/>
  <c r="AU191" i="33"/>
  <c r="AQ159" i="33"/>
  <c r="AU90" i="33"/>
  <c r="AQ90" i="33"/>
  <c r="AU189" i="33"/>
  <c r="AU9" i="33"/>
  <c r="AU196" i="33"/>
  <c r="AU63" i="33"/>
  <c r="AU175" i="33"/>
  <c r="AG85" i="35"/>
  <c r="AB85" i="35"/>
  <c r="AQ34" i="33"/>
  <c r="AQ25" i="33"/>
  <c r="AQ86" i="33"/>
  <c r="AU86" i="33"/>
  <c r="AU54" i="33"/>
  <c r="AU61" i="33"/>
  <c r="AU147" i="33"/>
  <c r="AU199" i="33"/>
  <c r="AB128" i="33"/>
  <c r="AU96" i="33"/>
  <c r="AQ54" i="33"/>
  <c r="AQ213" i="33"/>
  <c r="AU87" i="33"/>
  <c r="AQ131" i="33"/>
  <c r="AU20" i="33"/>
  <c r="AR198" i="33"/>
  <c r="AQ88" i="33"/>
  <c r="AU108" i="33"/>
  <c r="AR205" i="33"/>
  <c r="O4" i="57"/>
  <c r="M4" i="57"/>
  <c r="AU169" i="33"/>
  <c r="AQ169" i="33"/>
  <c r="AQ212" i="33"/>
  <c r="AU38" i="33"/>
  <c r="AQ38" i="33"/>
  <c r="AU224" i="33"/>
  <c r="AU15" i="33"/>
  <c r="AU212" i="33"/>
  <c r="AU158" i="33"/>
  <c r="AQ224" i="33"/>
  <c r="AQ66" i="33"/>
  <c r="AQ20" i="33"/>
  <c r="AC66" i="35"/>
  <c r="AU42" i="33"/>
  <c r="AQ129" i="33"/>
  <c r="AA88" i="59"/>
  <c r="AA11" i="59"/>
  <c r="AA15" i="59"/>
  <c r="AA52" i="59"/>
  <c r="AA51" i="59"/>
  <c r="AA72" i="59"/>
  <c r="AA93" i="59"/>
  <c r="AA13" i="59"/>
  <c r="AA75" i="59"/>
  <c r="AA67" i="59"/>
  <c r="AA59" i="59"/>
  <c r="AA97" i="59"/>
  <c r="AA73" i="59"/>
  <c r="AA58" i="59"/>
  <c r="AA6" i="59"/>
  <c r="AA100" i="59"/>
  <c r="AA12" i="59"/>
  <c r="AA56" i="59"/>
  <c r="AA116" i="59"/>
  <c r="AA14" i="59"/>
  <c r="AA69" i="59"/>
  <c r="AA23" i="59"/>
  <c r="AA36" i="59"/>
  <c r="AA61" i="59"/>
  <c r="AA45" i="59"/>
  <c r="AA62" i="59"/>
  <c r="Z88" i="33"/>
  <c r="AB88" i="33" s="1"/>
  <c r="Z117" i="33"/>
  <c r="AB117" i="33" s="1"/>
  <c r="AU135" i="33"/>
  <c r="AR82" i="33"/>
  <c r="AR107" i="33"/>
  <c r="V66" i="35"/>
  <c r="AE66" i="35"/>
  <c r="Y66" i="35"/>
  <c r="AG66" i="35"/>
  <c r="AA66" i="35"/>
  <c r="W66" i="35"/>
  <c r="AB66" i="35"/>
  <c r="AF66" i="35"/>
  <c r="AM52" i="33"/>
  <c r="AN52" i="33" s="1"/>
  <c r="Z66" i="35"/>
  <c r="AU81" i="33"/>
  <c r="AM135" i="33"/>
  <c r="AN135" i="33" s="1"/>
  <c r="AM114" i="33"/>
  <c r="AN114" i="33" s="1"/>
  <c r="AM56" i="33"/>
  <c r="AN56" i="33" s="1"/>
  <c r="AF112" i="35"/>
  <c r="V97" i="35"/>
  <c r="Y97" i="35"/>
  <c r="AA97" i="35"/>
  <c r="W97" i="35"/>
  <c r="Y86" i="35"/>
  <c r="W86" i="35"/>
  <c r="Z86" i="35"/>
  <c r="AD86" i="35"/>
  <c r="AQ147" i="33"/>
  <c r="AU181" i="33"/>
  <c r="AV119" i="33"/>
  <c r="AS163" i="33"/>
  <c r="AV184" i="33"/>
  <c r="AP94" i="33"/>
  <c r="AU46" i="33"/>
  <c r="AQ120" i="33"/>
  <c r="AM131" i="33"/>
  <c r="AN131" i="33" s="1"/>
  <c r="AV179" i="33"/>
  <c r="AB42" i="33"/>
  <c r="AS155" i="33"/>
  <c r="AV195" i="33"/>
  <c r="AV187" i="33"/>
  <c r="AP207" i="33"/>
  <c r="AV210" i="33"/>
  <c r="AP79" i="33"/>
  <c r="AU138" i="33"/>
  <c r="AR201" i="33"/>
  <c r="AE71" i="35"/>
  <c r="AR144" i="33"/>
  <c r="AP88" i="33"/>
  <c r="AV108" i="33"/>
  <c r="AQ113" i="33"/>
  <c r="AS4" i="33"/>
  <c r="AU130" i="33"/>
  <c r="AV36" i="33"/>
  <c r="AR76" i="33"/>
  <c r="AU165" i="33"/>
  <c r="AV76" i="33"/>
  <c r="AQ5" i="33"/>
  <c r="AQ144" i="33"/>
  <c r="AS94" i="33"/>
  <c r="AU144" i="33"/>
  <c r="AQ94" i="33"/>
  <c r="AT88" i="33"/>
  <c r="AU5" i="33"/>
  <c r="AQ161" i="33"/>
  <c r="Z184" i="33"/>
  <c r="AB184" i="33" s="1"/>
  <c r="AU88" i="33"/>
  <c r="AV94" i="33"/>
  <c r="Z113" i="33"/>
  <c r="AB113" i="33" s="1"/>
  <c r="AR172" i="33"/>
  <c r="AR79" i="33"/>
  <c r="AP198" i="33"/>
  <c r="AU197" i="33"/>
  <c r="AU136" i="33"/>
  <c r="AT128" i="33"/>
  <c r="Z144" i="33"/>
  <c r="AB144" i="33" s="1"/>
  <c r="AQ191" i="33"/>
  <c r="AQ42" i="33"/>
  <c r="AP138" i="33"/>
  <c r="AA8" i="59"/>
  <c r="AA84" i="59"/>
  <c r="Z79" i="33"/>
  <c r="AB79" i="33" s="1"/>
  <c r="AA26" i="59"/>
  <c r="AA102" i="59"/>
  <c r="AA49" i="59"/>
  <c r="AQ165" i="33"/>
  <c r="AU37" i="33"/>
  <c r="AA29" i="59"/>
  <c r="AV207" i="33"/>
  <c r="AS88" i="33"/>
  <c r="AR88" i="33"/>
  <c r="AA113" i="59"/>
  <c r="AV79" i="33"/>
  <c r="AP195" i="33"/>
  <c r="AV88" i="33"/>
  <c r="AR94" i="33"/>
  <c r="AR46" i="33"/>
  <c r="AR110" i="33"/>
  <c r="AR114" i="33"/>
  <c r="AP114" i="33"/>
  <c r="AP201" i="33"/>
  <c r="AQ195" i="33"/>
  <c r="AS207" i="33"/>
  <c r="AT201" i="33"/>
  <c r="AS114" i="33"/>
  <c r="AQ114" i="33"/>
  <c r="Z69" i="33"/>
  <c r="AB69" i="33" s="1"/>
  <c r="Z185" i="33"/>
  <c r="AB185" i="33" s="1"/>
  <c r="AA34" i="59"/>
  <c r="AA66" i="59"/>
  <c r="AA103" i="59"/>
  <c r="AA28" i="59"/>
  <c r="Z181" i="33"/>
  <c r="AB181" i="33" s="1"/>
  <c r="AQ135" i="33"/>
  <c r="AS119" i="33"/>
  <c r="AS36" i="33"/>
  <c r="AA9" i="59"/>
  <c r="Z85" i="33"/>
  <c r="AB85" i="33" s="1"/>
  <c r="AQ107" i="33"/>
  <c r="AP80" i="33"/>
  <c r="Z3" i="33"/>
  <c r="AB3" i="33" s="1"/>
  <c r="AT82" i="33"/>
  <c r="Z163" i="33"/>
  <c r="AB163" i="33" s="1"/>
  <c r="Z194" i="33"/>
  <c r="AB194" i="33" s="1"/>
  <c r="AA107" i="59"/>
  <c r="AU163" i="33"/>
  <c r="Z49" i="33"/>
  <c r="AB49" i="33" s="1"/>
  <c r="AQ130" i="33"/>
  <c r="AS135" i="33"/>
  <c r="AA2" i="59"/>
  <c r="Z98" i="33"/>
  <c r="AB98" i="33" s="1"/>
  <c r="AR113" i="33"/>
  <c r="AT179" i="33"/>
  <c r="Z190" i="33"/>
  <c r="AB190" i="33" s="1"/>
  <c r="Z156" i="33"/>
  <c r="AB156" i="33" s="1"/>
  <c r="AR30" i="33"/>
  <c r="Z95" i="33"/>
  <c r="AB95" i="33" s="1"/>
  <c r="AB114" i="33"/>
  <c r="AB224" i="33"/>
  <c r="AQ63" i="33"/>
  <c r="AP4" i="33"/>
  <c r="AT130" i="33"/>
  <c r="Z58" i="33"/>
  <c r="AB58" i="33" s="1"/>
  <c r="AA54" i="59"/>
  <c r="AA109" i="59"/>
  <c r="AA38" i="59"/>
  <c r="Z24" i="33"/>
  <c r="AB24" i="33" s="1"/>
  <c r="AP113" i="33"/>
  <c r="AU50" i="33"/>
  <c r="AU89" i="33"/>
  <c r="AU25" i="33"/>
  <c r="AS82" i="33"/>
  <c r="AR36" i="33"/>
  <c r="AV130" i="33"/>
  <c r="AV107" i="33"/>
  <c r="AR119" i="33"/>
  <c r="AR4" i="33"/>
  <c r="AP36" i="33"/>
  <c r="AR135" i="33"/>
  <c r="AV82" i="33"/>
  <c r="Z107" i="33"/>
  <c r="AB107" i="33" s="1"/>
  <c r="Z80" i="33"/>
  <c r="AB80" i="33" s="1"/>
  <c r="AU82" i="33"/>
  <c r="AP119" i="33"/>
  <c r="AT4" i="33"/>
  <c r="AQ119" i="33"/>
  <c r="AS110" i="33"/>
  <c r="AV110" i="33"/>
  <c r="AV30" i="33"/>
  <c r="AP30" i="33"/>
  <c r="AU30" i="33"/>
  <c r="Z50" i="33"/>
  <c r="AB50" i="33" s="1"/>
  <c r="AS113" i="33"/>
  <c r="AU203" i="33"/>
  <c r="AU134" i="33"/>
  <c r="AA27" i="59"/>
  <c r="Z119" i="33"/>
  <c r="AB119" i="33" s="1"/>
  <c r="AQ82" i="33"/>
  <c r="AR130" i="33"/>
  <c r="AP107" i="33"/>
  <c r="AS107" i="33"/>
  <c r="Z135" i="33"/>
  <c r="AB135" i="33" s="1"/>
  <c r="AU119" i="33"/>
  <c r="AQ4" i="33"/>
  <c r="AU107" i="33"/>
  <c r="Z82" i="33"/>
  <c r="AB82" i="33" s="1"/>
  <c r="AV135" i="33"/>
  <c r="AP82" i="33"/>
  <c r="AV4" i="33"/>
  <c r="AU4" i="33"/>
  <c r="AT119" i="33"/>
  <c r="AS130" i="33"/>
  <c r="AU110" i="33"/>
  <c r="AS30" i="33"/>
  <c r="AT30" i="33"/>
  <c r="AQ30" i="33"/>
  <c r="Z87" i="33"/>
  <c r="AB87" i="33" s="1"/>
  <c r="Z106" i="33"/>
  <c r="AB106" i="33" s="1"/>
  <c r="AV113" i="33"/>
  <c r="AQ22" i="33"/>
  <c r="AQ203" i="33"/>
  <c r="AT135" i="33"/>
  <c r="AT107" i="33"/>
  <c r="AT110" i="33"/>
  <c r="Z109" i="33"/>
  <c r="AB109" i="33" s="1"/>
  <c r="AV131" i="33"/>
  <c r="AR131" i="33"/>
  <c r="AA3" i="59"/>
  <c r="Z63" i="33"/>
  <c r="AB63" i="33" s="1"/>
  <c r="AR99" i="33"/>
  <c r="AR56" i="33"/>
  <c r="AR195" i="33"/>
  <c r="AT52" i="33"/>
  <c r="AR187" i="33"/>
  <c r="AP91" i="33"/>
  <c r="Y71" i="35"/>
  <c r="AE103" i="35"/>
  <c r="AD71" i="35"/>
  <c r="AC77" i="35"/>
  <c r="AG77" i="35"/>
  <c r="AD103" i="35"/>
  <c r="Z70" i="33"/>
  <c r="AB70" i="33" s="1"/>
  <c r="AR12" i="33"/>
  <c r="AQ80" i="33"/>
  <c r="W71" i="35"/>
  <c r="AC71" i="35"/>
  <c r="AA53" i="59"/>
  <c r="AS132" i="33"/>
  <c r="AV5" i="33"/>
  <c r="AS63" i="33"/>
  <c r="AV174" i="33"/>
  <c r="AB71" i="35"/>
  <c r="AG71" i="35"/>
  <c r="AT5" i="33"/>
  <c r="AT103" i="33"/>
  <c r="AP161" i="33"/>
  <c r="AA18" i="59"/>
  <c r="AA71" i="35"/>
  <c r="AF71" i="35"/>
  <c r="Z71" i="35"/>
  <c r="Z105" i="33"/>
  <c r="AB105" i="33" s="1"/>
  <c r="AQ128" i="33"/>
  <c r="AR215" i="33"/>
  <c r="AA86" i="59"/>
  <c r="AQ201" i="33"/>
  <c r="AU94" i="33"/>
  <c r="AQ108" i="33"/>
  <c r="AP163" i="33"/>
  <c r="AP164" i="33"/>
  <c r="AT63" i="33"/>
  <c r="AQ222" i="33"/>
  <c r="Z137" i="33"/>
  <c r="AB137" i="33" s="1"/>
  <c r="Z221" i="33"/>
  <c r="AB221" i="33" s="1"/>
  <c r="AT79" i="33"/>
  <c r="AT184" i="33"/>
  <c r="AA83" i="59"/>
  <c r="AA96" i="59"/>
  <c r="Z36" i="33"/>
  <c r="AB36" i="33" s="1"/>
  <c r="Z175" i="33"/>
  <c r="AB175" i="33" s="1"/>
  <c r="Z118" i="33"/>
  <c r="AB118" i="33" s="1"/>
  <c r="AQ140" i="33"/>
  <c r="AV74" i="33"/>
  <c r="AT138" i="33"/>
  <c r="AV112" i="33"/>
  <c r="AV111" i="33"/>
  <c r="Z45" i="33"/>
  <c r="AB45" i="33" s="1"/>
  <c r="Z39" i="33"/>
  <c r="AB39" i="33" s="1"/>
  <c r="Y103" i="35"/>
  <c r="AT180" i="33"/>
  <c r="AP72" i="33"/>
  <c r="AU179" i="33"/>
  <c r="AS205" i="33"/>
  <c r="Z28" i="33"/>
  <c r="AB28" i="33" s="1"/>
  <c r="Z62" i="33"/>
  <c r="AB62" i="33" s="1"/>
  <c r="Z89" i="33"/>
  <c r="AB89" i="33" s="1"/>
  <c r="Z180" i="33"/>
  <c r="AB180" i="33" s="1"/>
  <c r="AQ68" i="33"/>
  <c r="AQ121" i="33"/>
  <c r="AA42" i="59"/>
  <c r="AT108" i="33"/>
  <c r="AP108" i="33"/>
  <c r="AA111" i="59"/>
  <c r="AS128" i="33"/>
  <c r="Z74" i="33"/>
  <c r="AB74" i="33" s="1"/>
  <c r="AQ74" i="33"/>
  <c r="AR179" i="33"/>
  <c r="AA20" i="59"/>
  <c r="AQ97" i="33"/>
  <c r="AA79" i="59"/>
  <c r="AT163" i="33"/>
  <c r="Z29" i="33"/>
  <c r="AB29" i="33" s="1"/>
  <c r="Z56" i="33"/>
  <c r="AB56" i="33" s="1"/>
  <c r="AQ141" i="33"/>
  <c r="AU221" i="33"/>
  <c r="AU188" i="33"/>
  <c r="AQ125" i="33"/>
  <c r="AU118" i="33"/>
  <c r="AS74" i="33"/>
  <c r="AP128" i="33"/>
  <c r="AS195" i="33"/>
  <c r="AP179" i="33"/>
  <c r="Z179" i="33"/>
  <c r="AB179" i="33" s="1"/>
  <c r="AU201" i="33"/>
  <c r="AA7" i="59"/>
  <c r="AS201" i="33"/>
  <c r="AQ179" i="33"/>
  <c r="AP74" i="33"/>
  <c r="Z198" i="33"/>
  <c r="AB198" i="33" s="1"/>
  <c r="Z206" i="33"/>
  <c r="AB206" i="33" s="1"/>
  <c r="AQ18" i="33"/>
  <c r="AR128" i="33"/>
  <c r="AA78" i="59"/>
  <c r="AT74" i="33"/>
  <c r="AR74" i="33"/>
  <c r="AU74" i="33"/>
  <c r="AR80" i="33"/>
  <c r="AS80" i="33"/>
  <c r="Z216" i="33"/>
  <c r="AB216" i="33" s="1"/>
  <c r="AU176" i="33"/>
  <c r="AQ23" i="33"/>
  <c r="AQ158" i="33"/>
  <c r="AU183" i="33"/>
  <c r="AU215" i="33"/>
  <c r="AR138" i="33"/>
  <c r="AV138" i="33"/>
  <c r="AR108" i="33"/>
  <c r="AS108" i="33"/>
  <c r="Z160" i="33"/>
  <c r="AB160" i="33" s="1"/>
  <c r="AU195" i="33"/>
  <c r="Z195" i="33"/>
  <c r="AB195" i="33" s="1"/>
  <c r="AT114" i="33"/>
  <c r="Z4" i="33"/>
  <c r="AB4" i="33" s="1"/>
  <c r="AV80" i="33"/>
  <c r="AT80" i="33"/>
  <c r="AV163" i="33"/>
  <c r="Z108" i="33"/>
  <c r="AB108" i="33" s="1"/>
  <c r="AS138" i="33"/>
  <c r="AR52" i="33"/>
  <c r="AA74" i="59"/>
  <c r="AR219" i="33"/>
  <c r="AV128" i="33"/>
  <c r="Z94" i="33"/>
  <c r="AB94" i="33" s="1"/>
  <c r="Z97" i="33"/>
  <c r="AB97" i="33" s="1"/>
  <c r="AU114" i="33"/>
  <c r="AQ198" i="33"/>
  <c r="AS79" i="33"/>
  <c r="AV114" i="33"/>
  <c r="AR184" i="33"/>
  <c r="AQ184" i="33"/>
  <c r="AU80" i="33"/>
  <c r="AP184" i="33"/>
  <c r="AU184" i="33"/>
  <c r="E12" i="57"/>
  <c r="AP97" i="33"/>
  <c r="AQ163" i="33"/>
  <c r="AT112" i="33"/>
  <c r="AR163" i="33"/>
  <c r="AP111" i="33"/>
  <c r="Z174" i="33"/>
  <c r="AB174" i="33" s="1"/>
  <c r="Z23" i="33"/>
  <c r="AB23" i="33" s="1"/>
  <c r="AS206" i="33"/>
  <c r="AS8" i="33"/>
  <c r="AU205" i="33"/>
  <c r="AU128" i="33"/>
  <c r="AB110" i="33"/>
  <c r="AR165" i="33"/>
  <c r="AQ171" i="33"/>
  <c r="AF102" i="35"/>
  <c r="Z132" i="35"/>
  <c r="AD77" i="35"/>
  <c r="AF77" i="35"/>
  <c r="AE77" i="35"/>
  <c r="AQ59" i="33"/>
  <c r="AR59" i="33"/>
  <c r="AQ190" i="33"/>
  <c r="AV190" i="33"/>
  <c r="AT117" i="33"/>
  <c r="AU92" i="33"/>
  <c r="AB19" i="33"/>
  <c r="AS140" i="33"/>
  <c r="AT155" i="33"/>
  <c r="AP55" i="33"/>
  <c r="AE102" i="35"/>
  <c r="AE134" i="35"/>
  <c r="AR101" i="33"/>
  <c r="AP158" i="33"/>
  <c r="AA82" i="59"/>
  <c r="Z77" i="35"/>
  <c r="AB77" i="35"/>
  <c r="AA77" i="35"/>
  <c r="Z197" i="33"/>
  <c r="AB197" i="33" s="1"/>
  <c r="Z217" i="33"/>
  <c r="AB217" i="33" s="1"/>
  <c r="Z116" i="33"/>
  <c r="AB116" i="33" s="1"/>
  <c r="AA37" i="59"/>
  <c r="Y77" i="35"/>
  <c r="W77" i="35"/>
  <c r="AQ219" i="33"/>
  <c r="AA70" i="59"/>
  <c r="AA32" i="59"/>
  <c r="AV198" i="33"/>
  <c r="AU79" i="33"/>
  <c r="AA87" i="59"/>
  <c r="AS184" i="33"/>
  <c r="AQ79" i="33"/>
  <c r="AV126" i="33"/>
  <c r="AP110" i="33"/>
  <c r="AQ110" i="33"/>
  <c r="Z81" i="33"/>
  <c r="AB81" i="33" s="1"/>
  <c r="AA60" i="59"/>
  <c r="AV159" i="33"/>
  <c r="AT126" i="33"/>
  <c r="Z201" i="33"/>
  <c r="AB201" i="33" s="1"/>
  <c r="AT187" i="33"/>
  <c r="AS198" i="33"/>
  <c r="AT198" i="33"/>
  <c r="AS46" i="33"/>
  <c r="AA65" i="59"/>
  <c r="AU198" i="33"/>
  <c r="AQ111" i="33"/>
  <c r="Z43" i="33"/>
  <c r="AB43" i="33" s="1"/>
  <c r="AR96" i="33"/>
  <c r="AQ96" i="33"/>
  <c r="AR197" i="33"/>
  <c r="AA30" i="59"/>
  <c r="AG118" i="35"/>
  <c r="AQ83" i="33"/>
  <c r="Z72" i="33"/>
  <c r="AB72" i="33" s="1"/>
  <c r="AC118" i="35"/>
  <c r="AT69" i="33"/>
  <c r="AR178" i="33"/>
  <c r="AT222" i="33"/>
  <c r="AP222" i="33"/>
  <c r="AT83" i="33"/>
  <c r="AP83" i="33"/>
  <c r="AR35" i="33"/>
  <c r="AT44" i="33"/>
  <c r="AP44" i="33"/>
  <c r="AP90" i="33"/>
  <c r="AT196" i="33"/>
  <c r="AP196" i="33"/>
  <c r="AV215" i="33"/>
  <c r="AS87" i="33"/>
  <c r="AU117" i="33"/>
  <c r="AU141" i="33"/>
  <c r="Z157" i="33"/>
  <c r="AB157" i="33" s="1"/>
  <c r="Z71" i="33"/>
  <c r="AB71" i="33" s="1"/>
  <c r="AU177" i="33"/>
  <c r="AQ202" i="33"/>
  <c r="Z122" i="33"/>
  <c r="AB122" i="33" s="1"/>
  <c r="Z162" i="33"/>
  <c r="AB162" i="33" s="1"/>
  <c r="AR126" i="33"/>
  <c r="AP172" i="33"/>
  <c r="AQ115" i="33"/>
  <c r="AT55" i="33"/>
  <c r="Z40" i="33"/>
  <c r="AB40" i="33" s="1"/>
  <c r="Z78" i="33"/>
  <c r="AB78" i="33" s="1"/>
  <c r="W134" i="35"/>
  <c r="Z103" i="35"/>
  <c r="AF103" i="35"/>
  <c r="AA103" i="35"/>
  <c r="AF72" i="35"/>
  <c r="AR50" i="33"/>
  <c r="AP152" i="33"/>
  <c r="AG134" i="35"/>
  <c r="AP141" i="33"/>
  <c r="AA69" i="35"/>
  <c r="AG103" i="35"/>
  <c r="AB103" i="35"/>
  <c r="V103" i="35"/>
  <c r="AA106" i="59"/>
  <c r="Z145" i="33"/>
  <c r="AB145" i="33" s="1"/>
  <c r="AV120" i="33"/>
  <c r="AS178" i="33"/>
  <c r="AV222" i="33"/>
  <c r="AV147" i="33"/>
  <c r="AA95" i="59"/>
  <c r="AP70" i="33"/>
  <c r="AT49" i="33"/>
  <c r="Z133" i="33"/>
  <c r="AB133" i="33" s="1"/>
  <c r="AA98" i="59"/>
  <c r="Y81" i="35"/>
  <c r="AV22" i="33"/>
  <c r="AR22" i="33"/>
  <c r="AA46" i="59"/>
  <c r="AV194" i="33"/>
  <c r="Z18" i="33"/>
  <c r="AB18" i="33" s="1"/>
  <c r="Z121" i="33"/>
  <c r="AB121" i="33" s="1"/>
  <c r="V75" i="35"/>
  <c r="I8" i="57"/>
  <c r="AV196" i="33"/>
  <c r="AR196" i="33"/>
  <c r="AP87" i="33"/>
  <c r="AT134" i="33"/>
  <c r="AT54" i="33"/>
  <c r="AT171" i="33"/>
  <c r="AR24" i="33"/>
  <c r="AC103" i="35"/>
  <c r="AP209" i="33"/>
  <c r="AP213" i="33"/>
  <c r="AT20" i="33"/>
  <c r="AP190" i="33"/>
  <c r="AS54" i="33"/>
  <c r="AU99" i="33"/>
  <c r="AA41" i="59"/>
  <c r="AV46" i="33"/>
  <c r="AS126" i="33"/>
  <c r="Z207" i="33"/>
  <c r="AB207" i="33" s="1"/>
  <c r="AQ207" i="33"/>
  <c r="AV219" i="33"/>
  <c r="AP219" i="33"/>
  <c r="AQ187" i="33"/>
  <c r="Z152" i="33"/>
  <c r="AB152" i="33" s="1"/>
  <c r="AT99" i="33"/>
  <c r="AA94" i="59"/>
  <c r="AR155" i="33"/>
  <c r="AP155" i="33"/>
  <c r="AU155" i="33"/>
  <c r="AA55" i="59"/>
  <c r="AA25" i="59"/>
  <c r="AU126" i="33"/>
  <c r="AP56" i="33"/>
  <c r="AT46" i="33"/>
  <c r="AA16" i="59"/>
  <c r="D11" i="57"/>
  <c r="AU56" i="33"/>
  <c r="AT172" i="33"/>
  <c r="AQ172" i="33"/>
  <c r="AU115" i="33"/>
  <c r="AS115" i="33"/>
  <c r="AU172" i="33"/>
  <c r="Z17" i="33"/>
  <c r="AB17" i="33" s="1"/>
  <c r="Z41" i="33"/>
  <c r="AB41" i="33" s="1"/>
  <c r="Z8" i="33"/>
  <c r="AB8" i="33" s="1"/>
  <c r="Z48" i="33"/>
  <c r="AB48" i="33" s="1"/>
  <c r="Z124" i="33"/>
  <c r="AB124" i="33" s="1"/>
  <c r="Z149" i="33"/>
  <c r="AB149" i="33" s="1"/>
  <c r="Z214" i="33"/>
  <c r="AB214" i="33" s="1"/>
  <c r="AU171" i="33"/>
  <c r="Z77" i="33"/>
  <c r="AB77" i="33" s="1"/>
  <c r="AT217" i="33"/>
  <c r="AT62" i="33"/>
  <c r="AT68" i="33"/>
  <c r="AP68" i="33"/>
  <c r="Z215" i="33"/>
  <c r="AB215" i="33" s="1"/>
  <c r="AT215" i="33"/>
  <c r="AP215" i="33"/>
  <c r="AV177" i="33"/>
  <c r="AS202" i="33"/>
  <c r="AR159" i="33"/>
  <c r="AP99" i="33"/>
  <c r="Z99" i="33"/>
  <c r="AB99" i="33" s="1"/>
  <c r="AA17" i="59"/>
  <c r="AQ126" i="33"/>
  <c r="AA35" i="59"/>
  <c r="AA101" i="59"/>
  <c r="AU219" i="33"/>
  <c r="AS219" i="33"/>
  <c r="AS187" i="33"/>
  <c r="AU152" i="33"/>
  <c r="AA81" i="59"/>
  <c r="AA19" i="59"/>
  <c r="AA114" i="59"/>
  <c r="AT97" i="33"/>
  <c r="AV155" i="33"/>
  <c r="AU97" i="33"/>
  <c r="AR97" i="33"/>
  <c r="Z205" i="33"/>
  <c r="AB205" i="33" s="1"/>
  <c r="AS56" i="33"/>
  <c r="Z46" i="33"/>
  <c r="AB46" i="33" s="1"/>
  <c r="AQ46" i="33"/>
  <c r="AR152" i="33"/>
  <c r="AA64" i="59"/>
  <c r="I4" i="57"/>
  <c r="E5" i="57"/>
  <c r="O7" i="57"/>
  <c r="AV172" i="33"/>
  <c r="Z115" i="33"/>
  <c r="AB115" i="33" s="1"/>
  <c r="AP115" i="33"/>
  <c r="AR115" i="33"/>
  <c r="Z96" i="33"/>
  <c r="AB96" i="33" s="1"/>
  <c r="Z202" i="33"/>
  <c r="AB202" i="33" s="1"/>
  <c r="Z15" i="33"/>
  <c r="AB15" i="33" s="1"/>
  <c r="AS68" i="33"/>
  <c r="AS157" i="33"/>
  <c r="AS215" i="33"/>
  <c r="AQ177" i="33"/>
  <c r="AU202" i="33"/>
  <c r="Z138" i="33"/>
  <c r="AB138" i="33" s="1"/>
  <c r="AT219" i="33"/>
  <c r="Z219" i="33"/>
  <c r="AB219" i="33" s="1"/>
  <c r="AP187" i="33"/>
  <c r="AT207" i="33"/>
  <c r="AS97" i="33"/>
  <c r="Z155" i="33"/>
  <c r="AB155" i="33" s="1"/>
  <c r="AQ155" i="33"/>
  <c r="AV97" i="33"/>
  <c r="AA76" i="59"/>
  <c r="AP46" i="33"/>
  <c r="AP126" i="33"/>
  <c r="AU207" i="33"/>
  <c r="AS172" i="33"/>
  <c r="AT115" i="33"/>
  <c r="AV115" i="33"/>
  <c r="Z165" i="33"/>
  <c r="AB165" i="33" s="1"/>
  <c r="AT220" i="33"/>
  <c r="AU133" i="33"/>
  <c r="AQ133" i="33"/>
  <c r="AR142" i="33"/>
  <c r="AV18" i="33"/>
  <c r="AR18" i="33"/>
  <c r="AU18" i="33"/>
  <c r="AV68" i="33"/>
  <c r="AR68" i="33"/>
  <c r="AV157" i="33"/>
  <c r="AR157" i="33"/>
  <c r="AV105" i="33"/>
  <c r="AQ105" i="33"/>
  <c r="AU105" i="33"/>
  <c r="AR105" i="33"/>
  <c r="AT105" i="33"/>
  <c r="AP105" i="33"/>
  <c r="AS105" i="33"/>
  <c r="AB104" i="35"/>
  <c r="Z13" i="33"/>
  <c r="AB13" i="33" s="1"/>
  <c r="AS93" i="33"/>
  <c r="AS151" i="33"/>
  <c r="Y132" i="35"/>
  <c r="AR174" i="33"/>
  <c r="AQ174" i="33"/>
  <c r="AU174" i="33"/>
  <c r="AS69" i="33"/>
  <c r="AV176" i="33"/>
  <c r="AV141" i="33"/>
  <c r="AR141" i="33"/>
  <c r="AT208" i="33"/>
  <c r="AB72" i="35"/>
  <c r="AV59" i="33"/>
  <c r="AR190" i="33"/>
  <c r="AS117" i="33"/>
  <c r="AD81" i="35"/>
  <c r="W81" i="35"/>
  <c r="W75" i="35"/>
  <c r="AU48" i="33"/>
  <c r="AP130" i="33"/>
  <c r="Z60" i="33"/>
  <c r="AB60" i="33" s="1"/>
  <c r="AA99" i="59"/>
  <c r="AP147" i="33"/>
  <c r="AS23" i="33"/>
  <c r="AR83" i="33"/>
  <c r="V72" i="35"/>
  <c r="AS50" i="33"/>
  <c r="Z81" i="35"/>
  <c r="AA81" i="35"/>
  <c r="AM17" i="33"/>
  <c r="AN17" i="33" s="1"/>
  <c r="AT189" i="33"/>
  <c r="AP189" i="33"/>
  <c r="Z189" i="33"/>
  <c r="AB189" i="33" s="1"/>
  <c r="AU51" i="33"/>
  <c r="AT96" i="33"/>
  <c r="AT197" i="33"/>
  <c r="AV117" i="33"/>
  <c r="AR117" i="33"/>
  <c r="AG75" i="35"/>
  <c r="AP67" i="33"/>
  <c r="AU76" i="33"/>
  <c r="AQ76" i="33"/>
  <c r="Z73" i="33"/>
  <c r="AB73" i="33" s="1"/>
  <c r="AR14" i="33"/>
  <c r="AT177" i="33"/>
  <c r="AT202" i="33"/>
  <c r="AQ103" i="33"/>
  <c r="AP103" i="33"/>
  <c r="AR161" i="33"/>
  <c r="Y118" i="35"/>
  <c r="AV165" i="33"/>
  <c r="AQ24" i="33"/>
  <c r="AR78" i="33"/>
  <c r="AT147" i="33"/>
  <c r="AT141" i="33"/>
  <c r="AS222" i="33"/>
  <c r="AC72" i="35"/>
  <c r="AB81" i="35"/>
  <c r="AV100" i="33"/>
  <c r="AV42" i="33"/>
  <c r="AR42" i="33"/>
  <c r="Z68" i="33"/>
  <c r="AB68" i="33" s="1"/>
  <c r="AR224" i="33"/>
  <c r="AB9" i="33"/>
  <c r="AD75" i="35"/>
  <c r="AT76" i="33"/>
  <c r="AP76" i="33"/>
  <c r="AV71" i="33"/>
  <c r="AR71" i="33"/>
  <c r="AR177" i="33"/>
  <c r="AV109" i="33"/>
  <c r="AR109" i="33"/>
  <c r="AT109" i="33"/>
  <c r="AP109" i="33"/>
  <c r="AU109" i="33"/>
  <c r="AQ109" i="33"/>
  <c r="AU66" i="33"/>
  <c r="AF118" i="35"/>
  <c r="AB118" i="35"/>
  <c r="W118" i="35"/>
  <c r="AV171" i="33"/>
  <c r="AQ55" i="33"/>
  <c r="AT165" i="33"/>
  <c r="AP165" i="33"/>
  <c r="Z164" i="33"/>
  <c r="AB164" i="33" s="1"/>
  <c r="AM116" i="33"/>
  <c r="AN116" i="33" s="1"/>
  <c r="AP171" i="33"/>
  <c r="AV204" i="33"/>
  <c r="AM57" i="33"/>
  <c r="AN57" i="33" s="1"/>
  <c r="AB69" i="35"/>
  <c r="AS213" i="33"/>
  <c r="AA115" i="59"/>
  <c r="Z27" i="33"/>
  <c r="AB27" i="33" s="1"/>
  <c r="AP143" i="33"/>
  <c r="AP133" i="33"/>
  <c r="AP22" i="33"/>
  <c r="AV17" i="33"/>
  <c r="AR169" i="33"/>
  <c r="AV224" i="33"/>
  <c r="AQ87" i="33"/>
  <c r="AT67" i="33"/>
  <c r="AR103" i="33"/>
  <c r="AT161" i="33"/>
  <c r="AU131" i="33"/>
  <c r="AE118" i="35"/>
  <c r="AA118" i="35"/>
  <c r="V118" i="35"/>
  <c r="O3" i="57"/>
  <c r="AA31" i="59"/>
  <c r="AF69" i="35"/>
  <c r="AT213" i="33"/>
  <c r="AP49" i="33"/>
  <c r="AS61" i="33"/>
  <c r="AR214" i="33"/>
  <c r="AU120" i="33"/>
  <c r="AQ206" i="33"/>
  <c r="AQ186" i="33"/>
  <c r="AP125" i="33"/>
  <c r="AT73" i="33"/>
  <c r="AS86" i="33"/>
  <c r="AV140" i="33"/>
  <c r="AV103" i="33"/>
  <c r="AV161" i="33"/>
  <c r="AU132" i="33"/>
  <c r="AP63" i="33"/>
  <c r="AM103" i="33"/>
  <c r="AN103" i="33" s="1"/>
  <c r="Z125" i="33"/>
  <c r="AB125" i="33" s="1"/>
  <c r="AS161" i="33"/>
  <c r="AT159" i="33"/>
  <c r="AP159" i="33"/>
  <c r="Z153" i="33"/>
  <c r="AB153" i="33" s="1"/>
  <c r="AS131" i="33"/>
  <c r="AD118" i="35"/>
  <c r="AG104" i="35"/>
  <c r="AR13" i="33"/>
  <c r="AU13" i="33"/>
  <c r="AP174" i="33"/>
  <c r="V69" i="35"/>
  <c r="AV70" i="33"/>
  <c r="AG72" i="35"/>
  <c r="AA72" i="35"/>
  <c r="AV133" i="33"/>
  <c r="AM101" i="33"/>
  <c r="AN101" i="33" s="1"/>
  <c r="AC81" i="35"/>
  <c r="V81" i="35"/>
  <c r="AR189" i="33"/>
  <c r="AV96" i="33"/>
  <c r="AT190" i="33"/>
  <c r="AP191" i="33"/>
  <c r="AT193" i="33"/>
  <c r="AS62" i="33"/>
  <c r="AR9" i="33"/>
  <c r="AQ122" i="33"/>
  <c r="AB75" i="35"/>
  <c r="AV3" i="33"/>
  <c r="AS3" i="33"/>
  <c r="AR86" i="33"/>
  <c r="AB44" i="33"/>
  <c r="AP48" i="33"/>
  <c r="AP54" i="33"/>
  <c r="AQ132" i="33"/>
  <c r="AR140" i="33"/>
  <c r="AP131" i="33"/>
  <c r="Z147" i="33"/>
  <c r="AB147" i="33" s="1"/>
  <c r="Z150" i="33"/>
  <c r="AB150" i="33" s="1"/>
  <c r="AS150" i="33"/>
  <c r="AP150" i="33"/>
  <c r="AQ150" i="33"/>
  <c r="AA92" i="59"/>
  <c r="Z146" i="33"/>
  <c r="AB146" i="33" s="1"/>
  <c r="AS146" i="33"/>
  <c r="AA91" i="59"/>
  <c r="AA90" i="59"/>
  <c r="Z136" i="33"/>
  <c r="AB136" i="33" s="1"/>
  <c r="AU104" i="33"/>
  <c r="AQ35" i="33"/>
  <c r="AA117" i="59"/>
  <c r="Z200" i="33"/>
  <c r="AB200" i="33" s="1"/>
  <c r="AR92" i="33"/>
  <c r="AV92" i="33"/>
  <c r="Z92" i="33"/>
  <c r="AB92" i="33" s="1"/>
  <c r="AA39" i="59"/>
  <c r="AT150" i="33"/>
  <c r="AV150" i="33"/>
  <c r="AA44" i="59"/>
  <c r="J5" i="57"/>
  <c r="D4" i="57"/>
  <c r="Z100" i="33"/>
  <c r="AB100" i="33" s="1"/>
  <c r="Z91" i="33"/>
  <c r="AB91" i="33" s="1"/>
  <c r="AU91" i="33"/>
  <c r="AR91" i="33"/>
  <c r="AS91" i="33"/>
  <c r="Z210" i="33"/>
  <c r="AB210" i="33" s="1"/>
  <c r="AQ210" i="33"/>
  <c r="AR210" i="33"/>
  <c r="AU210" i="33"/>
  <c r="AT210" i="33"/>
  <c r="AA43" i="59"/>
  <c r="AS210" i="33"/>
  <c r="AP210" i="33"/>
  <c r="AQ36" i="33"/>
  <c r="AT36" i="33"/>
  <c r="Z30" i="33"/>
  <c r="AB30" i="33" s="1"/>
  <c r="AU36" i="33"/>
  <c r="Z51" i="33"/>
  <c r="AB51" i="33" s="1"/>
  <c r="AU52" i="33"/>
  <c r="Z52" i="33"/>
  <c r="AB52" i="33" s="1"/>
  <c r="AS52" i="33"/>
  <c r="AV52" i="33"/>
  <c r="AQ52" i="33"/>
  <c r="AP52" i="33"/>
  <c r="O6" i="57"/>
  <c r="AS137" i="33"/>
  <c r="AU6" i="33"/>
  <c r="E6" i="57"/>
  <c r="E11" i="57"/>
  <c r="D6" i="57"/>
  <c r="D5" i="57"/>
  <c r="E10" i="57"/>
  <c r="J9" i="57"/>
  <c r="J6" i="57"/>
  <c r="I9" i="57"/>
  <c r="I5" i="57"/>
  <c r="O5" i="57"/>
  <c r="E7" i="57"/>
  <c r="D8" i="57"/>
  <c r="D7" i="57"/>
  <c r="E13" i="57"/>
  <c r="D12" i="57"/>
  <c r="J7" i="57"/>
  <c r="J4" i="57"/>
  <c r="I6" i="57"/>
  <c r="I3" i="57"/>
  <c r="AA24" i="59"/>
  <c r="O8" i="57"/>
  <c r="P8" i="57" s="1"/>
  <c r="E8" i="57"/>
  <c r="E4" i="57"/>
  <c r="D9" i="57"/>
  <c r="D13" i="57"/>
  <c r="E9" i="57"/>
  <c r="D3" i="57"/>
  <c r="J8" i="57"/>
  <c r="J3" i="57"/>
  <c r="I7" i="57"/>
  <c r="J11" i="57"/>
  <c r="Z148" i="33"/>
  <c r="AB148" i="33" s="1"/>
  <c r="AA40" i="59"/>
  <c r="Z172" i="33"/>
  <c r="AB172" i="33" s="1"/>
  <c r="Z173" i="33"/>
  <c r="AB173" i="33" s="1"/>
  <c r="AU170" i="33"/>
  <c r="AA21" i="59"/>
  <c r="AQ84" i="33"/>
  <c r="AA89" i="59"/>
  <c r="AU84" i="33"/>
  <c r="Z84" i="33"/>
  <c r="AB84" i="33" s="1"/>
  <c r="AV181" i="33"/>
  <c r="AA77" i="59"/>
  <c r="AQ104" i="33"/>
  <c r="Z104" i="33"/>
  <c r="AB104" i="33" s="1"/>
  <c r="AS104" i="33"/>
  <c r="AU100" i="33"/>
  <c r="AV35" i="33"/>
  <c r="Z35" i="33"/>
  <c r="AB35" i="33" s="1"/>
  <c r="AA57" i="59"/>
  <c r="AR34" i="33"/>
  <c r="AV34" i="33"/>
  <c r="Z34" i="33"/>
  <c r="AB34" i="33" s="1"/>
  <c r="AQ92" i="33"/>
  <c r="AA108" i="59"/>
  <c r="AA48" i="59"/>
  <c r="Z10" i="33"/>
  <c r="AB10" i="33" s="1"/>
  <c r="AU150" i="33"/>
  <c r="AA47" i="59"/>
  <c r="I11" i="57"/>
  <c r="E3" i="57"/>
  <c r="D10" i="57"/>
  <c r="Z37" i="33"/>
  <c r="AB37" i="33" s="1"/>
  <c r="AA10" i="59"/>
  <c r="AV203" i="33"/>
  <c r="Z203" i="33"/>
  <c r="AB203" i="33" s="1"/>
  <c r="AA80" i="59"/>
  <c r="Z220" i="33"/>
  <c r="AB220" i="33" s="1"/>
  <c r="AA63" i="59"/>
  <c r="AV129" i="33"/>
  <c r="Z129" i="33"/>
  <c r="AB129" i="33" s="1"/>
  <c r="AA105" i="59"/>
  <c r="AQ223" i="33"/>
  <c r="AP223" i="33"/>
  <c r="AA4" i="59"/>
  <c r="AA50" i="59"/>
  <c r="Z182" i="33"/>
  <c r="AB182" i="33" s="1"/>
  <c r="Z83" i="33"/>
  <c r="AB83" i="33" s="1"/>
  <c r="AA104" i="59"/>
  <c r="AQ138" i="33"/>
  <c r="AR112" i="33"/>
  <c r="AU112" i="33"/>
  <c r="AP112" i="33"/>
  <c r="Z112" i="33"/>
  <c r="AB112" i="33" s="1"/>
  <c r="AS112" i="33"/>
  <c r="AQ112" i="33"/>
  <c r="AA85" i="59"/>
  <c r="AU111" i="33"/>
  <c r="AR111" i="33"/>
  <c r="Z111" i="33"/>
  <c r="AB111" i="33" s="1"/>
  <c r="AT111" i="33"/>
  <c r="AS111" i="33"/>
  <c r="AQ192" i="33"/>
  <c r="AA68" i="59"/>
  <c r="Z187" i="33"/>
  <c r="AB187" i="33" s="1"/>
  <c r="AP47" i="33"/>
  <c r="AA33" i="59"/>
  <c r="AU21" i="33"/>
  <c r="AA71" i="59"/>
  <c r="AP134" i="33"/>
  <c r="Z130" i="33"/>
  <c r="AB130" i="33" s="1"/>
  <c r="Z134" i="33"/>
  <c r="AB134" i="33" s="1"/>
  <c r="AP25" i="33"/>
  <c r="AA5" i="59"/>
  <c r="AS66" i="33"/>
  <c r="AS174" i="33"/>
  <c r="AP173" i="33"/>
  <c r="AT102" i="33"/>
  <c r="AP102" i="33"/>
  <c r="AS181" i="33"/>
  <c r="AS49" i="33"/>
  <c r="AT100" i="33"/>
  <c r="AP100" i="33"/>
  <c r="AT35" i="33"/>
  <c r="AP35" i="33"/>
  <c r="AT34" i="33"/>
  <c r="AP34" i="33"/>
  <c r="AP183" i="33"/>
  <c r="AP6" i="33"/>
  <c r="AT92" i="33"/>
  <c r="AP92" i="33"/>
  <c r="AT65" i="33"/>
  <c r="AT25" i="33"/>
  <c r="AT223" i="33"/>
  <c r="AT94" i="33"/>
  <c r="AR151" i="33"/>
  <c r="AP24" i="33"/>
  <c r="AT24" i="33"/>
  <c r="AV66" i="33"/>
  <c r="AR66" i="33"/>
  <c r="AT174" i="33"/>
  <c r="AV213" i="33"/>
  <c r="AR213" i="33"/>
  <c r="AQ49" i="33"/>
  <c r="AS133" i="33"/>
  <c r="AT50" i="33"/>
  <c r="AR20" i="33"/>
  <c r="AP221" i="33"/>
  <c r="AU22" i="33"/>
  <c r="AU68" i="33"/>
  <c r="AS25" i="33"/>
  <c r="AT26" i="33"/>
  <c r="AS164" i="33"/>
  <c r="AT132" i="33"/>
  <c r="AP132" i="33"/>
  <c r="AP202" i="33"/>
  <c r="AT131" i="33"/>
  <c r="Z127" i="33"/>
  <c r="AB127" i="33" s="1"/>
  <c r="Z31" i="33"/>
  <c r="AB31" i="33" s="1"/>
  <c r="AU45" i="33"/>
  <c r="AQ45" i="33"/>
  <c r="AV104" i="33"/>
  <c r="AS194" i="33"/>
  <c r="AS67" i="33"/>
  <c r="AP71" i="33"/>
  <c r="AT140" i="33"/>
  <c r="AP140" i="33"/>
  <c r="AU223" i="33"/>
  <c r="AR207" i="33"/>
  <c r="AR204" i="33"/>
  <c r="AA104" i="35"/>
  <c r="Z33" i="33"/>
  <c r="AB33" i="33" s="1"/>
  <c r="AV55" i="33"/>
  <c r="AR55" i="33"/>
  <c r="AS55" i="33"/>
  <c r="AV45" i="33"/>
  <c r="AS165" i="33"/>
  <c r="AP151" i="33"/>
  <c r="AT60" i="33"/>
  <c r="AM60" i="33"/>
  <c r="AN60" i="33" s="1"/>
  <c r="AU60" i="33"/>
  <c r="AS171" i="33"/>
  <c r="AT204" i="33"/>
  <c r="AP204" i="33"/>
  <c r="Z212" i="33"/>
  <c r="AB212" i="33" s="1"/>
  <c r="W132" i="35"/>
  <c r="V132" i="35"/>
  <c r="AD132" i="35"/>
  <c r="V134" i="35"/>
  <c r="AC134" i="35"/>
  <c r="AB134" i="35"/>
  <c r="AP186" i="33"/>
  <c r="Z171" i="33"/>
  <c r="AB171" i="33" s="1"/>
  <c r="AU55" i="33"/>
  <c r="AR75" i="33"/>
  <c r="AC132" i="35"/>
  <c r="AV47" i="33"/>
  <c r="AV216" i="33"/>
  <c r="Z69" i="35"/>
  <c r="Y69" i="35"/>
  <c r="W69" i="35"/>
  <c r="AG69" i="35"/>
  <c r="AE69" i="35"/>
  <c r="AD69" i="35"/>
  <c r="AV53" i="33"/>
  <c r="AB133" i="35"/>
  <c r="AG133" i="35"/>
  <c r="AM214" i="33"/>
  <c r="AN214" i="33" s="1"/>
  <c r="AP69" i="33"/>
  <c r="AU164" i="33"/>
  <c r="Z188" i="33"/>
  <c r="AB188" i="33" s="1"/>
  <c r="AM14" i="33"/>
  <c r="AN14" i="33" s="1"/>
  <c r="AU127" i="33"/>
  <c r="AS81" i="33"/>
  <c r="AV37" i="33"/>
  <c r="AR69" i="33"/>
  <c r="AV69" i="33"/>
  <c r="AV170" i="33"/>
  <c r="AR170" i="33"/>
  <c r="AP170" i="33"/>
  <c r="Z176" i="33"/>
  <c r="AB176" i="33" s="1"/>
  <c r="AR175" i="33"/>
  <c r="AV27" i="33"/>
  <c r="AT27" i="33"/>
  <c r="Z38" i="33"/>
  <c r="AB38" i="33" s="1"/>
  <c r="Y72" i="35"/>
  <c r="W72" i="35"/>
  <c r="AP59" i="33"/>
  <c r="AT203" i="33"/>
  <c r="AR100" i="33"/>
  <c r="AS224" i="33"/>
  <c r="AS100" i="33"/>
  <c r="AT169" i="33"/>
  <c r="AP169" i="33"/>
  <c r="Z168" i="33"/>
  <c r="AB168" i="33" s="1"/>
  <c r="AU180" i="33"/>
  <c r="AT42" i="33"/>
  <c r="AT224" i="33"/>
  <c r="Z223" i="33"/>
  <c r="AB223" i="33" s="1"/>
  <c r="AP85" i="33"/>
  <c r="AS44" i="33"/>
  <c r="AT89" i="33"/>
  <c r="AP89" i="33"/>
  <c r="AR90" i="33"/>
  <c r="AS76" i="33"/>
  <c r="AU103" i="33"/>
  <c r="AT127" i="33"/>
  <c r="AV24" i="33"/>
  <c r="AU31" i="33"/>
  <c r="AV39" i="33"/>
  <c r="AS212" i="33"/>
  <c r="AP37" i="33"/>
  <c r="AV186" i="33"/>
  <c r="Z72" i="35"/>
  <c r="AD72" i="35"/>
  <c r="AT104" i="33"/>
  <c r="AS221" i="33"/>
  <c r="AV191" i="33"/>
  <c r="AT18" i="33"/>
  <c r="AS42" i="33"/>
  <c r="AR121" i="33"/>
  <c r="AT125" i="33"/>
  <c r="AR129" i="33"/>
  <c r="AM73" i="33"/>
  <c r="AN73" i="33" s="1"/>
  <c r="AS73" i="33"/>
  <c r="AS85" i="33"/>
  <c r="AT86" i="33"/>
  <c r="AP86" i="33"/>
  <c r="AT6" i="33"/>
  <c r="AV44" i="33"/>
  <c r="AR44" i="33"/>
  <c r="AM43" i="33"/>
  <c r="AN43" i="33" s="1"/>
  <c r="AS89" i="33"/>
  <c r="AS223" i="33"/>
  <c r="AV132" i="33"/>
  <c r="AR132" i="33"/>
  <c r="AV223" i="33"/>
  <c r="AP5" i="33"/>
  <c r="AV63" i="33"/>
  <c r="AR63" i="33"/>
  <c r="AM182" i="33"/>
  <c r="AN182" i="33" s="1"/>
  <c r="AV209" i="33"/>
  <c r="AR70" i="33"/>
  <c r="AT70" i="33"/>
  <c r="Z142" i="33"/>
  <c r="AB142" i="33" s="1"/>
  <c r="AT191" i="33"/>
  <c r="AP121" i="33"/>
  <c r="AP129" i="33"/>
  <c r="AR3" i="33"/>
  <c r="AU44" i="33"/>
  <c r="AQ44" i="33"/>
  <c r="AR134" i="33"/>
  <c r="AV134" i="33"/>
  <c r="AV164" i="33"/>
  <c r="AM166" i="33"/>
  <c r="AN166" i="33" s="1"/>
  <c r="AP127" i="33"/>
  <c r="AV205" i="33"/>
  <c r="AT205" i="33"/>
  <c r="AQ205" i="33"/>
  <c r="AP205" i="33"/>
  <c r="AV40" i="33"/>
  <c r="AT40" i="33"/>
  <c r="AQ40" i="33"/>
  <c r="AU40" i="33"/>
  <c r="AS40" i="33"/>
  <c r="AP40" i="33"/>
  <c r="AR40" i="33"/>
  <c r="AU156" i="33"/>
  <c r="AQ156" i="33"/>
  <c r="AR156" i="33"/>
  <c r="AS156" i="33"/>
  <c r="AT156" i="33"/>
  <c r="AP156" i="33"/>
  <c r="AV156" i="33"/>
  <c r="AQ152" i="33"/>
  <c r="AT152" i="33"/>
  <c r="AS152" i="33"/>
  <c r="AV152" i="33"/>
  <c r="AV116" i="33"/>
  <c r="AP116" i="33"/>
  <c r="AT57" i="33"/>
  <c r="AS57" i="33"/>
  <c r="AQ145" i="33"/>
  <c r="AM58" i="33"/>
  <c r="AN58" i="33" s="1"/>
  <c r="AS59" i="33"/>
  <c r="AM59" i="33"/>
  <c r="AN59" i="33" s="1"/>
  <c r="AM62" i="33"/>
  <c r="AN62" i="33" s="1"/>
  <c r="AR45" i="33"/>
  <c r="AR57" i="33"/>
  <c r="AQ33" i="33"/>
  <c r="AV61" i="33"/>
  <c r="AQ170" i="33"/>
  <c r="Z196" i="33"/>
  <c r="AB196" i="33" s="1"/>
  <c r="AR181" i="33"/>
  <c r="AQ181" i="33"/>
  <c r="AM49" i="33"/>
  <c r="AN49" i="33" s="1"/>
  <c r="Z59" i="33"/>
  <c r="AB59" i="33" s="1"/>
  <c r="AP57" i="33"/>
  <c r="AT75" i="33"/>
  <c r="Z75" i="33"/>
  <c r="AB75" i="33" s="1"/>
  <c r="AT170" i="33"/>
  <c r="AP214" i="33"/>
  <c r="AV23" i="33"/>
  <c r="AR23" i="33"/>
  <c r="AC78" i="35"/>
  <c r="AA78" i="35"/>
  <c r="Z208" i="33"/>
  <c r="AB208" i="33" s="1"/>
  <c r="AR208" i="33"/>
  <c r="AP206" i="33"/>
  <c r="AM206" i="33"/>
  <c r="AN206" i="33" s="1"/>
  <c r="AM137" i="33"/>
  <c r="AN137" i="33" s="1"/>
  <c r="AT8" i="33"/>
  <c r="AV8" i="33"/>
  <c r="AR8" i="33"/>
  <c r="AP8" i="33"/>
  <c r="AM139" i="33"/>
  <c r="AN139" i="33" s="1"/>
  <c r="AS158" i="33"/>
  <c r="Z158" i="33"/>
  <c r="AB158" i="33" s="1"/>
  <c r="AA79" i="35"/>
  <c r="Y79" i="35"/>
  <c r="W79" i="35"/>
  <c r="AC79" i="35"/>
  <c r="AB79" i="35"/>
  <c r="AG79" i="35"/>
  <c r="AM104" i="33"/>
  <c r="AN104" i="33" s="1"/>
  <c r="AP104" i="33"/>
  <c r="AQ221" i="33"/>
  <c r="AM221" i="33"/>
  <c r="AN221" i="33" s="1"/>
  <c r="Z57" i="33"/>
  <c r="AB57" i="33" s="1"/>
  <c r="AV13" i="33"/>
  <c r="Z55" i="33"/>
  <c r="AB55" i="33" s="1"/>
  <c r="AM151" i="33"/>
  <c r="AN151" i="33" s="1"/>
  <c r="AP60" i="33"/>
  <c r="Z61" i="33"/>
  <c r="AB61" i="33" s="1"/>
  <c r="AR173" i="33"/>
  <c r="AQ102" i="33"/>
  <c r="AU102" i="33"/>
  <c r="AR102" i="33"/>
  <c r="AS102" i="33"/>
  <c r="AM120" i="33"/>
  <c r="AN120" i="33" s="1"/>
  <c r="AR120" i="33"/>
  <c r="V79" i="35"/>
  <c r="AM218" i="33"/>
  <c r="AN218" i="33" s="1"/>
  <c r="AP50" i="33"/>
  <c r="AM50" i="33"/>
  <c r="AN50" i="33" s="1"/>
  <c r="AR192" i="33"/>
  <c r="AM185" i="33"/>
  <c r="AN185" i="33" s="1"/>
  <c r="AT10" i="33"/>
  <c r="AM146" i="33"/>
  <c r="AN146" i="33" s="1"/>
  <c r="AT158" i="33"/>
  <c r="Z140" i="33"/>
  <c r="AB140" i="33" s="1"/>
  <c r="AM21" i="33"/>
  <c r="AN21" i="33" s="1"/>
  <c r="AM180" i="33"/>
  <c r="AN180" i="33" s="1"/>
  <c r="W76" i="35"/>
  <c r="AA76" i="35"/>
  <c r="AS35" i="33"/>
  <c r="AM35" i="33"/>
  <c r="AN35" i="33" s="1"/>
  <c r="AQ196" i="33"/>
  <c r="AR171" i="33"/>
  <c r="AU78" i="33"/>
  <c r="AT78" i="33"/>
  <c r="AM175" i="33"/>
  <c r="AN175" i="33" s="1"/>
  <c r="AV102" i="33"/>
  <c r="AT120" i="33"/>
  <c r="AP120" i="33"/>
  <c r="Z120" i="33"/>
  <c r="AB120" i="33" s="1"/>
  <c r="AM15" i="33"/>
  <c r="AN15" i="33" s="1"/>
  <c r="AT22" i="33"/>
  <c r="AD73" i="35"/>
  <c r="Y80" i="35"/>
  <c r="AG80" i="35"/>
  <c r="AM203" i="33"/>
  <c r="AN203" i="33" s="1"/>
  <c r="AS203" i="33"/>
  <c r="AM217" i="33"/>
  <c r="AN217" i="33" s="1"/>
  <c r="AP62" i="33"/>
  <c r="AT93" i="33"/>
  <c r="AT192" i="33"/>
  <c r="AM75" i="33"/>
  <c r="AN75" i="33" s="1"/>
  <c r="Z133" i="35"/>
  <c r="AG132" i="35"/>
  <c r="AA132" i="35"/>
  <c r="Y134" i="35"/>
  <c r="AD134" i="35"/>
  <c r="AT66" i="33"/>
  <c r="AR148" i="33"/>
  <c r="AM148" i="33"/>
  <c r="AN148" i="33" s="1"/>
  <c r="AM174" i="33"/>
  <c r="AN174" i="33" s="1"/>
  <c r="AS173" i="33"/>
  <c r="AM173" i="33"/>
  <c r="AN173" i="33" s="1"/>
  <c r="AM69" i="33"/>
  <c r="AN69" i="33" s="1"/>
  <c r="AU69" i="33"/>
  <c r="AM145" i="33"/>
  <c r="AN145" i="33" s="1"/>
  <c r="AS170" i="33"/>
  <c r="Z170" i="33"/>
  <c r="AB170" i="33" s="1"/>
  <c r="AM70" i="33"/>
  <c r="AN70" i="33" s="1"/>
  <c r="AT181" i="33"/>
  <c r="AM186" i="33"/>
  <c r="AN186" i="33" s="1"/>
  <c r="Z12" i="33"/>
  <c r="AB12" i="33" s="1"/>
  <c r="AV49" i="33"/>
  <c r="AR49" i="33"/>
  <c r="AM20" i="33"/>
  <c r="AN20" i="33" s="1"/>
  <c r="AV158" i="33"/>
  <c r="AR158" i="33"/>
  <c r="AV221" i="33"/>
  <c r="AR221" i="33"/>
  <c r="AT221" i="33"/>
  <c r="AB73" i="35"/>
  <c r="AV51" i="33"/>
  <c r="AT7" i="33"/>
  <c r="AT16" i="33"/>
  <c r="AM16" i="33"/>
  <c r="AN16" i="33" s="1"/>
  <c r="AQ153" i="33"/>
  <c r="Z7" i="33"/>
  <c r="AB7" i="33" s="1"/>
  <c r="AP73" i="33"/>
  <c r="AV6" i="33"/>
  <c r="AV90" i="33"/>
  <c r="AT90" i="33"/>
  <c r="AM87" i="33"/>
  <c r="AN87" i="33" s="1"/>
  <c r="AS5" i="33"/>
  <c r="AM5" i="33"/>
  <c r="AN5" i="33" s="1"/>
  <c r="AP182" i="33"/>
  <c r="AM95" i="33"/>
  <c r="AN95" i="33" s="1"/>
  <c r="AT59" i="33"/>
  <c r="AU17" i="33"/>
  <c r="AV189" i="33"/>
  <c r="AP123" i="33"/>
  <c r="AV62" i="33"/>
  <c r="AR62" i="33"/>
  <c r="AM199" i="33"/>
  <c r="AN199" i="33" s="1"/>
  <c r="AM154" i="33"/>
  <c r="AN154" i="33" s="1"/>
  <c r="AT121" i="33"/>
  <c r="AQ73" i="33"/>
  <c r="AS125" i="33"/>
  <c r="AT129" i="33"/>
  <c r="AR122" i="33"/>
  <c r="AC75" i="35"/>
  <c r="Z5" i="33"/>
  <c r="AB5" i="33" s="1"/>
  <c r="AU85" i="33"/>
  <c r="AV86" i="33"/>
  <c r="AS6" i="33"/>
  <c r="Z90" i="33"/>
  <c r="AB90" i="33" s="1"/>
  <c r="AR87" i="33"/>
  <c r="AV89" i="33"/>
  <c r="AT157" i="33"/>
  <c r="AP157" i="33"/>
  <c r="AS196" i="33"/>
  <c r="AR5" i="33"/>
  <c r="AS127" i="33"/>
  <c r="AQ127" i="33"/>
  <c r="AV153" i="33"/>
  <c r="AU140" i="33"/>
  <c r="AS177" i="33"/>
  <c r="AR202" i="33"/>
  <c r="AS103" i="33"/>
  <c r="AP106" i="33"/>
  <c r="AV127" i="33"/>
  <c r="AV217" i="33"/>
  <c r="AS193" i="33"/>
  <c r="AQ62" i="33"/>
  <c r="AV154" i="33"/>
  <c r="AP18" i="33"/>
  <c r="AS18" i="33"/>
  <c r="AV183" i="33"/>
  <c r="AP9" i="33"/>
  <c r="AV125" i="33"/>
  <c r="AU125" i="33"/>
  <c r="AV73" i="33"/>
  <c r="AR73" i="33"/>
  <c r="AU73" i="33"/>
  <c r="AU3" i="33"/>
  <c r="AR6" i="33"/>
  <c r="AS134" i="33"/>
  <c r="AM149" i="33"/>
  <c r="AN149" i="33" s="1"/>
  <c r="AV54" i="33"/>
  <c r="AV67" i="33"/>
  <c r="AV25" i="33"/>
  <c r="AM63" i="33"/>
  <c r="AN63" i="33" s="1"/>
  <c r="C9" i="57"/>
  <c r="AT195" i="33"/>
  <c r="AV160" i="33"/>
  <c r="AT160" i="33"/>
  <c r="AP160" i="33"/>
  <c r="AR160" i="33"/>
  <c r="AQ160" i="33"/>
  <c r="AS160" i="33"/>
  <c r="AU160" i="33"/>
  <c r="AQ99" i="33"/>
  <c r="C7" i="57"/>
  <c r="AV99" i="33"/>
  <c r="AS99" i="33"/>
  <c r="AR29" i="33"/>
  <c r="AU29" i="33"/>
  <c r="AQ29" i="33"/>
  <c r="AP29" i="33"/>
  <c r="AT29" i="33"/>
  <c r="AS29" i="33"/>
  <c r="AV29" i="33"/>
  <c r="AS179" i="33"/>
  <c r="C4" i="57"/>
  <c r="AP135" i="33"/>
  <c r="C5" i="57"/>
  <c r="AV91" i="33"/>
  <c r="AQ91" i="33"/>
  <c r="AT91" i="33"/>
  <c r="C6" i="57"/>
  <c r="AQ56" i="33"/>
  <c r="AV56" i="33"/>
  <c r="AT56" i="33"/>
  <c r="C3" i="57"/>
  <c r="AV201" i="33"/>
  <c r="AP144" i="33"/>
  <c r="AV144" i="33"/>
  <c r="C13" i="57"/>
  <c r="AS144" i="33"/>
  <c r="AT144" i="33"/>
  <c r="AU28" i="33"/>
  <c r="AQ28" i="33"/>
  <c r="C10" i="57"/>
  <c r="AP28" i="33"/>
  <c r="AT28" i="33"/>
  <c r="AV28" i="33"/>
  <c r="AS28" i="33"/>
  <c r="AR28" i="33"/>
  <c r="C11" i="57"/>
  <c r="AR150" i="33"/>
  <c r="AS98" i="33"/>
  <c r="AU98" i="33"/>
  <c r="AR98" i="33"/>
  <c r="AQ98" i="33"/>
  <c r="AV98" i="33"/>
  <c r="AT98" i="33"/>
  <c r="AP98" i="33"/>
  <c r="AU187" i="33"/>
  <c r="C8" i="57"/>
  <c r="H11" i="57"/>
  <c r="C12" i="57"/>
  <c r="AT11" i="33"/>
  <c r="AV167" i="33"/>
  <c r="Z167" i="33"/>
  <c r="AB167" i="33" s="1"/>
  <c r="AP10" i="33"/>
  <c r="AM10" i="33"/>
  <c r="AN10" i="33" s="1"/>
  <c r="Z6" i="33"/>
  <c r="AB6" i="33" s="1"/>
  <c r="AQ10" i="33"/>
  <c r="AS10" i="33"/>
  <c r="AV10" i="33"/>
  <c r="AR10" i="33"/>
  <c r="AM222" i="33"/>
  <c r="AN222" i="33" s="1"/>
  <c r="AR222" i="33"/>
  <c r="AM23" i="33"/>
  <c r="AN23" i="33" s="1"/>
  <c r="AP23" i="33"/>
  <c r="AM220" i="33"/>
  <c r="AN220" i="33" s="1"/>
  <c r="AU220" i="33"/>
  <c r="AQ220" i="33"/>
  <c r="AV220" i="33"/>
  <c r="AR133" i="33"/>
  <c r="AM133" i="33"/>
  <c r="AN133" i="33" s="1"/>
  <c r="AV33" i="33"/>
  <c r="AM171" i="33"/>
  <c r="AN171" i="33" s="1"/>
  <c r="Z104" i="35"/>
  <c r="AT167" i="33"/>
  <c r="AS45" i="33"/>
  <c r="AQ37" i="33"/>
  <c r="AM37" i="33"/>
  <c r="AN37" i="33" s="1"/>
  <c r="AP148" i="33"/>
  <c r="AQ69" i="33"/>
  <c r="AM170" i="33"/>
  <c r="AN170" i="33" s="1"/>
  <c r="AS70" i="33"/>
  <c r="AM27" i="33"/>
  <c r="AN27" i="33" s="1"/>
  <c r="AP27" i="33"/>
  <c r="AR27" i="33"/>
  <c r="AQ27" i="33"/>
  <c r="AU27" i="33"/>
  <c r="AS27" i="33"/>
  <c r="AM38" i="33"/>
  <c r="AN38" i="33" s="1"/>
  <c r="AM141" i="33"/>
  <c r="AN141" i="33" s="1"/>
  <c r="AS141" i="33"/>
  <c r="AQ143" i="33"/>
  <c r="AM143" i="33"/>
  <c r="AN143" i="33" s="1"/>
  <c r="AS143" i="33"/>
  <c r="Z143" i="33"/>
  <c r="AB143" i="33" s="1"/>
  <c r="AT143" i="33"/>
  <c r="AR143" i="33"/>
  <c r="Z141" i="33"/>
  <c r="AB141" i="33" s="1"/>
  <c r="AV143" i="33"/>
  <c r="AM102" i="33"/>
  <c r="AN102" i="33" s="1"/>
  <c r="AM178" i="33"/>
  <c r="AN178" i="33" s="1"/>
  <c r="AM158" i="33"/>
  <c r="AN158" i="33" s="1"/>
  <c r="AM92" i="33"/>
  <c r="AN92" i="33" s="1"/>
  <c r="AS92" i="33"/>
  <c r="AS33" i="33"/>
  <c r="W104" i="35"/>
  <c r="V104" i="35"/>
  <c r="AF104" i="35"/>
  <c r="AD104" i="35"/>
  <c r="AS11" i="33"/>
  <c r="AT33" i="33"/>
  <c r="AP33" i="33"/>
  <c r="AM192" i="33"/>
  <c r="AN192" i="33" s="1"/>
  <c r="V133" i="35"/>
  <c r="Y133" i="35"/>
  <c r="W133" i="35"/>
  <c r="AF133" i="35"/>
  <c r="AE133" i="35"/>
  <c r="AD133" i="35"/>
  <c r="AC133" i="35"/>
  <c r="AA133" i="35"/>
  <c r="AQ81" i="33"/>
  <c r="AP81" i="33"/>
  <c r="AU10" i="33"/>
  <c r="AM61" i="33"/>
  <c r="AN61" i="33" s="1"/>
  <c r="AM66" i="33"/>
  <c r="AN66" i="33" s="1"/>
  <c r="AP66" i="33"/>
  <c r="AU148" i="33"/>
  <c r="AV173" i="33"/>
  <c r="AQ173" i="33"/>
  <c r="AU173" i="33"/>
  <c r="AT173" i="33"/>
  <c r="AM176" i="33"/>
  <c r="AN176" i="33" s="1"/>
  <c r="AM181" i="33"/>
  <c r="AN181" i="33" s="1"/>
  <c r="AP181" i="33"/>
  <c r="AM12" i="33"/>
  <c r="AN12" i="33" s="1"/>
  <c r="AR220" i="33"/>
  <c r="AQ50" i="33"/>
  <c r="AV50" i="33"/>
  <c r="Z20" i="33"/>
  <c r="AB20" i="33" s="1"/>
  <c r="AS20" i="33"/>
  <c r="AV20" i="33"/>
  <c r="AP20" i="33"/>
  <c r="AM77" i="33"/>
  <c r="AN77" i="33" s="1"/>
  <c r="Y104" i="35"/>
  <c r="AV11" i="33"/>
  <c r="AR11" i="33"/>
  <c r="AM204" i="33"/>
  <c r="AN204" i="33" s="1"/>
  <c r="AC102" i="35"/>
  <c r="AG102" i="35"/>
  <c r="Y102" i="35"/>
  <c r="V102" i="35"/>
  <c r="W102" i="35"/>
  <c r="Z102" i="35"/>
  <c r="AA102" i="35"/>
  <c r="AB102" i="35"/>
  <c r="AM47" i="33"/>
  <c r="AN47" i="33" s="1"/>
  <c r="Y78" i="35"/>
  <c r="AE78" i="35"/>
  <c r="AG78" i="35"/>
  <c r="Z78" i="35"/>
  <c r="AB78" i="35"/>
  <c r="V78" i="35"/>
  <c r="AD78" i="35"/>
  <c r="AF78" i="35"/>
  <c r="AM147" i="33"/>
  <c r="AN147" i="33" s="1"/>
  <c r="AS147" i="33"/>
  <c r="AM83" i="33"/>
  <c r="AN83" i="33" s="1"/>
  <c r="AU83" i="33"/>
  <c r="AS83" i="33"/>
  <c r="Z102" i="33"/>
  <c r="AB102" i="33" s="1"/>
  <c r="AV83" i="33"/>
  <c r="AM84" i="33"/>
  <c r="AN84" i="33" s="1"/>
  <c r="AP208" i="33"/>
  <c r="AM208" i="33"/>
  <c r="AN208" i="33" s="1"/>
  <c r="AS208" i="33"/>
  <c r="AQ208" i="33"/>
  <c r="AV208" i="33"/>
  <c r="AU208" i="33"/>
  <c r="AM209" i="33"/>
  <c r="AN209" i="33" s="1"/>
  <c r="AQ136" i="33"/>
  <c r="AM136" i="33"/>
  <c r="AN136" i="33" s="1"/>
  <c r="AT136" i="33"/>
  <c r="AS136" i="33"/>
  <c r="AV136" i="33"/>
  <c r="AM213" i="33"/>
  <c r="AN213" i="33" s="1"/>
  <c r="AU8" i="33"/>
  <c r="AM8" i="33"/>
  <c r="AN8" i="33" s="1"/>
  <c r="AQ8" i="33"/>
  <c r="AP220" i="33"/>
  <c r="AM142" i="33"/>
  <c r="AN142" i="33" s="1"/>
  <c r="AM22" i="33"/>
  <c r="AN22" i="33" s="1"/>
  <c r="AS22" i="33"/>
  <c r="AV211" i="33"/>
  <c r="AR211" i="33"/>
  <c r="AQ211" i="33"/>
  <c r="AS211" i="33"/>
  <c r="Z211" i="33"/>
  <c r="AB211" i="33" s="1"/>
  <c r="AQ48" i="33"/>
  <c r="AS48" i="33"/>
  <c r="AT48" i="33"/>
  <c r="AM48" i="33"/>
  <c r="AN48" i="33" s="1"/>
  <c r="AR48" i="33"/>
  <c r="AV48" i="33"/>
  <c r="AP149" i="33"/>
  <c r="AR149" i="33"/>
  <c r="AU149" i="33"/>
  <c r="AR54" i="33"/>
  <c r="AM54" i="33"/>
  <c r="AN54" i="33" s="1"/>
  <c r="AP65" i="33"/>
  <c r="AM65" i="33"/>
  <c r="AN65" i="33" s="1"/>
  <c r="AV65" i="33"/>
  <c r="AQ65" i="33"/>
  <c r="AU65" i="33"/>
  <c r="AS65" i="33"/>
  <c r="Z65" i="33"/>
  <c r="AB65" i="33" s="1"/>
  <c r="AR65" i="33"/>
  <c r="AM67" i="33"/>
  <c r="AN67" i="33" s="1"/>
  <c r="AR67" i="33"/>
  <c r="AM25" i="33"/>
  <c r="AN25" i="33" s="1"/>
  <c r="AR25" i="33"/>
  <c r="AP26" i="33"/>
  <c r="AM26" i="33"/>
  <c r="AN26" i="33" s="1"/>
  <c r="AV26" i="33"/>
  <c r="AU26" i="33"/>
  <c r="AR26" i="33"/>
  <c r="Z25" i="33"/>
  <c r="AB25" i="33" s="1"/>
  <c r="AQ26" i="33"/>
  <c r="Z26" i="33"/>
  <c r="AB26" i="33" s="1"/>
  <c r="AS26" i="33"/>
  <c r="AT45" i="33"/>
  <c r="AM165" i="33"/>
  <c r="AN165" i="33" s="1"/>
  <c r="AQ151" i="33"/>
  <c r="AS60" i="33"/>
  <c r="AR116" i="33"/>
  <c r="AQ204" i="33"/>
  <c r="AP31" i="33"/>
  <c r="AV81" i="33"/>
  <c r="AR81" i="33"/>
  <c r="AT37" i="33"/>
  <c r="AR147" i="33"/>
  <c r="AS220" i="33"/>
  <c r="AQ51" i="33"/>
  <c r="AM51" i="33"/>
  <c r="AN51" i="33" s="1"/>
  <c r="AR51" i="33"/>
  <c r="AT51" i="33"/>
  <c r="AP96" i="33"/>
  <c r="AM96" i="33"/>
  <c r="AN96" i="33" s="1"/>
  <c r="AQ188" i="33"/>
  <c r="AM188" i="33"/>
  <c r="AN188" i="33" s="1"/>
  <c r="AR188" i="33"/>
  <c r="AT188" i="33"/>
  <c r="AS188" i="33"/>
  <c r="AP188" i="33"/>
  <c r="AM194" i="33"/>
  <c r="AN194" i="33" s="1"/>
  <c r="AM190" i="33"/>
  <c r="AN190" i="33" s="1"/>
  <c r="AS190" i="33"/>
  <c r="AM197" i="33"/>
  <c r="AN197" i="33" s="1"/>
  <c r="AM117" i="33"/>
  <c r="AN117" i="33" s="1"/>
  <c r="AQ117" i="33"/>
  <c r="AP117" i="33"/>
  <c r="AT211" i="33"/>
  <c r="AM211" i="33"/>
  <c r="AN211" i="33" s="1"/>
  <c r="AP211" i="33"/>
  <c r="AM159" i="33"/>
  <c r="AN159" i="33" s="1"/>
  <c r="AS159" i="33"/>
  <c r="AM153" i="33"/>
  <c r="AN153" i="33" s="1"/>
  <c r="AR60" i="33"/>
  <c r="AV192" i="33"/>
  <c r="AS216" i="33"/>
  <c r="AM78" i="33"/>
  <c r="AN78" i="33" s="1"/>
  <c r="AS120" i="33"/>
  <c r="Z103" i="33"/>
  <c r="AB103" i="33" s="1"/>
  <c r="AR104" i="33"/>
  <c r="AP51" i="33"/>
  <c r="AF73" i="35"/>
  <c r="AG73" i="35"/>
  <c r="V73" i="35"/>
  <c r="AE73" i="35"/>
  <c r="AA73" i="35"/>
  <c r="W73" i="35"/>
  <c r="Y73" i="35"/>
  <c r="Z73" i="35"/>
  <c r="AS189" i="33"/>
  <c r="AM189" i="33"/>
  <c r="AN189" i="33" s="1"/>
  <c r="AR33" i="33"/>
  <c r="AU192" i="33"/>
  <c r="AQ53" i="33"/>
  <c r="AM24" i="33"/>
  <c r="AN24" i="33" s="1"/>
  <c r="AF132" i="35"/>
  <c r="AB132" i="35"/>
  <c r="AR47" i="33"/>
  <c r="AA134" i="35"/>
  <c r="AF134" i="35"/>
  <c r="AR37" i="33"/>
  <c r="AT212" i="33"/>
  <c r="AV101" i="33"/>
  <c r="AE79" i="35"/>
  <c r="Z79" i="35"/>
  <c r="AD79" i="35"/>
  <c r="AV188" i="33"/>
  <c r="AM64" i="33"/>
  <c r="AN64" i="33" s="1"/>
  <c r="AR64" i="33"/>
  <c r="AS51" i="33"/>
  <c r="AT58" i="33"/>
  <c r="AM121" i="33"/>
  <c r="AN121" i="33" s="1"/>
  <c r="AU43" i="33"/>
  <c r="AR43" i="33"/>
  <c r="AV43" i="33"/>
  <c r="AQ43" i="33"/>
  <c r="AR89" i="33"/>
  <c r="AM90" i="33"/>
  <c r="AN90" i="33" s="1"/>
  <c r="AS90" i="33"/>
  <c r="AM200" i="33"/>
  <c r="AN200" i="33" s="1"/>
  <c r="AQ200" i="33"/>
  <c r="AU200" i="33"/>
  <c r="AM215" i="33"/>
  <c r="AN215" i="33" s="1"/>
  <c r="AQ215" i="33"/>
  <c r="AV182" i="33"/>
  <c r="AV202" i="33"/>
  <c r="AM106" i="33"/>
  <c r="AN106" i="33" s="1"/>
  <c r="AR127" i="33"/>
  <c r="AM127" i="33"/>
  <c r="AN127" i="33" s="1"/>
  <c r="AM124" i="33"/>
  <c r="AN124" i="33" s="1"/>
  <c r="W80" i="35"/>
  <c r="AB80" i="35"/>
  <c r="AD80" i="35"/>
  <c r="AQ217" i="33"/>
  <c r="AM18" i="33"/>
  <c r="AN18" i="33" s="1"/>
  <c r="AV9" i="33"/>
  <c r="AM44" i="33"/>
  <c r="AN44" i="33" s="1"/>
  <c r="AT43" i="33"/>
  <c r="AP43" i="33"/>
  <c r="AV200" i="33"/>
  <c r="AT87" i="33"/>
  <c r="AV87" i="33"/>
  <c r="AM134" i="33"/>
  <c r="AN134" i="33" s="1"/>
  <c r="AQ134" i="33"/>
  <c r="AM76" i="33"/>
  <c r="AN76" i="33" s="1"/>
  <c r="AM202" i="33"/>
  <c r="AN202" i="33" s="1"/>
  <c r="AT106" i="33"/>
  <c r="AT182" i="33"/>
  <c r="AT142" i="33"/>
  <c r="AV218" i="33"/>
  <c r="Z14" i="33"/>
  <c r="AB14" i="33" s="1"/>
  <c r="AT139" i="33"/>
  <c r="AT77" i="33"/>
  <c r="AQ95" i="33"/>
  <c r="AF81" i="35"/>
  <c r="AG81" i="35"/>
  <c r="AP217" i="33"/>
  <c r="AR217" i="33"/>
  <c r="AM193" i="33"/>
  <c r="AN193" i="33" s="1"/>
  <c r="AM123" i="33"/>
  <c r="AN123" i="33" s="1"/>
  <c r="AM169" i="33"/>
  <c r="AN169" i="33" s="1"/>
  <c r="AB76" i="35"/>
  <c r="AC76" i="35"/>
  <c r="AG76" i="35"/>
  <c r="AD76" i="35"/>
  <c r="AE76" i="35"/>
  <c r="Y76" i="35"/>
  <c r="AM42" i="33"/>
  <c r="AN42" i="33" s="1"/>
  <c r="AP42" i="33"/>
  <c r="AM72" i="33"/>
  <c r="AN72" i="33" s="1"/>
  <c r="AM68" i="33"/>
  <c r="AN68" i="33" s="1"/>
  <c r="AS34" i="33"/>
  <c r="AM34" i="33"/>
  <c r="AN34" i="33" s="1"/>
  <c r="AP224" i="33"/>
  <c r="AM224" i="33"/>
  <c r="AN224" i="33" s="1"/>
  <c r="AM9" i="33"/>
  <c r="AN9" i="33" s="1"/>
  <c r="AQ9" i="33"/>
  <c r="AS9" i="33"/>
  <c r="AT9" i="33"/>
  <c r="AM125" i="33"/>
  <c r="AN125" i="33" s="1"/>
  <c r="AR125" i="33"/>
  <c r="AS129" i="33"/>
  <c r="AM129" i="33"/>
  <c r="AN129" i="33" s="1"/>
  <c r="AM122" i="33"/>
  <c r="AN122" i="33" s="1"/>
  <c r="AQ6" i="33"/>
  <c r="AS43" i="33"/>
  <c r="AM196" i="33"/>
  <c r="AN196" i="33" s="1"/>
  <c r="AM161" i="33"/>
  <c r="AN161" i="33" s="1"/>
  <c r="AM19" i="33"/>
  <c r="AN19" i="33" s="1"/>
  <c r="AR19" i="33"/>
  <c r="AV19" i="33"/>
  <c r="AP16" i="33"/>
  <c r="AR16" i="33"/>
  <c r="AM71" i="33"/>
  <c r="AN71" i="33" s="1"/>
  <c r="AT71" i="33"/>
  <c r="AS71" i="33"/>
  <c r="AQ71" i="33"/>
  <c r="AU71" i="33"/>
  <c r="AM118" i="33"/>
  <c r="AN118" i="33" s="1"/>
  <c r="AT118" i="33"/>
  <c r="AS118" i="33"/>
  <c r="AR164" i="33"/>
  <c r="AM164" i="33"/>
  <c r="AN164" i="33" s="1"/>
  <c r="AQ164" i="33"/>
  <c r="AT164" i="33"/>
  <c r="AR166" i="33"/>
  <c r="AS166" i="33"/>
  <c r="AM132" i="33"/>
  <c r="AN132" i="33" s="1"/>
  <c r="AM140" i="33"/>
  <c r="AN140" i="33" s="1"/>
  <c r="AM168" i="33"/>
  <c r="AN168" i="33" s="1"/>
  <c r="AQ168" i="33"/>
  <c r="AR168" i="33"/>
  <c r="AV168" i="33"/>
  <c r="AM223" i="33"/>
  <c r="AN223" i="33" s="1"/>
  <c r="AR223" i="33"/>
  <c r="AM177" i="33"/>
  <c r="AN177" i="33" s="1"/>
  <c r="AP177" i="33"/>
  <c r="AT153" i="33"/>
  <c r="AR153" i="33"/>
  <c r="AM162" i="33"/>
  <c r="AN162" i="33" s="1"/>
  <c r="AM109" i="33"/>
  <c r="AN109" i="33" s="1"/>
  <c r="AS109" i="33"/>
  <c r="AU121" i="33"/>
  <c r="AA75" i="35"/>
  <c r="AF75" i="35"/>
  <c r="AM85" i="33"/>
  <c r="AN85" i="33" s="1"/>
  <c r="AM86" i="33"/>
  <c r="AN86" i="33" s="1"/>
  <c r="AM6" i="33"/>
  <c r="AN6" i="33" s="1"/>
  <c r="AM89" i="33"/>
  <c r="AN89" i="33" s="1"/>
  <c r="AV169" i="33"/>
  <c r="AM100" i="33"/>
  <c r="AN100" i="33" s="1"/>
  <c r="AM183" i="33"/>
  <c r="AN183" i="33" s="1"/>
  <c r="AU129" i="33"/>
  <c r="AE75" i="35"/>
  <c r="Y75" i="35"/>
  <c r="AR85" i="33"/>
  <c r="AT3" i="33"/>
  <c r="AM7" i="33"/>
  <c r="AN7" i="33" s="1"/>
  <c r="AV121" i="33"/>
  <c r="AQ3" i="33"/>
  <c r="AT85" i="33"/>
  <c r="AM157" i="33"/>
  <c r="AN157" i="33" s="1"/>
  <c r="AM113" i="33"/>
  <c r="AN113" i="33" s="1"/>
  <c r="AT151" i="33"/>
  <c r="AV60" i="33"/>
  <c r="AQ60" i="33"/>
  <c r="AT116" i="33"/>
  <c r="AU116" i="33"/>
  <c r="AS204" i="33"/>
  <c r="AU57" i="33"/>
  <c r="AR53" i="33"/>
  <c r="AP192" i="33"/>
  <c r="AS192" i="33"/>
  <c r="AS47" i="33"/>
  <c r="AT47" i="33"/>
  <c r="AU216" i="33"/>
  <c r="AP216" i="33"/>
  <c r="AT216" i="33"/>
  <c r="AV78" i="33"/>
  <c r="AP212" i="33"/>
  <c r="AV212" i="33"/>
  <c r="AR212" i="33"/>
  <c r="AU206" i="33"/>
  <c r="AT206" i="33"/>
  <c r="AV206" i="33"/>
  <c r="AU137" i="33"/>
  <c r="AQ137" i="33"/>
  <c r="AT137" i="33"/>
  <c r="AV137" i="33"/>
  <c r="AU186" i="33"/>
  <c r="AR186" i="33"/>
  <c r="AS186" i="33"/>
  <c r="AT186" i="33"/>
  <c r="AV77" i="33"/>
  <c r="AU139" i="33"/>
  <c r="AS154" i="33"/>
  <c r="AT154" i="33"/>
  <c r="AU154" i="33"/>
  <c r="Z154" i="33"/>
  <c r="AB154" i="33" s="1"/>
  <c r="AQ154" i="33"/>
  <c r="AR180" i="33"/>
  <c r="AV72" i="33"/>
  <c r="AV151" i="33"/>
  <c r="AS116" i="33"/>
  <c r="AQ116" i="33"/>
  <c r="AU204" i="33"/>
  <c r="AV57" i="33"/>
  <c r="AQ57" i="33"/>
  <c r="AU33" i="33"/>
  <c r="AT53" i="33"/>
  <c r="AS53" i="33"/>
  <c r="AV75" i="33"/>
  <c r="Z47" i="33"/>
  <c r="AB47" i="33" s="1"/>
  <c r="AP78" i="33"/>
  <c r="AQ101" i="33"/>
  <c r="AT101" i="33"/>
  <c r="Z101" i="33"/>
  <c r="AB101" i="33" s="1"/>
  <c r="AP101" i="33"/>
  <c r="AS15" i="33"/>
  <c r="AP75" i="33"/>
  <c r="AT214" i="33"/>
  <c r="AQ214" i="33"/>
  <c r="AS214" i="33"/>
  <c r="AU214" i="33"/>
  <c r="AV214" i="33"/>
  <c r="AU145" i="33"/>
  <c r="AR145" i="33"/>
  <c r="AT176" i="33"/>
  <c r="AR176" i="33"/>
  <c r="AP176" i="33"/>
  <c r="AS176" i="33"/>
  <c r="AQ176" i="33"/>
  <c r="AT38" i="33"/>
  <c r="AP38" i="33"/>
  <c r="AV38" i="33"/>
  <c r="AR38" i="33"/>
  <c r="AT178" i="33"/>
  <c r="AV178" i="33"/>
  <c r="AP178" i="33"/>
  <c r="Z177" i="33"/>
  <c r="AB177" i="33" s="1"/>
  <c r="AQ178" i="33"/>
  <c r="AU178" i="33"/>
  <c r="AQ146" i="33"/>
  <c r="AU146" i="33"/>
  <c r="AT146" i="33"/>
  <c r="AV146" i="33"/>
  <c r="AP146" i="33"/>
  <c r="AR146" i="33"/>
  <c r="AS84" i="33"/>
  <c r="AR84" i="33"/>
  <c r="AT84" i="33"/>
  <c r="AV84" i="33"/>
  <c r="AP84" i="33"/>
  <c r="AQ209" i="33"/>
  <c r="AS209" i="33"/>
  <c r="AU209" i="33"/>
  <c r="AR209" i="33"/>
  <c r="AT209" i="33"/>
  <c r="Z209" i="33"/>
  <c r="AB209" i="33" s="1"/>
  <c r="AU64" i="33"/>
  <c r="AP64" i="33"/>
  <c r="Z64" i="33"/>
  <c r="AB64" i="33" s="1"/>
  <c r="AQ64" i="33"/>
  <c r="AT64" i="33"/>
  <c r="AV64" i="33"/>
  <c r="AS64" i="33"/>
  <c r="AV21" i="33"/>
  <c r="AQ21" i="33"/>
  <c r="Z21" i="33"/>
  <c r="AB21" i="33" s="1"/>
  <c r="AR21" i="33"/>
  <c r="AT21" i="33"/>
  <c r="AP21" i="33"/>
  <c r="AS21" i="33"/>
  <c r="AQ17" i="33"/>
  <c r="AR17" i="33"/>
  <c r="AT17" i="33"/>
  <c r="AS17" i="33"/>
  <c r="AP17" i="33"/>
  <c r="AP58" i="33"/>
  <c r="AU58" i="33"/>
  <c r="AR58" i="33"/>
  <c r="AS58" i="33"/>
  <c r="AQ58" i="33"/>
  <c r="AU194" i="33"/>
  <c r="AR194" i="33"/>
  <c r="AT194" i="33"/>
  <c r="AQ194" i="33"/>
  <c r="AP194" i="33"/>
  <c r="AP193" i="33"/>
  <c r="AU193" i="33"/>
  <c r="AV193" i="33"/>
  <c r="AQ193" i="33"/>
  <c r="AU123" i="33"/>
  <c r="Z123" i="33"/>
  <c r="AB123" i="33" s="1"/>
  <c r="AR123" i="33"/>
  <c r="AS123" i="33"/>
  <c r="AQ123" i="33"/>
  <c r="AT123" i="33"/>
  <c r="AV123" i="33"/>
  <c r="AV199" i="33"/>
  <c r="AS199" i="33"/>
  <c r="AT199" i="33"/>
  <c r="AP199" i="33"/>
  <c r="AR199" i="33"/>
  <c r="AQ199" i="33"/>
  <c r="AP53" i="33"/>
  <c r="AU53" i="33"/>
  <c r="AS75" i="33"/>
  <c r="AQ75" i="33"/>
  <c r="AU75" i="33"/>
  <c r="AQ142" i="33"/>
  <c r="AS142" i="33"/>
  <c r="AP142" i="33"/>
  <c r="AU142" i="33"/>
  <c r="AV142" i="33"/>
  <c r="AS218" i="33"/>
  <c r="AU218" i="33"/>
  <c r="AP218" i="33"/>
  <c r="AQ218" i="33"/>
  <c r="AT218" i="33"/>
  <c r="AR218" i="33"/>
  <c r="AT15" i="33"/>
  <c r="AR15" i="33"/>
  <c r="AP15" i="33"/>
  <c r="AQ15" i="33"/>
  <c r="AV15" i="33"/>
  <c r="Z132" i="33"/>
  <c r="AB132" i="33" s="1"/>
  <c r="AP139" i="33"/>
  <c r="AV139" i="33"/>
  <c r="AR139" i="33"/>
  <c r="AS139" i="33"/>
  <c r="AQ139" i="33"/>
  <c r="AQ77" i="33"/>
  <c r="AR77" i="33"/>
  <c r="AP77" i="33"/>
  <c r="AU77" i="33"/>
  <c r="AS77" i="33"/>
  <c r="AP95" i="33"/>
  <c r="AV95" i="33"/>
  <c r="AU95" i="33"/>
  <c r="AT95" i="33"/>
  <c r="AR95" i="33"/>
  <c r="AS95" i="33"/>
  <c r="AP180" i="33"/>
  <c r="AV180" i="33"/>
  <c r="AQ180" i="33"/>
  <c r="AS180" i="33"/>
  <c r="AQ72" i="33"/>
  <c r="AS72" i="33"/>
  <c r="AR72" i="33"/>
  <c r="AT72" i="33"/>
  <c r="AR7" i="33"/>
  <c r="AS7" i="33"/>
  <c r="AQ7" i="33"/>
  <c r="AQ183" i="33"/>
  <c r="AT183" i="33"/>
  <c r="Z183" i="33"/>
  <c r="AB183" i="33" s="1"/>
  <c r="AS183" i="33"/>
  <c r="AT122" i="33"/>
  <c r="AP122" i="33"/>
  <c r="AS122" i="33"/>
  <c r="AV122" i="33"/>
  <c r="AT23" i="33"/>
  <c r="AR206" i="33"/>
  <c r="AT133" i="33"/>
  <c r="Z16" i="33"/>
  <c r="AB16" i="33" s="1"/>
  <c r="AS96" i="33"/>
  <c r="AR154" i="33"/>
  <c r="AS169" i="33"/>
  <c r="AU35" i="33"/>
  <c r="AU34" i="33"/>
  <c r="AS200" i="33"/>
  <c r="AT19" i="33"/>
  <c r="AU19" i="33"/>
  <c r="AV16" i="33"/>
  <c r="AQ16" i="33"/>
  <c r="AU16" i="33"/>
  <c r="AR118" i="33"/>
  <c r="AQ118" i="33"/>
  <c r="AP166" i="33"/>
  <c r="AQ166" i="33"/>
  <c r="AS168" i="33"/>
  <c r="AT168" i="33"/>
  <c r="AS182" i="33"/>
  <c r="AU182" i="33"/>
  <c r="AR106" i="33"/>
  <c r="AS153" i="33"/>
  <c r="AU153" i="33"/>
  <c r="AU113" i="33"/>
  <c r="AR193" i="33"/>
  <c r="AV7" i="33"/>
  <c r="AR183" i="33"/>
  <c r="AR200" i="33"/>
  <c r="AP19" i="33"/>
  <c r="AS19" i="33"/>
  <c r="AS16" i="33"/>
  <c r="AP118" i="33"/>
  <c r="AV166" i="33"/>
  <c r="AT166" i="33"/>
  <c r="AU166" i="33"/>
  <c r="AP168" i="33"/>
  <c r="AR182" i="33"/>
  <c r="AV106" i="33"/>
  <c r="AS106" i="33"/>
  <c r="AP153" i="33"/>
  <c r="AS37" i="33"/>
  <c r="AS38" i="33"/>
  <c r="AS101" i="33"/>
  <c r="AV58" i="33"/>
  <c r="Z191" i="33"/>
  <c r="AB191" i="33" s="1"/>
  <c r="AU72" i="33"/>
  <c r="AU122" i="33"/>
  <c r="AP3" i="33"/>
  <c r="AT200" i="33"/>
  <c r="AP200" i="33"/>
  <c r="AQ19" i="33"/>
  <c r="AV118" i="33"/>
  <c r="AQ182" i="33"/>
  <c r="AU168" i="33"/>
  <c r="AT113" i="33"/>
  <c r="AP13" i="33"/>
  <c r="AM55" i="33"/>
  <c r="AN55" i="33" s="1"/>
  <c r="AU167" i="33"/>
  <c r="AM11" i="33"/>
  <c r="AN11" i="33" s="1"/>
  <c r="AT13" i="33"/>
  <c r="AU24" i="33"/>
  <c r="AT31" i="33"/>
  <c r="AV31" i="33"/>
  <c r="AR39" i="33"/>
  <c r="AT39" i="33"/>
  <c r="AP39" i="33"/>
  <c r="AQ39" i="33"/>
  <c r="AS39" i="33"/>
  <c r="AU39" i="33"/>
  <c r="AS41" i="33"/>
  <c r="AT148" i="33"/>
  <c r="AV148" i="33"/>
  <c r="AQ148" i="33"/>
  <c r="AS148" i="33"/>
  <c r="AQ175" i="33"/>
  <c r="AS175" i="33"/>
  <c r="AT175" i="33"/>
  <c r="AV175" i="33"/>
  <c r="AP175" i="33"/>
  <c r="AQ185" i="33"/>
  <c r="AS185" i="33"/>
  <c r="AV185" i="33"/>
  <c r="AR185" i="33"/>
  <c r="AT185" i="33"/>
  <c r="AP185" i="33"/>
  <c r="AP136" i="33"/>
  <c r="AR136" i="33"/>
  <c r="AP12" i="33"/>
  <c r="AS12" i="33"/>
  <c r="AQ12" i="33"/>
  <c r="AV12" i="33"/>
  <c r="AU12" i="33"/>
  <c r="AT12" i="33"/>
  <c r="AQ31" i="33"/>
  <c r="AR41" i="33"/>
  <c r="AU41" i="33"/>
  <c r="AT41" i="33"/>
  <c r="AV41" i="33"/>
  <c r="AQ41" i="33"/>
  <c r="AP41" i="33"/>
  <c r="AS145" i="33"/>
  <c r="AP145" i="33"/>
  <c r="AT145" i="33"/>
  <c r="AV145" i="33"/>
  <c r="AU11" i="33"/>
  <c r="AP11" i="33"/>
  <c r="Z11" i="33"/>
  <c r="AQ11" i="33"/>
  <c r="AS13" i="33"/>
  <c r="AQ13" i="33"/>
  <c r="AP167" i="33"/>
  <c r="AM167" i="33"/>
  <c r="AN167" i="33" s="1"/>
  <c r="AQ167" i="33"/>
  <c r="AR167" i="33"/>
  <c r="AS167" i="33"/>
  <c r="AP45" i="33"/>
  <c r="AM45" i="33"/>
  <c r="AN45" i="33" s="1"/>
  <c r="AM93" i="33"/>
  <c r="AN93" i="33" s="1"/>
  <c r="AP93" i="33"/>
  <c r="AU93" i="33"/>
  <c r="AQ93" i="33"/>
  <c r="AR93" i="33"/>
  <c r="Z93" i="33"/>
  <c r="AB93" i="33" s="1"/>
  <c r="AV93" i="33"/>
  <c r="AM33" i="33"/>
  <c r="AN33" i="33" s="1"/>
  <c r="Z166" i="33"/>
  <c r="AP61" i="33"/>
  <c r="AQ61" i="33"/>
  <c r="AR61" i="33"/>
  <c r="AT61" i="33"/>
  <c r="AR137" i="33"/>
  <c r="AP137" i="33"/>
  <c r="AU151" i="33"/>
  <c r="AC104" i="35"/>
  <c r="AS24" i="33"/>
  <c r="AR216" i="33"/>
  <c r="AS31" i="33"/>
  <c r="AQ78" i="33"/>
  <c r="AT81" i="33"/>
  <c r="AM212" i="33"/>
  <c r="AN212" i="33" s="1"/>
  <c r="AU162" i="33"/>
  <c r="AV162" i="33"/>
  <c r="AQ162" i="33"/>
  <c r="AT162" i="33"/>
  <c r="AS162" i="33"/>
  <c r="AP162" i="33"/>
  <c r="AR162" i="33"/>
  <c r="AQ216" i="33"/>
  <c r="AM216" i="33"/>
  <c r="AN216" i="33" s="1"/>
  <c r="AR31" i="33"/>
  <c r="AS78" i="33"/>
  <c r="AM81" i="33"/>
  <c r="AN81" i="33" s="1"/>
  <c r="AP197" i="33"/>
  <c r="AQ197" i="33"/>
  <c r="AS197" i="33"/>
  <c r="AR191" i="33"/>
  <c r="AS191" i="33"/>
  <c r="AU14" i="33"/>
  <c r="AP14" i="33"/>
  <c r="AT14" i="33"/>
  <c r="AS14" i="33"/>
  <c r="AQ14" i="33"/>
  <c r="AV14" i="33"/>
  <c r="AP203" i="33"/>
  <c r="AR203" i="33"/>
  <c r="AT149" i="33"/>
  <c r="AV149" i="33"/>
  <c r="AS149" i="33"/>
  <c r="AQ149" i="33"/>
  <c r="AU124" i="33"/>
  <c r="AS124" i="33"/>
  <c r="AT124" i="33"/>
  <c r="AV124" i="33"/>
  <c r="AP124" i="33"/>
  <c r="AQ124" i="33"/>
  <c r="AR124" i="33"/>
  <c r="AV197" i="33"/>
  <c r="AU106" i="33"/>
  <c r="AQ106" i="33"/>
  <c r="AM191" i="33"/>
  <c r="AN191" i="33" s="1"/>
  <c r="AU217" i="33"/>
  <c r="AA80" i="35"/>
  <c r="V80" i="35"/>
  <c r="AF80" i="35"/>
  <c r="AP154" i="33"/>
  <c r="AQ100" i="33"/>
  <c r="AF76" i="35"/>
  <c r="V76" i="35"/>
  <c r="AU7" i="33"/>
  <c r="AS121" i="33"/>
  <c r="AM3" i="33"/>
  <c r="AN3" i="33" s="1"/>
  <c r="AV85" i="33"/>
  <c r="AQ157" i="33"/>
  <c r="AQ89" i="33"/>
  <c r="AS217" i="33"/>
  <c r="Z80" i="35"/>
  <c r="AC80" i="35"/>
  <c r="Z76" i="35"/>
  <c r="AP7" i="33"/>
  <c r="AQ85" i="33"/>
  <c r="P4" i="57" l="1"/>
  <c r="P6" i="57"/>
  <c r="AQ189" i="33"/>
  <c r="AA112" i="59"/>
  <c r="AA22" i="59"/>
  <c r="AA110" i="59"/>
  <c r="AQ47" i="33"/>
  <c r="P7" i="57"/>
  <c r="M7" i="57"/>
  <c r="P3" i="57"/>
  <c r="P5" i="57"/>
  <c r="M3" i="57"/>
  <c r="AB11" i="33"/>
  <c r="M6" i="57"/>
  <c r="M8" i="57"/>
  <c r="AB166" i="33"/>
  <c r="M5" i="57"/>
  <c r="N5" i="57" l="1"/>
  <c r="N3" i="57"/>
  <c r="N6" i="57"/>
  <c r="N8" i="57"/>
  <c r="N4" i="57"/>
  <c r="N7" i="57"/>
  <c r="Q32" i="45" a="1"/>
  <c r="M20" i="45" a="1"/>
  <c r="S31" i="45" a="1"/>
  <c r="G13" i="45" a="1"/>
  <c r="O28" i="45" a="1"/>
  <c r="H32" i="45" a="1"/>
  <c r="D7" i="45" a="1"/>
  <c r="O17" i="45" a="1"/>
  <c r="O9" i="45" a="1"/>
  <c r="H24" i="45" a="1"/>
  <c r="T29" i="45" a="1"/>
  <c r="O7" i="45" a="1"/>
  <c r="I28" i="45" a="1"/>
  <c r="K30" i="45" a="1"/>
  <c r="R28" i="45" a="1"/>
  <c r="Q29" i="45" a="1"/>
  <c r="L22" i="45" a="1"/>
  <c r="D28" i="45" a="1"/>
  <c r="N27" i="45" a="1"/>
  <c r="L16" i="45" a="1"/>
  <c r="U30" i="45" a="1"/>
  <c r="T5" i="45" a="1"/>
  <c r="Q21" i="45" a="1"/>
  <c r="I13" i="45" a="1"/>
  <c r="K5" i="45" a="1"/>
  <c r="T14" i="45" a="1"/>
  <c r="O10" i="45" a="1"/>
  <c r="R21" i="45" a="1"/>
  <c r="T7" i="45" a="1"/>
  <c r="G18" i="45" a="1"/>
  <c r="F29" i="45" a="1"/>
  <c r="K31" i="45" a="1"/>
  <c r="N23" i="45" a="1"/>
  <c r="P24" i="45" a="1"/>
  <c r="H11" i="45" a="1"/>
  <c r="P6" i="45" a="1"/>
  <c r="D14" i="45" a="1"/>
  <c r="P14" i="45" a="1"/>
  <c r="K15" i="45" a="1"/>
  <c r="O25" i="45" a="1"/>
  <c r="P26" i="45" a="1"/>
  <c r="R22" i="45" a="1"/>
  <c r="K7" i="45" a="1"/>
  <c r="G24" i="45" a="1"/>
  <c r="E30" i="45" a="1"/>
  <c r="R34" i="45" a="1"/>
  <c r="Q10" i="45" a="1"/>
  <c r="S27" i="45" a="1"/>
  <c r="Q33" i="45" a="1"/>
  <c r="F31" i="45" a="1"/>
  <c r="D15" i="45" a="1"/>
  <c r="J25" i="45" a="1"/>
  <c r="Q8" i="45" a="1"/>
  <c r="J7" i="45" a="1"/>
  <c r="T11" i="45" a="1"/>
  <c r="N16" i="45" a="1"/>
  <c r="L8" i="45" a="1"/>
  <c r="L18" i="45" a="1"/>
  <c r="H10" i="45" a="1"/>
  <c r="T24" i="45" a="1"/>
  <c r="S14" i="45" a="1"/>
  <c r="I15" i="45" a="1"/>
  <c r="S26" i="45" a="1"/>
  <c r="J33" i="45" a="1"/>
  <c r="U27" i="45" a="1"/>
  <c r="U29" i="45" a="1"/>
  <c r="D34" i="45" a="1"/>
  <c r="M27" i="45" a="1"/>
  <c r="L5" i="45" a="1"/>
  <c r="J29" i="45" a="1"/>
  <c r="U31" i="45" a="1"/>
  <c r="N26" i="45" a="1"/>
  <c r="E34" i="45" a="1"/>
  <c r="F10" i="45" a="1"/>
  <c r="D11" i="45" a="1"/>
  <c r="R31" i="45" a="1"/>
  <c r="N33" i="45" a="1"/>
  <c r="U9" i="45" a="1"/>
  <c r="M33" i="45" a="1"/>
  <c r="P34" i="45" a="1"/>
  <c r="O11" i="45" a="1"/>
  <c r="E19" i="45" a="1"/>
  <c r="T23" i="45" a="1"/>
  <c r="N11" i="45" a="1"/>
  <c r="U13" i="45" a="1"/>
  <c r="H22" i="45" a="1"/>
  <c r="E16" i="45" a="1"/>
  <c r="R25" i="45" a="1"/>
  <c r="H17" i="45" a="1"/>
  <c r="P29" i="45" a="1"/>
  <c r="Q15" i="45" a="1"/>
  <c r="Q34" i="45" a="1"/>
  <c r="G34" i="45" a="1"/>
  <c r="Q24" i="45" a="1"/>
  <c r="F20" i="45" a="1"/>
  <c r="D33" i="45" a="1"/>
  <c r="G10" i="45" a="1"/>
  <c r="M8" i="45" a="1"/>
  <c r="D18" i="45" a="1"/>
  <c r="J32" i="45" a="1"/>
  <c r="P21" i="45" a="1"/>
  <c r="U21" i="45" a="1"/>
  <c r="T15" i="45" a="1"/>
  <c r="R30" i="45" a="1"/>
  <c r="P8" i="45" a="1"/>
  <c r="J17" i="45" a="1"/>
  <c r="D19" i="45" a="1"/>
  <c r="H28" i="45" a="1"/>
  <c r="H13" i="45" a="1"/>
  <c r="S21" i="45" a="1"/>
  <c r="H21" i="45" a="1"/>
  <c r="N5" i="45" a="1"/>
  <c r="L30" i="45" a="1"/>
  <c r="H23" i="45" a="1"/>
  <c r="Q27" i="45" a="1"/>
  <c r="U8" i="45" a="1"/>
  <c r="S6" i="45" a="1"/>
  <c r="N15" i="45" a="1"/>
  <c r="R16" i="45" a="1"/>
  <c r="Q16" i="45" a="1"/>
  <c r="P17" i="45" a="1"/>
  <c r="J30" i="45" a="1"/>
  <c r="T9" i="45" a="1"/>
  <c r="K12" i="45" a="1"/>
  <c r="G7" i="45" a="1"/>
  <c r="K16" i="45" a="1"/>
  <c r="K25" i="45" a="1"/>
  <c r="U7" i="45" a="1"/>
  <c r="D31" i="45" a="1"/>
  <c r="D12" i="45" a="1"/>
  <c r="J12" i="45" a="1"/>
  <c r="I8" i="45" a="1"/>
  <c r="O18" i="45" a="1"/>
  <c r="T21" i="45" a="1"/>
  <c r="D13" i="45" a="1"/>
  <c r="U5" i="45" a="1"/>
  <c r="D27" i="45" a="1"/>
  <c r="L9" i="45" a="1"/>
  <c r="P15" i="45" a="1"/>
  <c r="O21" i="45" a="1"/>
  <c r="U22" i="45" a="1"/>
  <c r="J28" i="45" a="1"/>
  <c r="E17" i="45" a="1"/>
  <c r="I6" i="45" a="1"/>
  <c r="N13" i="45" a="1"/>
  <c r="G14" i="45" a="1"/>
  <c r="G33" i="45" a="1"/>
  <c r="D25" i="45" a="1"/>
  <c r="R8" i="45" a="1"/>
  <c r="E6" i="45" a="1"/>
  <c r="F33" i="45" a="1"/>
  <c r="U20" i="45" a="1"/>
  <c r="U17" i="45" a="1"/>
  <c r="P12" i="45" a="1"/>
  <c r="D26" i="45" a="1"/>
  <c r="M30" i="45" a="1"/>
  <c r="P22" i="45" a="1"/>
  <c r="Q20" i="45" a="1"/>
  <c r="N17" i="45" a="1"/>
  <c r="M5" i="45" a="1"/>
  <c r="N20" i="45" a="1"/>
  <c r="T22" i="45" a="1"/>
  <c r="G23" i="45" a="1"/>
  <c r="I27" i="45" a="1"/>
  <c r="U6" i="45" a="1"/>
  <c r="J26" i="45" a="1"/>
  <c r="H30" i="45" a="1"/>
  <c r="F32" i="45" a="1"/>
  <c r="K10" i="45" a="1"/>
  <c r="O22" i="45" a="1"/>
  <c r="L15" i="45" a="1"/>
  <c r="J16" i="45" a="1"/>
  <c r="H19" i="45" a="1"/>
  <c r="T34" i="45" a="1"/>
  <c r="N18" i="45" a="1"/>
  <c r="S33" i="45" a="1"/>
  <c r="L32" i="45" a="1"/>
  <c r="M32" i="45" a="1"/>
  <c r="P5" i="45" a="1"/>
  <c r="T12" i="45" a="1"/>
  <c r="M26" i="45" a="1"/>
  <c r="E27" i="45" a="1"/>
  <c r="Q14" i="45" a="1"/>
  <c r="J15" i="45" a="1"/>
  <c r="L24" i="45" a="1"/>
  <c r="L31" i="45" a="1"/>
  <c r="I16" i="45" a="1"/>
  <c r="M15" i="45" a="1"/>
  <c r="I19" i="45" a="1"/>
  <c r="I7" i="45" a="1"/>
  <c r="P9" i="45" a="1"/>
  <c r="H31" i="45" a="1"/>
  <c r="U11" i="45" a="1"/>
  <c r="D16" i="45" a="1"/>
  <c r="O26" i="45" a="1"/>
  <c r="K13" i="45" a="1"/>
  <c r="L11" i="45" a="1"/>
  <c r="P16" i="45" a="1"/>
  <c r="K9" i="45" a="1"/>
  <c r="R18" i="45" a="1"/>
  <c r="L27" i="45" a="1"/>
  <c r="L10" i="45" a="1"/>
  <c r="O12" i="45" a="1"/>
  <c r="N24" i="45" a="1"/>
  <c r="N19" i="45" a="1"/>
  <c r="R10" i="45" a="1"/>
  <c r="I32" i="45" a="1"/>
  <c r="Q17" i="45" a="1"/>
  <c r="I10" i="45" a="1"/>
  <c r="R23" i="45" a="1"/>
  <c r="H20" i="45" a="1"/>
  <c r="T33" i="45" a="1"/>
  <c r="M29" i="45" a="1"/>
  <c r="E10" i="45" a="1"/>
  <c r="G6" i="45" a="1"/>
  <c r="K33" i="45" a="1"/>
  <c r="R14" i="45" a="1"/>
  <c r="L13" i="45" a="1"/>
  <c r="K27" i="45" a="1"/>
  <c r="S11" i="45" a="1"/>
  <c r="F22" i="45" a="1"/>
  <c r="R15" i="45" a="1"/>
  <c r="W5" i="45" a="1"/>
  <c r="F26" i="45" a="1"/>
  <c r="S8" i="45" a="1"/>
  <c r="S5" i="45" a="1"/>
  <c r="H12" i="45" a="1"/>
  <c r="R26" i="45" a="1"/>
  <c r="J5" i="45" a="1"/>
  <c r="E15" i="45" a="1"/>
  <c r="L23" i="45" a="1"/>
  <c r="M10" i="45" a="1"/>
  <c r="F34" i="45" a="1"/>
  <c r="G12" i="45" a="1"/>
  <c r="P10" i="45" a="1"/>
  <c r="Q22" i="45" a="1"/>
  <c r="P27" i="45" a="1"/>
  <c r="U16" i="45" a="1"/>
  <c r="F12" i="45" a="1"/>
  <c r="D22" i="45" a="1"/>
  <c r="D10" i="45" a="1"/>
  <c r="F7" i="45" a="1"/>
  <c r="G30" i="45" a="1"/>
  <c r="O34" i="45" a="1"/>
  <c r="E14" i="45" a="1"/>
  <c r="M23" i="45" a="1"/>
  <c r="I22" i="45" a="1"/>
  <c r="I24" i="45" a="1"/>
  <c r="O30" i="45" a="1"/>
  <c r="G15" i="45" a="1"/>
  <c r="T28" i="45" a="1"/>
  <c r="I5" i="45" a="1"/>
  <c r="L29" i="45" a="1"/>
  <c r="G19" i="45" a="1"/>
  <c r="G28" i="45" a="1"/>
  <c r="D6" i="45" a="1"/>
  <c r="N34" i="45" a="1"/>
  <c r="P11" i="45" a="1"/>
  <c r="N30" i="45" a="1"/>
  <c r="I31" i="45" a="1"/>
  <c r="T31" i="45" a="1"/>
  <c r="P19" i="45" a="1"/>
  <c r="F8" i="45" a="1"/>
  <c r="S15" i="45" a="1"/>
  <c r="J31" i="45" a="1"/>
  <c r="P25" i="45" a="1"/>
  <c r="M22" i="45" a="1"/>
  <c r="S9" i="45" a="1"/>
  <c r="E29" i="45" a="1"/>
  <c r="F21" i="45" a="1"/>
  <c r="U32" i="45" a="1"/>
  <c r="P13" i="45" a="1"/>
  <c r="N31" i="45" a="1"/>
  <c r="F6" i="45" a="1"/>
  <c r="I18" i="45" a="1"/>
  <c r="N25" i="45" a="1"/>
  <c r="H14" i="45" a="1"/>
  <c r="J27" i="45" a="1"/>
  <c r="F14" i="45" a="1"/>
  <c r="E32" i="45" a="1"/>
  <c r="P31" i="45" a="1"/>
  <c r="T18" i="45" a="1"/>
  <c r="F16" i="45" a="1"/>
  <c r="P28" i="45" a="1"/>
  <c r="D17" i="45" a="1"/>
  <c r="T19" i="45" a="1"/>
  <c r="H9" i="45" a="1"/>
  <c r="S23" i="45" a="1"/>
  <c r="P32" i="45" a="1"/>
  <c r="P30" i="45" a="1"/>
  <c r="S13" i="45" a="1"/>
  <c r="K6" i="45" a="1"/>
  <c r="J22" i="45" a="1"/>
  <c r="M21" i="45" a="1"/>
  <c r="K14" i="45" a="1"/>
  <c r="G26" i="45" a="1"/>
  <c r="N10" i="45" a="1"/>
  <c r="G31" i="45" a="1"/>
  <c r="M7" i="45" a="1"/>
  <c r="J24" i="45" a="1"/>
  <c r="U28" i="45" a="1"/>
  <c r="N28" i="45" a="1"/>
  <c r="I9" i="45" a="1"/>
  <c r="K28" i="45" a="1"/>
  <c r="L20" i="45" a="1"/>
  <c r="D24" i="45" a="1"/>
  <c r="S34" i="45" a="1"/>
  <c r="U33" i="45" a="1"/>
  <c r="I12" i="45" a="1"/>
  <c r="N32" i="45" a="1"/>
  <c r="M24" i="45" a="1"/>
  <c r="E13" i="45" a="1"/>
  <c r="L28" i="45" a="1"/>
  <c r="E12" i="45" a="1"/>
  <c r="D32" i="45" a="1"/>
  <c r="U12" i="45" a="1"/>
  <c r="T8" i="45" a="1"/>
  <c r="J9" i="45" a="1"/>
  <c r="L21" i="45" a="1"/>
  <c r="K26" i="45" a="1"/>
  <c r="H29" i="45" a="1"/>
  <c r="T20" i="45" a="1"/>
  <c r="M6" i="45" a="1"/>
  <c r="S30" i="45" a="1"/>
  <c r="K20" i="45" a="1"/>
  <c r="T30" i="45" a="1"/>
  <c r="N21" i="45" a="1"/>
  <c r="J18" i="45" a="1"/>
  <c r="M17" i="45" a="1"/>
  <c r="L12" i="45" a="1"/>
  <c r="O24" i="45" a="1"/>
  <c r="M11" i="45" a="1"/>
  <c r="T10" i="45" a="1"/>
  <c r="T32" i="45" a="1"/>
  <c r="G16" i="45" a="1"/>
  <c r="Q18" i="45" a="1"/>
  <c r="P7" i="45" a="1"/>
  <c r="F15" i="45" a="1"/>
  <c r="D5" i="45" a="1"/>
  <c r="G27" i="45" a="1"/>
  <c r="I11" i="45" a="1"/>
  <c r="T17" i="45" a="1"/>
  <c r="J6" i="45" a="1"/>
  <c r="K18" i="45" a="1"/>
  <c r="M12" i="45" a="1"/>
  <c r="H25" i="45" a="1"/>
  <c r="T25" i="45" a="1"/>
  <c r="O31" i="45" a="1"/>
  <c r="K8" i="45" a="1"/>
  <c r="J11" i="45" a="1"/>
  <c r="E31" i="45" a="1"/>
  <c r="R32" i="45" a="1"/>
  <c r="L19" i="45" a="1"/>
  <c r="Q7" i="45" a="1"/>
  <c r="H27" i="45" a="1"/>
  <c r="I26" i="45" a="1"/>
  <c r="K29" i="45" a="1"/>
  <c r="S24" i="45" a="1"/>
  <c r="E9" i="45" a="1"/>
  <c r="S12" i="45" a="1"/>
  <c r="D29" i="45" a="1"/>
  <c r="E20" i="45" a="1"/>
  <c r="L33" i="45" a="1"/>
  <c r="J20" i="45" a="1"/>
  <c r="E7" i="45" a="1"/>
  <c r="G11" i="45" a="1"/>
  <c r="P20" i="45" a="1"/>
  <c r="N6" i="45" a="1"/>
  <c r="E22" i="45" a="1"/>
  <c r="E23" i="45" a="1"/>
  <c r="E26" i="45" a="1"/>
  <c r="S17" i="45" a="1"/>
  <c r="S19" i="45" a="1"/>
  <c r="U26" i="45" a="1"/>
  <c r="K21" i="45" a="1"/>
  <c r="Q23" i="45" a="1"/>
  <c r="G25" i="45" a="1"/>
  <c r="M19" i="45" a="1"/>
  <c r="U24" i="45" a="1"/>
  <c r="J13" i="45" a="1"/>
  <c r="D20" i="45" a="1"/>
  <c r="M25" i="45" a="1"/>
  <c r="P18" i="45" a="1"/>
  <c r="D9" i="45" a="1"/>
  <c r="E11" i="45" a="1"/>
  <c r="J8" i="45" a="1"/>
  <c r="R9" i="45" a="1"/>
  <c r="O29" i="45" a="1"/>
  <c r="Q12" i="45" a="1"/>
  <c r="F17" i="45" a="1"/>
  <c r="O16" i="45" a="1"/>
  <c r="G20" i="45" a="1"/>
  <c r="U10" i="45" a="1"/>
  <c r="S16" i="45" a="1"/>
  <c r="T6" i="45" a="1"/>
  <c r="Q30" i="45" a="1"/>
  <c r="R27" i="45" a="1"/>
  <c r="U34" i="45" a="1"/>
  <c r="H16" i="45" a="1"/>
  <c r="N8" i="45" a="1"/>
  <c r="G8" i="45" a="1"/>
  <c r="O32" i="45" a="1"/>
  <c r="K17" i="45" a="1"/>
  <c r="Q9" i="45" a="1"/>
  <c r="I30" i="45" a="1"/>
  <c r="F19" i="45" a="1"/>
  <c r="T13" i="45" a="1"/>
  <c r="O5" i="45" a="1"/>
  <c r="D30" i="45" a="1"/>
  <c r="E18" i="45" a="1"/>
  <c r="T16" i="45" a="1"/>
  <c r="L7" i="45" a="1"/>
  <c r="H26" i="45" a="1"/>
  <c r="O27" i="45" a="1"/>
  <c r="K34" i="45" a="1"/>
  <c r="J23" i="45" a="1"/>
  <c r="O23" i="45" a="1"/>
  <c r="M18" i="45" a="1"/>
  <c r="J34" i="45" a="1"/>
  <c r="Q26" i="45" a="1"/>
  <c r="O6" i="45" a="1"/>
  <c r="M13" i="45" a="1"/>
  <c r="J21" i="45" a="1"/>
  <c r="U14" i="45" a="1"/>
  <c r="N29" i="45" a="1"/>
  <c r="D8" i="45" a="1"/>
  <c r="M31" i="45" a="1"/>
  <c r="F27" i="45" a="1"/>
  <c r="J10" i="45" a="1"/>
  <c r="K22" i="45" a="1"/>
  <c r="R11" i="45" a="1"/>
  <c r="L34" i="45" a="1"/>
  <c r="I34" i="45" a="1"/>
  <c r="N14" i="45" a="1"/>
  <c r="L14" i="45" a="1"/>
  <c r="O19" i="45" a="1"/>
  <c r="U25" i="45" a="1"/>
  <c r="Q6" i="45" a="1"/>
  <c r="U19" i="45" a="1"/>
  <c r="K11" i="45" a="1"/>
  <c r="P33" i="45" a="1"/>
  <c r="R19" i="45" a="1"/>
  <c r="K32" i="45" a="1"/>
  <c r="R6" i="45" a="1"/>
  <c r="H33" i="45" a="1"/>
  <c r="H8" i="45" a="1"/>
  <c r="S7" i="45" a="1"/>
  <c r="H7" i="45" a="1"/>
  <c r="O15" i="45" a="1"/>
  <c r="N7" i="45" a="1"/>
  <c r="R12" i="45" a="1"/>
  <c r="S22" i="45" a="1"/>
  <c r="M16" i="45" a="1"/>
  <c r="I29" i="45" a="1"/>
  <c r="G32" i="45" a="1"/>
  <c r="I33" i="45" a="1"/>
  <c r="F23" i="45" a="1"/>
  <c r="F28" i="45" a="1"/>
  <c r="T27" i="45" a="1"/>
  <c r="F5" i="45" a="1"/>
  <c r="N12" i="45" a="1"/>
  <c r="R17" i="45" a="1"/>
  <c r="Q31" i="45" a="1"/>
  <c r="O20" i="45" a="1"/>
  <c r="I14" i="45" a="1"/>
  <c r="P23" i="45" a="1"/>
  <c r="Q5" i="45" a="1"/>
  <c r="R24" i="45" a="1"/>
  <c r="Q13" i="45" a="1"/>
  <c r="F11" i="45" a="1"/>
  <c r="S10" i="45" a="1"/>
  <c r="R5" i="45" a="1"/>
  <c r="L25" i="45" a="1"/>
  <c r="M14" i="45" a="1"/>
  <c r="K23" i="45" a="1"/>
  <c r="H18" i="45" a="1"/>
  <c r="R33" i="45" a="1"/>
  <c r="R13" i="45" a="1"/>
  <c r="F13" i="45" a="1"/>
  <c r="I17" i="45" a="1"/>
  <c r="O33" i="45" a="1"/>
  <c r="N9" i="45" a="1"/>
  <c r="E33" i="45" a="1"/>
  <c r="S28" i="45" a="1"/>
  <c r="E8" i="45" a="1"/>
  <c r="H5" i="45" a="1"/>
  <c r="L17" i="45" a="1"/>
  <c r="E28" i="45" a="1"/>
  <c r="L6" i="45" a="1"/>
  <c r="G21" i="45" a="1"/>
  <c r="G22" i="45" a="1"/>
  <c r="Q25" i="45" a="1"/>
  <c r="H15" i="45" a="1"/>
  <c r="I23" i="45" a="1"/>
  <c r="E5" i="45" a="1"/>
  <c r="E21" i="45" a="1"/>
  <c r="K19" i="45" a="1"/>
  <c r="D21" i="45" a="1"/>
  <c r="E25" i="45" a="1"/>
  <c r="G9" i="45" a="1"/>
  <c r="F30" i="45" a="1"/>
  <c r="H6" i="45" a="1"/>
  <c r="F25" i="45" a="1"/>
  <c r="S18" i="45" a="1"/>
  <c r="G29" i="45" a="1"/>
  <c r="G5" i="45" a="1"/>
  <c r="S32" i="45" a="1"/>
  <c r="D23" i="45" a="1"/>
  <c r="U18" i="45" a="1"/>
  <c r="I25" i="45" a="1"/>
  <c r="J14" i="45" a="1"/>
  <c r="H34" i="45" a="1"/>
  <c r="E24" i="45" a="1"/>
  <c r="I21" i="45" a="1"/>
  <c r="N22" i="45" a="1"/>
  <c r="F24" i="45" a="1"/>
  <c r="F9" i="45" a="1"/>
  <c r="O13" i="45" a="1"/>
  <c r="M9" i="45" a="1"/>
  <c r="F18" i="45" a="1"/>
  <c r="R29" i="45" a="1"/>
  <c r="J19" i="45" a="1"/>
  <c r="U15" i="45" a="1"/>
  <c r="S25" i="45" a="1"/>
  <c r="R20" i="45" a="1"/>
  <c r="M34" i="45" a="1"/>
  <c r="S20" i="45" a="1"/>
  <c r="S29" i="45" a="1"/>
  <c r="R7" i="45" a="1"/>
  <c r="G17" i="45" a="1"/>
  <c r="Q19" i="45" a="1"/>
  <c r="Q11" i="45" a="1"/>
  <c r="I20" i="45" a="1"/>
  <c r="Q28" i="45" a="1"/>
  <c r="O14" i="45" a="1"/>
  <c r="M28" i="45" a="1"/>
  <c r="U23" i="45" a="1"/>
  <c r="T26" i="45" a="1"/>
  <c r="O8" i="45" a="1"/>
  <c r="K24" i="45" a="1"/>
  <c r="L26" i="45" a="1"/>
  <c r="L30" i="45" l="1"/>
  <c r="O19" i="45"/>
  <c r="G11" i="45"/>
  <c r="T8" i="45"/>
  <c r="G21" i="45"/>
  <c r="H31" i="45"/>
  <c r="K25" i="45"/>
  <c r="E6" i="45"/>
  <c r="K24" i="45"/>
  <c r="M6" i="45"/>
  <c r="P13" i="45"/>
  <c r="F8" i="45"/>
  <c r="Q5" i="45"/>
  <c r="L17" i="45"/>
  <c r="P27" i="45"/>
  <c r="S8" i="45"/>
  <c r="P32" i="45"/>
  <c r="J25" i="45"/>
  <c r="Q15" i="45"/>
  <c r="Q21" i="45"/>
  <c r="U31" i="45"/>
  <c r="U12" i="45"/>
  <c r="F11" i="45"/>
  <c r="O34" i="45"/>
  <c r="U16" i="45"/>
  <c r="D21" i="45"/>
  <c r="T18" i="45"/>
  <c r="M30" i="45"/>
  <c r="F12" i="45"/>
  <c r="G27" i="45"/>
  <c r="I15" i="45"/>
  <c r="F18" i="45"/>
  <c r="P21" i="45"/>
  <c r="F14" i="45"/>
  <c r="E23" i="45"/>
  <c r="P28" i="45"/>
  <c r="S9" i="45"/>
  <c r="N11" i="45"/>
  <c r="G26" i="45"/>
  <c r="AV10" i="45"/>
  <c r="AV6" i="45"/>
  <c r="W5" i="45"/>
  <c r="AV5" i="45" s="1"/>
  <c r="AV7" i="45"/>
  <c r="AV11" i="45"/>
  <c r="AV9" i="45"/>
  <c r="AV8" i="45"/>
  <c r="R15" i="45"/>
  <c r="F24" i="45"/>
  <c r="T12" i="45"/>
  <c r="L11" i="45"/>
  <c r="L14" i="45"/>
  <c r="E8" i="45"/>
  <c r="I23" i="45"/>
  <c r="S13" i="45"/>
  <c r="Q32" i="45"/>
  <c r="U30" i="45"/>
  <c r="S16" i="45"/>
  <c r="N28" i="45"/>
  <c r="G18" i="45"/>
  <c r="S17" i="45"/>
  <c r="I31" i="45"/>
  <c r="S24" i="45"/>
  <c r="F25" i="45"/>
  <c r="L9" i="45"/>
  <c r="U13" i="45"/>
  <c r="E28" i="45"/>
  <c r="K6" i="45"/>
  <c r="M5" i="45"/>
  <c r="J22" i="45"/>
  <c r="G32" i="45"/>
  <c r="P9" i="45"/>
  <c r="D10" i="45"/>
  <c r="K5" i="45"/>
  <c r="H9" i="45"/>
  <c r="R10" i="45"/>
  <c r="P12" i="45"/>
  <c r="Q24" i="45"/>
  <c r="F10" i="45"/>
  <c r="I12" i="45"/>
  <c r="Q14" i="45"/>
  <c r="F15" i="45"/>
  <c r="F32" i="45"/>
  <c r="F22" i="45"/>
  <c r="I5" i="45"/>
  <c r="O28" i="45"/>
  <c r="O16" i="45"/>
  <c r="M24" i="45"/>
  <c r="I34" i="45"/>
  <c r="U10" i="45"/>
  <c r="Q9" i="45"/>
  <c r="Q30" i="45"/>
  <c r="R32" i="45"/>
  <c r="U23" i="45"/>
  <c r="O22" i="45"/>
  <c r="E18" i="45"/>
  <c r="E15" i="45"/>
  <c r="P17" i="45"/>
  <c r="P24" i="45"/>
  <c r="H10" i="45"/>
  <c r="L12" i="45"/>
  <c r="U14" i="45"/>
  <c r="Q20" i="45"/>
  <c r="O29" i="45"/>
  <c r="D33" i="45"/>
  <c r="P31" i="45"/>
  <c r="G14" i="45"/>
  <c r="J24" i="45"/>
  <c r="Q33" i="45"/>
  <c r="L32" i="45"/>
  <c r="N17" i="45"/>
  <c r="K28" i="45"/>
  <c r="U33" i="45"/>
  <c r="I27" i="45"/>
  <c r="H24" i="45"/>
  <c r="U26" i="45"/>
  <c r="S26" i="45"/>
  <c r="I24" i="45"/>
  <c r="I14" i="45"/>
  <c r="N10" i="45"/>
  <c r="T9" i="45"/>
  <c r="I22" i="45"/>
  <c r="L27" i="45"/>
  <c r="P26" i="45"/>
  <c r="M34" i="45"/>
  <c r="Q18" i="45"/>
  <c r="K34" i="45"/>
  <c r="S20" i="45"/>
  <c r="N29" i="45"/>
  <c r="G20" i="45"/>
  <c r="K10" i="45"/>
  <c r="J16" i="45"/>
  <c r="G15" i="45"/>
  <c r="O21" i="45"/>
  <c r="N18" i="45"/>
  <c r="I8" i="45"/>
  <c r="J18" i="45"/>
  <c r="E5" i="45"/>
  <c r="H19" i="45"/>
  <c r="T32" i="45"/>
  <c r="P11" i="45"/>
  <c r="F7" i="45"/>
  <c r="L25" i="45"/>
  <c r="D19" i="45"/>
  <c r="F29" i="45"/>
  <c r="K19" i="45"/>
  <c r="K12" i="45"/>
  <c r="I29" i="45"/>
  <c r="J26" i="45"/>
  <c r="K30" i="45"/>
  <c r="E34" i="45"/>
  <c r="E13" i="45"/>
  <c r="O26" i="45"/>
  <c r="M15" i="45"/>
  <c r="F19" i="45"/>
  <c r="M22" i="45"/>
  <c r="I11" i="45"/>
  <c r="D17" i="45"/>
  <c r="T19" i="45"/>
  <c r="H13" i="45"/>
  <c r="P6" i="45"/>
  <c r="G19" i="45"/>
  <c r="J8" i="45"/>
  <c r="Q29" i="45"/>
  <c r="D13" i="45"/>
  <c r="O25" i="45"/>
  <c r="E29" i="45"/>
  <c r="G28" i="45"/>
  <c r="F17" i="45"/>
  <c r="M14" i="45"/>
  <c r="L33" i="45"/>
  <c r="P30" i="45"/>
  <c r="U29" i="45"/>
  <c r="L20" i="45"/>
  <c r="L10" i="45"/>
  <c r="H14" i="45"/>
  <c r="U18" i="45"/>
  <c r="K9" i="45"/>
  <c r="U34" i="45"/>
  <c r="J10" i="45"/>
  <c r="O31" i="45"/>
  <c r="P10" i="45"/>
  <c r="G17" i="45"/>
  <c r="R22" i="45"/>
  <c r="I17" i="45"/>
  <c r="K27" i="45"/>
  <c r="K16" i="45"/>
  <c r="K20" i="45"/>
  <c r="N7" i="45"/>
  <c r="P25" i="45"/>
  <c r="L7" i="45"/>
  <c r="R11" i="45"/>
  <c r="G24" i="45"/>
  <c r="L34" i="45"/>
  <c r="M26" i="45"/>
  <c r="O7" i="45"/>
  <c r="E25" i="45"/>
  <c r="E16" i="45"/>
  <c r="G30" i="45"/>
  <c r="O6" i="45"/>
  <c r="M10" i="45"/>
  <c r="E10" i="45"/>
  <c r="U8" i="45"/>
  <c r="Q19" i="45"/>
  <c r="J28" i="45"/>
  <c r="J6" i="45"/>
  <c r="P7" i="45"/>
  <c r="H16" i="45"/>
  <c r="F16" i="45"/>
  <c r="N22" i="45"/>
  <c r="R20" i="45"/>
  <c r="N26" i="45"/>
  <c r="H33" i="45"/>
  <c r="O20" i="45"/>
  <c r="O30" i="45"/>
  <c r="G31" i="45"/>
  <c r="U22" i="45"/>
  <c r="T10" i="45"/>
  <c r="D24" i="45"/>
  <c r="D32" i="45"/>
  <c r="T17" i="45"/>
  <c r="R21" i="45"/>
  <c r="P33" i="45"/>
  <c r="N15" i="45"/>
  <c r="S30" i="45"/>
  <c r="D30" i="45"/>
  <c r="D23" i="45"/>
  <c r="N19" i="45"/>
  <c r="S11" i="45"/>
  <c r="S14" i="45"/>
  <c r="D18" i="45"/>
  <c r="H22" i="45"/>
  <c r="M12" i="45"/>
  <c r="O33" i="45"/>
  <c r="O27" i="45"/>
  <c r="S27" i="45"/>
  <c r="U15" i="45"/>
  <c r="T33" i="45"/>
  <c r="J27" i="45"/>
  <c r="K23" i="45"/>
  <c r="Q34" i="45"/>
  <c r="I33" i="45"/>
  <c r="R12" i="45"/>
  <c r="H6" i="45"/>
  <c r="I10" i="45"/>
  <c r="E21" i="45"/>
  <c r="D27" i="45"/>
  <c r="P22" i="45"/>
  <c r="I30" i="45"/>
  <c r="L26" i="45"/>
  <c r="S25" i="45"/>
  <c r="L23" i="45"/>
  <c r="U24" i="45"/>
  <c r="F5" i="45"/>
  <c r="M19" i="45"/>
  <c r="D9" i="45"/>
  <c r="S7" i="45"/>
  <c r="N5" i="45"/>
  <c r="S10" i="45"/>
  <c r="F23" i="45"/>
  <c r="U25" i="45"/>
  <c r="I21" i="45"/>
  <c r="J21" i="45"/>
  <c r="G25" i="45"/>
  <c r="O24" i="45"/>
  <c r="J29" i="45"/>
  <c r="M31" i="45"/>
  <c r="F28" i="45"/>
  <c r="L8" i="45"/>
  <c r="J19" i="45"/>
  <c r="U17" i="45"/>
  <c r="D5" i="45"/>
  <c r="S33" i="45"/>
  <c r="O10" i="45"/>
  <c r="R7" i="45"/>
  <c r="N14" i="45"/>
  <c r="P8" i="45"/>
  <c r="T20" i="45"/>
  <c r="D20" i="45"/>
  <c r="L31" i="45"/>
  <c r="H7" i="45"/>
  <c r="E31" i="45"/>
  <c r="I20" i="45"/>
  <c r="R31" i="45"/>
  <c r="P15" i="45"/>
  <c r="D12" i="45"/>
  <c r="T7" i="45"/>
  <c r="R14" i="45"/>
  <c r="R29" i="45"/>
  <c r="Q16" i="45"/>
  <c r="K21" i="45"/>
  <c r="D22" i="45"/>
  <c r="S15" i="45"/>
  <c r="M7" i="45"/>
  <c r="S12" i="45"/>
  <c r="G33" i="45"/>
  <c r="S32" i="45"/>
  <c r="Q27" i="45"/>
  <c r="K7" i="45"/>
  <c r="E19" i="45"/>
  <c r="N27" i="45"/>
  <c r="R6" i="45"/>
  <c r="T31" i="45"/>
  <c r="Q25" i="45"/>
  <c r="R24" i="45"/>
  <c r="E20" i="45"/>
  <c r="L6" i="45"/>
  <c r="U5" i="45"/>
  <c r="O23" i="45"/>
  <c r="N25" i="45"/>
  <c r="N20" i="45"/>
  <c r="J23" i="45"/>
  <c r="H18" i="45"/>
  <c r="R33" i="45"/>
  <c r="G7" i="45"/>
  <c r="J12" i="45"/>
  <c r="S28" i="45"/>
  <c r="N33" i="45"/>
  <c r="T25" i="45"/>
  <c r="T11" i="45"/>
  <c r="N23" i="45"/>
  <c r="R18" i="45"/>
  <c r="L21" i="45"/>
  <c r="Q10" i="45"/>
  <c r="H29" i="45"/>
  <c r="L16" i="45"/>
  <c r="J20" i="45"/>
  <c r="O12" i="45"/>
  <c r="J15" i="45"/>
  <c r="U9" i="45"/>
  <c r="N12" i="45"/>
  <c r="O15" i="45"/>
  <c r="F21" i="45"/>
  <c r="G10" i="45"/>
  <c r="S5" i="45"/>
  <c r="Q6" i="45"/>
  <c r="E12" i="45"/>
  <c r="E27" i="45"/>
  <c r="D7" i="45"/>
  <c r="N8" i="45"/>
  <c r="J17" i="45"/>
  <c r="K13" i="45"/>
  <c r="D11" i="45"/>
  <c r="T6" i="45"/>
  <c r="O32" i="45"/>
  <c r="F9" i="45"/>
  <c r="D26" i="45"/>
  <c r="T15" i="45"/>
  <c r="U20" i="45"/>
  <c r="D25" i="45"/>
  <c r="T14" i="45"/>
  <c r="U27" i="45"/>
  <c r="I32" i="45"/>
  <c r="M9" i="45"/>
  <c r="O8" i="45"/>
  <c r="Q13" i="45"/>
  <c r="N24" i="45"/>
  <c r="J30" i="45"/>
  <c r="K33" i="45"/>
  <c r="T29" i="45"/>
  <c r="N16" i="45"/>
  <c r="F30" i="45"/>
  <c r="H28" i="45"/>
  <c r="Q26" i="45"/>
  <c r="O13" i="45"/>
  <c r="J11" i="45"/>
  <c r="Q22" i="45"/>
  <c r="R9" i="45"/>
  <c r="M25" i="45"/>
  <c r="Q23" i="45"/>
  <c r="I7" i="45"/>
  <c r="J5" i="45"/>
  <c r="H34" i="45"/>
  <c r="G16" i="45"/>
  <c r="S6" i="45"/>
  <c r="J34" i="45"/>
  <c r="T30" i="45"/>
  <c r="D15" i="45"/>
  <c r="U28" i="45"/>
  <c r="T13" i="45"/>
  <c r="N32" i="45"/>
  <c r="Q8" i="45"/>
  <c r="P20" i="45"/>
  <c r="M16" i="45"/>
  <c r="H11" i="45"/>
  <c r="K15" i="45"/>
  <c r="D16" i="45"/>
  <c r="S29" i="45"/>
  <c r="K17" i="45"/>
  <c r="I13" i="45"/>
  <c r="P16" i="45"/>
  <c r="I26" i="45"/>
  <c r="O17" i="45"/>
  <c r="U7" i="45"/>
  <c r="R27" i="45"/>
  <c r="L5" i="45"/>
  <c r="T22" i="45"/>
  <c r="I25" i="45"/>
  <c r="P34" i="45"/>
  <c r="R5" i="45"/>
  <c r="M29" i="45"/>
  <c r="H21" i="45"/>
  <c r="G12" i="45"/>
  <c r="L19" i="45"/>
  <c r="T26" i="45"/>
  <c r="T16" i="45"/>
  <c r="R28" i="45"/>
  <c r="G5" i="45"/>
  <c r="S18" i="45"/>
  <c r="K8" i="45"/>
  <c r="F20" i="45"/>
  <c r="Q17" i="45"/>
  <c r="R34" i="45"/>
  <c r="T27" i="45"/>
  <c r="L13" i="45"/>
  <c r="R25" i="45"/>
  <c r="R19" i="45"/>
  <c r="T5" i="45"/>
  <c r="D6" i="45"/>
  <c r="I28" i="45"/>
  <c r="I9" i="45"/>
  <c r="H15" i="45"/>
  <c r="Q7" i="45"/>
  <c r="D29" i="45"/>
  <c r="I19" i="45"/>
  <c r="R8" i="45"/>
  <c r="L24" i="45"/>
  <c r="H17" i="45"/>
  <c r="G29" i="45"/>
  <c r="R16" i="45"/>
  <c r="H32" i="45"/>
  <c r="P19" i="45"/>
  <c r="P23" i="45"/>
  <c r="G8" i="45"/>
  <c r="M32" i="45"/>
  <c r="J31" i="45"/>
  <c r="O11" i="45"/>
  <c r="T23" i="45"/>
  <c r="Q31" i="45"/>
  <c r="E11" i="45"/>
  <c r="L15" i="45"/>
  <c r="H12" i="45"/>
  <c r="S21" i="45"/>
  <c r="G9" i="45"/>
  <c r="I16" i="45"/>
  <c r="J33" i="45"/>
  <c r="M23" i="45"/>
  <c r="U21" i="45"/>
  <c r="M8" i="45"/>
  <c r="R30" i="45"/>
  <c r="K26" i="45"/>
  <c r="G13" i="45"/>
  <c r="D34" i="45"/>
  <c r="E30" i="45"/>
  <c r="R26" i="45"/>
  <c r="Q12" i="45"/>
  <c r="H27" i="45"/>
  <c r="E17" i="45"/>
  <c r="G23" i="45"/>
  <c r="E26" i="45"/>
  <c r="T21" i="45"/>
  <c r="R17" i="45"/>
  <c r="K18" i="45"/>
  <c r="M21" i="45"/>
  <c r="M33" i="45"/>
  <c r="S22" i="45"/>
  <c r="F26" i="45"/>
  <c r="O9" i="45"/>
  <c r="M11" i="45"/>
  <c r="E7" i="45"/>
  <c r="S23" i="45"/>
  <c r="G22" i="45"/>
  <c r="L29" i="45"/>
  <c r="U6" i="45"/>
  <c r="F6" i="45"/>
  <c r="H25" i="45"/>
  <c r="P14" i="45"/>
  <c r="I18" i="45"/>
  <c r="M18" i="45"/>
  <c r="K29" i="45"/>
  <c r="E24" i="45"/>
  <c r="N31" i="45"/>
  <c r="J32" i="45"/>
  <c r="N30" i="45"/>
  <c r="F33" i="45"/>
  <c r="S19" i="45"/>
  <c r="F34" i="45"/>
  <c r="L18" i="45"/>
  <c r="E22" i="45"/>
  <c r="D28" i="45"/>
  <c r="H26" i="45"/>
  <c r="D8" i="45"/>
  <c r="E33" i="45"/>
  <c r="S31" i="45"/>
  <c r="O18" i="45"/>
  <c r="H20" i="45"/>
  <c r="M17" i="45"/>
  <c r="F31" i="45"/>
  <c r="E32" i="45"/>
  <c r="D14" i="45"/>
  <c r="U11" i="45"/>
  <c r="S34" i="45"/>
  <c r="F13" i="45"/>
  <c r="K11" i="45"/>
  <c r="E14" i="45"/>
  <c r="G34" i="45"/>
  <c r="J7" i="45"/>
  <c r="O5" i="45"/>
  <c r="H30" i="45"/>
  <c r="O14" i="45"/>
  <c r="N13" i="45"/>
  <c r="T34" i="45"/>
  <c r="K31" i="45"/>
  <c r="L22" i="45"/>
  <c r="K14" i="45"/>
  <c r="D31" i="45"/>
  <c r="L28" i="45"/>
  <c r="M13" i="45"/>
  <c r="T24" i="45"/>
  <c r="E9" i="45"/>
  <c r="H5" i="45"/>
  <c r="M27" i="45"/>
  <c r="I6" i="45"/>
  <c r="M28" i="45"/>
  <c r="N21" i="45"/>
  <c r="P29" i="45"/>
  <c r="P18" i="45"/>
  <c r="G6" i="45"/>
  <c r="J13" i="45"/>
  <c r="N6" i="45"/>
  <c r="R13" i="45"/>
  <c r="M20" i="45"/>
  <c r="K32" i="45"/>
  <c r="N34" i="45"/>
  <c r="J14" i="45"/>
  <c r="K22" i="45"/>
  <c r="H23" i="45"/>
  <c r="U32" i="45"/>
  <c r="F27" i="45"/>
  <c r="Q11" i="45"/>
  <c r="H8" i="45"/>
  <c r="P5" i="45"/>
  <c r="J9" i="45"/>
  <c r="T28" i="45"/>
  <c r="Q28" i="45"/>
  <c r="N9" i="45"/>
  <c r="U19" i="45"/>
  <c r="R23" i="4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tc={72F602D0-18F0-4286-9692-CC1080B686E2}</author>
    <author>tc={4FD6B206-4AFD-4023-82FA-5B143DFCD993}</author>
    <author>tc={8B56C9E8-4DFF-4205-960F-566589A0E794}</author>
    <author>tc={AC24D732-76CA-41C6-8E7A-CC496661A29C}</author>
    <author>tc={9F72E86F-DF98-46A8-B7B3-9A57CBA8D27C}</author>
    <author>tc={68844A8E-5C85-4689-94F8-C659A93EB546}</author>
    <author>tc={6F378FDE-AEF4-44C0-9C69-7524D7D1F4B7}</author>
    <author>tc={AD2A23F0-40B5-48AB-9302-996486F77BC6}</author>
    <author>tc={34127A72-0C3E-4BAC-AB3C-ED2A058F3029}</author>
    <author>tc={5A923471-9F8D-47A4-9913-92A0918036A6}</author>
    <author>tc={77E7B191-0E59-4860-858B-F666BF4FE43A}</author>
    <author>tc={AF7474C9-91A1-4100-96D7-081D62D06519}</author>
    <author>tc={D4482AB6-E345-470A-8C5E-EF34A673DBB2}</author>
    <author>tc={6475EB40-B603-4F56-8E5A-640DD450C236}</author>
    <author>tc={A595910D-6D3E-4B43-9A4B-E15DB56B58F9}</author>
    <author>tc={3710104D-8122-44A3-883F-1D2DA598E462}</author>
    <author>tc={8133A934-4A8D-4D63-A5A5-12798C4EBD19}</author>
    <author>tc={0CA8CE41-4243-40C5-B48B-78D3D95F1AC4}</author>
    <author>tc={C682300C-7F51-40A6-8388-677AD675C390}</author>
    <author>tc={CA41DFA7-49EB-4602-9C89-90E44ADC18F0}</author>
    <author>tc={083B8F51-2151-4E3B-87E5-CAA1A0185CA7}</author>
    <author>tc={91A5EAA1-6F55-4C1D-B98A-EA9BB0A4C217}</author>
    <author>tc={EF5D3F2C-21BB-4D51-9D56-C50A7ACFC2F3}</author>
    <author>tc={C7C4A443-3FD0-4C49-A40F-4B43B5369304}</author>
    <author>tc={40EAA3AE-E0B8-45AD-BBAF-25C04968E9EE}</author>
    <author>tc={3E61E5AF-8FD3-4D2A-8534-C340A4C896A7}</author>
    <author>tc={5549E8B7-24D3-491A-8527-9A9A76C3E70A}</author>
    <author>tc={A4CF55BA-411D-4D1B-A753-256E719FC8FF}</author>
    <author>tc={42BDDFCB-272C-4AE5-93F3-510C602F028A}</author>
    <author>tc={DAB1E5A1-C9DB-4D7F-A0F6-75054E7C51F8}</author>
  </authors>
  <commentList>
    <comment ref="H24" authorId="0" shapeId="0" xr:uid="{72F602D0-18F0-4286-9692-CC1080B686E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Programa Revit</t>
      </text>
    </comment>
    <comment ref="H31" authorId="1" shapeId="0" xr:uid="{4FD6B206-4AFD-4023-82FA-5B143DFCD993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C03, salió de la clase de C. integral, avisar a operaciones para que modifique el nombre</t>
      </text>
    </comment>
    <comment ref="H34" authorId="2" shapeId="0" xr:uid="{8B56C9E8-4DFF-4205-960F-566589A0E79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Clase en linea</t>
      </text>
    </comment>
    <comment ref="H39" authorId="3" shapeId="0" xr:uid="{AC24D732-76CA-41C6-8E7A-CC496661A29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solicita aula Aguascalientes correo 10/11/2022</t>
      </text>
    </comment>
    <comment ref="C48" authorId="4" shapeId="0" xr:uid="{9F72E86F-DF98-46A8-B7B3-9A57CBA8D27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Por ser plan viejo es de 64 hrs., para 4ITE, al menos que tengamos 1 recursador en otras carrera se podría modificar a 48 hrs. Por lo tanto el horario podría quedar de 3 hrs. por semana.</t>
      </text>
    </comment>
    <comment ref="F49" authorId="5" shapeId="0" xr:uid="{68844A8E-5C85-4689-94F8-C659A93EB54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Comunicación de datos, debe de tener el mismo horario que gestión de la calidad.</t>
      </text>
    </comment>
    <comment ref="H50" authorId="6" shapeId="0" xr:uid="{6F378FDE-AEF4-44C0-9C69-7524D7D1F4B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Sale del Lab. Electrtónica</t>
      </text>
    </comment>
    <comment ref="H51" authorId="7" shapeId="0" xr:uid="{AD2A23F0-40B5-48AB-9302-996486F77BC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Sale A14, liberar</t>
      </text>
    </comment>
    <comment ref="H70" authorId="8" shapeId="0" xr:uid="{34127A72-0C3E-4BAC-AB3C-ED2A058F302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solicita compu-aula 20/01/2023</t>
      </text>
    </comment>
    <comment ref="H76" authorId="9" shapeId="0" xr:uid="{5A923471-9F8D-47A4-9913-92A0918036A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requiere cambiar de aula a posgrado el correo ya esta pero estoy esperando respuesta
Respuesta:
    Sale A13 para cambiar a Jesús María (jueves)</t>
      </text>
    </comment>
    <comment ref="H77" authorId="10" shapeId="0" xr:uid="{77E7B191-0E59-4860-858B-F666BF4FE43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Sale A12</t>
      </text>
    </comment>
    <comment ref="H86" authorId="11" shapeId="0" xr:uid="{AF7474C9-91A1-4100-96D7-081D62D0651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Liberar A25 viernes de 12-14</t>
      </text>
    </comment>
    <comment ref="H114" authorId="12" shapeId="0" xr:uid="{D4482AB6-E345-470A-8C5E-EF34A673DBB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solicita aula de posgrado correo 11/11/2022
Respuesta:
    Sale A11, para cambiar a Jesús María los jueves</t>
      </text>
    </comment>
    <comment ref="O117" authorId="13" shapeId="0" xr:uid="{6475EB40-B603-4F56-8E5A-640DD450C23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Algunos de IM</t>
      </text>
    </comment>
    <comment ref="F122" authorId="14" shapeId="0" xr:uid="{A595910D-6D3E-4B43-9A4B-E15DB56B58F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Los alumnos de ICA, comprometen en tomar Ética profesional en Invierno, para poder llevar esta materia.</t>
      </text>
    </comment>
    <comment ref="O123" authorId="15" shapeId="0" xr:uid="{3710104D-8122-44A3-883F-1D2DA598E46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Algunos alumnos IM</t>
      </text>
    </comment>
    <comment ref="J133" authorId="16" shapeId="0" xr:uid="{8133A934-4A8D-4D63-A5A5-12798C4EBD1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Solamente hay 3 en pronóstico, estará bien?</t>
      </text>
    </comment>
    <comment ref="F138" authorId="17" shapeId="0" xr:uid="{0CA8CE41-4243-40C5-B48B-78D3D95F1AC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realiza cambio de horario, solicitar mismo ajuste al área de operaciones</t>
      </text>
    </comment>
    <comment ref="H141" authorId="18" shapeId="0" xr:uid="{C682300C-7F51-40A6-8388-677AD675C39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Clase en línea</t>
      </text>
    </comment>
    <comment ref="H142" authorId="19" shapeId="0" xr:uid="{CA41DFA7-49EB-4602-9C89-90E44ADC18F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Ojo: 1 hrs. Teoría y 11/2 Taller</t>
      </text>
    </comment>
    <comment ref="H143" authorId="20" shapeId="0" xr:uid="{083B8F51-2151-4E3B-87E5-CAA1A0185CA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Clase en línea</t>
      </text>
    </comment>
    <comment ref="H146" authorId="21" shapeId="0" xr:uid="{91A5EAA1-6F55-4C1D-B98A-EA9BB0A4C21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Ojo: 1 hrs. Teoría y 11/2 Taller</t>
      </text>
    </comment>
    <comment ref="H149" authorId="22" shapeId="0" xr:uid="{EF5D3F2C-21BB-4D51-9D56-C50A7ACFC2F3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Sale C22</t>
      </text>
    </comment>
    <comment ref="H177" authorId="23" shapeId="0" xr:uid="{C7C4A443-3FD0-4C49-A40F-4B43B536930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En línea, si necesita el aula</t>
      </text>
    </comment>
    <comment ref="H178" authorId="24" shapeId="0" xr:uid="{40EAA3AE-E0B8-45AD-BBAF-25C04968E9E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Clase en línea</t>
      </text>
    </comment>
    <comment ref="H185" authorId="25" shapeId="0" xr:uid="{3E61E5AF-8FD3-4D2A-8534-C340A4C896A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Sale de Química</t>
      </text>
    </comment>
    <comment ref="B189" authorId="26" shapeId="0" xr:uid="{5549E8B7-24D3-491A-8527-9A9A76C3E70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Nuevo ingreso.</t>
      </text>
    </comment>
    <comment ref="H190" authorId="27" shapeId="0" xr:uid="{A4CF55BA-411D-4D1B-A753-256E719FC8F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Sale C01
Respuesta:
    Liberar el aula</t>
      </text>
    </comment>
    <comment ref="H196" authorId="28" shapeId="0" xr:uid="{42BDDFCB-272C-4AE5-93F3-510C602F028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Sale A13</t>
      </text>
    </comment>
    <comment ref="O203" authorId="29" shapeId="0" xr:uid="{DAB1E5A1-C9DB-4D7F-A0F6-75054E7C51F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Ojo comparten el mismo ID. de curso 026995 tanto 8II, IID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tc={47B2D91E-D243-462E-AE12-EACED53144B6}</author>
    <author>tc={1B401766-5ECF-4024-9596-A0065426816D}</author>
    <author>tc={6DCB5AC0-E032-4EBF-98C4-79A53A4E9B2B}</author>
    <author>tc={CC481CA8-3655-47B5-90D0-31663902487C}</author>
    <author>tc={FFD4114B-5A85-4AC3-8C55-7ECDC4AAA0BD}</author>
    <author>tc={DCE3E91D-E6E1-4864-8CAD-22D625188EF4}</author>
    <author>tc={BEE170CD-D5E1-4398-81E1-B4E9FF0563D7}</author>
    <author>tc={20FC0183-F8E5-48E4-B61B-18673BD652C7}</author>
    <author>tc={044FB701-0CA8-4646-AB81-D93D58610902}</author>
  </authors>
  <commentList>
    <comment ref="F45" authorId="0" shapeId="0" xr:uid="{47B2D91E-D243-462E-AE12-EACED53144B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Profr. nueva contratación</t>
      </text>
    </comment>
    <comment ref="F48" authorId="1" shapeId="0" xr:uid="{1B401766-5ECF-4024-9596-A0065426816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Nueva contratación</t>
      </text>
    </comment>
    <comment ref="F49" authorId="2" shapeId="0" xr:uid="{6DCB5AC0-E032-4EBF-98C4-79A53A4E9B2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Nueva Contratación</t>
      </text>
    </comment>
    <comment ref="F65" authorId="3" shapeId="0" xr:uid="{CC481CA8-3655-47B5-90D0-31663902487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Ella viene de Guadalajara</t>
      </text>
    </comment>
    <comment ref="F66" authorId="4" shapeId="0" xr:uid="{FFD4114B-5A85-4AC3-8C55-7ECDC4AAA0B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Adjunto</t>
      </text>
    </comment>
    <comment ref="M71" authorId="5" shapeId="0" xr:uid="{DCE3E91D-E6E1-4864-8CAD-22D625188EF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No. de casa</t>
      </text>
    </comment>
    <comment ref="F73" authorId="6" shapeId="0" xr:uid="{BEE170CD-D5E1-4398-81E1-B4E9FF0563D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Nuevo ingreso.</t>
      </text>
    </comment>
    <comment ref="F80" authorId="7" shapeId="0" xr:uid="{20FC0183-F8E5-48E4-B61B-18673BD652C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Renovará Expediente</t>
      </text>
    </comment>
    <comment ref="F133" authorId="8" shapeId="0" xr:uid="{044FB701-0CA8-4646-AB81-D93D5861090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Nueva contratación
Respuesta:
    Queda como profr. Adjunto (falta titulo)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Bego</author>
    <author>Laura Patricia Renteria Solis</author>
    <author>tc={2055513F-852A-4031-9356-137CCA580CE2}</author>
    <author>tc={36F4509D-FAE5-4348-B79B-85BA59F0A54D}</author>
    <author>tc={B09E98BC-3EA7-4E29-8F88-E3EB32829175}</author>
    <author>tc={7E04D2DD-28BD-461D-A8D6-E05F55CB457F}</author>
    <author>tc={F93F9756-B0CC-4C45-A780-94334BFE4F75}</author>
    <author>tc={CA7A506D-1CED-46B0-942B-0D28DB2534F8}</author>
    <author>tc={F2A8545F-5009-4755-890B-21EB754FF99E}</author>
    <author>tc={A0EF9814-9550-4452-A919-3D2F3B9896A3}</author>
    <author>tc={AF5434D4-EAAB-48DC-979A-437A82FD15C6}</author>
    <author>tc={097C7817-C50B-4C22-8F5D-48B58C854027}</author>
    <author>tc={B08269CD-0407-46FD-9481-C6DE958E5BF8}</author>
    <author>tc={A73D0277-B97D-467E-BA4F-2F7FD88DB3C6}</author>
    <author>tc={C20B8122-9864-4BB0-A015-418FDB394A5B}</author>
    <author>tc={2481A180-1579-4A49-B1FA-16C59F076F6E}</author>
    <author>tc={2D4F2B91-3A3F-48AB-9C9C-3096C66663EA}</author>
    <author>tc={2542E24B-82FB-4941-B990-9D6BB05DFD6F}</author>
    <author>tc={059A2DB0-352F-457C-9096-E24556F3FA04}</author>
    <author>tc={837D64DB-57C6-4B53-8895-ADF6F4E1D755}</author>
    <author>tc={252CDFCC-183D-4378-8AFC-2BCD56F1D641}</author>
    <author>tc={4FC8D050-4347-438C-9953-C950FF760742}</author>
    <author>tc={DAC1048F-1DB8-4C27-A047-C0BEDB01D257}</author>
    <author>tc={ED477BFB-C947-4996-95A7-F487B4BFA0BD}</author>
    <author>tc={ED5981A7-9B3B-4626-A70F-583778F52F4C}</author>
    <author>tc={E20E2352-1657-48AA-936B-CB18EF092AD9}</author>
    <author>tc={8494A38A-50BA-493C-870A-20BC8D499862}</author>
    <author>tc={65422061-DE33-4EB7-8D72-E9451EBA3CBF}</author>
    <author>tc={FE25BC45-B4FE-4ABA-BE30-0279E3732559}</author>
    <author>tc={25975C4D-B325-4AC1-9F92-427F3533199F}</author>
  </authors>
  <commentList>
    <comment ref="I12" authorId="0" shapeId="0" xr:uid="{ADBEAB96-BBAD-4471-AB8D-AE3347AD6E3E}">
      <text>
        <r>
          <rPr>
            <b/>
            <sz val="9"/>
            <color indexed="81"/>
            <rFont val="Tahoma"/>
            <family val="2"/>
          </rPr>
          <t xml:space="preserve">No se abrirá
</t>
        </r>
      </text>
    </comment>
    <comment ref="H15" authorId="1" shapeId="0" xr:uid="{00000000-0006-0000-0400-000001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Introducción a la computación</t>
        </r>
      </text>
    </comment>
    <comment ref="I15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 xml:space="preserve">Programación para Ing Civil
</t>
        </r>
      </text>
    </comment>
    <comment ref="H16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Teologìa Dogmática</t>
        </r>
      </text>
    </comment>
    <comment ref="H17" authorId="1" shapeId="0" xr:uid="{00000000-0006-0000-0400-000004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Teología Moral</t>
        </r>
      </text>
    </comment>
    <comment ref="I30" authorId="0" shapeId="0" xr:uid="{18F0DFB6-C7BA-4233-B6A6-A973E87D726E}">
      <text>
        <r>
          <rPr>
            <b/>
            <sz val="9"/>
            <color indexed="81"/>
            <rFont val="Tahoma"/>
            <family val="2"/>
          </rPr>
          <t>Bego:</t>
        </r>
        <r>
          <rPr>
            <sz val="9"/>
            <color indexed="81"/>
            <rFont val="Tahoma"/>
            <family val="2"/>
          </rPr>
          <t xml:space="preserve">
Es de sesegundo pero se abrirá en primero</t>
        </r>
      </text>
    </comment>
    <comment ref="I36" authorId="2" shapeId="0" xr:uid="{2055513F-852A-4031-9356-137CCA580CE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9npo. Semestre (optativa)</t>
      </text>
    </comment>
    <comment ref="C37" authorId="3" shapeId="0" xr:uid="{36F4509D-FAE5-4348-B79B-85BA59F0A54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Eran de la academia EEC y pasan Civil (Isaí)
Respuesta:
    Aunque en Upsite aparecen para EEC</t>
      </text>
    </comment>
    <comment ref="K38" authorId="1" shapeId="0" xr:uid="{00000000-0006-0000-0400-000008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ITE 64</t>
        </r>
      </text>
    </comment>
    <comment ref="K39" authorId="1" shapeId="0" xr:uid="{00000000-0006-0000-0400-00000A000000}">
      <text>
        <r>
          <rPr>
            <b/>
            <sz val="9"/>
            <color indexed="81"/>
            <rFont val="Tahoma"/>
            <family val="2"/>
          </rPr>
          <t>Laura Patricia Renteria Solis:
ITE 64
el resto 48
para el 1218 la pusimos de 64 xq se abre para ITE exclusivamente</t>
        </r>
      </text>
    </comment>
    <comment ref="E45" authorId="1" shapeId="0" xr:uid="{00000000-0006-0000-0400-00000B000000}">
      <text>
        <r>
          <rPr>
            <b/>
            <sz val="9"/>
            <color indexed="81"/>
            <rFont val="Tahoma"/>
            <family val="2"/>
          </rPr>
          <t>Laura Patricia Renteria Solis:
Optativa</t>
        </r>
      </text>
    </comment>
    <comment ref="E48" authorId="1" shapeId="0" xr:uid="{00000000-0006-0000-0400-00000D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</t>
        </r>
      </text>
    </comment>
    <comment ref="E54" authorId="1" shapeId="0" xr:uid="{00000000-0006-0000-0400-00000E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</t>
        </r>
      </text>
    </comment>
    <comment ref="F57" authorId="4" shapeId="0" xr:uid="{B09E98BC-3EA7-4E29-8F88-E3EB3282917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8vo. IID, pero no se abre para este ciclo 1232 para la carrera</t>
      </text>
    </comment>
    <comment ref="K57" authorId="1" shapeId="0" xr:uid="{00000000-0006-0000-0400-000010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ITE, 48 hrs.</t>
        </r>
      </text>
    </comment>
    <comment ref="C70" authorId="5" shapeId="0" xr:uid="{7E04D2DD-28BD-461D-A8D6-E05F55CB457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En Upiste, aparece en la academia de IID</t>
      </text>
    </comment>
    <comment ref="I70" authorId="6" shapeId="0" xr:uid="{F93F9756-B0CC-4C45-A780-94334BFE4F7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materia de primer semestre y se darán en segundo semestre, ciclo 1222</t>
      </text>
    </comment>
    <comment ref="K73" authorId="1" shapeId="0" xr:uid="{00000000-0006-0000-0400-000012000000}">
      <text>
        <r>
          <rPr>
            <b/>
            <sz val="9"/>
            <color indexed="81"/>
            <rFont val="Tahoma"/>
            <family val="2"/>
          </rPr>
          <t>Laura Patricia Renteria Solis:
ITE, 64</t>
        </r>
      </text>
    </comment>
    <comment ref="H75" authorId="7" shapeId="0" xr:uid="{CA7A506D-1CED-46B0-942B-0D28DB2534F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Esta materia se debe ofertar en 3eroaunque en ruta aparece de 4to</t>
      </text>
    </comment>
    <comment ref="F80" authorId="1" shapeId="0" xr:uid="{00000000-0006-0000-0400-000013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</t>
        </r>
      </text>
    </comment>
    <comment ref="G80" authorId="1" shapeId="0" xr:uid="{00000000-0006-0000-0400-000014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
</t>
        </r>
      </text>
    </comment>
    <comment ref="I80" authorId="8" shapeId="0" xr:uid="{F2A8545F-5009-4755-890B-21EB754FF99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Optativa</t>
      </text>
    </comment>
    <comment ref="I84" authorId="9" shapeId="0" xr:uid="{A0EF9814-9550-4452-A919-3D2F3B9896A3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Materia de 9no. Semestre (optativa)</t>
      </text>
    </comment>
    <comment ref="I87" authorId="1" shapeId="0" xr:uid="{00000000-0006-0000-0400-000015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</t>
        </r>
      </text>
    </comment>
    <comment ref="I88" authorId="10" shapeId="0" xr:uid="{AF5434D4-EAAB-48DC-979A-437A82FD15C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Optativa
Respuesta:
    Es de 10mo. semestre y no se oferta</t>
      </text>
    </comment>
    <comment ref="F98" authorId="0" shapeId="0" xr:uid="{BCD1AEF3-1A08-41D6-A4F5-59E2184492F7}">
      <text>
        <r>
          <rPr>
            <b/>
            <sz val="9"/>
            <color indexed="81"/>
            <rFont val="Tahoma"/>
            <family val="2"/>
          </rPr>
          <t>Bego:</t>
        </r>
        <r>
          <rPr>
            <sz val="9"/>
            <color indexed="81"/>
            <rFont val="Tahoma"/>
            <family val="2"/>
          </rPr>
          <t xml:space="preserve">
Se da en sexto</t>
        </r>
      </text>
    </comment>
    <comment ref="I117" authorId="11" shapeId="0" xr:uid="{097C7817-C50B-4C22-8F5D-48B58C85402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Materia de 9no. Semestre (optativa)</t>
      </text>
    </comment>
    <comment ref="H118" authorId="1" shapeId="0" xr:uid="{00000000-0006-0000-0400-00001B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Antropología Filosófica </t>
        </r>
      </text>
    </comment>
    <comment ref="H119" authorId="1" shapeId="0" xr:uid="{00000000-0006-0000-0400-00001C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Ética de las Virtudes</t>
        </r>
      </text>
    </comment>
    <comment ref="C125" authorId="12" shapeId="0" xr:uid="{B08269CD-0407-46FD-9481-C6DE958E5BF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En Upsite, dice que le pertenece a la academia DIOP?</t>
      </text>
    </comment>
    <comment ref="I130" authorId="13" shapeId="0" xr:uid="{A73D0277-B97D-467E-BA4F-2F7FD88DB3C6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Optativa
Respuesta:
    No abrira
Respuesta:
    4to. Semestre </t>
      </text>
    </comment>
    <comment ref="F137" authorId="14" shapeId="0" xr:uid="{C20B8122-9864-4BB0-A015-418FDB394A5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Temporal solo para el 1218</t>
      </text>
    </comment>
    <comment ref="D141" authorId="1" shapeId="0" xr:uid="{00000000-0006-0000-0400-000020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</t>
        </r>
      </text>
    </comment>
    <comment ref="I144" authorId="0" shapeId="0" xr:uid="{E180F3BD-FBB2-493A-8E92-7FE924447B5C}">
      <text>
        <r>
          <rPr>
            <b/>
            <sz val="9"/>
            <color indexed="81"/>
            <rFont val="Tahoma"/>
            <family val="2"/>
          </rPr>
          <t>Bego:</t>
        </r>
        <r>
          <rPr>
            <sz val="9"/>
            <color indexed="81"/>
            <rFont val="Tahoma"/>
            <family val="2"/>
          </rPr>
          <t xml:space="preserve">
Es de tercero pero se abrirá en 4to
</t>
        </r>
      </text>
    </comment>
    <comment ref="K145" authorId="1" shapeId="0" xr:uid="{00000000-0006-0000-0400-000021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ITE, 64</t>
        </r>
      </text>
    </comment>
    <comment ref="I149" authorId="15" shapeId="0" xr:uid="{2481A180-1579-4A49-B1FA-16C59F076F6E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optativa de 10 pero no se abrirá
</t>
      </text>
    </comment>
    <comment ref="H151" authorId="1" shapeId="0" xr:uid="{00000000-0006-0000-0400-000023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Microcontroladores</t>
        </r>
      </text>
    </comment>
    <comment ref="H152" authorId="1" shapeId="0" xr:uid="{00000000-0006-0000-0400-000024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Microprocesadores</t>
        </r>
      </text>
    </comment>
    <comment ref="K152" authorId="1" shapeId="0" xr:uid="{00000000-0006-0000-0400-000025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ITE, 64</t>
        </r>
      </text>
    </comment>
    <comment ref="F158" authorId="16" shapeId="0" xr:uid="{2D4F2B91-3A3F-48AB-9C9C-3096C66663E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Definitiva</t>
      </text>
    </comment>
    <comment ref="F159" authorId="17" shapeId="0" xr:uid="{2542E24B-82FB-4941-B990-9D6BB05DFD6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Temporal</t>
      </text>
    </comment>
    <comment ref="D162" authorId="1" shapeId="0" xr:uid="{00000000-0006-0000-0400-000027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</t>
        </r>
      </text>
    </comment>
    <comment ref="K162" authorId="1" shapeId="0" xr:uid="{00000000-0006-0000-0400-000028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II 48</t>
        </r>
      </text>
    </comment>
    <comment ref="H166" authorId="1" shapeId="0" xr:uid="{00000000-0006-0000-0400-000029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Antropología Filosófica II</t>
        </r>
      </text>
    </comment>
    <comment ref="I166" authorId="18" shapeId="0" xr:uid="{059A2DB0-352F-457C-9096-E24556F3FA0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estaba, lo puse</t>
      </text>
    </comment>
    <comment ref="C167" authorId="19" shapeId="0" xr:uid="{837D64DB-57C6-4B53-8895-ADF6F4E1D75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Aparece en la academia de Civil pero Rocío Contrato</t>
      </text>
    </comment>
    <comment ref="F175" authorId="20" shapeId="0" xr:uid="{252CDFCC-183D-4378-8AFC-2BCD56F1D641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de 7mo. Pero para este ciclo 1232 se abre
Respuesta:
    Revisado con Mich, no se abre para 6 de IID en el 1232</t>
      </text>
    </comment>
    <comment ref="H178" authorId="1" shapeId="0" xr:uid="{00000000-0006-0000-0400-00002B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Programación Computacional</t>
        </r>
      </text>
    </comment>
    <comment ref="K182" authorId="21" shapeId="0" xr:uid="{4FC8D050-4347-438C-9953-C950FF76074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Revisar
Respuesta:
    Corrigí el No. de horas, según el plan de estudios es de 80 horas</t>
      </text>
    </comment>
    <comment ref="I183" authorId="22" shapeId="0" xr:uid="{DAC1048F-1DB8-4C27-A047-C0BEDB01D25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de décimo y se va da en noveno para el ciclo 1218</t>
      </text>
    </comment>
    <comment ref="I186" authorId="1" shapeId="0" xr:uid="{00000000-0006-0000-0400-00002D000000}">
      <text>
        <r>
          <rPr>
            <b/>
            <sz val="9"/>
            <color indexed="81"/>
            <rFont val="Tahoma"/>
            <family val="2"/>
          </rPr>
          <t>Optativa en plan de estudios en tercero pero nunca se va a abrir</t>
        </r>
      </text>
    </comment>
    <comment ref="R186" authorId="23" shapeId="0" xr:uid="{ED477BFB-C947-4996-95A7-F487B4BFA0B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EI ID. 027083 es de la carrera de ICA, es materia optativa pero no la llevan</t>
      </text>
    </comment>
    <comment ref="E191" authorId="24" shapeId="0" xr:uid="{ED5981A7-9B3B-4626-A70F-583778F52F4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de 8vo. Semestre.</t>
      </text>
    </comment>
    <comment ref="G193" authorId="1" shapeId="0" xr:uid="{00000000-0006-0000-0400-00002E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Optativa.
Además se reemplaza para IIA por Compiladores</t>
        </r>
      </text>
    </comment>
    <comment ref="I194" authorId="25" shapeId="0" xr:uid="{E20E2352-1657-48AA-936B-CB18EF092AD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Materia de 9no. Semestre (optativa)</t>
      </text>
    </comment>
    <comment ref="F197" authorId="0" shapeId="0" xr:uid="{F5195F00-E277-4CB1-8ED9-CFB43F06422D}">
      <text>
        <r>
          <rPr>
            <b/>
            <sz val="9"/>
            <color indexed="81"/>
            <rFont val="Tahoma"/>
            <family val="2"/>
          </rPr>
          <t>Bego:</t>
        </r>
        <r>
          <rPr>
            <sz val="9"/>
            <color indexed="81"/>
            <rFont val="Tahoma"/>
            <family val="2"/>
          </rPr>
          <t xml:space="preserve">
Es de 6to se dio en 5to en 1208</t>
        </r>
      </text>
    </comment>
    <comment ref="I198" authorId="0" shapeId="0" xr:uid="{AEE11F5F-680F-49E0-9282-2EB9509FC7D6}">
      <text>
        <r>
          <rPr>
            <b/>
            <sz val="9"/>
            <color indexed="81"/>
            <rFont val="Tahoma"/>
            <family val="2"/>
          </rPr>
          <t>Bego:</t>
        </r>
        <r>
          <rPr>
            <sz val="9"/>
            <color indexed="81"/>
            <rFont val="Tahoma"/>
            <family val="2"/>
          </rPr>
          <t xml:space="preserve">
Se cambia a tercero siempre</t>
        </r>
      </text>
    </comment>
    <comment ref="I199" authorId="26" shapeId="0" xr:uid="{8494A38A-50BA-493C-870A-20BC8D49986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Materia de 10mo. Semestre (optativa)</t>
      </text>
    </comment>
    <comment ref="D204" authorId="1" shapeId="0" xr:uid="{00000000-0006-0000-0400-000031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</t>
        </r>
      </text>
    </comment>
    <comment ref="F204" authorId="27" shapeId="0" xr:uid="{65422061-DE33-4EB7-8D72-E9451EBA3CB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Optativa</t>
      </text>
    </comment>
    <comment ref="F205" authorId="28" shapeId="0" xr:uid="{FE25BC45-B4FE-4ABA-BE30-0279E373255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Realmente es de 8vo. semestre pero en este ciclo 1218 se adelanta</t>
      </text>
    </comment>
    <comment ref="B210" authorId="0" shapeId="0" xr:uid="{A3F69846-EC96-4FE5-866E-0E17E8A99D08}">
      <text>
        <r>
          <rPr>
            <b/>
            <sz val="9"/>
            <color indexed="81"/>
            <rFont val="Tahoma"/>
            <family val="2"/>
          </rPr>
          <t>Por la pandemia se dará este 2021 en 5to pero luego hay que eliminar este renglón</t>
        </r>
      </text>
    </comment>
    <comment ref="I224" authorId="0" shapeId="0" xr:uid="{530DC9C9-693A-4EEF-AB09-3B719203C8B5}">
      <text>
        <r>
          <rPr>
            <b/>
            <sz val="9"/>
            <color indexed="81"/>
            <rFont val="Tahoma"/>
            <family val="2"/>
          </rPr>
          <t>Bego:</t>
        </r>
        <r>
          <rPr>
            <sz val="9"/>
            <color indexed="81"/>
            <rFont val="Tahoma"/>
            <family val="2"/>
          </rPr>
          <t xml:space="preserve">
Es de primero pero se abrirá en 2ndo siempre
</t>
        </r>
      </text>
    </comment>
    <comment ref="C226" authorId="29" shapeId="0" xr:uid="{25975C4D-B325-4AC1-9F92-427F3533199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Eran de la academia EEC y pasan Civil (Isaí)
Respuesta:
    Aunque en Upsite aparecerán en EEC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<sst xmlns="http://schemas.openxmlformats.org/spreadsheetml/2006/main" count="4590" uniqueCount="1819">
  <si>
    <t>Profesor:</t>
  </si>
  <si>
    <t>Alberto Navarro Pérez</t>
  </si>
  <si>
    <t>HORA</t>
  </si>
  <si>
    <t>LUNES</t>
  </si>
  <si>
    <t>Aula</t>
  </si>
  <si>
    <t>No clase</t>
  </si>
  <si>
    <t>MARTES</t>
  </si>
  <si>
    <t>MIÉRCOLES</t>
  </si>
  <si>
    <t>JUEVES</t>
  </si>
  <si>
    <t>VIERNES</t>
  </si>
  <si>
    <t>Sábado</t>
  </si>
  <si>
    <t xml:space="preserve"> </t>
  </si>
  <si>
    <t>Carrera</t>
  </si>
  <si>
    <t>Innovación y Diseño</t>
  </si>
  <si>
    <t>Semestre</t>
  </si>
  <si>
    <t>SÁBADO</t>
  </si>
  <si>
    <t>Materias</t>
  </si>
  <si>
    <t>Academia</t>
  </si>
  <si>
    <t>MIT</t>
  </si>
  <si>
    <t>Índice</t>
  </si>
  <si>
    <t>Materias SNI</t>
  </si>
  <si>
    <t>Horas SNI</t>
  </si>
  <si>
    <t>Índice de calidad académica</t>
  </si>
  <si>
    <t>Tipo de profesor</t>
  </si>
  <si>
    <t>Horas totales</t>
  </si>
  <si>
    <t>Porcentaje</t>
  </si>
  <si>
    <t>BIO</t>
  </si>
  <si>
    <t>Industrial</t>
  </si>
  <si>
    <t>TC</t>
  </si>
  <si>
    <t>COM</t>
  </si>
  <si>
    <t>Mecatrónica</t>
  </si>
  <si>
    <t>MT</t>
  </si>
  <si>
    <t>DOP</t>
  </si>
  <si>
    <t>A</t>
  </si>
  <si>
    <t>EEC</t>
  </si>
  <si>
    <t>Inteligencia Artificial</t>
  </si>
  <si>
    <t>OA</t>
  </si>
  <si>
    <t>EMP</t>
  </si>
  <si>
    <t>Tecnologías Energéticas</t>
  </si>
  <si>
    <t>H</t>
  </si>
  <si>
    <t>ESC</t>
  </si>
  <si>
    <t>Civil y Administración</t>
  </si>
  <si>
    <t>Total</t>
  </si>
  <si>
    <t>ETF</t>
  </si>
  <si>
    <t>Bioelectrónica</t>
  </si>
  <si>
    <t>HUM</t>
  </si>
  <si>
    <t>IID</t>
  </si>
  <si>
    <t>Facultad</t>
  </si>
  <si>
    <t>MAT</t>
  </si>
  <si>
    <t>MEC</t>
  </si>
  <si>
    <t>Profesor</t>
  </si>
  <si>
    <t>Materia</t>
  </si>
  <si>
    <t xml:space="preserve">Número de grupo </t>
  </si>
  <si>
    <t>Hora inicio</t>
  </si>
  <si>
    <t>Hora fin</t>
  </si>
  <si>
    <t>Se paga</t>
  </si>
  <si>
    <t>Capacidad</t>
  </si>
  <si>
    <t>Inscritos</t>
  </si>
  <si>
    <t>Cap 1.5</t>
  </si>
  <si>
    <t>Diferencia 1.5</t>
  </si>
  <si>
    <t>Cap .90</t>
  </si>
  <si>
    <t>Diferencia .90</t>
  </si>
  <si>
    <t>Lunes</t>
  </si>
  <si>
    <t>Martes</t>
  </si>
  <si>
    <t>Miércoles</t>
  </si>
  <si>
    <t>Jueves</t>
  </si>
  <si>
    <t>Viernes</t>
  </si>
  <si>
    <t>Inglés</t>
  </si>
  <si>
    <t>Examen</t>
  </si>
  <si>
    <t>HT Plan</t>
  </si>
  <si>
    <t>Horas</t>
  </si>
  <si>
    <t>Misma o no</t>
  </si>
  <si>
    <t>Error en horas</t>
  </si>
  <si>
    <t>Grado de profesor</t>
  </si>
  <si>
    <t>Tipo</t>
  </si>
  <si>
    <t>Pronóstico</t>
  </si>
  <si>
    <t>Grupos 25</t>
  </si>
  <si>
    <t>ICA II</t>
  </si>
  <si>
    <t>ICA IM</t>
  </si>
  <si>
    <t>ICA IID</t>
  </si>
  <si>
    <t>ICA IIA</t>
  </si>
  <si>
    <t>ICA ITE</t>
  </si>
  <si>
    <t>ICA ICA</t>
  </si>
  <si>
    <t>ICA IBE</t>
  </si>
  <si>
    <t>Comentarios</t>
  </si>
  <si>
    <t>Ashly Estefany Meléndez Rasgado</t>
  </si>
  <si>
    <t>Administración de operaciones</t>
  </si>
  <si>
    <t>si</t>
  </si>
  <si>
    <t>A-24</t>
  </si>
  <si>
    <t>1735 (6II)</t>
  </si>
  <si>
    <t>x</t>
  </si>
  <si>
    <t>Miguel Ángel Díaz Melchor</t>
  </si>
  <si>
    <t>no</t>
  </si>
  <si>
    <t>D-01</t>
  </si>
  <si>
    <t>1736 (4o IIA), 9900</t>
  </si>
  <si>
    <t>C-04</t>
  </si>
  <si>
    <t>Óscar Martínez Correa</t>
  </si>
  <si>
    <t>4161 (6IM)</t>
  </si>
  <si>
    <t>C-14</t>
  </si>
  <si>
    <t>1737 (8IID)</t>
  </si>
  <si>
    <t>Rubén Guadalupe García Sánchez</t>
  </si>
  <si>
    <t>Aerogeneradores</t>
  </si>
  <si>
    <t>ITE (MAX 4)</t>
  </si>
  <si>
    <t>1882/83</t>
  </si>
  <si>
    <t>Isaí Gerardo Reyes Cedeño</t>
  </si>
  <si>
    <t>Agua potable y alcantarillado</t>
  </si>
  <si>
    <t>ICA 1 PB</t>
  </si>
  <si>
    <t>Alfredo Pedroza Díaz</t>
  </si>
  <si>
    <t>Álgebra</t>
  </si>
  <si>
    <t>A-25</t>
  </si>
  <si>
    <t>1652, 1653, 1654</t>
  </si>
  <si>
    <t xml:space="preserve">Ana Elena González Contreras </t>
  </si>
  <si>
    <t>Álgebra lineal</t>
  </si>
  <si>
    <t>C-03</t>
  </si>
  <si>
    <t>1673, 1681, 1677</t>
  </si>
  <si>
    <t>Briceyda Berenice Delgado López</t>
  </si>
  <si>
    <t>C-02</t>
  </si>
  <si>
    <t>1672, 1680, 1676</t>
  </si>
  <si>
    <t>Jesús Adrián Cerda Rodríguez</t>
  </si>
  <si>
    <t>C-15</t>
  </si>
  <si>
    <t>1675, 1683, 1679</t>
  </si>
  <si>
    <t>Luis Alonso Romo Mercado</t>
  </si>
  <si>
    <t>1674, 1682, 1678</t>
  </si>
  <si>
    <t>Marco Antonio García Colmenares</t>
  </si>
  <si>
    <t>Almacenamiento energético</t>
  </si>
  <si>
    <t>A-13</t>
  </si>
  <si>
    <t>2090/91</t>
  </si>
  <si>
    <t>Química</t>
  </si>
  <si>
    <t>Jorge Quiroga Garza</t>
  </si>
  <si>
    <t>Análisis e interpretación de la información financiera</t>
  </si>
  <si>
    <t>Gaspar Hermenegildo Vela Martínez</t>
  </si>
  <si>
    <t>Análisis estructural</t>
  </si>
  <si>
    <t>A-17</t>
  </si>
  <si>
    <t>A-15</t>
  </si>
  <si>
    <t>Karina Jannet Vacio Muro</t>
  </si>
  <si>
    <t>Análisis medioambiental</t>
  </si>
  <si>
    <t>César López Murillo</t>
  </si>
  <si>
    <t>Análisis y diseño de algoritmos/Introducción a la Comptuacional/Programación para Ingeniería Civil</t>
  </si>
  <si>
    <t>CC001</t>
  </si>
  <si>
    <t>2073, 2074, 2075, 2076/77</t>
  </si>
  <si>
    <t>Eduardo Sánchez de Alba</t>
  </si>
  <si>
    <t>Antropología teológica I/Teología Dogmática</t>
  </si>
  <si>
    <t>2815, 2816, 2817</t>
  </si>
  <si>
    <t>María Teresa Enríquez Gómez</t>
  </si>
  <si>
    <t>C-21</t>
  </si>
  <si>
    <t>2818, 2819, 2820</t>
  </si>
  <si>
    <t>Carlos Alfredo Cervantes Blengio</t>
  </si>
  <si>
    <t>Antropología teológica II</t>
  </si>
  <si>
    <t>2823, 2824, 2825</t>
  </si>
  <si>
    <t>Clase Online</t>
  </si>
  <si>
    <t>Claudia Nallely Sánchez Gómez</t>
  </si>
  <si>
    <t>Aprendizaje de máquina I</t>
  </si>
  <si>
    <t>Turing</t>
  </si>
  <si>
    <t>Ricardo Espinosa Loera</t>
  </si>
  <si>
    <t>Aprendizaje de máquina II</t>
  </si>
  <si>
    <t>Sergio Eduardo Valenzuela Guerrero</t>
  </si>
  <si>
    <t>Bases de datos avanzadas</t>
  </si>
  <si>
    <t>A-14</t>
  </si>
  <si>
    <t>Abel Guillermo Gutiérrez Gutiérrez</t>
  </si>
  <si>
    <t>BIM planeación de obra</t>
  </si>
  <si>
    <t>CC011</t>
  </si>
  <si>
    <t>Ignacio Acosta Pineda</t>
  </si>
  <si>
    <t>Bioinstrumentación</t>
  </si>
  <si>
    <t>8039/40</t>
  </si>
  <si>
    <t>C-22</t>
  </si>
  <si>
    <t>Ernesto Save Moreno</t>
  </si>
  <si>
    <t>Cálculo diferencial</t>
  </si>
  <si>
    <t>1656, 1659, 1662</t>
  </si>
  <si>
    <t>Martha Arizmendiz Mancillas</t>
  </si>
  <si>
    <t>D-02</t>
  </si>
  <si>
    <t>1657, 1660, 1663</t>
  </si>
  <si>
    <t>Ramsel Toledo León</t>
  </si>
  <si>
    <t>1655, 1658, 1661.</t>
  </si>
  <si>
    <t>Eduardo de la Vega Segura</t>
  </si>
  <si>
    <t>Cálculo integral</t>
  </si>
  <si>
    <t>Aula Aguascalientes</t>
  </si>
  <si>
    <t>1686, 16292, 1697, 1702/05</t>
  </si>
  <si>
    <t>Fabiola Ayluardo Rivera</t>
  </si>
  <si>
    <t>C-01</t>
  </si>
  <si>
    <t>1684, 1690, 1695, 1700/05</t>
  </si>
  <si>
    <t>Óscar Dávalos Orozco</t>
  </si>
  <si>
    <t>1687, 1693, 1698, 1703/05</t>
  </si>
  <si>
    <t>Cálculo numérico/Métodos numéricos</t>
  </si>
  <si>
    <t>Cálculo vectorial</t>
  </si>
  <si>
    <t>1664, 1666, 1668, 1670</t>
  </si>
  <si>
    <t>Luis Adrián Cuevas Dávalos</t>
  </si>
  <si>
    <t>Certificación energética y ambiental de edificios</t>
  </si>
  <si>
    <t>2693/94</t>
  </si>
  <si>
    <t>Luis Daniel Arriaga Esparza</t>
  </si>
  <si>
    <t>Circuitos digitales I o Diseño lógico</t>
  </si>
  <si>
    <t>7381/82, 7679, 7681</t>
  </si>
  <si>
    <t>A-12</t>
  </si>
  <si>
    <t>Hiroki Alejandro Sasamoto Cruz</t>
  </si>
  <si>
    <t>Circuitos digitales o Circuitos digitales II</t>
  </si>
  <si>
    <t>Electrónica</t>
  </si>
  <si>
    <t>1755, 1756, 1757/58</t>
  </si>
  <si>
    <t>Rodrigo Soulé de Castro</t>
  </si>
  <si>
    <t>Circuitos digitales y eléctricos</t>
  </si>
  <si>
    <t>Omar Fernando Ruiz Martínez</t>
  </si>
  <si>
    <t>Circuitos eléctricos II</t>
  </si>
  <si>
    <t>Daniel Lara Díaz de León</t>
  </si>
  <si>
    <t>Comportamiento de materiales</t>
  </si>
  <si>
    <t>2685/86</t>
  </si>
  <si>
    <t>Héctor Luis Villacorta Minaya</t>
  </si>
  <si>
    <t>Comunicación de datos</t>
  </si>
  <si>
    <t>1887, 1888</t>
  </si>
  <si>
    <t>Contabilidad y costos</t>
  </si>
  <si>
    <t>Scholas</t>
  </si>
  <si>
    <t>1777 (8vo. ICA)</t>
  </si>
  <si>
    <t>Crisdalith Cachutt Alvarado</t>
  </si>
  <si>
    <t>A-21</t>
  </si>
  <si>
    <t>1776 (2do. II)</t>
  </si>
  <si>
    <t>Control inteligente</t>
  </si>
  <si>
    <t>Juan Carlos García Sánchez</t>
  </si>
  <si>
    <t>Datos masivos</t>
  </si>
  <si>
    <t>C-13</t>
  </si>
  <si>
    <t>Héctor Eduardo Gilardi Velázquez</t>
  </si>
  <si>
    <t>Dinámica de sistemas físicos</t>
  </si>
  <si>
    <t>2676, 2677</t>
  </si>
  <si>
    <t>Carlos Roberto Rodríguez Castellanos</t>
  </si>
  <si>
    <t>Dirección de empresas</t>
  </si>
  <si>
    <t>1779, 1787, 1791/1804</t>
  </si>
  <si>
    <t>Juan Pablo Becerra Calderón</t>
  </si>
  <si>
    <t>C-25</t>
  </si>
  <si>
    <t>1780, 1788, 1792/1804</t>
  </si>
  <si>
    <t>Brianda Rugarcía González</t>
  </si>
  <si>
    <t>1778,  1786, 1790 /1804</t>
  </si>
  <si>
    <t>Ana Carolina García Meyemberg</t>
  </si>
  <si>
    <t>Diseño asistido por computadora</t>
  </si>
  <si>
    <t>CC010</t>
  </si>
  <si>
    <t>1881 , 1918/20, 1921(2do. IID)</t>
  </si>
  <si>
    <t>Mauricio Muñoz Zermeño</t>
  </si>
  <si>
    <t>1917, 1919/20, 1922 (2do. II)</t>
  </si>
  <si>
    <t>Jhonatan Limón Gutiérrez</t>
  </si>
  <si>
    <t>Diseño de estructuras de acero II</t>
  </si>
  <si>
    <t>A-18</t>
  </si>
  <si>
    <t>2687/88</t>
  </si>
  <si>
    <t>Diseño de estructuras de concreto II</t>
  </si>
  <si>
    <t>A-11</t>
  </si>
  <si>
    <t>2691/92</t>
  </si>
  <si>
    <t>Laura Alejandra Arreola Gutiérrez</t>
  </si>
  <si>
    <t>Diseño de instalaciones industriales y servicios</t>
  </si>
  <si>
    <t>C-11</t>
  </si>
  <si>
    <t>Gerardo Rodríguez Romo</t>
  </si>
  <si>
    <t>Diseño de máquinas</t>
  </si>
  <si>
    <t>1875/76</t>
  </si>
  <si>
    <t>Jacob Durán Casillas</t>
  </si>
  <si>
    <t>Diseño de pavimentos</t>
  </si>
  <si>
    <t>Jesús María</t>
  </si>
  <si>
    <t>Raúl de Alba de la Cerda</t>
  </si>
  <si>
    <t>Diseño de sistemas energéticos</t>
  </si>
  <si>
    <t>1891/92</t>
  </si>
  <si>
    <t>Christian Emmanuel Mujica Arochi</t>
  </si>
  <si>
    <t>Diseño para la ingeniería civil</t>
  </si>
  <si>
    <t>1909/10</t>
  </si>
  <si>
    <t>Ecuaciones diferenciales</t>
  </si>
  <si>
    <t>C-23</t>
  </si>
  <si>
    <t>1707, 1709,/10, 1712, 1714, 2117</t>
  </si>
  <si>
    <t>C-24</t>
  </si>
  <si>
    <t>1706, 1708/10, 1711, 1713, 2116</t>
  </si>
  <si>
    <t>Electricidad y magnetismo</t>
  </si>
  <si>
    <t>1744/46, 1747, 1750/52, 1753</t>
  </si>
  <si>
    <t>María Cristina Ortega Moo</t>
  </si>
  <si>
    <t>1745/46, 1748, 1751/52, 1754</t>
  </si>
  <si>
    <t>1765//66, 1767/68, 1769/70</t>
  </si>
  <si>
    <t>Erika Iliana del Rocío Hernández Ramírez</t>
  </si>
  <si>
    <t>Electrónica de potencia</t>
  </si>
  <si>
    <t>1738/39, 1740/41, 1742/43</t>
  </si>
  <si>
    <t>Pedro Manuel Rodrigo Cruz</t>
  </si>
  <si>
    <t>Energía solar fotovoltáica</t>
  </si>
  <si>
    <t>1832/33</t>
  </si>
  <si>
    <t>Rodrigo Magaña Chávez</t>
  </si>
  <si>
    <t>Energía solar térmica</t>
  </si>
  <si>
    <t>Pia Berger</t>
  </si>
  <si>
    <t>Energías alternativas</t>
  </si>
  <si>
    <t>1836, 1837</t>
  </si>
  <si>
    <t>Francisco de Paula Morales Viesca</t>
  </si>
  <si>
    <t>Entorno económico</t>
  </si>
  <si>
    <t>1813 (6IIA)</t>
  </si>
  <si>
    <t>Rocío Guadalupe Márquez Martínez</t>
  </si>
  <si>
    <t>1811, 1812 (2do. IM IBE)</t>
  </si>
  <si>
    <t>Gastón Leonardo Goñi Tascón</t>
  </si>
  <si>
    <t>Ergonomía para el diseño</t>
  </si>
  <si>
    <t>Estadística</t>
  </si>
  <si>
    <t>Raúl Gutiérrez Perucho</t>
  </si>
  <si>
    <t>Estática</t>
  </si>
  <si>
    <t>2049, 2050</t>
  </si>
  <si>
    <t>Rogelio Barocio Lira</t>
  </si>
  <si>
    <t>2028, 2030</t>
  </si>
  <si>
    <t>Estrategias de mercadotecnia</t>
  </si>
  <si>
    <t>1815 y 9805</t>
  </si>
  <si>
    <t>Miguel Ángel Romo Martínez</t>
  </si>
  <si>
    <t>Estructura de datos y algoritmos I</t>
  </si>
  <si>
    <t>Manuel Alejandro Rodríguez Rivera</t>
  </si>
  <si>
    <t>Estructura de datos y algoritmos III</t>
  </si>
  <si>
    <t>Mauricio Ruiz Morales</t>
  </si>
  <si>
    <t>Estructuras Física para el Diseño del Producto</t>
  </si>
  <si>
    <t>Innova 2</t>
  </si>
  <si>
    <t>Noé Guadalupe Cortés Alférez</t>
  </si>
  <si>
    <t>Estudio y tecnología de materiales</t>
  </si>
  <si>
    <t>Claudio César Calabrese</t>
  </si>
  <si>
    <t>Ética profesional</t>
  </si>
  <si>
    <t>D-03</t>
  </si>
  <si>
    <t>2887, 2891, 2894</t>
  </si>
  <si>
    <t>Gustavo Serna Medina</t>
  </si>
  <si>
    <t>2889, 2892, 2895</t>
  </si>
  <si>
    <t>Jesús Enrique Cardona Villa</t>
  </si>
  <si>
    <t>2883, 2890, 2893</t>
  </si>
  <si>
    <t xml:space="preserve">Mariana Becerra Calderón </t>
  </si>
  <si>
    <t>Ética/Ética General</t>
  </si>
  <si>
    <t>2794, 2795, 2796</t>
  </si>
  <si>
    <t>Evaluación financiera de proyectos</t>
  </si>
  <si>
    <t>Carlos Humberto Acosta Gastelúm</t>
  </si>
  <si>
    <t>Filosofía social</t>
  </si>
  <si>
    <t>2846, 2849, 2852</t>
  </si>
  <si>
    <t>Federico Nassim Bravo Jordán</t>
  </si>
  <si>
    <t>2845, 2848, 2851</t>
  </si>
  <si>
    <t>Humberto Pacheco Martínez</t>
  </si>
  <si>
    <t>2847, 2850, 2853</t>
  </si>
  <si>
    <t>Luis Alfonso Guerrero Rodríguez</t>
  </si>
  <si>
    <t>Física</t>
  </si>
  <si>
    <t>1851/52, 1853/54, 1879/80</t>
  </si>
  <si>
    <t>Fundamentos de bioelectrónica</t>
  </si>
  <si>
    <t>A-16</t>
  </si>
  <si>
    <t>Geometría y trigonometría</t>
  </si>
  <si>
    <t>Juan Antonio Parga Orozco</t>
  </si>
  <si>
    <t>Gestión de la calidad</t>
  </si>
  <si>
    <t>2296, 2305 (6II, 8 IM)</t>
  </si>
  <si>
    <t>2298, 2306 8 (IID, 8IM)</t>
  </si>
  <si>
    <t>Karen Esther Rodríguez Garduño</t>
  </si>
  <si>
    <t>Gestión de recursos humanos</t>
  </si>
  <si>
    <t>Historia de la cultura/Antropología Filosófica I</t>
  </si>
  <si>
    <t>2758, 2759, 2760</t>
  </si>
  <si>
    <t>Jesús Emmanuel Montantes Pons</t>
  </si>
  <si>
    <t>Ingeniería de cimentaciones</t>
  </si>
  <si>
    <t>Diego Larrondo Montalvo</t>
  </si>
  <si>
    <t>Ingeniería de materiales</t>
  </si>
  <si>
    <t>1839/40</t>
  </si>
  <si>
    <t>Ingeniería de métodos</t>
  </si>
  <si>
    <t>1732/33</t>
  </si>
  <si>
    <t>A-23</t>
  </si>
  <si>
    <t>Luis Manuel Ortiz de la Torre</t>
  </si>
  <si>
    <t>Ingeniería de software</t>
  </si>
  <si>
    <t>Instalaciones en edificios</t>
  </si>
  <si>
    <t>2970/71</t>
  </si>
  <si>
    <t>Jonás Velasco Álvarez</t>
  </si>
  <si>
    <t>Inteligencia artificial I</t>
  </si>
  <si>
    <t>2064/65</t>
  </si>
  <si>
    <t>Begoña Noriega Olalde</t>
  </si>
  <si>
    <t>Investigación de Operaciones</t>
  </si>
  <si>
    <t>Jacob Márquez Ávila</t>
  </si>
  <si>
    <t>Máquinas y herramientas</t>
  </si>
  <si>
    <t>2702/03</t>
  </si>
  <si>
    <t>Francisco González Pimentel</t>
  </si>
  <si>
    <t>Marco legal de la innovación</t>
  </si>
  <si>
    <t>C-12</t>
  </si>
  <si>
    <t>2672, 2673</t>
  </si>
  <si>
    <t>Gabriela Durán Aguilar</t>
  </si>
  <si>
    <t>1902, 1903</t>
  </si>
  <si>
    <t>Matemáticas avanzadas</t>
  </si>
  <si>
    <t>1717, 1719</t>
  </si>
  <si>
    <t>Antonio Ponce Guardado</t>
  </si>
  <si>
    <t>Materiales y procesos constructivos</t>
  </si>
  <si>
    <t>1913/14</t>
  </si>
  <si>
    <t>Mecánica</t>
  </si>
  <si>
    <t>1844, 1846/48, 1849</t>
  </si>
  <si>
    <t>1845, 1847/48, 1850</t>
  </si>
  <si>
    <t>Adol Guzmán Rasillo</t>
  </si>
  <si>
    <t>Mecánica de materiales</t>
  </si>
  <si>
    <t>1915/16</t>
  </si>
  <si>
    <t>Mecanismos</t>
  </si>
  <si>
    <t>Metales para el diseño</t>
  </si>
  <si>
    <t>1904/05</t>
  </si>
  <si>
    <t>María Teresa Orvañanos Guerrero</t>
  </si>
  <si>
    <t>Microcontroladores I</t>
  </si>
  <si>
    <t>2397/98, 2399, 2415/16</t>
  </si>
  <si>
    <t>Microcontroladores II</t>
  </si>
  <si>
    <t>1760, 1762, 1764</t>
  </si>
  <si>
    <t>1759, 1761, 1763</t>
  </si>
  <si>
    <t>Miguel Francisco Gámez López</t>
  </si>
  <si>
    <t>Modelado digital avanzado</t>
  </si>
  <si>
    <t>Marián Michelle Gámez Oliva</t>
  </si>
  <si>
    <t>Modelos físicos</t>
  </si>
  <si>
    <t>Adrián Pastor López Monroy</t>
  </si>
  <si>
    <t>Patrones de diseño y arquitectura de software</t>
  </si>
  <si>
    <t>A-22</t>
  </si>
  <si>
    <t>Jorge Humberto Mejía Reyes</t>
  </si>
  <si>
    <t>Persona y sociedad/Antropología Filosófica II</t>
  </si>
  <si>
    <t>2771, 2776, 2781</t>
  </si>
  <si>
    <t>Juan José Macías Gutiérrez</t>
  </si>
  <si>
    <t>2769, 2774, 2779</t>
  </si>
  <si>
    <t>2768, 2773, 2778</t>
  </si>
  <si>
    <t>Gustavo Adolfo Esparza Urzúa</t>
  </si>
  <si>
    <t>2772, 2777, 2782</t>
  </si>
  <si>
    <t>Pedro Bustos Rivera</t>
  </si>
  <si>
    <t>Planeación y control de proyectos</t>
  </si>
  <si>
    <t>Paul Ramírez de la Cruz</t>
  </si>
  <si>
    <t>Probabilidad y estadística</t>
  </si>
  <si>
    <t>1721, 2118 (6TO. IID)</t>
  </si>
  <si>
    <t xml:space="preserve"> 1722, 1723, 1724(4to. ITE/ICA)</t>
  </si>
  <si>
    <t>Procesamiento del lenguaje natural</t>
  </si>
  <si>
    <t>Procesos de manufactura</t>
  </si>
  <si>
    <t xml:space="preserve">1841/74, 1843 </t>
  </si>
  <si>
    <t>1841/74, 1843</t>
  </si>
  <si>
    <t>1842/ 1874, 1878</t>
  </si>
  <si>
    <t>Víctor Manuel Álvarez Pato</t>
  </si>
  <si>
    <t>Programación de agentes para entornos virtuales</t>
  </si>
  <si>
    <t>Celia Marisa Rodríguez Rubio</t>
  </si>
  <si>
    <t>Programación orientada a objetos</t>
  </si>
  <si>
    <t>2079/81, 2083, 2086</t>
  </si>
  <si>
    <t>David Alejandro Montoya  Murillo</t>
  </si>
  <si>
    <t>2080/81, 2084, 2087</t>
  </si>
  <si>
    <t>Fátima del Rosario Árambula Coronado</t>
  </si>
  <si>
    <t>2078/81, 2082, 2085</t>
  </si>
  <si>
    <t>Jaime Emmanuel Muñoz Romero</t>
  </si>
  <si>
    <t>Propiedades de los suelos</t>
  </si>
  <si>
    <t>Proyecto mecatrónico II</t>
  </si>
  <si>
    <t>Proyectos biosostenibles</t>
  </si>
  <si>
    <t>1889/90</t>
  </si>
  <si>
    <t>Proyectos de inversión e introducción a la valuación de empresas</t>
  </si>
  <si>
    <t>1806, 1807, 1808, 1809. 1810</t>
  </si>
  <si>
    <t>Marco Arturo Contreras González</t>
  </si>
  <si>
    <t>Psicología del consumidor</t>
  </si>
  <si>
    <t>1893/94, 1895/96, 1897/98</t>
  </si>
  <si>
    <t>Geraldina Alba Áviles</t>
  </si>
  <si>
    <t>Recursos humanos</t>
  </si>
  <si>
    <t>Nydia Annency Cadenas  Llegaría</t>
  </si>
  <si>
    <t>Redacción</t>
  </si>
  <si>
    <t>2231, 2234, 2246, (4TO. IM BIO)</t>
  </si>
  <si>
    <t>2236, 2706 (4IIA)</t>
  </si>
  <si>
    <t>Resistencia de materiales</t>
  </si>
  <si>
    <t>Ramiro Velázquez Guerrero</t>
  </si>
  <si>
    <t>Señales e imágenes biomédicas</t>
  </si>
  <si>
    <t>1725/26</t>
  </si>
  <si>
    <t>Mercedes Urzúa González</t>
  </si>
  <si>
    <t>Simulación discreta</t>
  </si>
  <si>
    <t>Simulación en 3D (Compiladores)</t>
  </si>
  <si>
    <t>Ricardo Macías Quijas</t>
  </si>
  <si>
    <t>Sistemas de comunicación</t>
  </si>
  <si>
    <t>1772/73</t>
  </si>
  <si>
    <t>Sistemas de costos y presupuestos</t>
  </si>
  <si>
    <t>Sistemas energéticos II</t>
  </si>
  <si>
    <t>1834/35</t>
  </si>
  <si>
    <t>Sistemas integrados de manufactura</t>
  </si>
  <si>
    <t>5383/84</t>
  </si>
  <si>
    <t>Sistemas operativos</t>
  </si>
  <si>
    <t>Tania Louvette De la Rosa Ponce</t>
  </si>
  <si>
    <t>Sustentabilidad y normatividad energética</t>
  </si>
  <si>
    <t>Néstor Damián Ortega Méndez</t>
  </si>
  <si>
    <t>Taller avanzado de ingeniería para el diseño</t>
  </si>
  <si>
    <t>Taller de diseño funcional</t>
  </si>
  <si>
    <t>Bernardo de Jesús  Arámbula Coronado</t>
  </si>
  <si>
    <t>Taller de estética para el diseño</t>
  </si>
  <si>
    <t>Francisco de Jesús Guerrero Jiménez</t>
  </si>
  <si>
    <t>Taller de metodología del diseño</t>
  </si>
  <si>
    <t>Técnicas de representación</t>
  </si>
  <si>
    <t>Tecnologías de asistencia</t>
  </si>
  <si>
    <t>Lean</t>
  </si>
  <si>
    <t>1911/12</t>
  </si>
  <si>
    <t>Termodinámica</t>
  </si>
  <si>
    <t>1824/25, 1826/27, 1828/29, 1830/31</t>
  </si>
  <si>
    <t>Armando Alejandro Huizar González</t>
  </si>
  <si>
    <t>Tópicos en instalaciones industriales</t>
  </si>
  <si>
    <t>2679/80</t>
  </si>
  <si>
    <t>Topografía</t>
  </si>
  <si>
    <t>1820/21</t>
  </si>
  <si>
    <t>Juan Jáuregui Rincón</t>
  </si>
  <si>
    <t>Tratamiento de aguas, suelos y atmósferas</t>
  </si>
  <si>
    <t>1884/85</t>
  </si>
  <si>
    <t>Elise Anaís Medrano Escobedo</t>
  </si>
  <si>
    <t>Urbótica</t>
  </si>
  <si>
    <t>2696/97</t>
  </si>
  <si>
    <t>Grado</t>
  </si>
  <si>
    <t>Gdo</t>
  </si>
  <si>
    <t>Aulas</t>
  </si>
  <si>
    <t>Equipo</t>
  </si>
  <si>
    <t>1.5</t>
  </si>
  <si>
    <t>0.9</t>
  </si>
  <si>
    <t>Num</t>
  </si>
  <si>
    <t>ID</t>
  </si>
  <si>
    <t>Nombre</t>
  </si>
  <si>
    <t>Nombres</t>
  </si>
  <si>
    <t>Apellido Paterno</t>
  </si>
  <si>
    <t>Apellido Materno</t>
  </si>
  <si>
    <t>Fecha de Nacimiento</t>
  </si>
  <si>
    <t>Clases Presenciales</t>
  </si>
  <si>
    <t>wa</t>
  </si>
  <si>
    <t>Celular</t>
  </si>
  <si>
    <t>Correo electrónico</t>
  </si>
  <si>
    <t>Calle</t>
  </si>
  <si>
    <t>Número</t>
  </si>
  <si>
    <t>Fracc/Colonia</t>
  </si>
  <si>
    <t>Ciudad</t>
  </si>
  <si>
    <t>Estado</t>
  </si>
  <si>
    <t>CP</t>
  </si>
  <si>
    <t>Cantidad de materias</t>
  </si>
  <si>
    <t>AIC</t>
  </si>
  <si>
    <t>Ex Inglés</t>
  </si>
  <si>
    <t>Actualizado</t>
  </si>
  <si>
    <t>TOEFL</t>
  </si>
  <si>
    <t>Licenciatura</t>
  </si>
  <si>
    <t>L</t>
  </si>
  <si>
    <t>M</t>
  </si>
  <si>
    <t>Brianda</t>
  </si>
  <si>
    <t>Rugarcía</t>
  </si>
  <si>
    <t>González</t>
  </si>
  <si>
    <t>Si</t>
  </si>
  <si>
    <t>ok</t>
  </si>
  <si>
    <t>brugarcia@up.edu.mx</t>
  </si>
  <si>
    <t>Jardín de Zaragoza</t>
  </si>
  <si>
    <t>Jardines de las Fuentes</t>
  </si>
  <si>
    <t>Aguascalientes</t>
  </si>
  <si>
    <t>Incompleto</t>
  </si>
  <si>
    <t>Rev.</t>
  </si>
  <si>
    <t>Especialidad</t>
  </si>
  <si>
    <t>E</t>
  </si>
  <si>
    <t>Francisco León Gutiérrez</t>
  </si>
  <si>
    <t>Francisco</t>
  </si>
  <si>
    <t>León</t>
  </si>
  <si>
    <t>Gutiérrez</t>
  </si>
  <si>
    <t>pancho.wow@gmail.com; fleong@up.edu.mx</t>
  </si>
  <si>
    <t>Constitución</t>
  </si>
  <si>
    <t>147 int. PH</t>
  </si>
  <si>
    <t xml:space="preserve">La Purisima </t>
  </si>
  <si>
    <t>No inscrito</t>
  </si>
  <si>
    <t>Maestría</t>
  </si>
  <si>
    <t>D</t>
  </si>
  <si>
    <t>Carlos Roberto</t>
  </si>
  <si>
    <t xml:space="preserve">Rodríguez </t>
  </si>
  <si>
    <t>Castellanos</t>
  </si>
  <si>
    <t>crodriguezc@up.edu.mx</t>
  </si>
  <si>
    <t>Gabriela Mistral</t>
  </si>
  <si>
    <t>Santa Anita</t>
  </si>
  <si>
    <t>Doctorado</t>
  </si>
  <si>
    <t xml:space="preserve">César </t>
  </si>
  <si>
    <t>López</t>
  </si>
  <si>
    <t>Murillo</t>
  </si>
  <si>
    <t>clopezmur@up.edu.mx</t>
  </si>
  <si>
    <t>La Gavia</t>
  </si>
  <si>
    <t>Real de Haciendas</t>
  </si>
  <si>
    <t>SNI</t>
  </si>
  <si>
    <t>Celia Marisa</t>
  </si>
  <si>
    <t>Rubio</t>
  </si>
  <si>
    <t>cmrodriguez@up.edu.mx</t>
  </si>
  <si>
    <t>Loma Alta</t>
  </si>
  <si>
    <t>Villas de la Cantera</t>
  </si>
  <si>
    <t>Ok</t>
  </si>
  <si>
    <t>Adjunto</t>
  </si>
  <si>
    <t xml:space="preserve">Luis Manuel </t>
  </si>
  <si>
    <t xml:space="preserve">Ortiz </t>
  </si>
  <si>
    <t>de la Torre</t>
  </si>
  <si>
    <t>lmortiz@up.edu.mx</t>
  </si>
  <si>
    <t>Circuito Potra Vitta Poniente</t>
  </si>
  <si>
    <t>Porta Vitta</t>
  </si>
  <si>
    <t>Jacob</t>
  </si>
  <si>
    <t>Márquez</t>
  </si>
  <si>
    <t>Ávila</t>
  </si>
  <si>
    <t>449 142 5728</t>
  </si>
  <si>
    <t>jamarquez@up.edu.mx</t>
  </si>
  <si>
    <t>Av. La Querencia</t>
  </si>
  <si>
    <t>304 Int. 70</t>
  </si>
  <si>
    <t>La Querencia</t>
  </si>
  <si>
    <t>Jorge</t>
  </si>
  <si>
    <t>Quiroga</t>
  </si>
  <si>
    <t>Garza</t>
  </si>
  <si>
    <t>jquiroga@up.edu.mx</t>
  </si>
  <si>
    <t>Mezquite</t>
  </si>
  <si>
    <t>Campestre</t>
  </si>
  <si>
    <t>Ana Miriam Romo Anaya</t>
  </si>
  <si>
    <t>Ana Miriam</t>
  </si>
  <si>
    <t xml:space="preserve">Romo </t>
  </si>
  <si>
    <t>Anaya</t>
  </si>
  <si>
    <t>amromo@up.edu.mx</t>
  </si>
  <si>
    <t>Nublado</t>
  </si>
  <si>
    <t>Vistas del Sol</t>
  </si>
  <si>
    <t>Alfredo Márquez Martínez</t>
  </si>
  <si>
    <t>Alfredo</t>
  </si>
  <si>
    <t>Martínez</t>
  </si>
  <si>
    <t>amarquezm@up.edu.mx</t>
  </si>
  <si>
    <t>Morocco</t>
  </si>
  <si>
    <t>Parras</t>
  </si>
  <si>
    <t>73.76</t>
  </si>
  <si>
    <t>Matutino</t>
  </si>
  <si>
    <t>Ignacio</t>
  </si>
  <si>
    <t>Acosta</t>
  </si>
  <si>
    <t>Pineda</t>
  </si>
  <si>
    <t>iacostap@up.edu.mx</t>
  </si>
  <si>
    <t>Calle 57</t>
  </si>
  <si>
    <t>Colonia del Trabajo</t>
  </si>
  <si>
    <t>Ing</t>
  </si>
  <si>
    <t>D2</t>
  </si>
  <si>
    <t>Sergio Sosa Lara</t>
  </si>
  <si>
    <t xml:space="preserve">Sergio </t>
  </si>
  <si>
    <t>Sosa</t>
  </si>
  <si>
    <t>Lara</t>
  </si>
  <si>
    <t>ssosal@up.edu.mx</t>
  </si>
  <si>
    <t>Nicolas Bravo</t>
  </si>
  <si>
    <t>127-2</t>
  </si>
  <si>
    <t>Barrio de Guadalupe</t>
  </si>
  <si>
    <t>Lab. Electronica</t>
  </si>
  <si>
    <t>Gerardo</t>
  </si>
  <si>
    <t>Romo</t>
  </si>
  <si>
    <t>grodriguez@up.edu.mx</t>
  </si>
  <si>
    <t>Juan de Asbaje</t>
  </si>
  <si>
    <t>Lomas de Santa Anita</t>
  </si>
  <si>
    <t>C25</t>
  </si>
  <si>
    <t>Ampere</t>
  </si>
  <si>
    <t xml:space="preserve">Mauricio </t>
  </si>
  <si>
    <t>Ruiz</t>
  </si>
  <si>
    <t>Morales</t>
  </si>
  <si>
    <t>mauruizm@up.edu.mx</t>
  </si>
  <si>
    <t>Enelo</t>
  </si>
  <si>
    <t>Yalta Campestre</t>
  </si>
  <si>
    <t>C01</t>
  </si>
  <si>
    <t>David Alejandro</t>
  </si>
  <si>
    <t xml:space="preserve">Montoya </t>
  </si>
  <si>
    <t>damurrillo@up.edu.mx</t>
  </si>
  <si>
    <t>Paseo del Río</t>
  </si>
  <si>
    <t>Residencial del Valle 2</t>
  </si>
  <si>
    <t>39.48</t>
  </si>
  <si>
    <t>C03</t>
  </si>
  <si>
    <t>B-15</t>
  </si>
  <si>
    <t>Sergio Eduardo</t>
  </si>
  <si>
    <t>Valenzuela</t>
  </si>
  <si>
    <t>Guerrero</t>
  </si>
  <si>
    <t>sevalenzuela@up.edu.mx</t>
  </si>
  <si>
    <t>Articulo 18</t>
  </si>
  <si>
    <t>Soberana Convención</t>
  </si>
  <si>
    <t>79.77</t>
  </si>
  <si>
    <t>Rincon de Romos</t>
  </si>
  <si>
    <t>Óscar</t>
  </si>
  <si>
    <t>Correa</t>
  </si>
  <si>
    <t>omartinezc@up.edu.mx</t>
  </si>
  <si>
    <t>Simón Bolivar</t>
  </si>
  <si>
    <t>Los Vergeles</t>
  </si>
  <si>
    <t>Lab. Diseño e Inovacion</t>
  </si>
  <si>
    <t>Juan Antonio</t>
  </si>
  <si>
    <t>Parga</t>
  </si>
  <si>
    <t>Orozco</t>
  </si>
  <si>
    <t>japarga@up.edu.mx</t>
  </si>
  <si>
    <t>Akumal</t>
  </si>
  <si>
    <t>Punta del Cielo</t>
  </si>
  <si>
    <t>73.08</t>
  </si>
  <si>
    <t>A24</t>
  </si>
  <si>
    <t>Jesús Vidales Ledezma</t>
  </si>
  <si>
    <t>Jesús</t>
  </si>
  <si>
    <t>Vidales</t>
  </si>
  <si>
    <t>Ledesma</t>
  </si>
  <si>
    <t>449 210 2435</t>
  </si>
  <si>
    <t>jvidales@up.edu.mx</t>
  </si>
  <si>
    <t>Rinconada San Julian</t>
  </si>
  <si>
    <t>La Fátima</t>
  </si>
  <si>
    <t>C11</t>
  </si>
  <si>
    <t>Christian Emmanuel</t>
  </si>
  <si>
    <t>Mujica</t>
  </si>
  <si>
    <t>Arochi</t>
  </si>
  <si>
    <t>cemujica@up.edu.mx</t>
  </si>
  <si>
    <t>Canal interceptor</t>
  </si>
  <si>
    <t>1306- Planta Alta</t>
  </si>
  <si>
    <t>El Plateado</t>
  </si>
  <si>
    <t>C21</t>
  </si>
  <si>
    <t>Jaime Emmanuel</t>
  </si>
  <si>
    <t>Muñoz</t>
  </si>
  <si>
    <t>Romero</t>
  </si>
  <si>
    <t>jmunozr@up.edu.mx</t>
  </si>
  <si>
    <t>Ignacio Vallarta</t>
  </si>
  <si>
    <t>La Cruz</t>
  </si>
  <si>
    <t>C24</t>
  </si>
  <si>
    <t>Gaspar Hermengildo</t>
  </si>
  <si>
    <t>Vela</t>
  </si>
  <si>
    <t>ghvela@up.edu.mx</t>
  </si>
  <si>
    <t>Republica de Venezuela</t>
  </si>
  <si>
    <t>Montebello (junto al dorado)</t>
  </si>
  <si>
    <t>TI CC010</t>
  </si>
  <si>
    <t>Ricón de Romos</t>
  </si>
  <si>
    <t>Miguel Ángel Huizar Botello</t>
  </si>
  <si>
    <t>Miguel Ángel</t>
  </si>
  <si>
    <t>Huizar</t>
  </si>
  <si>
    <t>Botello</t>
  </si>
  <si>
    <t>mahuizar@up.edu.mx</t>
  </si>
  <si>
    <t>Antonio Caso</t>
  </si>
  <si>
    <t>Villas de la Universidad</t>
  </si>
  <si>
    <t>Lab. Ing. Quimica</t>
  </si>
  <si>
    <t>Sede Norte 2</t>
  </si>
  <si>
    <t xml:space="preserve">Jhonatan </t>
  </si>
  <si>
    <t xml:space="preserve">Limón </t>
  </si>
  <si>
    <t>jlimong@up.edu.mx</t>
  </si>
  <si>
    <t>Fray Antonio de Segovia</t>
  </si>
  <si>
    <t>Villa Jardin</t>
  </si>
  <si>
    <t>A13</t>
  </si>
  <si>
    <t>Sede Norte 4</t>
  </si>
  <si>
    <t>Pedro</t>
  </si>
  <si>
    <t>Bustos</t>
  </si>
  <si>
    <t>Rivera</t>
  </si>
  <si>
    <t>449 919 2939</t>
  </si>
  <si>
    <t>pbustos@up.edu.mx</t>
  </si>
  <si>
    <t>Miguel de la Madrid</t>
  </si>
  <si>
    <t>Trojes de Cristal</t>
  </si>
  <si>
    <t>Rodrigo</t>
  </si>
  <si>
    <t>Soulé</t>
  </si>
  <si>
    <t>de Castro</t>
  </si>
  <si>
    <t>rsoule@up.edu.mx</t>
  </si>
  <si>
    <t>Cúspide</t>
  </si>
  <si>
    <t>Residencial Altaria</t>
  </si>
  <si>
    <t>Vespertino</t>
  </si>
  <si>
    <t>Marco Antonio</t>
  </si>
  <si>
    <t>García</t>
  </si>
  <si>
    <t>Colmenares</t>
  </si>
  <si>
    <t>magarciac@up.edu.mx</t>
  </si>
  <si>
    <t>Parque de los Nogales pte,</t>
  </si>
  <si>
    <t>Trojes del Sur</t>
  </si>
  <si>
    <t>Ana Carolina</t>
  </si>
  <si>
    <t>Meyemberg</t>
  </si>
  <si>
    <t>acgarcía@up.edu.mx</t>
  </si>
  <si>
    <t xml:space="preserve">Prolongación Avenida de la Asunción </t>
  </si>
  <si>
    <t>5303-78</t>
  </si>
  <si>
    <t>San Gerardo</t>
  </si>
  <si>
    <t>A16</t>
  </si>
  <si>
    <t>Gilberto Castañeda Guzmán</t>
  </si>
  <si>
    <t>Gilberto</t>
  </si>
  <si>
    <t>Castañeda</t>
  </si>
  <si>
    <t>Guzmán</t>
  </si>
  <si>
    <t>gicastaneda@up.edu.mx</t>
  </si>
  <si>
    <t xml:space="preserve">Campos Eliseo </t>
  </si>
  <si>
    <t>425 Int. F</t>
  </si>
  <si>
    <t>Inf. Fidel Velázquez</t>
  </si>
  <si>
    <t>70.65</t>
  </si>
  <si>
    <t>A17</t>
  </si>
  <si>
    <t xml:space="preserve">Juan </t>
  </si>
  <si>
    <t>Jáurgui</t>
  </si>
  <si>
    <t>Rincón</t>
  </si>
  <si>
    <t>jjauregui@up.edu.mx</t>
  </si>
  <si>
    <t xml:space="preserve">Troje del Chichimeco </t>
  </si>
  <si>
    <t>Reserva San Cristobal</t>
  </si>
  <si>
    <t>ICA</t>
  </si>
  <si>
    <t>Calvillo</t>
  </si>
  <si>
    <t>Karina Jannet</t>
  </si>
  <si>
    <t>Vacio</t>
  </si>
  <si>
    <t>Muro</t>
  </si>
  <si>
    <t>kvacio@up.edu.mx</t>
  </si>
  <si>
    <t>Teotihuacán</t>
  </si>
  <si>
    <t>Lomas de Jesús María</t>
  </si>
  <si>
    <t>Jesus María</t>
  </si>
  <si>
    <t>A12</t>
  </si>
  <si>
    <t>30PC's</t>
  </si>
  <si>
    <t>Rubén Gudalupe</t>
  </si>
  <si>
    <t>Sánchez</t>
  </si>
  <si>
    <t>rgarcias@up.edu.mx</t>
  </si>
  <si>
    <t>Antonio Arias Bernal</t>
  </si>
  <si>
    <t>A23</t>
  </si>
  <si>
    <t>10PC's</t>
  </si>
  <si>
    <t>Raúl</t>
  </si>
  <si>
    <t>de Alba</t>
  </si>
  <si>
    <t>de la Cerda</t>
  </si>
  <si>
    <t>rdealba@up.edu.mx</t>
  </si>
  <si>
    <t>Agustín de Iturbide</t>
  </si>
  <si>
    <t>C14</t>
  </si>
  <si>
    <t>28PC's</t>
  </si>
  <si>
    <t>Cynthia Grisell Díaz Navarro</t>
  </si>
  <si>
    <t>Cynthia Grisell</t>
  </si>
  <si>
    <t>Díaz</t>
  </si>
  <si>
    <t>Navarro</t>
  </si>
  <si>
    <t>cgdiaz@up.edu.mx</t>
  </si>
  <si>
    <t xml:space="preserve">Abasolo </t>
  </si>
  <si>
    <t>Encino</t>
  </si>
  <si>
    <t>C02</t>
  </si>
  <si>
    <t>Cerámica, textiles</t>
  </si>
  <si>
    <t>Bahía  Betzabet Cassal Quiroja</t>
  </si>
  <si>
    <t>Bahía Betzabet</t>
  </si>
  <si>
    <t>Cassal</t>
  </si>
  <si>
    <t>Quiroja</t>
  </si>
  <si>
    <t>bcassal@up.edu.mx</t>
  </si>
  <si>
    <t>Av. De la Paz</t>
  </si>
  <si>
    <t>203 int 103</t>
  </si>
  <si>
    <t>Rancho Santa Mónica</t>
  </si>
  <si>
    <t>A22</t>
  </si>
  <si>
    <t>Cosío</t>
  </si>
  <si>
    <t>Briceyda Berenice</t>
  </si>
  <si>
    <t>Delgado</t>
  </si>
  <si>
    <t>bbdelgado@up.edu.mx</t>
  </si>
  <si>
    <t xml:space="preserve">Albacete </t>
  </si>
  <si>
    <t>La Rioja</t>
  </si>
  <si>
    <t>C23</t>
  </si>
  <si>
    <t>Jesús Adrián</t>
  </si>
  <si>
    <t>Cerda</t>
  </si>
  <si>
    <t>Rodríguez</t>
  </si>
  <si>
    <t>jcerda@up.edu.mx</t>
  </si>
  <si>
    <t>Heróes de Chapultepec</t>
  </si>
  <si>
    <t>724 manzana 8</t>
  </si>
  <si>
    <t>Ana Elena</t>
  </si>
  <si>
    <t xml:space="preserve">González </t>
  </si>
  <si>
    <t>Contreras</t>
  </si>
  <si>
    <t>aegonzalez@up.edu.mx</t>
  </si>
  <si>
    <t>Valentin Gómez Farías</t>
  </si>
  <si>
    <t>Luis Alonso</t>
  </si>
  <si>
    <t>Mercado</t>
  </si>
  <si>
    <t>laromo@up.edu.mx</t>
  </si>
  <si>
    <t>Cerro de la Joya</t>
  </si>
  <si>
    <t>Fovissste Ojocaliente II</t>
  </si>
  <si>
    <t>Egisto Minardi</t>
  </si>
  <si>
    <t>Ramsel</t>
  </si>
  <si>
    <t>Toledo</t>
  </si>
  <si>
    <t>rtoledo@up.edu.mx</t>
  </si>
  <si>
    <t xml:space="preserve">Adolfo Ruiz Cortinez </t>
  </si>
  <si>
    <t>209 E-2  Dep. 102</t>
  </si>
  <si>
    <t>Primo Verdad</t>
  </si>
  <si>
    <t>Héctor Luis</t>
  </si>
  <si>
    <t>Villacorta</t>
  </si>
  <si>
    <t>Minaya</t>
  </si>
  <si>
    <t>hvillacorta@up.edu.mx</t>
  </si>
  <si>
    <t xml:space="preserve">102, casa 161  Coto San Quintin </t>
  </si>
  <si>
    <t>Fátima del Rosario</t>
  </si>
  <si>
    <t>Árambula</t>
  </si>
  <si>
    <t>Coronado</t>
  </si>
  <si>
    <t>frarambula@up.edu.mx</t>
  </si>
  <si>
    <t xml:space="preserve">Nueva </t>
  </si>
  <si>
    <t>Valle de Margaritas</t>
  </si>
  <si>
    <t>ICA 2 PB</t>
  </si>
  <si>
    <t>Gustavo Meza García</t>
  </si>
  <si>
    <t>Gustavo</t>
  </si>
  <si>
    <t>Meza</t>
  </si>
  <si>
    <t>Calle 4 Milpas</t>
  </si>
  <si>
    <t>Las Cumbres</t>
  </si>
  <si>
    <t>Omar Miranda Ortiz</t>
  </si>
  <si>
    <t>Omar</t>
  </si>
  <si>
    <t>Miranda</t>
  </si>
  <si>
    <t>Ortiz</t>
  </si>
  <si>
    <t>omiranda@up.edu.mx</t>
  </si>
  <si>
    <t>Calzada Villa Plata</t>
  </si>
  <si>
    <t>Alcázar</t>
  </si>
  <si>
    <t>Jesús María, Aguascalientes</t>
  </si>
  <si>
    <t>TI CC011</t>
  </si>
  <si>
    <t>IPADE</t>
  </si>
  <si>
    <t>Karen Esther</t>
  </si>
  <si>
    <t>Garduño</t>
  </si>
  <si>
    <t>kerodriguez@up.edu.mx</t>
  </si>
  <si>
    <t>C.Cenit</t>
  </si>
  <si>
    <t xml:space="preserve">Antonio </t>
  </si>
  <si>
    <t xml:space="preserve">Ponce </t>
  </si>
  <si>
    <t>Guardado</t>
  </si>
  <si>
    <t>Av. Aguascalientes pte.</t>
  </si>
  <si>
    <t>España</t>
  </si>
  <si>
    <t>Víctor Emmanuel Dueñas Pérez</t>
  </si>
  <si>
    <t>Víctor Emmanuel</t>
  </si>
  <si>
    <t>Dueñas</t>
  </si>
  <si>
    <t>Pérez</t>
  </si>
  <si>
    <t>veduenas@up.edu.mx</t>
  </si>
  <si>
    <t xml:space="preserve">Pastor Roualx </t>
  </si>
  <si>
    <t>Boulevares 2da. Sección</t>
  </si>
  <si>
    <t>Jesús Emmanuel</t>
  </si>
  <si>
    <t>Montantes</t>
  </si>
  <si>
    <t>Pons</t>
  </si>
  <si>
    <t>jemontantes@up.edu.mx</t>
  </si>
  <si>
    <t>Margarito González Rubio</t>
  </si>
  <si>
    <t>Col. Centro</t>
  </si>
  <si>
    <t>Lagos de Moreno</t>
  </si>
  <si>
    <t>Jalisco</t>
  </si>
  <si>
    <t>Maderas</t>
  </si>
  <si>
    <t>Perucho</t>
  </si>
  <si>
    <t>rgutierrezp@up.edu.mx</t>
  </si>
  <si>
    <t>Acueducto</t>
  </si>
  <si>
    <t>Rancho San Miguel</t>
  </si>
  <si>
    <t>Metales</t>
  </si>
  <si>
    <t>Zermeño</t>
  </si>
  <si>
    <t>mmunozz@up.edu.mx</t>
  </si>
  <si>
    <t>Eucalipto</t>
  </si>
  <si>
    <t>Las Arboledas</t>
  </si>
  <si>
    <t>Jairo Alberto Palomo Martín</t>
  </si>
  <si>
    <t>Jairo Alberto</t>
  </si>
  <si>
    <t>Palomo</t>
  </si>
  <si>
    <t>Martín</t>
  </si>
  <si>
    <t>japalomo@up.edu.mx</t>
  </si>
  <si>
    <t>Hermanos Galeana</t>
  </si>
  <si>
    <t>Morelos</t>
  </si>
  <si>
    <t>Moot Court/Juicios Orales</t>
  </si>
  <si>
    <t>maromom@up.edu.mx</t>
  </si>
  <si>
    <t>Ana María Berlanga</t>
  </si>
  <si>
    <t>Boulevares</t>
  </si>
  <si>
    <t>59.50</t>
  </si>
  <si>
    <t>Pecera</t>
  </si>
  <si>
    <t>Luis Daniel</t>
  </si>
  <si>
    <t>Arriaga</t>
  </si>
  <si>
    <t>Esparza</t>
  </si>
  <si>
    <t>ldarriaga@up.edu.mx</t>
  </si>
  <si>
    <t>Francisco Villa</t>
  </si>
  <si>
    <t>817 Int. 3</t>
  </si>
  <si>
    <t>Gremial</t>
  </si>
  <si>
    <t>María Cristina</t>
  </si>
  <si>
    <t>Ortega</t>
  </si>
  <si>
    <t>Moo</t>
  </si>
  <si>
    <t>mcortega@up.edu.mx</t>
  </si>
  <si>
    <t>Noé Guadalupe</t>
  </si>
  <si>
    <t>Cortés</t>
  </si>
  <si>
    <t>Alférez</t>
  </si>
  <si>
    <t>ngcortes@up.edu.mx</t>
  </si>
  <si>
    <t>Andalucia</t>
  </si>
  <si>
    <t>Robótica</t>
  </si>
  <si>
    <t xml:space="preserve">Alán Octavio Vázquez Gallardo </t>
  </si>
  <si>
    <t>Alán Octavio</t>
  </si>
  <si>
    <t>Vázquez</t>
  </si>
  <si>
    <t>Gallardo</t>
  </si>
  <si>
    <t>aovazquez@up.edu.mx</t>
  </si>
  <si>
    <t>Emilio Acevedo</t>
  </si>
  <si>
    <t>Aarón Joaquín</t>
  </si>
  <si>
    <t>Guadalajara</t>
  </si>
  <si>
    <t>Sala de Consejo</t>
  </si>
  <si>
    <t>Iván Salgado Tránsito</t>
  </si>
  <si>
    <t>Iván</t>
  </si>
  <si>
    <t>Salgado</t>
  </si>
  <si>
    <t>Tránsito</t>
  </si>
  <si>
    <t>isalgadot@up.edu.mx</t>
  </si>
  <si>
    <t>Luis Adrián</t>
  </si>
  <si>
    <t>Cuevas</t>
  </si>
  <si>
    <t>Dávalos</t>
  </si>
  <si>
    <t>O</t>
  </si>
  <si>
    <t> l.adrian.cuevas.d@gmail.com, lacuevas@up.edu.mx</t>
  </si>
  <si>
    <t>Aquiles Serdán</t>
  </si>
  <si>
    <t>Lomas del Sur Puebla</t>
  </si>
  <si>
    <t>Puebla</t>
  </si>
  <si>
    <t>Sede Norte 1</t>
  </si>
  <si>
    <t xml:space="preserve">Elise Anaís </t>
  </si>
  <si>
    <t xml:space="preserve">Medrano </t>
  </si>
  <si>
    <t>Escobedo</t>
  </si>
  <si>
    <t>medranoescobedoelise@gmail.com, eamedrano@up.edu.mx</t>
  </si>
  <si>
    <t>San Francisco</t>
  </si>
  <si>
    <t>168-b</t>
  </si>
  <si>
    <t>Barrio de la Salud</t>
  </si>
  <si>
    <t>0255184</t>
  </si>
  <si>
    <t>Adrián Pastor</t>
  </si>
  <si>
    <t>Monrroy</t>
  </si>
  <si>
    <t>o</t>
  </si>
  <si>
    <t>beiceman@gmail.com</t>
  </si>
  <si>
    <t xml:space="preserve">Puerto Sosa </t>
  </si>
  <si>
    <t>Ex Hda. Sta. Teresa</t>
  </si>
  <si>
    <t>Guanajuato</t>
  </si>
  <si>
    <t>Sede Norte 3</t>
  </si>
  <si>
    <t>Néstor Damián</t>
  </si>
  <si>
    <t>Méndez</t>
  </si>
  <si>
    <t>No tiene Cel</t>
  </si>
  <si>
    <t>nortega@up.edu.mx</t>
  </si>
  <si>
    <t>Campana de la libertad</t>
  </si>
  <si>
    <t>Libertad</t>
  </si>
  <si>
    <t>Edgar Oswaldo Díaz</t>
  </si>
  <si>
    <t>Edgar Oswaldo</t>
  </si>
  <si>
    <t>eodíaz@up.edu.mx;  edgaroswaldodiaz2375@gmail.com</t>
  </si>
  <si>
    <t>Av. Reina de la Feria</t>
  </si>
  <si>
    <t>Rodolfo Landeros Gallegos</t>
  </si>
  <si>
    <t>Sede Norte Biblioteca</t>
  </si>
  <si>
    <t>Linda Elizabeth Servín Morfín</t>
  </si>
  <si>
    <t>Linda Elizabeth</t>
  </si>
  <si>
    <t>Servín</t>
  </si>
  <si>
    <t>Morfín</t>
  </si>
  <si>
    <t>lservin@up.edu.mx</t>
  </si>
  <si>
    <t>Tepezalá</t>
  </si>
  <si>
    <t>Pimentel</t>
  </si>
  <si>
    <t>fgonzalezp@up.edu.mx</t>
  </si>
  <si>
    <t>Jardín de Guadalupe</t>
  </si>
  <si>
    <t>Ana Lucía de Alba Jiménez</t>
  </si>
  <si>
    <t>Ana Lucía</t>
  </si>
  <si>
    <t>Jiménez</t>
  </si>
  <si>
    <t>aalba@up.edu.mx</t>
  </si>
  <si>
    <t>Circuito Balcanes</t>
  </si>
  <si>
    <t>Residencial Barlovento Rancho Santa Mónica</t>
  </si>
  <si>
    <t>Arquitectura</t>
  </si>
  <si>
    <t xml:space="preserve">Óscar Vicente Salas Domínguez </t>
  </si>
  <si>
    <t>Óscar Vicente</t>
  </si>
  <si>
    <t>Salas</t>
  </si>
  <si>
    <t>Domínguez</t>
  </si>
  <si>
    <t>osalas@up.edu.mx</t>
  </si>
  <si>
    <t>Republica del Salvador</t>
  </si>
  <si>
    <t>Santa Elena</t>
  </si>
  <si>
    <t>online</t>
  </si>
  <si>
    <t>Bernardo Jesús</t>
  </si>
  <si>
    <t>Arámbula</t>
  </si>
  <si>
    <t>31/06/1996</t>
  </si>
  <si>
    <t>barambula@up.edu.mx</t>
  </si>
  <si>
    <t xml:space="preserve">Paul </t>
  </si>
  <si>
    <t>Ramírez</t>
  </si>
  <si>
    <t>de la Cruz</t>
  </si>
  <si>
    <t>pramirezc@up.edu.mx</t>
  </si>
  <si>
    <t>Santa María de Gallardo</t>
  </si>
  <si>
    <t>Ojocaliente I</t>
  </si>
  <si>
    <t>Adol</t>
  </si>
  <si>
    <t>Rasillo</t>
  </si>
  <si>
    <t>agrasillo@up.edu.mx</t>
  </si>
  <si>
    <t>Rincón del Sol</t>
  </si>
  <si>
    <t>Rinconada de los Andes</t>
  </si>
  <si>
    <t>San luis Potosi</t>
  </si>
  <si>
    <t>San Luis Potosi</t>
  </si>
  <si>
    <t xml:space="preserve">Jonás </t>
  </si>
  <si>
    <t>Velazco</t>
  </si>
  <si>
    <t>Álvarez</t>
  </si>
  <si>
    <t>jvelascoa@up.edu.mx</t>
  </si>
  <si>
    <t>Av. San Antonio</t>
  </si>
  <si>
    <t>308 Int. 56, Condominio San Telmo Country  Golf</t>
  </si>
  <si>
    <t xml:space="preserve">Geraldina </t>
  </si>
  <si>
    <t xml:space="preserve">Alba </t>
  </si>
  <si>
    <t>Áviles</t>
  </si>
  <si>
    <t>4491790805</t>
  </si>
  <si>
    <t xml:space="preserve">Durán </t>
  </si>
  <si>
    <t>Casillas</t>
  </si>
  <si>
    <t>Ashly Estefany</t>
  </si>
  <si>
    <t xml:space="preserve">Meléndez </t>
  </si>
  <si>
    <t>Rasgado</t>
  </si>
  <si>
    <t>amelendez@up.edu.mx</t>
  </si>
  <si>
    <t>Cordillera de los Alpes</t>
  </si>
  <si>
    <t>139 Pte.</t>
  </si>
  <si>
    <t>La Concepción</t>
  </si>
  <si>
    <t>Daniel</t>
  </si>
  <si>
    <t>Díaz de León</t>
  </si>
  <si>
    <t>dlara@up.edu.mx</t>
  </si>
  <si>
    <t xml:space="preserve">Montoro </t>
  </si>
  <si>
    <t>Ojocaliente</t>
  </si>
  <si>
    <t>0166496</t>
  </si>
  <si>
    <t>Nydia Annency</t>
  </si>
  <si>
    <t>Cadenas</t>
  </si>
  <si>
    <t>Llegaría</t>
  </si>
  <si>
    <t>ncadenas@up.edu.mx</t>
  </si>
  <si>
    <t>Montes Himalaya</t>
  </si>
  <si>
    <t>Jardines de la Concepción</t>
  </si>
  <si>
    <t>Miguel Francisco</t>
  </si>
  <si>
    <t>Gámez</t>
  </si>
  <si>
    <t>Primera Privada la Luna</t>
  </si>
  <si>
    <t>130 Int. 9</t>
  </si>
  <si>
    <t>La Salud</t>
  </si>
  <si>
    <t>0179057</t>
  </si>
  <si>
    <t xml:space="preserve">Magaña </t>
  </si>
  <si>
    <t>Chávez</t>
  </si>
  <si>
    <t>rmchavez@up.edumx</t>
  </si>
  <si>
    <t>Paseo del Río Azul</t>
  </si>
  <si>
    <t>San Nicolás</t>
  </si>
  <si>
    <t>Tania Louvette</t>
  </si>
  <si>
    <t>De la Rosa</t>
  </si>
  <si>
    <t>Ponce</t>
  </si>
  <si>
    <t>tdelarosa@up.edu.mx</t>
  </si>
  <si>
    <t xml:space="preserve">Valle del Mezquital </t>
  </si>
  <si>
    <t>Fracc. Río San Pedro</t>
  </si>
  <si>
    <t xml:space="preserve">Alberto </t>
  </si>
  <si>
    <t>10H</t>
  </si>
  <si>
    <t>Carlos Alfredo</t>
  </si>
  <si>
    <t xml:space="preserve">Cervantes </t>
  </si>
  <si>
    <t>Blengio</t>
  </si>
  <si>
    <t>ccervant@up.edu.mx</t>
  </si>
  <si>
    <t>Jardín de San Marcos</t>
  </si>
  <si>
    <t>Jardínes de la Asunción</t>
  </si>
  <si>
    <t>11H</t>
  </si>
  <si>
    <t>Federico Nassim</t>
  </si>
  <si>
    <t>Bravo</t>
  </si>
  <si>
    <t>Jordán</t>
  </si>
  <si>
    <t>fbravo@up.edu.mx</t>
  </si>
  <si>
    <t>Campo Verde</t>
  </si>
  <si>
    <t>Villas Bonaterra</t>
  </si>
  <si>
    <t>12H</t>
  </si>
  <si>
    <t>Gustavo Adolfo</t>
  </si>
  <si>
    <t>Urzúa</t>
  </si>
  <si>
    <t>gaesparza@up.edu.mx</t>
  </si>
  <si>
    <t>Placeres</t>
  </si>
  <si>
    <t>Linda Vista</t>
  </si>
  <si>
    <t>13H</t>
  </si>
  <si>
    <t>Jesús Enrique</t>
  </si>
  <si>
    <t>Cardona</t>
  </si>
  <si>
    <t>Villa</t>
  </si>
  <si>
    <t>14H</t>
  </si>
  <si>
    <t>Serna</t>
  </si>
  <si>
    <t>Medina</t>
  </si>
  <si>
    <t>1H</t>
  </si>
  <si>
    <t>Andrés Takeshi Castillo Torres</t>
  </si>
  <si>
    <t>Andrés Takeshi</t>
  </si>
  <si>
    <t>Castillo</t>
  </si>
  <si>
    <t>Torres</t>
  </si>
  <si>
    <t>atcastillo@up.edu.mx</t>
  </si>
  <si>
    <t>Antonio l. Villareal</t>
  </si>
  <si>
    <t>Jardines de la Convención</t>
  </si>
  <si>
    <t>2H</t>
  </si>
  <si>
    <t>Claudio César</t>
  </si>
  <si>
    <t>Calabrese</t>
  </si>
  <si>
    <t>ccalabrese@up.edu.mx</t>
  </si>
  <si>
    <t>Llano Alto</t>
  </si>
  <si>
    <t>3H</t>
  </si>
  <si>
    <t>Ethel Beatriz Junco de Calabrese</t>
  </si>
  <si>
    <t>Ethel Beatriz</t>
  </si>
  <si>
    <t xml:space="preserve">Junco </t>
  </si>
  <si>
    <t>de Calabrese</t>
  </si>
  <si>
    <t>ejunco@up.edu.mx</t>
  </si>
  <si>
    <t>4H</t>
  </si>
  <si>
    <t xml:space="preserve">Juan José </t>
  </si>
  <si>
    <t>Macías</t>
  </si>
  <si>
    <t>jmacías@up.edu.mx</t>
  </si>
  <si>
    <t>Prologación  Paseo de la Asunción</t>
  </si>
  <si>
    <t>Prados del Sur</t>
  </si>
  <si>
    <t>5H</t>
  </si>
  <si>
    <t>Mariana</t>
  </si>
  <si>
    <t>Becerra</t>
  </si>
  <si>
    <t>Calderón</t>
  </si>
  <si>
    <t>mbecerrac@up.edu.mx</t>
  </si>
  <si>
    <t>Liquidámbar</t>
  </si>
  <si>
    <t>32, Casa 6</t>
  </si>
  <si>
    <t>Pulgas Pandas Norte</t>
  </si>
  <si>
    <t>6H</t>
  </si>
  <si>
    <t>Carlos Humberto</t>
  </si>
  <si>
    <t>Gastelúm</t>
  </si>
  <si>
    <t>chacosta@up.edu.mx</t>
  </si>
  <si>
    <t>Santiago Calatrava</t>
  </si>
  <si>
    <t>Espacios de Barcelona</t>
  </si>
  <si>
    <t>Culiacan</t>
  </si>
  <si>
    <t>Rosales s/n</t>
  </si>
  <si>
    <t>7H</t>
  </si>
  <si>
    <t xml:space="preserve">Jorge Humberto </t>
  </si>
  <si>
    <t xml:space="preserve">Mejía </t>
  </si>
  <si>
    <t>Reyes</t>
  </si>
  <si>
    <t>jhmejía@up.edu.mx</t>
  </si>
  <si>
    <t>San Francisco de los Viveros</t>
  </si>
  <si>
    <t>2045, Casa 58</t>
  </si>
  <si>
    <t>Balcones de Oriente</t>
  </si>
  <si>
    <t>8H</t>
  </si>
  <si>
    <t xml:space="preserve">Eduardo </t>
  </si>
  <si>
    <t>esanchez@up.edu.mx</t>
  </si>
  <si>
    <t>Vázquez del Mercado</t>
  </si>
  <si>
    <t>Centro</t>
  </si>
  <si>
    <t>9H</t>
  </si>
  <si>
    <t>María Teresa</t>
  </si>
  <si>
    <t xml:space="preserve">Enríquez </t>
  </si>
  <si>
    <t>Gómez</t>
  </si>
  <si>
    <t>tenriquez@up.edu.mx</t>
  </si>
  <si>
    <t>Hernando Martell</t>
  </si>
  <si>
    <t>Begoña</t>
  </si>
  <si>
    <t>Noriega</t>
  </si>
  <si>
    <t>Olalde</t>
  </si>
  <si>
    <t>bnoriegao@up.edu.mx</t>
  </si>
  <si>
    <t>Jardines de la Asunción</t>
  </si>
  <si>
    <t>Ramiro</t>
  </si>
  <si>
    <t>Velázquez</t>
  </si>
  <si>
    <t>rvelazquez@up.edu.mx</t>
  </si>
  <si>
    <t xml:space="preserve">Sierra Canela </t>
  </si>
  <si>
    <t>Bosques del Padro</t>
  </si>
  <si>
    <t>Juan Pablo</t>
  </si>
  <si>
    <t>449 96 04 46</t>
  </si>
  <si>
    <t>jbecerra@up.edu.mx</t>
  </si>
  <si>
    <t>Arroyo Hondo</t>
  </si>
  <si>
    <t>Villa Bonaterra</t>
  </si>
  <si>
    <t>Marco Arturo</t>
  </si>
  <si>
    <t>macontreras@up.edu.mx</t>
  </si>
  <si>
    <t>Álamo</t>
  </si>
  <si>
    <t>Jardínes de la Cruz</t>
  </si>
  <si>
    <t>Laura Alejandra</t>
  </si>
  <si>
    <t xml:space="preserve">Arreola </t>
  </si>
  <si>
    <t>449 469 8095</t>
  </si>
  <si>
    <t>larreolag@up.edu.mx</t>
  </si>
  <si>
    <t>Blvd Adolfo Ruiz Cortines</t>
  </si>
  <si>
    <t>El Edén</t>
  </si>
  <si>
    <t>Armando Alejandro</t>
  </si>
  <si>
    <t>ahuizar@up.edu.mx</t>
  </si>
  <si>
    <t xml:space="preserve">Circuito Hacienda Santa Lucía </t>
  </si>
  <si>
    <t>111-A</t>
  </si>
  <si>
    <t xml:space="preserve">Juan Carlos </t>
  </si>
  <si>
    <t>jcagarcia@up.edu.mx</t>
  </si>
  <si>
    <t>Ribadeo</t>
  </si>
  <si>
    <t>Las Moras</t>
  </si>
  <si>
    <t>Manuel  Alejandro</t>
  </si>
  <si>
    <t>marodriguezr@up.edu.mx</t>
  </si>
  <si>
    <t xml:space="preserve">Balcones de Oriente </t>
  </si>
  <si>
    <t>Balcones de Ojocaliente</t>
  </si>
  <si>
    <t>Pedroza</t>
  </si>
  <si>
    <t>apedrozad@up.edu.mx</t>
  </si>
  <si>
    <t>Del Cardo</t>
  </si>
  <si>
    <t>La Herradura</t>
  </si>
  <si>
    <t>Isaí Gerardo</t>
  </si>
  <si>
    <t>Cedeño</t>
  </si>
  <si>
    <t>igreyes@up.edu.mx</t>
  </si>
  <si>
    <t>Miguel Hidalgo</t>
  </si>
  <si>
    <t>Peñuelas (El Cienegal)</t>
  </si>
  <si>
    <t>Claudia Nallely</t>
  </si>
  <si>
    <t>cnsanchez@up.edu.mx</t>
  </si>
  <si>
    <t>Flor de Nochebuena</t>
  </si>
  <si>
    <t>85 int 2</t>
  </si>
  <si>
    <t>San Javier</t>
  </si>
  <si>
    <t>Crisdalith</t>
  </si>
  <si>
    <t>Cachutt</t>
  </si>
  <si>
    <t>Alvarado</t>
  </si>
  <si>
    <t>ccachutt@up.edu.mx</t>
  </si>
  <si>
    <t>Valle del Río</t>
  </si>
  <si>
    <t>Villas Bonaterra Coto 2</t>
  </si>
  <si>
    <t>Diego</t>
  </si>
  <si>
    <t>Larrondo</t>
  </si>
  <si>
    <t>Montalvo</t>
  </si>
  <si>
    <t>dlarrondom@up.edu.mx</t>
  </si>
  <si>
    <t>Agua Dulce</t>
  </si>
  <si>
    <t>Erika Iliana del Rocío</t>
  </si>
  <si>
    <t>Hernández</t>
  </si>
  <si>
    <t>ehernandez@up.edu.mx</t>
  </si>
  <si>
    <t>Gerónimo de Orozco</t>
  </si>
  <si>
    <t>Primavera</t>
  </si>
  <si>
    <t>Fabiola</t>
  </si>
  <si>
    <t>Ayluardo</t>
  </si>
  <si>
    <t>fayluardo@up.edu.mx</t>
  </si>
  <si>
    <t>Hacienda Caltengo</t>
  </si>
  <si>
    <t>Francisco de Paula</t>
  </si>
  <si>
    <t>Viesca</t>
  </si>
  <si>
    <t>fcomorales@up.edu.mx</t>
  </si>
  <si>
    <t>Silos</t>
  </si>
  <si>
    <t>Trojes de Oriente</t>
  </si>
  <si>
    <t>Gastón Leonardo</t>
  </si>
  <si>
    <t>Goñi</t>
  </si>
  <si>
    <t>Tascón</t>
  </si>
  <si>
    <t>glgoni@up.edu.mx</t>
  </si>
  <si>
    <t>Palenque</t>
  </si>
  <si>
    <t>Pirámides</t>
  </si>
  <si>
    <t>Héctor Eduardo</t>
  </si>
  <si>
    <t>Gilardi</t>
  </si>
  <si>
    <t>444 23 80 291</t>
  </si>
  <si>
    <t>hgilardi@up.edu.mx</t>
  </si>
  <si>
    <t>Av de la Paz</t>
  </si>
  <si>
    <t>66.63</t>
  </si>
  <si>
    <t>Hiroki Alejandro</t>
  </si>
  <si>
    <t>Sasamoto</t>
  </si>
  <si>
    <t>Cruz</t>
  </si>
  <si>
    <t>553 65 53 169</t>
  </si>
  <si>
    <t>hsasamoto@up.edu.mx</t>
  </si>
  <si>
    <t>Paseo del codo</t>
  </si>
  <si>
    <t>Santa Imelda</t>
  </si>
  <si>
    <t>Luis Alfonso</t>
  </si>
  <si>
    <t>lguerrero@up.edu.mx</t>
  </si>
  <si>
    <t>Navarra</t>
  </si>
  <si>
    <t>El Dorado 2a Sección</t>
  </si>
  <si>
    <t>Orvañanos</t>
  </si>
  <si>
    <t>torvananos@up.edu.mx</t>
  </si>
  <si>
    <t>Tierra de Cameros</t>
  </si>
  <si>
    <t>Cond. Primanza la Rioja Frac. La Rioja</t>
  </si>
  <si>
    <t>Marian Michelle</t>
  </si>
  <si>
    <t>Oliva</t>
  </si>
  <si>
    <t>mmgamez@up.edu.mx</t>
  </si>
  <si>
    <t>Fuente de Trevi</t>
  </si>
  <si>
    <t>Martha</t>
  </si>
  <si>
    <t>Arizmendiz</t>
  </si>
  <si>
    <t>Mancillas</t>
  </si>
  <si>
    <t>marizmendiz@up.edu.mx</t>
  </si>
  <si>
    <t>30 de Julio</t>
  </si>
  <si>
    <t>Morelos I</t>
  </si>
  <si>
    <t>Melchor</t>
  </si>
  <si>
    <t>madiaz@up.edu.mx</t>
  </si>
  <si>
    <t>Diego de Ibarra</t>
  </si>
  <si>
    <t>Lindavista</t>
  </si>
  <si>
    <t>Omar Fernando</t>
  </si>
  <si>
    <t>Ruíz</t>
  </si>
  <si>
    <t>ofruizm@up.edu.mx</t>
  </si>
  <si>
    <t>Hermanos Flores Magón</t>
  </si>
  <si>
    <t>José López Portillo</t>
  </si>
  <si>
    <t>Tampico</t>
  </si>
  <si>
    <t>Tamaulipas</t>
  </si>
  <si>
    <t>odavalos@up.edu.mx</t>
  </si>
  <si>
    <t>Rosa Pailine</t>
  </si>
  <si>
    <t>El Rosedal</t>
  </si>
  <si>
    <t>Pia</t>
  </si>
  <si>
    <t>Berger</t>
  </si>
  <si>
    <t>pberger@up.edu.mx</t>
  </si>
  <si>
    <t>Canteras de San Agustín</t>
  </si>
  <si>
    <t>Ricardo</t>
  </si>
  <si>
    <t>Quijas</t>
  </si>
  <si>
    <t>rmacias@up.edu.mx</t>
  </si>
  <si>
    <t>Paseos de Argel</t>
  </si>
  <si>
    <t>105 Int. 38</t>
  </si>
  <si>
    <t>Paseos de Santa Mónica</t>
  </si>
  <si>
    <t>Rocío Guadalupe</t>
  </si>
  <si>
    <t>romarquez@up.edu.mx</t>
  </si>
  <si>
    <t>Rogelio</t>
  </si>
  <si>
    <t>Barocio</t>
  </si>
  <si>
    <t>Lira</t>
  </si>
  <si>
    <t>rbarociol@up.edu.mx</t>
  </si>
  <si>
    <t>Sendero de las Pergolas</t>
  </si>
  <si>
    <t>Residencial Las Plazas</t>
  </si>
  <si>
    <t>Víctor Manuel</t>
  </si>
  <si>
    <t>Pato</t>
  </si>
  <si>
    <t>valvarez@up.edu.mx</t>
  </si>
  <si>
    <t>Fracc. Jardines de Aguascalientes</t>
  </si>
  <si>
    <t>Pedro Manuel</t>
  </si>
  <si>
    <t>prodrigo@up.edu.mx</t>
  </si>
  <si>
    <t>Jardines de la Estación</t>
  </si>
  <si>
    <t>Jardines de Aguascalientes</t>
  </si>
  <si>
    <t>Mercedes</t>
  </si>
  <si>
    <t>murzua@up.edu.mx</t>
  </si>
  <si>
    <t xml:space="preserve">República Brasil </t>
  </si>
  <si>
    <t>Las Américas</t>
  </si>
  <si>
    <t>Gabriela</t>
  </si>
  <si>
    <t>Durán</t>
  </si>
  <si>
    <t>Aguilar</t>
  </si>
  <si>
    <t>33 3577 1987</t>
  </si>
  <si>
    <t>gaduran@up.edu.mx</t>
  </si>
  <si>
    <t>Calzada los pirules</t>
  </si>
  <si>
    <t>83-4</t>
  </si>
  <si>
    <t>Col. Ciudad  Granja</t>
  </si>
  <si>
    <t>Zapopan</t>
  </si>
  <si>
    <t>Eduardo</t>
  </si>
  <si>
    <t>de la Vega</t>
  </si>
  <si>
    <t>Segura</t>
  </si>
  <si>
    <t>evega@up.edu.mx</t>
  </si>
  <si>
    <t>Fray Junipero  Serra</t>
  </si>
  <si>
    <t>Jardínes de las Fuentes</t>
  </si>
  <si>
    <t>Francisco de Jesús</t>
  </si>
  <si>
    <t>fjguerrero@up.edu.mx</t>
  </si>
  <si>
    <t>Cerro del Laurel</t>
  </si>
  <si>
    <t>Jardines de la Concepción 1</t>
  </si>
  <si>
    <t>70.76</t>
  </si>
  <si>
    <t>Ernesto</t>
  </si>
  <si>
    <t>Save</t>
  </si>
  <si>
    <t>Moreno</t>
  </si>
  <si>
    <t>esave@up.edu.mx</t>
  </si>
  <si>
    <t>Abel Guillermo</t>
  </si>
  <si>
    <t>aggutierrez@up.edu.mx</t>
  </si>
  <si>
    <t>Monte Himalaya</t>
  </si>
  <si>
    <t>Ricardo Abel</t>
  </si>
  <si>
    <t>Espinosa</t>
  </si>
  <si>
    <t>Loera</t>
  </si>
  <si>
    <t>respinosa@up.edu.mx</t>
  </si>
  <si>
    <t>Avenida Hacienda Santoral</t>
  </si>
  <si>
    <t>117 Int. 98</t>
  </si>
  <si>
    <t>Hacienda San Marcos</t>
  </si>
  <si>
    <t>Administración</t>
  </si>
  <si>
    <t>Civil</t>
  </si>
  <si>
    <t>Cómputo</t>
  </si>
  <si>
    <t>Eléctrica</t>
  </si>
  <si>
    <t>Energía Térmica y Fluidos</t>
  </si>
  <si>
    <t>Humanidades</t>
  </si>
  <si>
    <t>INNO</t>
  </si>
  <si>
    <t>Innovación</t>
  </si>
  <si>
    <t>MATE</t>
  </si>
  <si>
    <t>Matemáticas</t>
  </si>
  <si>
    <t>MECA</t>
  </si>
  <si>
    <t>DIOP</t>
  </si>
  <si>
    <t>Operaciones</t>
  </si>
  <si>
    <t>Suma</t>
  </si>
  <si>
    <t>Ciclo de ingreso</t>
  </si>
  <si>
    <t>PRONÓSTICO ALUMNOS 1232</t>
  </si>
  <si>
    <t>SEMESTRE</t>
  </si>
  <si>
    <t>10+</t>
  </si>
  <si>
    <t>IM</t>
  </si>
  <si>
    <t>II</t>
  </si>
  <si>
    <t>IIA</t>
  </si>
  <si>
    <t>ITE</t>
  </si>
  <si>
    <t>IBE</t>
  </si>
  <si>
    <t>Totales</t>
  </si>
  <si>
    <t>Optativa</t>
  </si>
  <si>
    <t>ID II</t>
  </si>
  <si>
    <t>ID IM</t>
  </si>
  <si>
    <t>ID IID</t>
  </si>
  <si>
    <t>ID IIA</t>
  </si>
  <si>
    <t>ID ITE</t>
  </si>
  <si>
    <t>ID ICA</t>
  </si>
  <si>
    <t>ID IBE</t>
  </si>
  <si>
    <t>Créditos II</t>
  </si>
  <si>
    <t>Créditos IM</t>
  </si>
  <si>
    <t>Créditos IID</t>
  </si>
  <si>
    <t>Créditos IIA</t>
  </si>
  <si>
    <t>Créditos ITE</t>
  </si>
  <si>
    <t>Créditos ICA</t>
  </si>
  <si>
    <t>Créditos IBE</t>
  </si>
  <si>
    <t>Semestres</t>
  </si>
  <si>
    <t>Hora de inicio</t>
  </si>
  <si>
    <t>Hora de fin</t>
  </si>
  <si>
    <t>027009</t>
  </si>
  <si>
    <t>026987</t>
  </si>
  <si>
    <t>029613</t>
  </si>
  <si>
    <t>Administración de proyectos</t>
  </si>
  <si>
    <t>Administración de riesgos de proyectos</t>
  </si>
  <si>
    <t>032375</t>
  </si>
  <si>
    <t>018601</t>
  </si>
  <si>
    <t>Agentes inteligentes</t>
  </si>
  <si>
    <t>029627</t>
  </si>
  <si>
    <t>027071</t>
  </si>
  <si>
    <t>026777</t>
  </si>
  <si>
    <t>028102</t>
  </si>
  <si>
    <t>0182261</t>
  </si>
  <si>
    <t>026790</t>
  </si>
  <si>
    <t>028365</t>
  </si>
  <si>
    <t>018507</t>
  </si>
  <si>
    <t>018602</t>
  </si>
  <si>
    <t>026996</t>
  </si>
  <si>
    <t>027066</t>
  </si>
  <si>
    <t>018570</t>
  </si>
  <si>
    <t>026781</t>
  </si>
  <si>
    <t>028137</t>
  </si>
  <si>
    <t>018195</t>
  </si>
  <si>
    <t>027047</t>
  </si>
  <si>
    <t>026960</t>
  </si>
  <si>
    <t>028487</t>
  </si>
  <si>
    <t>018529</t>
  </si>
  <si>
    <t>027060</t>
  </si>
  <si>
    <t>026965</t>
  </si>
  <si>
    <t>028520</t>
  </si>
  <si>
    <t>018582</t>
  </si>
  <si>
    <t>027064</t>
  </si>
  <si>
    <t>029628</t>
  </si>
  <si>
    <t>029632</t>
  </si>
  <si>
    <t>Aspectos legales de la construcción</t>
  </si>
  <si>
    <t>032372</t>
  </si>
  <si>
    <t>029623</t>
  </si>
  <si>
    <t>BIM construcción integral</t>
  </si>
  <si>
    <t>027082</t>
  </si>
  <si>
    <t>BIM creación de modelos</t>
  </si>
  <si>
    <t>027074</t>
  </si>
  <si>
    <t>027079</t>
  </si>
  <si>
    <t>028913</t>
  </si>
  <si>
    <t>Biointerfaces</t>
  </si>
  <si>
    <t>028377</t>
  </si>
  <si>
    <t>Biomecánica</t>
  </si>
  <si>
    <t>028704</t>
  </si>
  <si>
    <t>Biosensores</t>
  </si>
  <si>
    <t>028908</t>
  </si>
  <si>
    <t>Biosustentabilidad</t>
  </si>
  <si>
    <t>018938</t>
  </si>
  <si>
    <t>CAD aplicado a la ingeniería civil</t>
  </si>
  <si>
    <t>027048</t>
  </si>
  <si>
    <t>CAD Avanzado</t>
  </si>
  <si>
    <t>027084</t>
  </si>
  <si>
    <t>026776</t>
  </si>
  <si>
    <t>028101</t>
  </si>
  <si>
    <t>018196</t>
  </si>
  <si>
    <t>026788</t>
  </si>
  <si>
    <t>026789</t>
  </si>
  <si>
    <t>028362</t>
  </si>
  <si>
    <t>018482</t>
  </si>
  <si>
    <t>029612</t>
  </si>
  <si>
    <t>026906</t>
  </si>
  <si>
    <t>026905</t>
  </si>
  <si>
    <t>028370</t>
  </si>
  <si>
    <t>018514</t>
  </si>
  <si>
    <t>Centro de datos</t>
  </si>
  <si>
    <t>027097</t>
  </si>
  <si>
    <t>027099</t>
  </si>
  <si>
    <t>026939</t>
  </si>
  <si>
    <t>028373</t>
  </si>
  <si>
    <t>018518</t>
  </si>
  <si>
    <t>026958</t>
  </si>
  <si>
    <t>018575</t>
  </si>
  <si>
    <t>028689</t>
  </si>
  <si>
    <t>026976</t>
  </si>
  <si>
    <t>Circuitos eléctricos</t>
  </si>
  <si>
    <t>027003</t>
  </si>
  <si>
    <t>026938</t>
  </si>
  <si>
    <t>018551</t>
  </si>
  <si>
    <t>028372</t>
  </si>
  <si>
    <t>028485</t>
  </si>
  <si>
    <t>027067</t>
  </si>
  <si>
    <t>Cómputo distribuido</t>
  </si>
  <si>
    <t>029626</t>
  </si>
  <si>
    <t>027043</t>
  </si>
  <si>
    <t>028911</t>
  </si>
  <si>
    <t>Concreto pre-esforzado</t>
  </si>
  <si>
    <t xml:space="preserve">	
032369</t>
  </si>
  <si>
    <t>027023</t>
  </si>
  <si>
    <t>027065</t>
  </si>
  <si>
    <t>Control de procesos</t>
  </si>
  <si>
    <t>027006</t>
  </si>
  <si>
    <t>027042</t>
  </si>
  <si>
    <t>027086</t>
  </si>
  <si>
    <t>Costos unitarios</t>
  </si>
  <si>
    <t>027088</t>
  </si>
  <si>
    <t>029630</t>
  </si>
  <si>
    <t>Desarrollo de aplicaciones para dispositivos inteligentes</t>
  </si>
  <si>
    <t>028906</t>
  </si>
  <si>
    <t>Desarrollo de aplicaciones web</t>
  </si>
  <si>
    <t>028693</t>
  </si>
  <si>
    <t>Descripción de hardware</t>
  </si>
  <si>
    <t>027040</t>
  </si>
  <si>
    <t>028902</t>
  </si>
  <si>
    <t>Dinámica</t>
  </si>
  <si>
    <t>026937</t>
  </si>
  <si>
    <t>027051</t>
  </si>
  <si>
    <t>027030</t>
  </si>
  <si>
    <t>028707</t>
  </si>
  <si>
    <t>027019</t>
  </si>
  <si>
    <t>026994</t>
  </si>
  <si>
    <t>028909</t>
  </si>
  <si>
    <t>018935</t>
  </si>
  <si>
    <t>026894</t>
  </si>
  <si>
    <t>026895</t>
  </si>
  <si>
    <t>018552</t>
  </si>
  <si>
    <t>Diseño de elementos de máquinas</t>
  </si>
  <si>
    <t>027033</t>
  </si>
  <si>
    <t>Diseño de estructuras de acero I</t>
  </si>
  <si>
    <t>027072</t>
  </si>
  <si>
    <t>027077</t>
  </si>
  <si>
    <t>Diseño de estructuras de concreto I</t>
  </si>
  <si>
    <t>027073</t>
  </si>
  <si>
    <t>027078</t>
  </si>
  <si>
    <t>Diseño de experimentos</t>
  </si>
  <si>
    <t>027005</t>
  </si>
  <si>
    <t>027018</t>
  </si>
  <si>
    <t>027037</t>
  </si>
  <si>
    <t>032371</t>
  </si>
  <si>
    <t>Diseño de producto y proceso</t>
  </si>
  <si>
    <t>027016</t>
  </si>
  <si>
    <t>018941</t>
  </si>
  <si>
    <t>026786</t>
  </si>
  <si>
    <t>Dispositivos inteligentes</t>
  </si>
  <si>
    <t>027089</t>
  </si>
  <si>
    <t>Domótica e Inmótica</t>
  </si>
  <si>
    <t>027094</t>
  </si>
  <si>
    <t>026936</t>
  </si>
  <si>
    <t>029611</t>
  </si>
  <si>
    <t>018513</t>
  </si>
  <si>
    <t>027055</t>
  </si>
  <si>
    <t>028371</t>
  </si>
  <si>
    <t>Eficiencia energética y motores térmicos</t>
  </si>
  <si>
    <t>027041</t>
  </si>
  <si>
    <t>026957</t>
  </si>
  <si>
    <t>026971</t>
  </si>
  <si>
    <t>020643</t>
  </si>
  <si>
    <t>028486</t>
  </si>
  <si>
    <t>027031</t>
  </si>
  <si>
    <t>018583</t>
  </si>
  <si>
    <t>028708</t>
  </si>
  <si>
    <t>Electrónica avanzada</t>
  </si>
  <si>
    <t>028903</t>
  </si>
  <si>
    <t>027038</t>
  </si>
  <si>
    <t>020644</t>
  </si>
  <si>
    <t>028910</t>
  </si>
  <si>
    <t>Elementos de mecatrónica</t>
  </si>
  <si>
    <t>018922</t>
  </si>
  <si>
    <t>Emprendedores</t>
  </si>
  <si>
    <t>027013</t>
  </si>
  <si>
    <t>026992</t>
  </si>
  <si>
    <t>029633</t>
  </si>
  <si>
    <t>032373</t>
  </si>
  <si>
    <t>Energía de la biomasa</t>
  </si>
  <si>
    <t>018596</t>
  </si>
  <si>
    <t>Energía eólica</t>
  </si>
  <si>
    <t>018597</t>
  </si>
  <si>
    <t>Energía nuclear</t>
  </si>
  <si>
    <t>018598</t>
  </si>
  <si>
    <t>Energía solar</t>
  </si>
  <si>
    <t>027096</t>
  </si>
  <si>
    <t>018595</t>
  </si>
  <si>
    <t>018572</t>
  </si>
  <si>
    <t>018571</t>
  </si>
  <si>
    <t>027087</t>
  </si>
  <si>
    <t>X</t>
  </si>
  <si>
    <t>026935</t>
  </si>
  <si>
    <t>029616</t>
  </si>
  <si>
    <t>032365</t>
  </si>
  <si>
    <t>028368</t>
  </si>
  <si>
    <t>026896</t>
  </si>
  <si>
    <t>026997</t>
  </si>
  <si>
    <t>026932</t>
  </si>
  <si>
    <t>027046</t>
  </si>
  <si>
    <t>026904</t>
  </si>
  <si>
    <t>029607</t>
  </si>
  <si>
    <t>Estructura de datos y algoritmos II</t>
  </si>
  <si>
    <t>029609</t>
  </si>
  <si>
    <t>029615</t>
  </si>
  <si>
    <t>026967</t>
  </si>
  <si>
    <t>Estructuras isostáticas</t>
  </si>
  <si>
    <t>027052</t>
  </si>
  <si>
    <t>026972</t>
  </si>
  <si>
    <t>026991</t>
  </si>
  <si>
    <t>028912</t>
  </si>
  <si>
    <t>018934</t>
  </si>
  <si>
    <t>032366</t>
  </si>
  <si>
    <t>026903</t>
  </si>
  <si>
    <t>028375</t>
  </si>
  <si>
    <t>018519</t>
  </si>
  <si>
    <t>027054</t>
  </si>
  <si>
    <t>Evaluación de nuevas tecnologías en construcción</t>
  </si>
  <si>
    <t>032376</t>
  </si>
  <si>
    <t>Evaluación de proyectos energéticos</t>
  </si>
  <si>
    <t>018944</t>
  </si>
  <si>
    <t>027081</t>
  </si>
  <si>
    <t>026979</t>
  </si>
  <si>
    <t>028694</t>
  </si>
  <si>
    <t>018588</t>
  </si>
  <si>
    <t>027070</t>
  </si>
  <si>
    <t>026779</t>
  </si>
  <si>
    <t>028138</t>
  </si>
  <si>
    <t>018508</t>
  </si>
  <si>
    <t>028376</t>
  </si>
  <si>
    <t>Fundamentos de Control Inteligente</t>
  </si>
  <si>
    <t>027085</t>
  </si>
  <si>
    <t>Fundamentos de electrónica</t>
  </si>
  <si>
    <t>026963</t>
  </si>
  <si>
    <t>028703</t>
  </si>
  <si>
    <t>Fundamentos de hidráulica</t>
  </si>
  <si>
    <t>027061</t>
  </si>
  <si>
    <t>Fundamentos de la mercadotecnia</t>
  </si>
  <si>
    <t>027001</t>
  </si>
  <si>
    <t>Geología</t>
  </si>
  <si>
    <t>027059</t>
  </si>
  <si>
    <t>Geometría descriptiva</t>
  </si>
  <si>
    <t>026783</t>
  </si>
  <si>
    <t>026893</t>
  </si>
  <si>
    <t>Gestión de la cadena de suministro</t>
  </si>
  <si>
    <t>027014</t>
  </si>
  <si>
    <t>027007</t>
  </si>
  <si>
    <t>027045</t>
  </si>
  <si>
    <t>026989</t>
  </si>
  <si>
    <t>027091</t>
  </si>
  <si>
    <t>Hidrología</t>
  </si>
  <si>
    <t>032367</t>
  </si>
  <si>
    <t>026780</t>
  </si>
  <si>
    <t>028139</t>
  </si>
  <si>
    <t>018264</t>
  </si>
  <si>
    <t>026961</t>
  </si>
  <si>
    <t>Hombre y mundo contemporáneo</t>
  </si>
  <si>
    <t>026985</t>
  </si>
  <si>
    <t>028907</t>
  </si>
  <si>
    <t>018933</t>
  </si>
  <si>
    <t>027076</t>
  </si>
  <si>
    <t>Impacto ambiental</t>
  </si>
  <si>
    <t>027090</t>
  </si>
  <si>
    <t>027080</t>
  </si>
  <si>
    <t>026998</t>
  </si>
  <si>
    <t>027000</t>
  </si>
  <si>
    <t>029629</t>
  </si>
  <si>
    <t>Ingeniería de valor en proyectos de construcción</t>
  </si>
  <si>
    <t>027100</t>
  </si>
  <si>
    <t>Ingeniería sísmica</t>
  </si>
  <si>
    <t>032368</t>
  </si>
  <si>
    <t>027058</t>
  </si>
  <si>
    <t>018599</t>
  </si>
  <si>
    <t>Interconexión de dispositivos inteligentes</t>
  </si>
  <si>
    <t>027092</t>
  </si>
  <si>
    <t>Introducción a la administración</t>
  </si>
  <si>
    <t>Introducción a la ingeniería</t>
  </si>
  <si>
    <t>018263</t>
  </si>
  <si>
    <t>Introducción a la ingeniería civil</t>
  </si>
  <si>
    <t>026787</t>
  </si>
  <si>
    <t>Introducción a la logística</t>
  </si>
  <si>
    <t>027004</t>
  </si>
  <si>
    <t>Introducción a las bases de datos</t>
  </si>
  <si>
    <t>029618</t>
  </si>
  <si>
    <t>Investigación de operaciones</t>
  </si>
  <si>
    <t>026999</t>
  </si>
  <si>
    <t>032359</t>
  </si>
  <si>
    <t>Maderas y textiles para el diseño</t>
  </si>
  <si>
    <t>026901</t>
  </si>
  <si>
    <t>Maderas y textiles para el diseño 5</t>
  </si>
  <si>
    <t>Manufactura asistida por computadora</t>
  </si>
  <si>
    <t>027034</t>
  </si>
  <si>
    <t>Manufactura esbelta</t>
  </si>
  <si>
    <t>027012</t>
  </si>
  <si>
    <t>026933</t>
  </si>
  <si>
    <t>027022</t>
  </si>
  <si>
    <t>026988</t>
  </si>
  <si>
    <t>026953</t>
  </si>
  <si>
    <t>028483</t>
  </si>
  <si>
    <t>Matemáticas discretas</t>
  </si>
  <si>
    <t>029608</t>
  </si>
  <si>
    <t>027053</t>
  </si>
  <si>
    <t>027027</t>
  </si>
  <si>
    <t>028366</t>
  </si>
  <si>
    <t>018550</t>
  </si>
  <si>
    <t>027057</t>
  </si>
  <si>
    <t>Mecánica de suelos</t>
  </si>
  <si>
    <t>027069</t>
  </si>
  <si>
    <t>027029</t>
  </si>
  <si>
    <t>Mercadotecnia de proyectos de construcción</t>
  </si>
  <si>
    <t xml:space="preserve">	
032378</t>
  </si>
  <si>
    <t>026968</t>
  </si>
  <si>
    <t>026964</t>
  </si>
  <si>
    <t>028488</t>
  </si>
  <si>
    <t>018584</t>
  </si>
  <si>
    <t>027032</t>
  </si>
  <si>
    <t>028709</t>
  </si>
  <si>
    <t>018578</t>
  </si>
  <si>
    <t>Microelectrónica</t>
  </si>
  <si>
    <t>028905</t>
  </si>
  <si>
    <t>Modelado de agentes y entornos virtuales</t>
  </si>
  <si>
    <t>029617</t>
  </si>
  <si>
    <t>Modelado digital</t>
  </si>
  <si>
    <t>026900</t>
  </si>
  <si>
    <t>026908</t>
  </si>
  <si>
    <t>026969</t>
  </si>
  <si>
    <t>Modelos funcionales</t>
  </si>
  <si>
    <t>Modelos funcionales 7</t>
  </si>
  <si>
    <t>026974</t>
  </si>
  <si>
    <t>Modelos probabilísticos</t>
  </si>
  <si>
    <t>027002</t>
  </si>
  <si>
    <t>Obras hidráulicas</t>
  </si>
  <si>
    <t>032364</t>
  </si>
  <si>
    <t>Optimización y control energético</t>
  </si>
  <si>
    <t>027021</t>
  </si>
  <si>
    <t>018940</t>
  </si>
  <si>
    <t>Optimización y metaheurísticas I</t>
  </si>
  <si>
    <t>029619</t>
  </si>
  <si>
    <t>Optimización y metaheurísticas II</t>
  </si>
  <si>
    <t>029624</t>
  </si>
  <si>
    <t>029620</t>
  </si>
  <si>
    <t>026898</t>
  </si>
  <si>
    <t>028369</t>
  </si>
  <si>
    <t>018512</t>
  </si>
  <si>
    <t>027049</t>
  </si>
  <si>
    <t>Planeación estratégica</t>
  </si>
  <si>
    <t xml:space="preserve">	
032377</t>
  </si>
  <si>
    <t>027068</t>
  </si>
  <si>
    <t>Plásticos y cerámicos para el diseño</t>
  </si>
  <si>
    <t>026973</t>
  </si>
  <si>
    <t>Portafolios de inversión</t>
  </si>
  <si>
    <t>026993</t>
  </si>
  <si>
    <t>Principios del dibujo</t>
  </si>
  <si>
    <t>026784</t>
  </si>
  <si>
    <t>Probabilidad</t>
  </si>
  <si>
    <t>027025</t>
  </si>
  <si>
    <t>026909</t>
  </si>
  <si>
    <t>028691</t>
  </si>
  <si>
    <t>018520</t>
  </si>
  <si>
    <t>027056</t>
  </si>
  <si>
    <t>029631</t>
  </si>
  <si>
    <t>026966</t>
  </si>
  <si>
    <t>026982</t>
  </si>
  <si>
    <t>Programación avanzada</t>
  </si>
  <si>
    <t>026940</t>
  </si>
  <si>
    <t>028374</t>
  </si>
  <si>
    <t>029621</t>
  </si>
  <si>
    <t>026934</t>
  </si>
  <si>
    <t>028367</t>
  </si>
  <si>
    <t>018543</t>
  </si>
  <si>
    <t>027063</t>
  </si>
  <si>
    <t>Proyecto mecatrónico I</t>
  </si>
  <si>
    <t>027036</t>
  </si>
  <si>
    <t>027039</t>
  </si>
  <si>
    <t>018942</t>
  </si>
  <si>
    <t>027008</t>
  </si>
  <si>
    <t>026981</t>
  </si>
  <si>
    <t>029625</t>
  </si>
  <si>
    <t>027101</t>
  </si>
  <si>
    <t>028692</t>
  </si>
  <si>
    <t>Psicología del comportamiento humano</t>
  </si>
  <si>
    <t>026984</t>
  </si>
  <si>
    <t>026990</t>
  </si>
  <si>
    <t>026778</t>
  </si>
  <si>
    <t>028103</t>
  </si>
  <si>
    <t>018262</t>
  </si>
  <si>
    <t>027020</t>
  </si>
  <si>
    <t>027024</t>
  </si>
  <si>
    <t>026959</t>
  </si>
  <si>
    <t>029610</t>
  </si>
  <si>
    <t>028690</t>
  </si>
  <si>
    <t>026956</t>
  </si>
  <si>
    <t>028705</t>
  </si>
  <si>
    <t>Simulación asistida por computadora</t>
  </si>
  <si>
    <t>027044</t>
  </si>
  <si>
    <t>027011</t>
  </si>
  <si>
    <t>026983</t>
  </si>
  <si>
    <t>029634</t>
  </si>
  <si>
    <t>Sistemas de climatización</t>
  </si>
  <si>
    <t>027095</t>
  </si>
  <si>
    <t>028706</t>
  </si>
  <si>
    <t>Sistemas de control</t>
  </si>
  <si>
    <t>027035</t>
  </si>
  <si>
    <t>028904</t>
  </si>
  <si>
    <t>026978</t>
  </si>
  <si>
    <t>Sistemas de información</t>
  </si>
  <si>
    <t>027028</t>
  </si>
  <si>
    <t>027050</t>
  </si>
  <si>
    <t>Sistemas de mejoramiento ambiental</t>
  </si>
  <si>
    <t>032379</t>
  </si>
  <si>
    <t>Sistemas energéticos I</t>
  </si>
  <si>
    <t>018939</t>
  </si>
  <si>
    <t>018943</t>
  </si>
  <si>
    <t>027017</t>
  </si>
  <si>
    <t>029614</t>
  </si>
  <si>
    <t>026995</t>
  </si>
  <si>
    <t>026986</t>
  </si>
  <si>
    <t>Taller de creatividad para el diseño</t>
  </si>
  <si>
    <t>026782</t>
  </si>
  <si>
    <t>Taller de diseño ergonómico</t>
  </si>
  <si>
    <t>026970</t>
  </si>
  <si>
    <t>026907</t>
  </si>
  <si>
    <t>Taller de diseño para la producción</t>
  </si>
  <si>
    <t>026899</t>
  </si>
  <si>
    <t>Taller de diseño para la producción 5IID</t>
  </si>
  <si>
    <t>Taller de diseño para la sustentabilidad</t>
  </si>
  <si>
    <t>026980</t>
  </si>
  <si>
    <t>026975</t>
  </si>
  <si>
    <t>Taller de estructuras</t>
  </si>
  <si>
    <t>032374</t>
  </si>
  <si>
    <t>026892</t>
  </si>
  <si>
    <t>Técnicas avanzadas de representación</t>
  </si>
  <si>
    <t>026902</t>
  </si>
  <si>
    <t>026897</t>
  </si>
  <si>
    <t>Tecnología de materiales</t>
  </si>
  <si>
    <t>Tecnología del concreto</t>
  </si>
  <si>
    <t>027062</t>
  </si>
  <si>
    <t>028914</t>
  </si>
  <si>
    <t>Tecnologías de iluminación de espacios</t>
  </si>
  <si>
    <t>027093</t>
  </si>
  <si>
    <t>Tendencias estéticas del diseño</t>
  </si>
  <si>
    <t>026785</t>
  </si>
  <si>
    <t>027026</t>
  </si>
  <si>
    <t>026955</t>
  </si>
  <si>
    <t>018545</t>
  </si>
  <si>
    <t>028484</t>
  </si>
  <si>
    <t>027010</t>
  </si>
  <si>
    <t>026880</t>
  </si>
  <si>
    <t>018600</t>
  </si>
  <si>
    <t>027098</t>
  </si>
  <si>
    <t>Vías terrestres</t>
  </si>
  <si>
    <t>027075</t>
  </si>
  <si>
    <t>Grupos necesarios</t>
  </si>
  <si>
    <t>Asignados</t>
  </si>
  <si>
    <t>Peso</t>
  </si>
  <si>
    <t>3, 2</t>
  </si>
  <si>
    <t>1, 2</t>
  </si>
  <si>
    <t>3, 1</t>
  </si>
  <si>
    <t>2, 3</t>
  </si>
  <si>
    <t>1, 2, 2</t>
  </si>
  <si>
    <t>1, 1</t>
  </si>
  <si>
    <t>dejarla el últim día de exámen</t>
  </si>
  <si>
    <t>Columna1</t>
  </si>
  <si>
    <t>2, 1</t>
  </si>
  <si>
    <t>3, 1, 2, 3, 3, 3</t>
  </si>
  <si>
    <t>3, 2, 3, 3, 3</t>
  </si>
  <si>
    <t>2, 1, 2, 2, 2, 2</t>
  </si>
  <si>
    <t>1, 2, 3</t>
  </si>
  <si>
    <t>3, 1, 2, 2</t>
  </si>
  <si>
    <t>3,2, 2, 2</t>
  </si>
  <si>
    <t>3, 2, 2, 3, 3, 3</t>
  </si>
  <si>
    <t>3, 3, 3</t>
  </si>
  <si>
    <t>3, 2, 3</t>
  </si>
  <si>
    <t>3, 1, 3, 3, 3</t>
  </si>
  <si>
    <t>2, 3, 3, 2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</si>
</sst>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00\ 00\ 00\ 000"/>
    <numFmt numFmtId="165" formatCode="0000000"/>
    <numFmt numFmtId="166" formatCode="[$-80A]hh:mm\ AM/PM;@"/>
    <numFmt numFmtId="167" formatCode="000000"/>
    <numFmt numFmtId="168" formatCode="0.000"/>
    <numFmt numFmtId="169" formatCode="0.0"/>
    <numFmt numFmtId="170" formatCode="0.0%"/>
  </numFmts>
  <fonts count="35" x14ac:knownFonts="1">
    <font>
      <sz val="10"/>
      <color rgb="FF00000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3"/>
      <color theme="3"/>
      <name val="Calibri"/>
      <family val="2"/>
      <scheme val="minor"/>
    </font>
    <font>
      <b/>
      <sz val="9"/>
      <color indexed="81"/>
      <name val="Tahoma"/>
      <family val="2"/>
    </font>
    <font>
      <sz val="8"/>
      <name val="Arial"/>
      <family val="2"/>
    </font>
    <font>
      <sz val="9"/>
      <color indexed="81"/>
      <name val="Tahoma"/>
      <family val="2"/>
    </font>
    <font>
      <u/>
      <sz val="10"/>
      <color theme="10"/>
      <name val="Arial"/>
      <family val="2"/>
    </font>
    <font>
      <sz val="10"/>
      <color rgb="FF0000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7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A7D00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7"/>
      <color rgb="FF000000"/>
      <name val="Calibri"/>
      <family val="2"/>
      <scheme val="minor"/>
    </font>
    <font>
      <sz val="10"/>
      <color rgb="FF263238"/>
      <name val="Calibri"/>
      <family val="2"/>
      <scheme val="minor"/>
    </font>
    <font>
      <sz val="10"/>
      <name val="Calibri"/>
      <family val="2"/>
      <scheme val="minor"/>
    </font>
    <font>
      <sz val="9"/>
      <color rgb="FF51515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Arial"/>
      <family val="2"/>
    </font>
    <font>
      <sz val="10"/>
      <color rgb="FF222222"/>
      <name val="Calibri"/>
      <family val="2"/>
      <scheme val="minor"/>
    </font>
    <font>
      <sz val="10"/>
      <color rgb="FF202124"/>
      <name val="Calibri"/>
      <family val="2"/>
      <scheme val="minor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rgb="FFFF0000"/>
      <name val="Calibri"/>
      <family val="2"/>
      <scheme val="minor"/>
    </font>
    <font>
      <sz val="10"/>
      <color rgb="FFFF0000"/>
      <name val="Arial"/>
      <family val="2"/>
    </font>
    <font>
      <sz val="10"/>
      <color theme="1"/>
      <name val="Calibri"/>
      <family val="2"/>
    </font>
    <font>
      <u/>
      <sz val="10"/>
      <color theme="1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DD6EE"/>
        <bgColor indexed="64"/>
      </patternFill>
    </fill>
    <fill>
      <patternFill patternType="solid">
        <fgColor rgb="FFFF898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CFF"/>
        <bgColor theme="6" tint="0.79998168889431442"/>
      </patternFill>
    </fill>
    <fill>
      <patternFill patternType="solid">
        <fgColor theme="9"/>
        <bgColor indexed="64"/>
      </patternFill>
    </fill>
    <fill>
      <patternFill patternType="solid">
        <fgColor theme="9"/>
        <bgColor theme="6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 style="thin">
        <color theme="6" tint="0.39997558519241921"/>
      </bottom>
      <diagonal/>
    </border>
    <border>
      <left/>
      <right style="thin">
        <color theme="6" tint="0.39997558519241921"/>
      </right>
      <top/>
      <bottom style="thin">
        <color theme="6" tint="0.39997558519241921"/>
      </bottom>
      <diagonal/>
    </border>
    <border>
      <left/>
      <right/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/>
      <bottom style="thin">
        <color theme="6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6"/>
      </left>
      <right style="thin">
        <color theme="6" tint="0.39997558519241921"/>
      </right>
      <top style="thin">
        <color theme="6" tint="0.39997558519241921"/>
      </top>
      <bottom/>
      <diagonal/>
    </border>
    <border>
      <left style="thin">
        <color theme="6" tint="0.39997558519241921"/>
      </left>
      <right style="thin">
        <color theme="6"/>
      </right>
      <top style="thin">
        <color theme="6" tint="0.3999755851924192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 style="thin">
        <color theme="6" tint="0.3999755851924192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theme="6" tint="0.39997558519241921"/>
      </right>
      <top/>
      <bottom/>
      <diagonal/>
    </border>
    <border>
      <left style="thin">
        <color theme="6" tint="0.39997558519241921"/>
      </left>
      <right/>
      <top/>
      <bottom/>
      <diagonal/>
    </border>
    <border>
      <left style="thin">
        <color theme="6"/>
      </left>
      <right style="thin">
        <color theme="6" tint="0.39997558519241921"/>
      </right>
      <top/>
      <bottom/>
      <diagonal/>
    </border>
    <border>
      <left style="thin">
        <color theme="6" tint="0.39997558519241921"/>
      </left>
      <right style="thin">
        <color theme="6"/>
      </right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6" tint="0.39997558519241921"/>
      </left>
      <right style="thin">
        <color theme="6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6"/>
      </left>
      <right style="thin">
        <color theme="6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6"/>
      </left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0">
    <xf numFmtId="0" fontId="0" fillId="0" borderId="0"/>
    <xf numFmtId="0" fontId="5" fillId="0" borderId="3" applyNumberFormat="0" applyFill="0" applyAlignment="0" applyProtection="0"/>
    <xf numFmtId="0" fontId="3" fillId="2" borderId="0" applyNumberFormat="0" applyBorder="0" applyAlignment="0" applyProtection="0"/>
    <xf numFmtId="0" fontId="2" fillId="0" borderId="0"/>
    <xf numFmtId="0" fontId="14" fillId="10" borderId="18" applyNumberFormat="0" applyFill="0" applyBorder="0" applyAlignment="0" applyProtection="0"/>
    <xf numFmtId="0" fontId="20" fillId="0" borderId="23" applyNumberFormat="0" applyFill="0" applyAlignment="0" applyProtection="0"/>
    <xf numFmtId="0" fontId="1" fillId="2" borderId="0" applyNumberFormat="0" applyBorder="0" applyAlignment="0" applyProtection="0"/>
    <xf numFmtId="0" fontId="1" fillId="0" borderId="0"/>
    <xf numFmtId="0" fontId="25" fillId="0" borderId="0" applyNumberFormat="0" applyFill="0" applyBorder="0" applyAlignment="0" applyProtection="0"/>
    <xf numFmtId="9" fontId="27" fillId="0" borderId="0" applyFont="0" applyFill="0" applyBorder="0" applyAlignment="0" applyProtection="0"/>
  </cellStyleXfs>
  <cellXfs count="271">
    <xf numFmtId="0" fontId="0" fillId="0" borderId="0" xfId="0" applyAlignment="1">
      <alignment wrapText="1"/>
    </xf>
    <xf numFmtId="0" fontId="10" fillId="0" borderId="0" xfId="0" applyFont="1" applyAlignment="1">
      <alignment wrapText="1"/>
    </xf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/>
    </xf>
    <xf numFmtId="0" fontId="10" fillId="8" borderId="0" xfId="0" applyFont="1" applyFill="1" applyAlignment="1">
      <alignment wrapText="1"/>
    </xf>
    <xf numFmtId="0" fontId="10" fillId="0" borderId="0" xfId="0" applyFont="1"/>
    <xf numFmtId="0" fontId="10" fillId="0" borderId="0" xfId="0" applyFont="1" applyAlignment="1">
      <alignment horizontal="center" vertical="center" textRotation="90" wrapText="1"/>
    </xf>
    <xf numFmtId="0" fontId="13" fillId="0" borderId="4" xfId="0" applyFont="1" applyBorder="1"/>
    <xf numFmtId="0" fontId="13" fillId="0" borderId="0" xfId="0" applyFont="1"/>
    <xf numFmtId="0" fontId="13" fillId="0" borderId="17" xfId="0" applyFont="1" applyBorder="1"/>
    <xf numFmtId="0" fontId="10" fillId="5" borderId="0" xfId="0" applyFont="1" applyFill="1" applyAlignment="1">
      <alignment wrapText="1"/>
    </xf>
    <xf numFmtId="0" fontId="10" fillId="7" borderId="0" xfId="0" applyFont="1" applyFill="1" applyAlignment="1">
      <alignment wrapText="1"/>
    </xf>
    <xf numFmtId="0" fontId="10" fillId="9" borderId="0" xfId="0" applyFont="1" applyFill="1" applyAlignment="1">
      <alignment wrapText="1"/>
    </xf>
    <xf numFmtId="0" fontId="13" fillId="7" borderId="0" xfId="0" applyFont="1" applyFill="1" applyAlignment="1">
      <alignment wrapText="1"/>
    </xf>
    <xf numFmtId="0" fontId="11" fillId="3" borderId="8" xfId="0" applyFont="1" applyFill="1" applyBorder="1" applyAlignment="1">
      <alignment horizontal="center" vertical="center" wrapText="1"/>
    </xf>
    <xf numFmtId="0" fontId="11" fillId="3" borderId="9" xfId="0" applyFont="1" applyFill="1" applyBorder="1" applyAlignment="1">
      <alignment horizontal="center" vertical="center" textRotation="90" wrapText="1"/>
    </xf>
    <xf numFmtId="0" fontId="11" fillId="3" borderId="8" xfId="0" applyFont="1" applyFill="1" applyBorder="1" applyAlignment="1">
      <alignment horizontal="center" vertical="center" textRotation="90" wrapText="1"/>
    </xf>
    <xf numFmtId="0" fontId="11" fillId="3" borderId="12" xfId="0" applyFont="1" applyFill="1" applyBorder="1" applyAlignment="1">
      <alignment horizontal="center" vertical="center" textRotation="90" wrapText="1"/>
    </xf>
    <xf numFmtId="0" fontId="10" fillId="0" borderId="0" xfId="0" applyFont="1" applyAlignment="1">
      <alignment textRotation="90" wrapText="1"/>
    </xf>
    <xf numFmtId="0" fontId="13" fillId="4" borderId="11" xfId="0" applyFont="1" applyFill="1" applyBorder="1"/>
    <xf numFmtId="0" fontId="13" fillId="0" borderId="11" xfId="0" applyFont="1" applyBorder="1"/>
    <xf numFmtId="0" fontId="13" fillId="0" borderId="10" xfId="0" applyFont="1" applyBorder="1"/>
    <xf numFmtId="0" fontId="11" fillId="3" borderId="14" xfId="0" applyFont="1" applyFill="1" applyBorder="1" applyAlignment="1">
      <alignment horizontal="center" vertical="center" textRotation="90" wrapText="1"/>
    </xf>
    <xf numFmtId="0" fontId="11" fillId="3" borderId="15" xfId="0" applyFont="1" applyFill="1" applyBorder="1" applyAlignment="1">
      <alignment horizontal="center" vertical="center" textRotation="90" wrapText="1"/>
    </xf>
    <xf numFmtId="0" fontId="11" fillId="3" borderId="0" xfId="0" applyFont="1" applyFill="1" applyAlignment="1">
      <alignment horizontal="center" vertical="center" wrapText="1"/>
    </xf>
    <xf numFmtId="0" fontId="13" fillId="0" borderId="4" xfId="0" applyFont="1" applyBorder="1" applyAlignment="1">
      <alignment wrapText="1"/>
    </xf>
    <xf numFmtId="0" fontId="10" fillId="0" borderId="0" xfId="0" applyFont="1" applyAlignment="1">
      <alignment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6" borderId="5" xfId="0" applyFont="1" applyFill="1" applyBorder="1" applyAlignment="1">
      <alignment horizontal="center" vertical="center" wrapText="1"/>
    </xf>
    <xf numFmtId="0" fontId="18" fillId="0" borderId="0" xfId="0" applyFont="1" applyAlignment="1">
      <alignment vertical="center" wrapText="1"/>
    </xf>
    <xf numFmtId="0" fontId="13" fillId="0" borderId="11" xfId="0" applyFont="1" applyBorder="1" applyAlignment="1">
      <alignment wrapText="1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left" wrapText="1"/>
    </xf>
    <xf numFmtId="0" fontId="10" fillId="0" borderId="0" xfId="0" applyFont="1" applyAlignment="1">
      <alignment horizontal="left" wrapText="1" indent="1"/>
    </xf>
    <xf numFmtId="18" fontId="10" fillId="0" borderId="0" xfId="0" applyNumberFormat="1" applyFont="1" applyAlignment="1">
      <alignment horizontal="center" wrapText="1"/>
    </xf>
    <xf numFmtId="0" fontId="21" fillId="0" borderId="0" xfId="0" applyFont="1" applyAlignment="1">
      <alignment wrapText="1"/>
    </xf>
    <xf numFmtId="167" fontId="10" fillId="0" borderId="0" xfId="0" quotePrefix="1" applyNumberFormat="1" applyFont="1" applyAlignment="1">
      <alignment wrapText="1"/>
    </xf>
    <xf numFmtId="167" fontId="10" fillId="0" borderId="0" xfId="0" applyNumberFormat="1" applyFont="1" applyAlignment="1">
      <alignment wrapText="1"/>
    </xf>
    <xf numFmtId="167" fontId="19" fillId="0" borderId="0" xfId="0" quotePrefix="1" applyNumberFormat="1" applyFont="1" applyAlignment="1">
      <alignment wrapText="1"/>
    </xf>
    <xf numFmtId="0" fontId="4" fillId="0" borderId="0" xfId="0" applyFont="1" applyAlignment="1">
      <alignment wrapText="1"/>
    </xf>
    <xf numFmtId="0" fontId="20" fillId="0" borderId="23" xfId="5" applyAlignment="1">
      <alignment wrapText="1"/>
    </xf>
    <xf numFmtId="0" fontId="4" fillId="11" borderId="0" xfId="0" applyFont="1" applyFill="1" applyAlignment="1">
      <alignment wrapText="1"/>
    </xf>
    <xf numFmtId="0" fontId="0" fillId="11" borderId="0" xfId="0" applyFill="1" applyAlignment="1">
      <alignment wrapText="1"/>
    </xf>
    <xf numFmtId="0" fontId="20" fillId="11" borderId="23" xfId="5" applyFill="1" applyAlignment="1">
      <alignment wrapText="1"/>
    </xf>
    <xf numFmtId="168" fontId="0" fillId="0" borderId="0" xfId="0" applyNumberFormat="1" applyAlignment="1">
      <alignment wrapText="1"/>
    </xf>
    <xf numFmtId="168" fontId="4" fillId="0" borderId="0" xfId="0" applyNumberFormat="1" applyFont="1" applyAlignment="1">
      <alignment wrapText="1"/>
    </xf>
    <xf numFmtId="168" fontId="0" fillId="11" borderId="0" xfId="0" applyNumberFormat="1" applyFill="1" applyAlignment="1">
      <alignment wrapText="1"/>
    </xf>
    <xf numFmtId="168" fontId="20" fillId="11" borderId="23" xfId="5" applyNumberFormat="1" applyFill="1" applyAlignment="1">
      <alignment wrapText="1"/>
    </xf>
    <xf numFmtId="168" fontId="4" fillId="11" borderId="0" xfId="0" applyNumberFormat="1" applyFont="1" applyFill="1" applyAlignment="1">
      <alignment wrapText="1"/>
    </xf>
    <xf numFmtId="0" fontId="18" fillId="0" borderId="0" xfId="0" applyFont="1" applyAlignment="1">
      <alignment wrapText="1"/>
    </xf>
    <xf numFmtId="164" fontId="10" fillId="0" borderId="0" xfId="0" applyNumberFormat="1" applyFont="1" applyAlignment="1">
      <alignment horizontal="left"/>
    </xf>
    <xf numFmtId="164" fontId="9" fillId="0" borderId="0" xfId="8" applyNumberFormat="1" applyFont="1" applyAlignment="1">
      <alignment horizontal="left"/>
    </xf>
    <xf numFmtId="0" fontId="10" fillId="0" borderId="0" xfId="0" applyFont="1" applyAlignment="1">
      <alignment horizontal="left" vertical="center" wrapText="1"/>
    </xf>
    <xf numFmtId="165" fontId="10" fillId="0" borderId="0" xfId="0" applyNumberFormat="1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3" borderId="24" xfId="0" applyFont="1" applyFill="1" applyBorder="1" applyAlignment="1">
      <alignment horizontal="center" vertical="center" wrapText="1"/>
    </xf>
    <xf numFmtId="0" fontId="11" fillId="3" borderId="25" xfId="0" applyFont="1" applyFill="1" applyBorder="1" applyAlignment="1">
      <alignment horizontal="center" vertical="center" wrapText="1"/>
    </xf>
    <xf numFmtId="0" fontId="11" fillId="3" borderId="26" xfId="0" applyFont="1" applyFill="1" applyBorder="1" applyAlignment="1">
      <alignment horizontal="center" vertical="center" textRotation="90" wrapText="1"/>
    </xf>
    <xf numFmtId="0" fontId="11" fillId="3" borderId="24" xfId="0" applyFont="1" applyFill="1" applyBorder="1" applyAlignment="1">
      <alignment horizontal="center" vertical="center" textRotation="90" wrapText="1"/>
    </xf>
    <xf numFmtId="0" fontId="11" fillId="3" borderId="25" xfId="0" applyFont="1" applyFill="1" applyBorder="1" applyAlignment="1">
      <alignment horizontal="center" vertical="center" textRotation="90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5" xfId="0" applyBorder="1"/>
    <xf numFmtId="0" fontId="4" fillId="0" borderId="5" xfId="0" applyFont="1" applyBorder="1"/>
    <xf numFmtId="0" fontId="13" fillId="4" borderId="4" xfId="0" applyFont="1" applyFill="1" applyBorder="1"/>
    <xf numFmtId="0" fontId="10" fillId="0" borderId="17" xfId="0" applyFont="1" applyBorder="1"/>
    <xf numFmtId="0" fontId="10" fillId="0" borderId="5" xfId="0" applyFont="1" applyBorder="1" applyAlignment="1">
      <alignment vertical="center" wrapText="1"/>
    </xf>
    <xf numFmtId="0" fontId="22" fillId="0" borderId="5" xfId="0" applyFont="1" applyBorder="1" applyAlignment="1">
      <alignment wrapText="1"/>
    </xf>
    <xf numFmtId="0" fontId="18" fillId="0" borderId="5" xfId="0" applyFont="1" applyBorder="1" applyAlignment="1">
      <alignment vertical="center" wrapText="1"/>
    </xf>
    <xf numFmtId="0" fontId="11" fillId="0" borderId="19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 textRotation="90"/>
    </xf>
    <xf numFmtId="166" fontId="11" fillId="0" borderId="19" xfId="0" applyNumberFormat="1" applyFont="1" applyBorder="1" applyAlignment="1">
      <alignment horizontal="center" vertical="center"/>
    </xf>
    <xf numFmtId="166" fontId="11" fillId="0" borderId="20" xfId="0" applyNumberFormat="1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 textRotation="90"/>
    </xf>
    <xf numFmtId="0" fontId="11" fillId="0" borderId="20" xfId="0" applyFont="1" applyBorder="1" applyAlignment="1">
      <alignment horizontal="center" vertical="center" textRotation="90"/>
    </xf>
    <xf numFmtId="0" fontId="11" fillId="0" borderId="21" xfId="0" applyFont="1" applyBorder="1" applyAlignment="1">
      <alignment horizontal="center" vertical="center" textRotation="90"/>
    </xf>
    <xf numFmtId="0" fontId="11" fillId="0" borderId="22" xfId="0" applyFont="1" applyBorder="1" applyAlignment="1">
      <alignment horizontal="center" vertical="center" textRotation="90"/>
    </xf>
    <xf numFmtId="0" fontId="12" fillId="0" borderId="0" xfId="0" applyFont="1" applyAlignment="1">
      <alignment horizontal="center" vertical="center" textRotation="90"/>
    </xf>
    <xf numFmtId="0" fontId="11" fillId="0" borderId="12" xfId="0" applyFont="1" applyBorder="1" applyAlignment="1">
      <alignment horizontal="center" vertical="center" textRotation="90"/>
    </xf>
    <xf numFmtId="0" fontId="11" fillId="0" borderId="12" xfId="0" applyFont="1" applyBorder="1" applyAlignment="1">
      <alignment horizontal="center" vertical="center"/>
    </xf>
    <xf numFmtId="0" fontId="10" fillId="5" borderId="0" xfId="0" applyFont="1" applyFill="1"/>
    <xf numFmtId="165" fontId="13" fillId="0" borderId="0" xfId="0" applyNumberFormat="1" applyFont="1" applyAlignment="1">
      <alignment horizontal="center"/>
    </xf>
    <xf numFmtId="165" fontId="10" fillId="5" borderId="0" xfId="0" applyNumberFormat="1" applyFont="1" applyFill="1" applyAlignment="1">
      <alignment horizontal="center"/>
    </xf>
    <xf numFmtId="0" fontId="10" fillId="5" borderId="0" xfId="0" applyFont="1" applyFill="1" applyAlignment="1">
      <alignment horizontal="center"/>
    </xf>
    <xf numFmtId="164" fontId="10" fillId="5" borderId="0" xfId="0" applyNumberFormat="1" applyFont="1" applyFill="1" applyAlignment="1">
      <alignment horizontal="left"/>
    </xf>
    <xf numFmtId="165" fontId="10" fillId="9" borderId="0" xfId="0" applyNumberFormat="1" applyFont="1" applyFill="1" applyAlignment="1">
      <alignment horizontal="center"/>
    </xf>
    <xf numFmtId="164" fontId="10" fillId="0" borderId="0" xfId="8" applyNumberFormat="1" applyFont="1" applyAlignment="1">
      <alignment horizontal="left"/>
    </xf>
    <xf numFmtId="0" fontId="9" fillId="0" borderId="0" xfId="8" applyFont="1" applyFill="1" applyAlignment="1">
      <alignment wrapText="1"/>
    </xf>
    <xf numFmtId="0" fontId="1" fillId="2" borderId="13" xfId="2" applyFont="1" applyBorder="1" applyAlignment="1">
      <alignment horizontal="centerContinuous" vertical="center" wrapText="1"/>
    </xf>
    <xf numFmtId="0" fontId="1" fillId="2" borderId="5" xfId="2" applyFont="1" applyBorder="1" applyAlignment="1">
      <alignment horizontal="center" wrapText="1"/>
    </xf>
    <xf numFmtId="0" fontId="1" fillId="2" borderId="5" xfId="2" applyFont="1" applyBorder="1" applyAlignment="1">
      <alignment horizontal="center" vertical="center" wrapText="1"/>
    </xf>
    <xf numFmtId="20" fontId="1" fillId="2" borderId="5" xfId="2" applyNumberFormat="1" applyFont="1" applyBorder="1" applyAlignment="1">
      <alignment horizontal="center" wrapText="1"/>
    </xf>
    <xf numFmtId="20" fontId="1" fillId="2" borderId="6" xfId="2" applyNumberFormat="1" applyFont="1" applyBorder="1" applyAlignment="1">
      <alignment horizontal="center" wrapText="1"/>
    </xf>
    <xf numFmtId="0" fontId="1" fillId="2" borderId="5" xfId="2" applyFont="1" applyBorder="1" applyAlignment="1">
      <alignment horizontal="left" wrapText="1"/>
    </xf>
    <xf numFmtId="0" fontId="1" fillId="2" borderId="5" xfId="2" applyFont="1" applyBorder="1" applyAlignment="1">
      <alignment horizontal="centerContinuous" vertical="center" wrapText="1"/>
    </xf>
    <xf numFmtId="0" fontId="10" fillId="12" borderId="0" xfId="0" applyFont="1" applyFill="1" applyAlignment="1">
      <alignment wrapText="1"/>
    </xf>
    <xf numFmtId="0" fontId="11" fillId="0" borderId="19" xfId="0" applyFont="1" applyBorder="1" applyAlignment="1">
      <alignment horizontal="center" vertical="center" textRotation="90" wrapText="1"/>
    </xf>
    <xf numFmtId="0" fontId="11" fillId="0" borderId="20" xfId="0" applyFont="1" applyBorder="1" applyAlignment="1">
      <alignment horizontal="center" vertical="center" wrapText="1"/>
    </xf>
    <xf numFmtId="0" fontId="16" fillId="0" borderId="0" xfId="0" applyFont="1"/>
    <xf numFmtId="10" fontId="0" fillId="0" borderId="0" xfId="9" applyNumberFormat="1" applyFont="1" applyAlignment="1">
      <alignment wrapText="1"/>
    </xf>
    <xf numFmtId="10" fontId="0" fillId="11" borderId="0" xfId="9" applyNumberFormat="1" applyFont="1" applyFill="1" applyAlignment="1">
      <alignment wrapText="1"/>
    </xf>
    <xf numFmtId="10" fontId="20" fillId="11" borderId="23" xfId="9" applyNumberFormat="1" applyFont="1" applyFill="1" applyBorder="1" applyAlignment="1">
      <alignment wrapText="1"/>
    </xf>
    <xf numFmtId="169" fontId="0" fillId="0" borderId="0" xfId="0" applyNumberFormat="1" applyAlignment="1">
      <alignment wrapText="1"/>
    </xf>
    <xf numFmtId="169" fontId="0" fillId="11" borderId="0" xfId="0" applyNumberFormat="1" applyFill="1" applyAlignment="1">
      <alignment wrapText="1"/>
    </xf>
    <xf numFmtId="170" fontId="0" fillId="0" borderId="0" xfId="9" applyNumberFormat="1" applyFont="1" applyAlignment="1">
      <alignment wrapText="1"/>
    </xf>
    <xf numFmtId="170" fontId="0" fillId="11" borderId="0" xfId="9" applyNumberFormat="1" applyFont="1" applyFill="1" applyAlignment="1">
      <alignment wrapText="1"/>
    </xf>
    <xf numFmtId="0" fontId="28" fillId="0" borderId="0" xfId="0" applyFont="1" applyAlignment="1">
      <alignment wrapText="1"/>
    </xf>
    <xf numFmtId="169" fontId="28" fillId="0" borderId="0" xfId="0" applyNumberFormat="1" applyFont="1" applyAlignment="1">
      <alignment wrapText="1"/>
    </xf>
    <xf numFmtId="170" fontId="28" fillId="0" borderId="0" xfId="9" applyNumberFormat="1" applyFont="1" applyAlignment="1">
      <alignment wrapText="1"/>
    </xf>
    <xf numFmtId="1" fontId="0" fillId="11" borderId="0" xfId="0" applyNumberFormat="1" applyFill="1" applyAlignment="1">
      <alignment wrapText="1"/>
    </xf>
    <xf numFmtId="1" fontId="0" fillId="0" borderId="0" xfId="0" applyNumberFormat="1" applyAlignment="1">
      <alignment wrapText="1"/>
    </xf>
    <xf numFmtId="0" fontId="0" fillId="0" borderId="0" xfId="0"/>
    <xf numFmtId="166" fontId="10" fillId="0" borderId="0" xfId="0" applyNumberFormat="1" applyFont="1"/>
    <xf numFmtId="0" fontId="10" fillId="0" borderId="0" xfId="0" applyFont="1" applyAlignment="1">
      <alignment horizontal="center" vertical="center"/>
    </xf>
    <xf numFmtId="0" fontId="18" fillId="0" borderId="0" xfId="4" applyNumberFormat="1" applyFont="1" applyFill="1" applyBorder="1" applyAlignment="1">
      <alignment horizontal="center"/>
    </xf>
    <xf numFmtId="0" fontId="14" fillId="0" borderId="0" xfId="4" applyFill="1" applyBorder="1" applyAlignment="1">
      <alignment horizontal="center"/>
    </xf>
    <xf numFmtId="0" fontId="14" fillId="0" borderId="0" xfId="4" applyNumberFormat="1" applyFill="1" applyBorder="1" applyAlignment="1">
      <alignment horizontal="center"/>
    </xf>
    <xf numFmtId="2" fontId="14" fillId="0" borderId="0" xfId="4" applyNumberFormat="1" applyFill="1" applyBorder="1" applyAlignment="1">
      <alignment horizontal="center"/>
    </xf>
    <xf numFmtId="0" fontId="14" fillId="0" borderId="0" xfId="4" applyNumberFormat="1" applyFill="1" applyBorder="1" applyAlignment="1"/>
    <xf numFmtId="0" fontId="10" fillId="0" borderId="0" xfId="4" applyNumberFormat="1" applyFont="1" applyFill="1" applyBorder="1" applyAlignment="1"/>
    <xf numFmtId="0" fontId="13" fillId="0" borderId="0" xfId="0" applyFont="1" applyAlignment="1">
      <alignment horizontal="center"/>
    </xf>
    <xf numFmtId="0" fontId="10" fillId="4" borderId="10" xfId="0" applyFont="1" applyFill="1" applyBorder="1" applyAlignment="1">
      <alignment horizontal="center" wrapText="1"/>
    </xf>
    <xf numFmtId="0" fontId="11" fillId="13" borderId="0" xfId="0" applyFont="1" applyFill="1" applyAlignment="1">
      <alignment horizontal="center" vertical="center" wrapText="1"/>
    </xf>
    <xf numFmtId="0" fontId="11" fillId="0" borderId="0" xfId="0" applyFont="1" applyAlignment="1">
      <alignment horizontal="center" vertical="center" textRotation="90" wrapText="1"/>
    </xf>
    <xf numFmtId="0" fontId="10" fillId="4" borderId="0" xfId="0" applyFont="1" applyFill="1" applyAlignment="1">
      <alignment horizontal="center" wrapText="1"/>
    </xf>
    <xf numFmtId="0" fontId="18" fillId="0" borderId="0" xfId="0" applyFont="1" applyAlignment="1">
      <alignment horizontal="center" vertical="center"/>
    </xf>
    <xf numFmtId="0" fontId="10" fillId="0" borderId="0" xfId="4" applyNumberFormat="1" applyFont="1" applyFill="1" applyBorder="1" applyAlignment="1">
      <alignment horizontal="center" vertical="center" wrapText="1"/>
    </xf>
    <xf numFmtId="0" fontId="18" fillId="0" borderId="0" xfId="4" applyFont="1" applyFill="1" applyBorder="1" applyAlignment="1">
      <alignment horizontal="center"/>
    </xf>
    <xf numFmtId="0" fontId="14" fillId="0" borderId="0" xfId="4" applyFill="1" applyBorder="1" applyAlignment="1"/>
    <xf numFmtId="0" fontId="10" fillId="0" borderId="0" xfId="4" applyFont="1" applyFill="1" applyBorder="1" applyAlignment="1"/>
    <xf numFmtId="0" fontId="29" fillId="0" borderId="27" xfId="0" applyFont="1" applyBorder="1" applyAlignment="1">
      <alignment wrapText="1"/>
    </xf>
    <xf numFmtId="0" fontId="29" fillId="0" borderId="27" xfId="0" applyFont="1" applyBorder="1" applyAlignment="1">
      <alignment vertical="center" wrapText="1"/>
    </xf>
    <xf numFmtId="0" fontId="30" fillId="0" borderId="27" xfId="0" applyFont="1" applyBorder="1" applyAlignment="1">
      <alignment vertical="center"/>
    </xf>
    <xf numFmtId="0" fontId="29" fillId="0" borderId="28" xfId="0" applyFont="1" applyBorder="1" applyAlignment="1">
      <alignment vertical="center" wrapText="1"/>
    </xf>
    <xf numFmtId="0" fontId="29" fillId="0" borderId="29" xfId="0" applyFont="1" applyBorder="1" applyAlignment="1">
      <alignment wrapText="1"/>
    </xf>
    <xf numFmtId="0" fontId="29" fillId="0" borderId="30" xfId="0" applyFont="1" applyBorder="1" applyAlignment="1">
      <alignment wrapText="1"/>
    </xf>
    <xf numFmtId="0" fontId="29" fillId="14" borderId="30" xfId="0" applyFont="1" applyFill="1" applyBorder="1" applyAlignment="1">
      <alignment horizontal="center" vertical="center" wrapText="1"/>
    </xf>
    <xf numFmtId="0" fontId="29" fillId="0" borderId="30" xfId="0" applyFont="1" applyBorder="1" applyAlignment="1">
      <alignment horizontal="center" vertical="center" wrapText="1"/>
    </xf>
    <xf numFmtId="0" fontId="29" fillId="5" borderId="27" xfId="0" applyFont="1" applyFill="1" applyBorder="1" applyAlignment="1">
      <alignment horizontal="center" vertical="center" wrapText="1"/>
    </xf>
    <xf numFmtId="0" fontId="10" fillId="0" borderId="0" xfId="4" applyFont="1" applyFill="1" applyBorder="1" applyAlignment="1">
      <alignment horizontal="center" vertical="center" wrapText="1"/>
    </xf>
    <xf numFmtId="0" fontId="18" fillId="0" borderId="0" xfId="0" applyFont="1"/>
    <xf numFmtId="0" fontId="18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2" fontId="14" fillId="0" borderId="0" xfId="0" applyNumberFormat="1" applyFont="1" applyAlignment="1">
      <alignment horizontal="center"/>
    </xf>
    <xf numFmtId="0" fontId="10" fillId="15" borderId="0" xfId="0" applyFont="1" applyFill="1"/>
    <xf numFmtId="0" fontId="10" fillId="16" borderId="0" xfId="0" applyFont="1" applyFill="1"/>
    <xf numFmtId="0" fontId="10" fillId="16" borderId="0" xfId="0" applyFont="1" applyFill="1" applyAlignment="1">
      <alignment horizontal="center"/>
    </xf>
    <xf numFmtId="165" fontId="10" fillId="16" borderId="0" xfId="0" applyNumberFormat="1" applyFont="1" applyFill="1" applyAlignment="1">
      <alignment horizontal="center"/>
    </xf>
    <xf numFmtId="0" fontId="10" fillId="16" borderId="0" xfId="0" applyFont="1" applyFill="1" applyAlignment="1">
      <alignment horizontal="left"/>
    </xf>
    <xf numFmtId="14" fontId="10" fillId="16" borderId="0" xfId="0" applyNumberFormat="1" applyFont="1" applyFill="1" applyAlignment="1">
      <alignment horizontal="center"/>
    </xf>
    <xf numFmtId="164" fontId="10" fillId="16" borderId="0" xfId="0" applyNumberFormat="1" applyFont="1" applyFill="1" applyAlignment="1">
      <alignment horizontal="left"/>
    </xf>
    <xf numFmtId="164" fontId="10" fillId="16" borderId="0" xfId="8" applyNumberFormat="1" applyFont="1" applyFill="1" applyAlignment="1">
      <alignment horizontal="left"/>
    </xf>
    <xf numFmtId="0" fontId="10" fillId="16" borderId="0" xfId="0" applyFont="1" applyFill="1" applyAlignment="1">
      <alignment wrapText="1"/>
    </xf>
    <xf numFmtId="0" fontId="10" fillId="16" borderId="0" xfId="0" applyFont="1" applyFill="1" applyAlignment="1">
      <alignment horizontal="center" wrapText="1"/>
    </xf>
    <xf numFmtId="165" fontId="10" fillId="16" borderId="0" xfId="0" applyNumberFormat="1" applyFont="1" applyFill="1" applyAlignment="1">
      <alignment horizontal="center" wrapText="1"/>
    </xf>
    <xf numFmtId="0" fontId="10" fillId="16" borderId="0" xfId="0" applyFont="1" applyFill="1" applyAlignment="1">
      <alignment horizontal="left" wrapText="1"/>
    </xf>
    <xf numFmtId="14" fontId="10" fillId="16" borderId="0" xfId="0" applyNumberFormat="1" applyFont="1" applyFill="1" applyAlignment="1">
      <alignment horizontal="center" wrapText="1"/>
    </xf>
    <xf numFmtId="164" fontId="9" fillId="16" borderId="0" xfId="8" applyNumberFormat="1" applyFont="1" applyFill="1" applyAlignment="1">
      <alignment horizontal="left"/>
    </xf>
    <xf numFmtId="164" fontId="10" fillId="16" borderId="0" xfId="0" applyNumberFormat="1" applyFont="1" applyFill="1"/>
    <xf numFmtId="165" fontId="13" fillId="16" borderId="0" xfId="0" applyNumberFormat="1" applyFont="1" applyFill="1" applyAlignment="1">
      <alignment horizontal="center"/>
    </xf>
    <xf numFmtId="164" fontId="25" fillId="16" borderId="0" xfId="8" applyNumberFormat="1" applyFill="1" applyAlignment="1">
      <alignment horizontal="left"/>
    </xf>
    <xf numFmtId="164" fontId="9" fillId="16" borderId="0" xfId="8" applyNumberFormat="1" applyFont="1" applyFill="1"/>
    <xf numFmtId="0" fontId="15" fillId="16" borderId="0" xfId="8" applyFont="1" applyFill="1" applyAlignment="1">
      <alignment horizontal="left" wrapText="1"/>
    </xf>
    <xf numFmtId="0" fontId="13" fillId="16" borderId="0" xfId="0" applyFont="1" applyFill="1" applyAlignment="1">
      <alignment horizontal="center"/>
    </xf>
    <xf numFmtId="0" fontId="13" fillId="16" borderId="0" xfId="0" applyFont="1" applyFill="1"/>
    <xf numFmtId="165" fontId="10" fillId="16" borderId="0" xfId="0" quotePrefix="1" applyNumberFormat="1" applyFont="1" applyFill="1" applyAlignment="1">
      <alignment horizontal="center"/>
    </xf>
    <xf numFmtId="0" fontId="16" fillId="16" borderId="0" xfId="0" applyFont="1" applyFill="1"/>
    <xf numFmtId="0" fontId="13" fillId="16" borderId="4" xfId="0" applyFont="1" applyFill="1" applyBorder="1"/>
    <xf numFmtId="0" fontId="13" fillId="16" borderId="11" xfId="0" applyFont="1" applyFill="1" applyBorder="1"/>
    <xf numFmtId="164" fontId="10" fillId="0" borderId="0" xfId="0" quotePrefix="1" applyNumberFormat="1" applyFont="1" applyAlignment="1">
      <alignment horizontal="left"/>
    </xf>
    <xf numFmtId="164" fontId="15" fillId="16" borderId="0" xfId="8" applyNumberFormat="1" applyFont="1" applyFill="1" applyAlignment="1">
      <alignment horizontal="left"/>
    </xf>
    <xf numFmtId="166" fontId="13" fillId="0" borderId="0" xfId="0" applyNumberFormat="1" applyFont="1"/>
    <xf numFmtId="0" fontId="10" fillId="5" borderId="0" xfId="4" applyNumberFormat="1" applyFont="1" applyFill="1" applyBorder="1" applyAlignment="1"/>
    <xf numFmtId="0" fontId="31" fillId="0" borderId="0" xfId="0" applyFont="1"/>
    <xf numFmtId="0" fontId="31" fillId="4" borderId="4" xfId="0" applyFont="1" applyFill="1" applyBorder="1"/>
    <xf numFmtId="0" fontId="0" fillId="16" borderId="0" xfId="0" applyFill="1"/>
    <xf numFmtId="0" fontId="13" fillId="17" borderId="4" xfId="0" applyFont="1" applyFill="1" applyBorder="1"/>
    <xf numFmtId="0" fontId="13" fillId="17" borderId="11" xfId="0" applyFont="1" applyFill="1" applyBorder="1"/>
    <xf numFmtId="0" fontId="32" fillId="0" borderId="5" xfId="0" applyFont="1" applyBorder="1"/>
    <xf numFmtId="0" fontId="0" fillId="16" borderId="5" xfId="0" applyFill="1" applyBorder="1"/>
    <xf numFmtId="0" fontId="13" fillId="16" borderId="17" xfId="0" applyFont="1" applyFill="1" applyBorder="1"/>
    <xf numFmtId="0" fontId="31" fillId="0" borderId="17" xfId="0" applyFont="1" applyBorder="1"/>
    <xf numFmtId="0" fontId="10" fillId="18" borderId="0" xfId="0" applyFont="1" applyFill="1"/>
    <xf numFmtId="0" fontId="0" fillId="18" borderId="5" xfId="0" applyFill="1" applyBorder="1"/>
    <xf numFmtId="0" fontId="13" fillId="18" borderId="0" xfId="0" applyFont="1" applyFill="1"/>
    <xf numFmtId="0" fontId="13" fillId="18" borderId="4" xfId="0" applyFont="1" applyFill="1" applyBorder="1"/>
    <xf numFmtId="0" fontId="13" fillId="19" borderId="4" xfId="0" applyFont="1" applyFill="1" applyBorder="1"/>
    <xf numFmtId="0" fontId="13" fillId="19" borderId="11" xfId="0" applyFont="1" applyFill="1" applyBorder="1"/>
    <xf numFmtId="0" fontId="10" fillId="16" borderId="17" xfId="0" applyFont="1" applyFill="1" applyBorder="1"/>
    <xf numFmtId="164" fontId="13" fillId="16" borderId="0" xfId="0" applyNumberFormat="1" applyFont="1" applyFill="1" applyAlignment="1">
      <alignment horizontal="left"/>
    </xf>
    <xf numFmtId="0" fontId="0" fillId="16" borderId="0" xfId="0" applyFill="1" applyAlignment="1">
      <alignment wrapText="1"/>
    </xf>
    <xf numFmtId="164" fontId="9" fillId="16" borderId="0" xfId="8" applyNumberFormat="1" applyFont="1" applyFill="1" applyAlignment="1"/>
    <xf numFmtId="164" fontId="10" fillId="16" borderId="0" xfId="0" quotePrefix="1" applyNumberFormat="1" applyFont="1" applyFill="1" applyAlignment="1">
      <alignment horizontal="left"/>
    </xf>
    <xf numFmtId="0" fontId="9" fillId="16" borderId="0" xfId="8" applyFont="1" applyFill="1" applyAlignment="1">
      <alignment wrapText="1"/>
    </xf>
    <xf numFmtId="14" fontId="13" fillId="16" borderId="0" xfId="0" applyNumberFormat="1" applyFont="1" applyFill="1" applyAlignment="1">
      <alignment horizontal="center"/>
    </xf>
    <xf numFmtId="0" fontId="13" fillId="16" borderId="0" xfId="0" applyFont="1" applyFill="1" applyAlignment="1">
      <alignment horizontal="left"/>
    </xf>
    <xf numFmtId="164" fontId="10" fillId="16" borderId="0" xfId="0" applyNumberFormat="1" applyFont="1" applyFill="1" applyAlignment="1">
      <alignment horizontal="center"/>
    </xf>
    <xf numFmtId="0" fontId="10" fillId="20" borderId="0" xfId="0" applyFont="1" applyFill="1" applyAlignment="1">
      <alignment horizontal="center" vertical="center"/>
    </xf>
    <xf numFmtId="0" fontId="18" fillId="20" borderId="0" xfId="0" applyFont="1" applyFill="1" applyAlignment="1">
      <alignment horizontal="center" vertical="center"/>
    </xf>
    <xf numFmtId="0" fontId="10" fillId="20" borderId="0" xfId="0" applyFont="1" applyFill="1" applyAlignment="1">
      <alignment horizontal="center"/>
    </xf>
    <xf numFmtId="0" fontId="23" fillId="16" borderId="0" xfId="0" applyFont="1" applyFill="1" applyAlignment="1">
      <alignment wrapText="1"/>
    </xf>
    <xf numFmtId="14" fontId="10" fillId="16" borderId="0" xfId="0" applyNumberFormat="1" applyFont="1" applyFill="1" applyAlignment="1">
      <alignment horizontal="left" wrapText="1"/>
    </xf>
    <xf numFmtId="0" fontId="31" fillId="16" borderId="0" xfId="0" applyFont="1" applyFill="1"/>
    <xf numFmtId="0" fontId="31" fillId="16" borderId="4" xfId="0" applyFont="1" applyFill="1" applyBorder="1"/>
    <xf numFmtId="0" fontId="31" fillId="17" borderId="4" xfId="0" applyFont="1" applyFill="1" applyBorder="1"/>
    <xf numFmtId="0" fontId="31" fillId="17" borderId="11" xfId="0" applyFont="1" applyFill="1" applyBorder="1"/>
    <xf numFmtId="0" fontId="9" fillId="16" borderId="0" xfId="8" applyFont="1" applyFill="1" applyAlignment="1">
      <alignment horizontal="left" wrapText="1"/>
    </xf>
    <xf numFmtId="0" fontId="32" fillId="16" borderId="5" xfId="0" applyFont="1" applyFill="1" applyBorder="1"/>
    <xf numFmtId="0" fontId="10" fillId="8" borderId="0" xfId="0" applyFont="1" applyFill="1"/>
    <xf numFmtId="0" fontId="10" fillId="8" borderId="0" xfId="0" applyFont="1" applyFill="1" applyAlignment="1">
      <alignment horizontal="center"/>
    </xf>
    <xf numFmtId="165" fontId="10" fillId="8" borderId="0" xfId="0" applyNumberFormat="1" applyFont="1" applyFill="1" applyAlignment="1">
      <alignment horizontal="center"/>
    </xf>
    <xf numFmtId="0" fontId="10" fillId="8" borderId="0" xfId="0" applyFont="1" applyFill="1" applyAlignment="1">
      <alignment horizontal="left"/>
    </xf>
    <xf numFmtId="164" fontId="10" fillId="8" borderId="0" xfId="0" applyNumberFormat="1" applyFont="1" applyFill="1" applyAlignment="1">
      <alignment horizontal="left"/>
    </xf>
    <xf numFmtId="164" fontId="9" fillId="8" borderId="0" xfId="8" applyNumberFormat="1" applyFont="1" applyFill="1" applyAlignment="1">
      <alignment horizontal="left"/>
    </xf>
    <xf numFmtId="0" fontId="0" fillId="8" borderId="5" xfId="0" applyFill="1" applyBorder="1"/>
    <xf numFmtId="0" fontId="13" fillId="8" borderId="4" xfId="0" applyFont="1" applyFill="1" applyBorder="1"/>
    <xf numFmtId="0" fontId="13" fillId="8" borderId="0" xfId="0" applyFont="1" applyFill="1"/>
    <xf numFmtId="0" fontId="13" fillId="22" borderId="4" xfId="0" applyFont="1" applyFill="1" applyBorder="1"/>
    <xf numFmtId="0" fontId="13" fillId="22" borderId="11" xfId="0" applyFont="1" applyFill="1" applyBorder="1"/>
    <xf numFmtId="14" fontId="10" fillId="8" borderId="0" xfId="0" applyNumberFormat="1" applyFont="1" applyFill="1" applyAlignment="1">
      <alignment horizontal="center"/>
    </xf>
    <xf numFmtId="0" fontId="13" fillId="8" borderId="17" xfId="0" applyFont="1" applyFill="1" applyBorder="1"/>
    <xf numFmtId="0" fontId="0" fillId="8" borderId="0" xfId="0" applyFill="1" applyAlignment="1">
      <alignment wrapText="1"/>
    </xf>
    <xf numFmtId="0" fontId="17" fillId="8" borderId="17" xfId="0" applyFont="1" applyFill="1" applyBorder="1" applyAlignment="1">
      <alignment wrapText="1"/>
    </xf>
    <xf numFmtId="0" fontId="10" fillId="8" borderId="17" xfId="0" applyFont="1" applyFill="1" applyBorder="1"/>
    <xf numFmtId="0" fontId="26" fillId="16" borderId="5" xfId="0" applyFont="1" applyFill="1" applyBorder="1"/>
    <xf numFmtId="0" fontId="10" fillId="23" borderId="0" xfId="0" applyFont="1" applyFill="1" applyAlignment="1">
      <alignment horizontal="center"/>
    </xf>
    <xf numFmtId="0" fontId="10" fillId="24" borderId="0" xfId="0" applyFont="1" applyFill="1" applyAlignment="1">
      <alignment horizontal="center"/>
    </xf>
    <xf numFmtId="0" fontId="14" fillId="5" borderId="0" xfId="0" applyFont="1" applyFill="1" applyAlignment="1">
      <alignment horizontal="center"/>
    </xf>
    <xf numFmtId="0" fontId="14" fillId="5" borderId="0" xfId="4" applyFill="1" applyBorder="1" applyAlignment="1">
      <alignment horizontal="center"/>
    </xf>
    <xf numFmtId="0" fontId="14" fillId="5" borderId="0" xfId="4" applyNumberFormat="1" applyFill="1" applyBorder="1" applyAlignment="1">
      <alignment horizontal="center"/>
    </xf>
    <xf numFmtId="0" fontId="18" fillId="21" borderId="0" xfId="0" applyFont="1" applyFill="1" applyAlignment="1">
      <alignment horizontal="center" vertical="center"/>
    </xf>
    <xf numFmtId="0" fontId="10" fillId="21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8" fillId="8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left"/>
    </xf>
    <xf numFmtId="164" fontId="10" fillId="8" borderId="0" xfId="8" applyNumberFormat="1" applyFont="1" applyFill="1" applyAlignment="1">
      <alignment horizontal="left"/>
    </xf>
    <xf numFmtId="0" fontId="13" fillId="8" borderId="11" xfId="0" applyFont="1" applyFill="1" applyBorder="1"/>
    <xf numFmtId="0" fontId="13" fillId="8" borderId="0" xfId="0" applyFont="1" applyFill="1" applyAlignment="1">
      <alignment horizontal="center"/>
    </xf>
    <xf numFmtId="165" fontId="13" fillId="8" borderId="0" xfId="0" applyNumberFormat="1" applyFont="1" applyFill="1" applyAlignment="1">
      <alignment horizontal="center"/>
    </xf>
    <xf numFmtId="0" fontId="13" fillId="8" borderId="0" xfId="0" applyFont="1" applyFill="1" applyAlignment="1">
      <alignment horizontal="left"/>
    </xf>
    <xf numFmtId="14" fontId="13" fillId="8" borderId="0" xfId="0" applyNumberFormat="1" applyFont="1" applyFill="1" applyAlignment="1">
      <alignment horizontal="center"/>
    </xf>
    <xf numFmtId="164" fontId="13" fillId="8" borderId="0" xfId="0" applyNumberFormat="1" applyFont="1" applyFill="1" applyAlignment="1">
      <alignment horizontal="left"/>
    </xf>
    <xf numFmtId="164" fontId="34" fillId="8" borderId="0" xfId="8" applyNumberFormat="1" applyFont="1" applyFill="1" applyAlignment="1">
      <alignment horizontal="left"/>
    </xf>
    <xf numFmtId="0" fontId="10" fillId="25" borderId="0" xfId="0" applyFont="1" applyFill="1" applyAlignment="1">
      <alignment horizontal="center"/>
    </xf>
    <xf numFmtId="0" fontId="16" fillId="8" borderId="0" xfId="0" applyFont="1" applyFill="1"/>
    <xf numFmtId="0" fontId="18" fillId="12" borderId="0" xfId="0" applyFont="1" applyFill="1"/>
    <xf numFmtId="0" fontId="31" fillId="8" borderId="0" xfId="0" applyFont="1" applyFill="1"/>
    <xf numFmtId="164" fontId="10" fillId="0" borderId="0" xfId="8" applyNumberFormat="1" applyFont="1" applyFill="1" applyAlignment="1">
      <alignment horizontal="left"/>
    </xf>
    <xf numFmtId="0" fontId="13" fillId="8" borderId="0" xfId="0" applyFont="1" applyFill="1" applyAlignment="1">
      <alignment wrapText="1"/>
    </xf>
    <xf numFmtId="164" fontId="10" fillId="8" borderId="0" xfId="0" applyNumberFormat="1" applyFont="1" applyFill="1"/>
    <xf numFmtId="165" fontId="10" fillId="8" borderId="0" xfId="0" quotePrefix="1" applyNumberFormat="1" applyFont="1" applyFill="1" applyAlignment="1">
      <alignment horizontal="center"/>
    </xf>
    <xf numFmtId="0" fontId="24" fillId="8" borderId="0" xfId="0" applyFont="1" applyFill="1" applyAlignment="1">
      <alignment wrapText="1"/>
    </xf>
    <xf numFmtId="0" fontId="33" fillId="8" borderId="0" xfId="0" applyFont="1" applyFill="1" applyAlignment="1">
      <alignment wrapText="1"/>
    </xf>
    <xf numFmtId="0" fontId="32" fillId="8" borderId="5" xfId="0" applyFont="1" applyFill="1" applyBorder="1"/>
    <xf numFmtId="0" fontId="31" fillId="8" borderId="4" xfId="0" applyFont="1" applyFill="1" applyBorder="1"/>
    <xf numFmtId="0" fontId="31" fillId="8" borderId="11" xfId="0" applyFont="1" applyFill="1" applyBorder="1"/>
    <xf numFmtId="166" fontId="10" fillId="5" borderId="0" xfId="0" applyNumberFormat="1" applyFont="1" applyFill="1"/>
    <xf numFmtId="166" fontId="10" fillId="12" borderId="0" xfId="0" applyNumberFormat="1" applyFont="1" applyFill="1"/>
    <xf numFmtId="0" fontId="13" fillId="5" borderId="0" xfId="0" applyFont="1" applyFill="1"/>
    <xf numFmtId="0" fontId="0" fillId="0" borderId="0" xfId="0" applyAlignment="1">
      <alignment horizontal="center"/>
    </xf>
    <xf numFmtId="0" fontId="1" fillId="2" borderId="1" xfId="2" applyFont="1" applyBorder="1" applyAlignment="1">
      <alignment horizontal="center" vertical="center" wrapText="1"/>
    </xf>
    <xf numFmtId="0" fontId="1" fillId="2" borderId="2" xfId="2" applyFont="1" applyBorder="1" applyAlignment="1">
      <alignment wrapText="1"/>
    </xf>
    <xf numFmtId="0" fontId="5" fillId="0" borderId="6" xfId="1" applyFill="1" applyBorder="1" applyAlignment="1">
      <alignment horizontal="left" vertical="center" wrapText="1"/>
    </xf>
    <xf numFmtId="0" fontId="5" fillId="0" borderId="7" xfId="1" applyFill="1" applyBorder="1" applyAlignment="1">
      <alignment horizontal="left" vertical="center" wrapText="1"/>
    </xf>
    <xf numFmtId="0" fontId="1" fillId="2" borderId="6" xfId="2" applyFont="1" applyBorder="1" applyAlignment="1">
      <alignment horizontal="left" wrapText="1"/>
    </xf>
    <xf numFmtId="0" fontId="1" fillId="2" borderId="16" xfId="2" applyFont="1" applyBorder="1" applyAlignment="1">
      <alignment horizontal="left" wrapText="1"/>
    </xf>
    <xf numFmtId="0" fontId="1" fillId="2" borderId="7" xfId="2" applyFont="1" applyBorder="1" applyAlignment="1">
      <alignment horizontal="left" wrapText="1"/>
    </xf>
    <xf numFmtId="0" fontId="29" fillId="14" borderId="31" xfId="0" applyFont="1" applyFill="1" applyBorder="1" applyAlignment="1">
      <alignment horizontal="center" vertical="center" wrapText="1"/>
    </xf>
    <xf numFmtId="0" fontId="29" fillId="14" borderId="32" xfId="0" applyFont="1" applyFill="1" applyBorder="1" applyAlignment="1">
      <alignment horizontal="center" vertical="center" wrapText="1"/>
    </xf>
    <xf numFmtId="0" fontId="29" fillId="14" borderId="33" xfId="0" applyFont="1" applyFill="1" applyBorder="1" applyAlignment="1">
      <alignment horizontal="center" vertical="center" wrapText="1"/>
    </xf>
  </cellXfs>
  <cellStyles count="10">
    <cellStyle name="20% - Énfasis1" xfId="2" builtinId="30"/>
    <cellStyle name="20% - Énfasis1 2" xfId="6" xr:uid="{8E600CA2-C908-44D4-A081-4E1D9A6E9C0A}"/>
    <cellStyle name="Cálculo" xfId="4" builtinId="22" customBuiltin="1"/>
    <cellStyle name="Hipervínculo" xfId="8" builtinId="8"/>
    <cellStyle name="Normal" xfId="0" builtinId="0"/>
    <cellStyle name="Normal 2" xfId="3" xr:uid="{F511A375-05E4-4C7A-A320-CAE040443608}"/>
    <cellStyle name="Normal 2 2" xfId="7" xr:uid="{770A5B4F-2ACD-4E52-82F4-67BE1F065976}"/>
    <cellStyle name="Porcentaje" xfId="9" builtinId="5"/>
    <cellStyle name="Título 2" xfId="1" builtinId="17"/>
    <cellStyle name="Título 3" xfId="5" builtinId="18"/>
  </cellStyles>
  <dxfs count="421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71" formatCode="hh:mm\ AM/PM"/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71" formatCode="hh:mm\ AM/PM"/>
      <alignment horizontal="center" vertical="bottom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71" formatCode="hh:mm\ AM/PM"/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center" textRotation="9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6" tint="0.39997558519241921"/>
        </top>
        <bottom style="thin">
          <color theme="6" tint="0.39997558519241921"/>
        </bottom>
      </border>
    </dxf>
    <dxf>
      <border outline="0">
        <top style="thin">
          <color theme="6" tint="0.39997558519241921"/>
        </top>
      </border>
    </dxf>
    <dxf>
      <border outline="0"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border outline="0">
        <bottom style="thin">
          <color theme="6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6"/>
          <bgColor theme="6"/>
        </patternFill>
      </fill>
      <alignment horizontal="center" vertical="center" textRotation="9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7" formatCode="0000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7" formatCode="0000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7" formatCode="0000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7" formatCode="0000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7" formatCode="0000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7" formatCode="0000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7" formatCode="0000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border outline="0">
        <top style="thin">
          <color theme="6" tint="0.39997558519241921"/>
        </top>
      </border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border outline="0">
        <bottom style="thin">
          <color theme="6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6"/>
          <bgColor theme="6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center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center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center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center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center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center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center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center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1" indent="0" justifyLastLine="0" shrinkToFit="0" readingOrder="0"/>
    </dxf>
    <dxf>
      <border outline="0">
        <top style="thin">
          <color theme="6" tint="0.39997558519241921"/>
        </top>
      </border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center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6" tint="0.39997558519241921"/>
        </left>
        <right/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6" tint="0.39997558519241921"/>
        </left>
        <right/>
        <top style="thin">
          <color theme="6" tint="0.39997558519241921"/>
        </top>
        <bottom style="thin">
          <color theme="6" tint="0.39997558519241921"/>
        </bottom>
      </border>
    </dxf>
    <dxf>
      <border outline="0"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Calibri"/>
        <family val="2"/>
        <scheme val="minor"/>
      </font>
      <alignment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4" formatCode="000\ 00\ 00\ 0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4" formatCode="000\ 00\ 00\ 0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4" formatCode="000\ 00\ 00\ 0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left" textRotation="0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left" textRotation="0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numFmt numFmtId="165" formatCode="0000000"/>
      <alignment horizontal="center" vertical="bottom" textRotation="0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center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6" formatCode="[$-80A]hh:mm\ AM/PM;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6" formatCode="[$-80A]hh:mm\ AM/PM;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wrapText="0" indent="0" justifyLastLine="0" shrinkToFit="0" readingOrder="0"/>
    </dxf>
    <dxf>
      <border outline="0">
        <top style="thin">
          <color theme="6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theme="6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  <dxf>
      <font>
        <color rgb="FFFF0000"/>
      </font>
    </dxf>
    <dxf>
      <font>
        <color auto="1"/>
      </font>
      <fill>
        <patternFill>
          <fgColor rgb="FFFF8989"/>
          <bgColor theme="5" tint="0.79998168889431442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auto="1"/>
      </font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CCFF"/>
      <color rgb="FFFF8989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457200</xdr:colOff>
          <xdr:row>0</xdr:row>
          <xdr:rowOff>152400</xdr:rowOff>
        </xdr:from>
        <xdr:to>
          <xdr:col>9</xdr:col>
          <xdr:colOff>1828800</xdr:colOff>
          <xdr:row>1</xdr:row>
          <xdr:rowOff>215900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Ajustar tamaño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482600</xdr:colOff>
          <xdr:row>0</xdr:row>
          <xdr:rowOff>152400</xdr:rowOff>
        </xdr:from>
        <xdr:to>
          <xdr:col>9</xdr:col>
          <xdr:colOff>1828800</xdr:colOff>
          <xdr:row>2</xdr:row>
          <xdr:rowOff>12700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Ajustar tamaño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152400</xdr:rowOff>
        </xdr:from>
        <xdr:to>
          <xdr:col>7</xdr:col>
          <xdr:colOff>1828800</xdr:colOff>
          <xdr:row>1</xdr:row>
          <xdr:rowOff>215900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Ajustar tamaño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145677</xdr:colOff>
      <xdr:row>26</xdr:row>
      <xdr:rowOff>22972</xdr:rowOff>
    </xdr:from>
    <xdr:to>
      <xdr:col>23</xdr:col>
      <xdr:colOff>460002</xdr:colOff>
      <xdr:row>36</xdr:row>
      <xdr:rowOff>128739</xdr:rowOff>
    </xdr:to>
    <xdr:pic>
      <xdr:nvPicPr>
        <xdr:cNvPr id="5" name="Imagen 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-1" t="68639" r="328"/>
        <a:stretch/>
      </xdr:blipFill>
      <xdr:spPr>
        <a:xfrm>
          <a:off x="6981265" y="5928472"/>
          <a:ext cx="8393766" cy="167459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pedumx-my.sharepoint.com/personal/torvananos_up_edu_mx/Documents/Horarios%20122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rario profesor"/>
      <sheetName val="Horario grupo"/>
      <sheetName val="Horario aula"/>
      <sheetName val="Base de datos"/>
      <sheetName val="Índices"/>
      <sheetName val="Profesores"/>
      <sheetName val="Pronostico"/>
      <sheetName val="Planes de estudio"/>
      <sheetName val="Pares"/>
      <sheetName val="1224"/>
      <sheetName val="1224 PUBLICAR"/>
      <sheetName val="INTERCAMBIOS 1224"/>
      <sheetName val="Extraordinario"/>
      <sheetName val="1229-Invierno"/>
    </sheetNames>
    <sheetDataSet>
      <sheetData sheetId="0"/>
      <sheetData sheetId="1"/>
      <sheetData sheetId="2"/>
      <sheetData sheetId="3"/>
      <sheetData sheetId="4"/>
      <sheetData sheetId="5">
        <row r="2">
          <cell r="AM2" t="str">
            <v>L</v>
          </cell>
        </row>
        <row r="3">
          <cell r="AM3" t="str">
            <v>E</v>
          </cell>
        </row>
        <row r="4">
          <cell r="AM4" t="str">
            <v>M</v>
          </cell>
        </row>
        <row r="5">
          <cell r="AM5" t="str">
            <v>D</v>
          </cell>
        </row>
        <row r="6">
          <cell r="AM6" t="str">
            <v>SNI</v>
          </cell>
        </row>
        <row r="7">
          <cell r="AM7" t="str">
            <v>A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aria Teresa Orvananos Guerrero" id="{54BF0A12-5BDE-4D26-812B-21B5552D033F}" userId="Maria Teresa Orvananos Guerrero" providerId="None"/>
  <person displayName="Begona Noriega Olalde" id="{D2D8617A-7471-4D00-8015-FCE83F00881A}" userId="S::bnoriegao@up.edu.mx::72c30395-ceab-46b0-a09e-b79c44ef28de" providerId="AD"/>
  <person displayName="Laura Patricia Renteria Solis" id="{8079AA11-23E2-46B7-BACF-4A32A5F4AD6A}" userId="S::lrenteria@up.edu.mx::3ac73998-666c-4404-bc35-90ca7806c930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base_de_datos" displayName="base_de_datos" ref="B2:AY224" totalsRowShown="0" headerRowDxfId="412" dataDxfId="410" totalsRowDxfId="408" headerRowBorderDxfId="411" tableBorderDxfId="409">
  <autoFilter ref="B2:AY224" xr:uid="{00000000-000C-0000-FFFF-FFFF00000000}"/>
  <tableColumns count="50">
    <tableColumn id="1" xr3:uid="{00000000-0010-0000-0000-000001000000}" name="Profesor" dataDxfId="407" totalsRowDxfId="406"/>
    <tableColumn id="2" xr3:uid="{00000000-0010-0000-0000-000002000000}" name="Materia" dataDxfId="405" totalsRowDxfId="404"/>
    <tableColumn id="20" xr3:uid="{00000000-0010-0000-0000-000014000000}" name="Número de grupo " dataDxfId="403" totalsRowDxfId="402"/>
    <tableColumn id="3" xr3:uid="{00000000-0010-0000-0000-000003000000}" name="Hora inicio" dataDxfId="401" totalsRowDxfId="400"/>
    <tableColumn id="4" xr3:uid="{00000000-0010-0000-0000-000004000000}" name="Hora fin" dataDxfId="399" totalsRowDxfId="398"/>
    <tableColumn id="7" xr3:uid="{00000000-0010-0000-0000-000007000000}" name="Se paga" dataDxfId="397" totalsRowDxfId="396"/>
    <tableColumn id="21" xr3:uid="{00000000-0010-0000-0000-000015000000}" name="Aula" dataDxfId="395" totalsRowDxfId="394"/>
    <tableColumn id="49" xr3:uid="{4F92F078-2BDF-4F7E-A214-9809087AB1C6}" name="Capacidad" dataDxfId="393" totalsRowDxfId="392"/>
    <tableColumn id="31" xr3:uid="{450FC873-2698-4198-969C-3589A2457771}" name="Inscritos" dataDxfId="391" totalsRowDxfId="390"/>
    <tableColumn id="47" xr3:uid="{679BB7F3-9C04-4367-A697-497A007F6B2A}" name="Cap 1.5" dataDxfId="389" totalsRowDxfId="388"/>
    <tableColumn id="6" xr3:uid="{0AE47002-7715-418E-BE5D-C2F99303B594}" name="Diferencia 1.5" dataDxfId="387" totalsRowDxfId="386"/>
    <tableColumn id="46" xr3:uid="{72968632-C368-40EB-843E-0B865FEDF061}" name="Cap .90" dataDxfId="385" totalsRowDxfId="384"/>
    <tableColumn id="45" xr3:uid="{1B92A662-284F-4CAE-B959-A6280274E2EF}" name="Diferencia .90" dataDxfId="383" totalsRowDxfId="382"/>
    <tableColumn id="22" xr3:uid="{00000000-0010-0000-0000-000016000000}" name="No clase" dataDxfId="381" totalsRowDxfId="380"/>
    <tableColumn id="8" xr3:uid="{00000000-0010-0000-0000-000008000000}" name="Lunes" dataDxfId="379" totalsRowDxfId="378"/>
    <tableColumn id="9" xr3:uid="{00000000-0010-0000-0000-000009000000}" name="Martes" dataDxfId="377" totalsRowDxfId="376"/>
    <tableColumn id="10" xr3:uid="{00000000-0010-0000-0000-00000A000000}" name="Miércoles" dataDxfId="375" totalsRowDxfId="374"/>
    <tableColumn id="11" xr3:uid="{00000000-0010-0000-0000-00000B000000}" name="Jueves" dataDxfId="373" totalsRowDxfId="372"/>
    <tableColumn id="12" xr3:uid="{00000000-0010-0000-0000-00000C000000}" name="Viernes" dataDxfId="371" totalsRowDxfId="370"/>
    <tableColumn id="32" xr3:uid="{1A282C38-A7C2-4B62-884A-36F74F5D4452}" name="Sábado" dataDxfId="369" totalsRowDxfId="368"/>
    <tableColumn id="28" xr3:uid="{58ADEBED-DF4D-4CD5-AF32-AE5E8CAD41E2}" name="Inglés" dataDxfId="367" totalsRowDxfId="366"/>
    <tableColumn id="34" xr3:uid="{E6E2F771-32C0-452F-95BE-80D990BBF384}" name="Examen" dataDxfId="365" totalsRowDxfId="364"/>
    <tableColumn id="27" xr3:uid="{00000000-0010-0000-0000-00001B000000}" name="HT Plan" dataDxfId="363" totalsRowDxfId="362">
      <calculatedColumnFormula>_xlfn.XLOOKUP(base_de_datos[[#This Row],[Materia]],Materias,Horas)/16</calculatedColumnFormula>
    </tableColumn>
    <tableColumn id="5" xr3:uid="{00000000-0010-0000-0000-000005000000}" name="Horas" dataDxfId="361" totalsRowDxfId="360">
      <calculatedColumnFormula>ROUND(((base_de_datos[[#This Row],[Hora fin]]-base_de_datos[[#This Row],[Hora inicio]])*24)*(COUNTA(base_de_datos[[#This Row],[Lunes]:[Sábado]])),1)</calculatedColumnFormula>
    </tableColumn>
    <tableColumn id="35" xr3:uid="{79049B1A-FD42-4CDC-9279-B12A65C342CA}" name="Horas totales" dataDxfId="359" totalsRowDxfId="358">
      <calculatedColumnFormula>IF(base_de_datos[[#This Row],[Misma o no]]=0,"N/A",IF((OFFSET(base_de_datos[[#This Row],[Misma o no]],1,0))=0,base_de_datos[[#This Row],[Horas]]+(OFFSET(base_de_datos[[#This Row],[Horas]],1,0)),base_de_datos[[#This Row],[Horas]]))</calculatedColumnFormula>
    </tableColumn>
    <tableColumn id="33" xr3:uid="{CDFB2D4D-F9E1-4826-9207-288E46924B7C}" name="Misma o no" dataDxfId="357" totalsRowDxfId="356">
      <calculatedColumnFormula>IF(base_de_datos[[#This Row],[No clase]]=OFFSET(base_de_datos[[#This Row],[No clase]],-1,0),0,1)</calculatedColumnFormula>
    </tableColumn>
    <tableColumn id="36" xr3:uid="{88BD8E82-967D-405B-93F9-4E7E8995EAA9}" name="Error en horas" dataDxfId="355" totalsRowDxfId="354">
      <calculatedColumnFormula>IF(NOT(OR(base_de_datos[[#This Row],[Horas totales]]=base_de_datos[[#This Row],[HT Plan]],base_de_datos[[#This Row],[Horas totales]]="N/A")),1,0)</calculatedColumnFormula>
    </tableColumn>
    <tableColumn id="23" xr3:uid="{00000000-0010-0000-0000-000017000000}" name="Grado de profesor" dataDxfId="353" totalsRowDxfId="352">
      <calculatedColumnFormula>_xlfn.XLOOKUP(base_de_datos[[#This Row],[Profesor]],Nombre,Grado)</calculatedColumnFormula>
    </tableColumn>
    <tableColumn id="24" xr3:uid="{00000000-0010-0000-0000-000018000000}" name="Tipo" dataDxfId="351" totalsRowDxfId="350">
      <calculatedColumnFormula>_xlfn.XLOOKUP(base_de_datos[[#This Row],[Profesor]],Nombre,Tipo)</calculatedColumnFormula>
    </tableColumn>
    <tableColumn id="13" xr3:uid="{00000000-0010-0000-0000-00000D000000}" name="Industrial" dataDxfId="349" totalsRowDxfId="348">
      <calculatedColumnFormula>IF(IFERROR(VLOOKUP($C3,Planes_de_estudio[],MATCH($AE$2,Carreras,0)+2,0),"")&gt;0,IFERROR(VLOOKUP($C3,Planes_de_estudio[],MATCH($AE$2,Carreras,0)+2,0),""),"")</calculatedColumnFormula>
    </tableColumn>
    <tableColumn id="14" xr3:uid="{00000000-0010-0000-0000-00000E000000}" name="Mecatrónica" dataDxfId="347" totalsRowDxfId="346">
      <calculatedColumnFormula>IF(IFERROR(VLOOKUP($C3,Planes_de_estudio[],MATCH($AF$2,Carreras,0)+2,0),"")&gt;0,IFERROR(VLOOKUP($C3,Planes_de_estudio[],MATCH($AF$2,Carreras,0)+2,0),""),"")</calculatedColumnFormula>
    </tableColumn>
    <tableColumn id="15" xr3:uid="{00000000-0010-0000-0000-00000F000000}" name="Innovación y Diseño" dataDxfId="345" totalsRowDxfId="344">
      <calculatedColumnFormula>IF(IFERROR(VLOOKUP($C3,Planes_de_estudio[],MATCH($AG$2,Carreras,0)+2,0),"")&gt;0,IFERROR(VLOOKUP($C3,Planes_de_estudio[],MATCH($AG$2,Carreras,0)+2,0),""),"")</calculatedColumnFormula>
    </tableColumn>
    <tableColumn id="16" xr3:uid="{00000000-0010-0000-0000-000010000000}" name="Inteligencia Artificial" dataDxfId="343" totalsRowDxfId="342">
      <calculatedColumnFormula>IF(IFERROR(VLOOKUP($C3,Planes_de_estudio[],MATCH($AH$2,Carreras,0)+2,0),"")&gt;0,IFERROR(VLOOKUP($C3,Planes_de_estudio[],MATCH($AH$2,Carreras,0)+2,0),""),"")</calculatedColumnFormula>
    </tableColumn>
    <tableColumn id="17" xr3:uid="{00000000-0010-0000-0000-000011000000}" name="Tecnologías Energéticas" dataDxfId="341" totalsRowDxfId="340">
      <calculatedColumnFormula>IF(IFERROR(VLOOKUP($C3,Planes_de_estudio[],MATCH($AI$2,Carreras,0)+2,0),"")&gt;0,IFERROR(VLOOKUP($C3,Planes_de_estudio[],MATCH($AI$2,Carreras,0)+2,0),""),"")</calculatedColumnFormula>
    </tableColumn>
    <tableColumn id="18" xr3:uid="{00000000-0010-0000-0000-000012000000}" name="Civil y Administración" dataDxfId="339" totalsRowDxfId="338">
      <calculatedColumnFormula>IF(IFERROR(VLOOKUP($C3,Planes_de_estudio[],MATCH($AJ$2,Carreras,0)+2,0),"")&gt;0,IFERROR(VLOOKUP($C3,Planes_de_estudio[],MATCH($AJ$2,Carreras,0)+2,0),""),"")</calculatedColumnFormula>
    </tableColumn>
    <tableColumn id="19" xr3:uid="{00000000-0010-0000-0000-000013000000}" name="Bioelectrónica" dataDxfId="337" totalsRowDxfId="336">
      <calculatedColumnFormula>IF(IFERROR(VLOOKUP($C3,Planes_de_estudio[],MATCH($AK$2,Carreras,0)+2,0),"")&gt;0,IFERROR(VLOOKUP($C3,Planes_de_estudio[],MATCH($AK$2,Carreras,0)+2,0),""),"")</calculatedColumnFormula>
    </tableColumn>
    <tableColumn id="37" xr3:uid="{143545DA-7A67-4F33-A418-CD0EAAC9ECCA}" name="Índice" dataDxfId="335" totalsRowDxfId="334">
      <calculatedColumnFormula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calculatedColumnFormula>
    </tableColumn>
    <tableColumn id="29" xr3:uid="{74048100-2592-487E-9840-38073E1E7F1B}" name="Pronóstico" dataDxfId="333" totalsRowDxfId="332">
      <calculatedColumnFormula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calculatedColumnFormula>
    </tableColumn>
    <tableColumn id="30" xr3:uid="{A9AA1B51-4B55-4B75-91D3-AC99D7C6E890}" name="Grupos 25" dataDxfId="331" totalsRowDxfId="330">
      <calculatedColumnFormula>base_de_datos[[#This Row],[Pronóstico]]/25</calculatedColumnFormula>
    </tableColumn>
    <tableColumn id="25" xr3:uid="{00000000-0010-0000-0000-000019000000}" name="Academia" dataDxfId="329" totalsRowDxfId="328">
      <calculatedColumnFormula>VLOOKUP($C3,Planes_de_estudio[],2)</calculatedColumnFormula>
    </tableColumn>
    <tableColumn id="38" xr3:uid="{62386185-C4B9-40C1-835D-493146A56411}" name="ICA II" dataDxfId="327" totalsRowDxfId="326">
      <calculatedColumnFormula>IF(AND(base_de_datos[[#This Row],[Industrial]]&lt;&gt;"",base_de_datos[[#This Row],[Misma o no]]=1),base_de_datos[[#This Row],[Índice]],"")</calculatedColumnFormula>
    </tableColumn>
    <tableColumn id="39" xr3:uid="{510EBA44-6BC7-446E-BAC9-631BF54FBBDB}" name="ICA IM" dataDxfId="325" totalsRowDxfId="324">
      <calculatedColumnFormula>IF(AND(base_de_datos[[#This Row],[Mecatrónica]]&lt;&gt;"",base_de_datos[[#This Row],[Misma o no]]=1),base_de_datos[[#This Row],[Índice]],"")</calculatedColumnFormula>
    </tableColumn>
    <tableColumn id="40" xr3:uid="{A0B4E0BE-93CB-4D7A-909D-22C0195ED580}" name="ICA IID" dataDxfId="323" totalsRowDxfId="322">
      <calculatedColumnFormula>IF(AND(base_de_datos[[#This Row],[Innovación y Diseño]]&lt;&gt;"",base_de_datos[[#This Row],[Misma o no]]=1),base_de_datos[[#This Row],[Índice]],"")</calculatedColumnFormula>
    </tableColumn>
    <tableColumn id="41" xr3:uid="{73AF69BB-62F6-4733-A44F-7A2BE33DB3F5}" name="ICA IIA" dataDxfId="321" totalsRowDxfId="320">
      <calculatedColumnFormula>IF(AND(base_de_datos[[#This Row],[Inteligencia Artificial]]&lt;&gt;"",base_de_datos[[#This Row],[Misma o no]]=1),base_de_datos[[#This Row],[Índice]],"")</calculatedColumnFormula>
    </tableColumn>
    <tableColumn id="42" xr3:uid="{B58E6916-E8AA-4939-96A1-39773EDF3A0B}" name="ICA ITE" dataDxfId="319" totalsRowDxfId="318">
      <calculatedColumnFormula>IF(AND(base_de_datos[[#This Row],[Tecnologías Energéticas]]&lt;&gt;"",base_de_datos[[#This Row],[Misma o no]]=1),base_de_datos[[#This Row],[Índice]],"")</calculatedColumnFormula>
    </tableColumn>
    <tableColumn id="43" xr3:uid="{D77482D1-BF27-4EF1-9FE2-843086EC2274}" name="ICA ICA" dataDxfId="317" totalsRowDxfId="316">
      <calculatedColumnFormula>IF(AND(base_de_datos[[#This Row],[Civil y Administración]]&lt;&gt;"",base_de_datos[[#This Row],[Misma o no]]=1),base_de_datos[[#This Row],[Índice]],"")</calculatedColumnFormula>
    </tableColumn>
    <tableColumn id="44" xr3:uid="{00DAD73C-E9CF-47EC-9C3B-90CF5C3AF5EF}" name="ICA IBE" dataDxfId="315" totalsRowDxfId="314">
      <calculatedColumnFormula>IF(AND(base_de_datos[[#This Row],[Bioelectrónica]]&lt;&gt;"",base_de_datos[[#This Row],[Misma o no]]=1),base_de_datos[[#This Row],[Índice]],"")</calculatedColumnFormula>
    </tableColumn>
    <tableColumn id="26" xr3:uid="{1F6737E1-550C-4E7F-9393-44D3F533958E}" name="Comentarios" dataDxfId="313" totalsRowDxfId="312"/>
    <tableColumn id="48" xr3:uid="{2F879B63-C4FE-4498-9C8C-2D67AA5CEF11}" name="Peso" dataDxfId="311" totalsRowDxfId="310"/>
    <tableColumn id="50" xr3:uid="{D3C84260-8C0A-4219-A63C-408F54A35E5B}" name="Columna1" dataDxfId="309" totalsRowDxfId="308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Profesores" displayName="Profesores" ref="B2:AJ145" totalsRowShown="0" headerRowDxfId="114" dataDxfId="113">
  <autoFilter ref="B2:AJ145" xr:uid="{933AC759-7385-47FA-9850-DE524D07DCD0}">
    <filterColumn colId="4">
      <filters>
        <filter val="Rocío Guadalupe Márquez Martínez"/>
      </filters>
    </filterColumn>
  </autoFilter>
  <sortState xmlns:xlrd2="http://schemas.microsoft.com/office/spreadsheetml/2017/richdata2" ref="B124:AJ124">
    <sortCondition ref="D2:D145"/>
  </sortState>
  <tableColumns count="35">
    <tableColumn id="3" xr3:uid="{00000000-0010-0000-0100-000003000000}" name="Num" dataDxfId="112"/>
    <tableColumn id="1" xr3:uid="{00000000-0010-0000-0100-000001000000}" name="Grado" dataDxfId="111"/>
    <tableColumn id="7" xr3:uid="{00000000-0010-0000-0100-000007000000}" name="Tipo" dataDxfId="110"/>
    <tableColumn id="10" xr3:uid="{60425155-98F6-4E66-9824-C3B1BE597A5B}" name="ID" dataDxfId="109"/>
    <tableColumn id="4" xr3:uid="{00000000-0010-0000-0100-000004000000}" name="Nombre" dataDxfId="108"/>
    <tableColumn id="9" xr3:uid="{2183B82C-CDF2-4129-92C8-712442ECBEA5}" name="Nombres" dataDxfId="107"/>
    <tableColumn id="8" xr3:uid="{6F06E46D-A9B2-47A1-A506-90D3D1C7C04D}" name="Apellido Paterno" dataDxfId="106"/>
    <tableColumn id="6" xr3:uid="{7429D9BF-59A0-4EA1-91BA-3FF1A636636B}" name="Apellido Materno" dataDxfId="105"/>
    <tableColumn id="16" xr3:uid="{E8717561-5D28-4BCE-B82C-B0E22619B668}" name="Fecha de Nacimiento" dataDxfId="104"/>
    <tableColumn id="28" xr3:uid="{EBFE87BD-C81F-42D0-A24A-E375FDEFAA8E}" name="Clases Presenciales" dataDxfId="103"/>
    <tableColumn id="2" xr3:uid="{479C3380-4347-43EB-8265-DAF8482BE38A}" name="wa" dataDxfId="102"/>
    <tableColumn id="12" xr3:uid="{CDB9490B-6339-4050-83D7-323D461841E8}" name="Celular" dataDxfId="101"/>
    <tableColumn id="19" xr3:uid="{530A5EE8-B83C-408D-BD4C-3141A0892871}" name="Correo electrónico" dataDxfId="100"/>
    <tableColumn id="13" xr3:uid="{2118C4CD-CFD6-443B-953F-66DAE7050D3F}" name="Calle" dataDxfId="99"/>
    <tableColumn id="11" xr3:uid="{97F6B105-9965-4D02-9ED1-CD5AFAC9F657}" name="Número" dataDxfId="98"/>
    <tableColumn id="17" xr3:uid="{8C345DBE-FFCC-4BAD-A6A2-0DB1F0FD768C}" name="Fracc/Colonia" dataDxfId="97"/>
    <tableColumn id="15" xr3:uid="{08FA6858-EA4B-42E5-8F21-8CCBBFC1C27A}" name="Ciudad" dataDxfId="96"/>
    <tableColumn id="14" xr3:uid="{840CE24E-E4E2-4894-BC03-B53B42EF2B92}" name="Estado" dataDxfId="95"/>
    <tableColumn id="31" xr3:uid="{7A6447C7-C0C6-486C-94FD-18B2EBB5999A}" name="CP" dataDxfId="94"/>
    <tableColumn id="5" xr3:uid="{00000000-0010-0000-0100-000005000000}" name="Cantidad de materias" dataDxfId="93"/>
    <tableColumn id="18" xr3:uid="{750DC334-044C-420F-8780-782337D9622A}" name="MEC" dataDxfId="92">
      <calculatedColumnFormula>IF((_xlfn.XLOOKUP(Profesores[[#This Row],[Nombre]],base_de_datos[Profesor],base_de_datos[Academia],1))=Profesores[[#Headers],[MEC]],"x","")</calculatedColumnFormula>
    </tableColumn>
    <tableColumn id="20" xr3:uid="{EF1F8D9D-4D22-4EDC-944D-F5BBA3DFC2E8}" name="COM" dataDxfId="91">
      <calculatedColumnFormula>IF((_xlfn.XLOOKUP(Profesores[[#This Row],[Nombre]],base_de_datos[Profesor],base_de_datos[Academia],1))=Profesores[[#Headers],[COM]],"x","")</calculatedColumnFormula>
    </tableColumn>
    <tableColumn id="21" xr3:uid="{6C47E0B3-4566-4A9F-B07D-CD4912C55863}" name="EEC" dataDxfId="90"/>
    <tableColumn id="22" xr3:uid="{0AC0D0D7-C66B-4AE7-918F-4E40A87263B2}" name="DOP" dataDxfId="89">
      <calculatedColumnFormula>IF((_xlfn.XLOOKUP(Profesores[[#This Row],[Nombre]],base_de_datos[Profesor],base_de_datos[Academia],1))=Profesores[[#Headers],[DOP]],"x","")</calculatedColumnFormula>
    </tableColumn>
    <tableColumn id="23" xr3:uid="{4D93564C-6CD4-42D0-85F8-F6A3C54B29EA}" name="ETF" dataDxfId="88">
      <calculatedColumnFormula>IF((_xlfn.XLOOKUP(Profesores[[#This Row],[Nombre]],base_de_datos[Profesor],base_de_datos[Academia],1))=Profesores[[#Headers],[ETF]],"x","")</calculatedColumnFormula>
    </tableColumn>
    <tableColumn id="24" xr3:uid="{18996135-F10B-4B4A-A6B1-F2D740B939C6}" name="MAT" dataDxfId="87">
      <calculatedColumnFormula>IF((_xlfn.XLOOKUP(Profesores[[#This Row],[Nombre]],base_de_datos[Profesor],base_de_datos[Academia],1))=Profesores[[#Headers],[MAT]],"x","")</calculatedColumnFormula>
    </tableColumn>
    <tableColumn id="25" xr3:uid="{52972594-7803-43C8-B012-C1F284BC302B}" name="EMP" dataDxfId="86">
      <calculatedColumnFormula>IF((_xlfn.XLOOKUP(Profesores[[#This Row],[Nombre]],base_de_datos[Profesor],base_de_datos[Academia],1))=Profesores[[#Headers],[EMP]],"x","")</calculatedColumnFormula>
    </tableColumn>
    <tableColumn id="26" xr3:uid="{A8F1B241-40AF-4EB2-87F2-0505551E9D95}" name="AIC" dataDxfId="85">
      <calculatedColumnFormula>IF((_xlfn.XLOOKUP(Profesores[[#This Row],[Nombre]],base_de_datos[Profesor],base_de_datos[Academia],1))=Profesores[[#Headers],[AIC]],"x","")</calculatedColumnFormula>
    </tableColumn>
    <tableColumn id="33" xr3:uid="{E131A48F-3ED6-410D-A3D9-94BF02F772F3}" name="ESC" dataDxfId="84">
      <calculatedColumnFormula>IF((_xlfn.XLOOKUP(Profesores[[#This Row],[Nombre]],base_de_datos[Profesor],base_de_datos[Academia],1))=Profesores[[#Headers],[ESC]],"x","")</calculatedColumnFormula>
    </tableColumn>
    <tableColumn id="27" xr3:uid="{C83FE2F2-992C-4CC8-935C-CCF86C58BCF4}" name="HUM" dataDxfId="83">
      <calculatedColumnFormula>IF((_xlfn.XLOOKUP(Profesores[[#This Row],[Nombre]],base_de_datos[Profesor],base_de_datos[Academia],1))=Profesores[[#Headers],[HUM]],"x","")</calculatedColumnFormula>
    </tableColumn>
    <tableColumn id="29" xr3:uid="{A299CBE0-966C-4EBF-9537-C66585DDD92B}" name="IID" dataDxfId="82">
      <calculatedColumnFormula>IF((_xlfn.XLOOKUP(Profesores[[#This Row],[Nombre]],base_de_datos[Profesor],base_de_datos[Academia],1))=Profesores[[#Headers],[IID]],"x","")</calculatedColumnFormula>
    </tableColumn>
    <tableColumn id="30" xr3:uid="{71403E2A-9305-4B5D-B31A-5485093D9F43}" name="BIO" dataDxfId="81">
      <calculatedColumnFormula>IF((_xlfn.XLOOKUP(Profesores[[#This Row],[Nombre]],base_de_datos[Profesor],base_de_datos[Academia],1))=Profesores[[#Headers],[BIO]],"x","")</calculatedColumnFormula>
    </tableColumn>
    <tableColumn id="32" xr3:uid="{82907C4E-B402-41A6-8AAB-18DDCED8A758}" name="Ex Inglés" dataDxfId="80"/>
    <tableColumn id="34" xr3:uid="{D570C699-06E6-4CD2-A917-8BD5CCB04D8B}" name="Actualizado" dataDxfId="79"/>
    <tableColumn id="35" xr3:uid="{0AD5B1A0-70D4-4B1B-BD7E-E7CA5DA1C145}" name="TOEFL" dataDxfId="78">
      <calculatedColumnFormula>TRUNC(IFERROR(Profesores[[#This Row],[Ex Inglés]]*677/100,0),0)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9B5413A-763C-457B-BF5C-22BB66086DA4}" name="GradoICA" displayName="GradoICA" ref="AL1:AM7" totalsRowShown="0" headerRowDxfId="77" dataDxfId="76">
  <autoFilter ref="AL1:AM7" xr:uid="{84BAD902-2CFC-4AE1-BB25-8205C47833D4}"/>
  <tableColumns count="2">
    <tableColumn id="1" xr3:uid="{CAF3CEF5-87D4-4936-A3D3-C9F133EB8587}" name="Grado" dataDxfId="75"/>
    <tableColumn id="2" xr3:uid="{C75CEA30-F88C-4FF8-9901-260D57C15BDC}" name="Gdo" dataDxfId="74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E1CC409-4CA5-416B-AA8B-9035E15FB431}" name="Tabla11" displayName="Tabla11" ref="AO1:AO6" totalsRowShown="0" headerRowDxfId="73" dataDxfId="72">
  <autoFilter ref="AO1:AO6" xr:uid="{E238A52F-6F2C-4DFB-8950-A76FB591E631}"/>
  <tableColumns count="1">
    <tableColumn id="1" xr3:uid="{26B70A65-DF4D-4A1C-AAB6-61BF454CD7C2}" name="Tipo de profesor" dataDxfId="71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3CAFA7D-F99F-4A5B-A5C4-7D9B25674FD4}" name="Tabla12" displayName="Tabla12" ref="AQ1:AU68" totalsRowShown="0" headerRowDxfId="70" dataDxfId="69" tableBorderDxfId="68">
  <autoFilter ref="AQ1:AU68" xr:uid="{1FA88BF6-0B8A-4E83-9C48-F06D1C4EC83A}"/>
  <tableColumns count="5">
    <tableColumn id="1" xr3:uid="{CD2267F9-D2E7-4B76-8400-FB817F1B5850}" name="Aulas" dataDxfId="67"/>
    <tableColumn id="2" xr3:uid="{AE58033A-FB03-41AB-A934-C45AB21B926C}" name="Capacidad" dataDxfId="66"/>
    <tableColumn id="3" xr3:uid="{0FE69720-6C5E-4416-B058-D428D1EEF496}" name="Equipo" dataDxfId="65"/>
    <tableColumn id="4" xr3:uid="{D6DD74F7-3C55-48FE-8176-ABD4D8336B83}" name="1.5" dataDxfId="64"/>
    <tableColumn id="5" xr3:uid="{EF9E9071-D0CB-45BD-A8DD-19D9EA1CE5B6}" name="0.9" dataDxfId="63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FFBF90F-956D-4E7F-A489-1A50D57F829C}" name="Pronóstico8" displayName="Pronóstico8" ref="D3:L21" headerRowCount="0" totalsRowShown="0" headerRowDxfId="62" dataDxfId="61" tableBorderDxfId="60">
  <tableColumns count="9">
    <tableColumn id="1" xr3:uid="{21A3C41A-2C2B-4C0C-8AF1-132CAFD40780}" name="Columna1" headerRowDxfId="59" dataDxfId="58"/>
    <tableColumn id="2" xr3:uid="{88FC71BD-585F-4AE8-A929-5C496A3281E7}" name="Columna2" headerRowDxfId="57" dataDxfId="56"/>
    <tableColumn id="3" xr3:uid="{A4B297AC-EE9D-4DB9-A018-475D0C30B898}" name="Columna3" headerRowDxfId="55" dataDxfId="54"/>
    <tableColumn id="4" xr3:uid="{1A1BE2BE-52F0-4DC3-83D3-1517C5692AA1}" name="Columna4" headerRowDxfId="53" dataDxfId="52"/>
    <tableColumn id="5" xr3:uid="{395D38B2-3D30-409C-93A1-5667A0985609}" name="Columna5" headerRowDxfId="51" dataDxfId="50"/>
    <tableColumn id="6" xr3:uid="{388BBD71-3DE6-4BDF-AC86-907CFC13F6AD}" name="Columna6" headerRowDxfId="49" dataDxfId="48"/>
    <tableColumn id="7" xr3:uid="{FD0BB709-6975-48C2-B42A-852E0C825F5B}" name="Columna7" headerRowDxfId="47" dataDxfId="46"/>
    <tableColumn id="9" xr3:uid="{5D09E5EA-E787-4391-93BB-780EFEC3D284}" name="Columna9" headerRowDxfId="45" dataDxfId="44">
      <calculatedColumnFormula>SUM(D3:J3)</calculatedColumnFormula>
    </tableColumn>
    <tableColumn id="8" xr3:uid="{55DD93E2-194F-4EF1-87D1-C414615E610C}" name="Columna8" headerRowDxfId="43" dataDxfId="42"/>
  </tableColumns>
  <tableStyleInfo name="TableStyleLight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Planes_de_estudio" displayName="Planes_de_estudio" ref="B2:Z227" totalsRowShown="0" headerRowDxfId="41" dataDxfId="39" headerRowBorderDxfId="40" tableBorderDxfId="38">
  <autoFilter ref="B2:Z227" xr:uid="{FD0AD31B-02D1-47C6-8FC1-E3E12E00B1BE}">
    <filterColumn colId="1">
      <filters>
        <filter val="AIC"/>
        <filter val="ESC"/>
      </filters>
    </filterColumn>
  </autoFilter>
  <tableColumns count="25">
    <tableColumn id="1" xr3:uid="{00000000-0010-0000-0200-000001000000}" name="Materias" dataDxfId="37"/>
    <tableColumn id="9" xr3:uid="{00000000-0010-0000-0200-000009000000}" name="Academia" dataDxfId="36"/>
    <tableColumn id="2" xr3:uid="{00000000-0010-0000-0200-000002000000}" name="Industrial" dataDxfId="35"/>
    <tableColumn id="3" xr3:uid="{00000000-0010-0000-0200-000003000000}" name="Mecatrónica" dataDxfId="34"/>
    <tableColumn id="4" xr3:uid="{00000000-0010-0000-0200-000004000000}" name="Innovación y Diseño" dataDxfId="33"/>
    <tableColumn id="5" xr3:uid="{00000000-0010-0000-0200-000005000000}" name="Inteligencia Artificial" dataDxfId="32"/>
    <tableColumn id="6" xr3:uid="{00000000-0010-0000-0200-000006000000}" name="Tecnologías Energéticas" dataDxfId="31"/>
    <tableColumn id="7" xr3:uid="{00000000-0010-0000-0200-000007000000}" name="Civil y Administración" dataDxfId="30"/>
    <tableColumn id="8" xr3:uid="{00000000-0010-0000-0200-000008000000}" name="Bioelectrónica" dataDxfId="29"/>
    <tableColumn id="10" xr3:uid="{00000000-0010-0000-0200-00000A000000}" name="Horas" dataDxfId="28"/>
    <tableColumn id="11" xr3:uid="{00000000-0010-0000-0200-00000B000000}" name="Optativa" dataDxfId="27"/>
    <tableColumn id="25" xr3:uid="{00000000-0010-0000-0200-000019000000}" name="ID II" dataDxfId="26"/>
    <tableColumn id="24" xr3:uid="{00000000-0010-0000-0200-000018000000}" name="ID IM" dataDxfId="25"/>
    <tableColumn id="23" xr3:uid="{00000000-0010-0000-0200-000017000000}" name="ID IID" dataDxfId="24"/>
    <tableColumn id="22" xr3:uid="{00000000-0010-0000-0200-000016000000}" name="ID IIA" dataDxfId="23"/>
    <tableColumn id="21" xr3:uid="{00000000-0010-0000-0200-000015000000}" name="ID ITE" dataDxfId="22"/>
    <tableColumn id="20" xr3:uid="{00000000-0010-0000-0200-000014000000}" name="ID ICA" dataDxfId="21"/>
    <tableColumn id="19" xr3:uid="{00000000-0010-0000-0200-000013000000}" name="ID IBE" dataDxfId="20"/>
    <tableColumn id="18" xr3:uid="{00000000-0010-0000-0200-000012000000}" name="Créditos II" dataDxfId="19"/>
    <tableColumn id="17" xr3:uid="{00000000-0010-0000-0200-000011000000}" name="Créditos IM" dataDxfId="18"/>
    <tableColumn id="16" xr3:uid="{00000000-0010-0000-0200-000010000000}" name="Créditos IID" dataDxfId="17"/>
    <tableColumn id="15" xr3:uid="{00000000-0010-0000-0200-00000F000000}" name="Créditos IIA" dataDxfId="16"/>
    <tableColumn id="14" xr3:uid="{00000000-0010-0000-0200-00000E000000}" name="Créditos ITE" dataDxfId="15"/>
    <tableColumn id="13" xr3:uid="{00000000-0010-0000-0200-00000D000000}" name="Créditos ICA" dataDxfId="14"/>
    <tableColumn id="12" xr3:uid="{00000000-0010-0000-0200-00000C000000}" name="Créditos IBE" dataDxfId="13"/>
  </tableColumns>
  <tableStyleInfo name="TableStyleLight1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a4" displayName="Tabla4" ref="AB2:AB12" totalsRowShown="0" headerRowDxfId="12" dataDxfId="10" headerRowBorderDxfId="11" tableBorderDxfId="9" totalsRowBorderDxfId="8">
  <autoFilter ref="AB2:AB12" xr:uid="{00000000-0009-0000-0100-000004000000}"/>
  <tableColumns count="1">
    <tableColumn id="1" xr3:uid="{00000000-0010-0000-0300-000001000000}" name="Semestres" dataDxfId="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la3" displayName="Tabla3" ref="AD2:AE32" totalsRowShown="0" headerRowDxfId="6" dataDxfId="5" tableBorderDxfId="4">
  <autoFilter ref="AD2:AE32" xr:uid="{00000000-0009-0000-0100-000003000000}"/>
  <tableColumns count="2">
    <tableColumn id="1" xr3:uid="{00000000-0010-0000-0400-000001000000}" name="Hora de inicio" dataDxfId="3"/>
    <tableColumn id="2" xr3:uid="{00000000-0010-0000-0400-000002000000}" name="Hora de fin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4" dT="2023-01-17T16:51:21.02" personId="{8079AA11-23E2-46B7-BACF-4A32A5F4AD6A}" id="{72F602D0-18F0-4286-9692-CC1080B686E2}">
    <text>Programa Revit</text>
  </threadedComment>
  <threadedComment ref="H31" dT="2023-01-09T17:47:48.42" personId="{8079AA11-23E2-46B7-BACF-4A32A5F4AD6A}" id="{4FD6B206-4AFD-4023-82FA-5B143DFCD993}">
    <text>C03, salió de la clase de C. integral, avisar a operaciones para que modifique el nombre</text>
  </threadedComment>
  <threadedComment ref="H34" dT="2023-01-12T22:59:33.48" personId="{8079AA11-23E2-46B7-BACF-4A32A5F4AD6A}" id="{8B56C9E8-4DFF-4205-960F-566589A0E794}">
    <text>Clase en linea</text>
  </threadedComment>
  <threadedComment ref="H39" dT="2022-11-11T17:32:16.49" personId="{8079AA11-23E2-46B7-BACF-4A32A5F4AD6A}" id="{AC24D732-76CA-41C6-8E7A-CC496661A29C}">
    <text>Se solicita aula Aguascalientes correo 10/11/2022</text>
  </threadedComment>
  <threadedComment ref="C48" dT="2022-11-25T18:08:11.15" personId="{8079AA11-23E2-46B7-BACF-4A32A5F4AD6A}" id="{9F72E86F-DF98-46A8-B7B3-9A57CBA8D27C}">
    <text>Por ser plan viejo es de 64 hrs., para 4ITE, al menos que tengamos 1 recursador en otras carrera se podría modificar a 48 hrs. Por lo tanto el horario podría quedar de 3 hrs. por semana.</text>
  </threadedComment>
  <threadedComment ref="F49" dT="2022-10-17T18:03:25.06" personId="{8079AA11-23E2-46B7-BACF-4A32A5F4AD6A}" id="{68844A8E-5C85-4689-94F8-C659A93EB546}">
    <text>Comunicación de datos, debe de tener el mismo horario que gestión de la calidad.</text>
  </threadedComment>
  <threadedComment ref="H50" dT="2023-01-27T19:32:51.22" personId="{8079AA11-23E2-46B7-BACF-4A32A5F4AD6A}" id="{6F378FDE-AEF4-44C0-9C69-7524D7D1F4B7}">
    <text>Sale del Lab. Electrtónica</text>
  </threadedComment>
  <threadedComment ref="H51" dT="2023-01-19T17:31:22.56" personId="{8079AA11-23E2-46B7-BACF-4A32A5F4AD6A}" id="{AD2A23F0-40B5-48AB-9302-996486F77BC6}">
    <text>Sale A14, liberar</text>
  </threadedComment>
  <threadedComment ref="H70" dT="2023-01-20T23:58:32.15" personId="{8079AA11-23E2-46B7-BACF-4A32A5F4AD6A}" id="{34127A72-0C3E-4BAC-AB3C-ED2A058F3029}">
    <text>Se solicita compu-aula 20/01/2023</text>
  </threadedComment>
  <threadedComment ref="H76" dT="2023-01-06T19:19:10.63" personId="{8079AA11-23E2-46B7-BACF-4A32A5F4AD6A}" id="{5A923471-9F8D-47A4-9913-92A0918036A6}">
    <text xml:space="preserve">Se requiere cambiar de aula a posgrado el correo ya esta pero estoy esperando respuesta
</text>
  </threadedComment>
  <threadedComment ref="H76" dT="2023-01-17T23:14:14.92" personId="{8079AA11-23E2-46B7-BACF-4A32A5F4AD6A}" id="{2B9779A1-C924-4615-9671-D6ED9C8E00A7}" parentId="{5A923471-9F8D-47A4-9913-92A0918036A6}">
    <text>Sale A13 para cambiar a Jesús María (jueves)</text>
  </threadedComment>
  <threadedComment ref="H77" dT="2023-01-27T19:28:32.18" personId="{8079AA11-23E2-46B7-BACF-4A32A5F4AD6A}" id="{77E7B191-0E59-4860-858B-F666BF4FE43A}">
    <text>Sale A12</text>
  </threadedComment>
  <threadedComment ref="H86" dT="2023-01-20T23:00:21.67" personId="{8079AA11-23E2-46B7-BACF-4A32A5F4AD6A}" id="{AF7474C9-91A1-4100-96D7-081D62D06519}">
    <text>Liberar A25 viernes de 12-14</text>
  </threadedComment>
  <threadedComment ref="H114" dT="2022-11-11T17:07:24.98" personId="{8079AA11-23E2-46B7-BACF-4A32A5F4AD6A}" id="{D4482AB6-E345-470A-8C5E-EF34A673DBB2}">
    <text>Se solicita aula de posgrado correo 11/11/2022</text>
  </threadedComment>
  <threadedComment ref="H114" dT="2023-01-17T23:17:05.10" personId="{8079AA11-23E2-46B7-BACF-4A32A5F4AD6A}" id="{CB20400C-7112-4DCB-BD46-F8AFEA4C4ECC}" parentId="{D4482AB6-E345-470A-8C5E-EF34A673DBB2}">
    <text>Sale A11, para cambiar a Jesús María los jueves</text>
  </threadedComment>
  <threadedComment ref="O117" dT="2022-10-20T15:32:00.57" personId="{8079AA11-23E2-46B7-BACF-4A32A5F4AD6A}" id="{6475EB40-B603-4F56-8E5A-640DD450C236}">
    <text>Algunos de IM</text>
  </threadedComment>
  <threadedComment ref="F122" dT="2022-11-15T18:52:06.04" personId="{8079AA11-23E2-46B7-BACF-4A32A5F4AD6A}" id="{A595910D-6D3E-4B43-9A4B-E15DB56B58F9}">
    <text>Los alumnos de ICA, comprometen en tomar Ética profesional en Invierno, para poder llevar esta materia.</text>
  </threadedComment>
  <threadedComment ref="O123" dT="2022-10-20T15:30:53.39" personId="{8079AA11-23E2-46B7-BACF-4A32A5F4AD6A}" id="{3710104D-8122-44A3-883F-1D2DA598E462}">
    <text>Algunos alumnos IM</text>
  </threadedComment>
  <threadedComment ref="J133" dT="2023-01-18T19:15:24.29" personId="{8079AA11-23E2-46B7-BACF-4A32A5F4AD6A}" id="{8133A934-4A8D-4D63-A5A5-12798C4EBD19}">
    <text>Solamente hay 3 en pronóstico, estará bien?</text>
  </threadedComment>
  <threadedComment ref="F138" dT="2023-01-10T18:29:39.10" personId="{8079AA11-23E2-46B7-BACF-4A32A5F4AD6A}" id="{0CA8CE41-4243-40C5-B48B-78D3D95F1AC4}">
    <text>Se realiza cambio de horario, solicitar mismo ajuste al área de operaciones</text>
  </threadedComment>
  <threadedComment ref="H141" dT="2023-01-21T00:28:08.06" personId="{8079AA11-23E2-46B7-BACF-4A32A5F4AD6A}" id="{C682300C-7F51-40A6-8388-677AD675C390}">
    <text>Clase en línea</text>
  </threadedComment>
  <threadedComment ref="H142" dT="2022-10-12T22:00:30.24" personId="{8079AA11-23E2-46B7-BACF-4A32A5F4AD6A}" id="{CA41DFA7-49EB-4602-9C89-90E44ADC18F0}">
    <text>Ojo: 1 hrs. Teoría y 11/2 Taller</text>
  </threadedComment>
  <threadedComment ref="H143" dT="2023-01-21T00:28:15.60" personId="{8079AA11-23E2-46B7-BACF-4A32A5F4AD6A}" id="{083B8F51-2151-4E3B-87E5-CAA1A0185CA7}">
    <text>Clase en línea</text>
  </threadedComment>
  <threadedComment ref="H146" dT="2022-10-12T22:00:36.76" personId="{8079AA11-23E2-46B7-BACF-4A32A5F4AD6A}" id="{91A5EAA1-6F55-4C1D-B98A-EA9BB0A4C217}">
    <text>Ojo: 1 hrs. Teoría y 11/2 Taller</text>
  </threadedComment>
  <threadedComment ref="H149" dT="2023-01-27T19:30:08.89" personId="{8079AA11-23E2-46B7-BACF-4A32A5F4AD6A}" id="{EF5D3F2C-21BB-4D51-9D56-C50A7ACFC2F3}">
    <text>Sale C22</text>
  </threadedComment>
  <threadedComment ref="H177" dT="2023-01-12T18:29:36.92" personId="{8079AA11-23E2-46B7-BACF-4A32A5F4AD6A}" id="{C7C4A443-3FD0-4C49-A40F-4B43B5369304}">
    <text>En línea, si necesita el aula</text>
  </threadedComment>
  <threadedComment ref="H178" dT="2023-01-21T00:28:48.09" personId="{8079AA11-23E2-46B7-BACF-4A32A5F4AD6A}" id="{40EAA3AE-E0B8-45AD-BBAF-25C04968E9EE}">
    <text>Clase en línea</text>
  </threadedComment>
  <threadedComment ref="H185" dT="2023-01-31T18:49:21.59" personId="{8079AA11-23E2-46B7-BACF-4A32A5F4AD6A}" id="{3E61E5AF-8FD3-4D2A-8534-C340A4C896A7}">
    <text>Sale de Química</text>
  </threadedComment>
  <threadedComment ref="B189" dT="2022-10-27T23:41:01.15" personId="{8079AA11-23E2-46B7-BACF-4A32A5F4AD6A}" id="{5549E8B7-24D3-491A-8527-9A9A76C3E70A}">
    <text>Nuevo ingreso.</text>
  </threadedComment>
  <threadedComment ref="H190" dT="2023-01-26T16:26:09.91" personId="{8079AA11-23E2-46B7-BACF-4A32A5F4AD6A}" id="{A4CF55BA-411D-4D1B-A753-256E719FC8FF}">
    <text>Sale C01</text>
  </threadedComment>
  <threadedComment ref="H190" dT="2023-01-26T16:44:21.08" personId="{8079AA11-23E2-46B7-BACF-4A32A5F4AD6A}" id="{7E1A8F4B-DD27-47DE-B2F7-AEFFEC0436C0}" parentId="{A4CF55BA-411D-4D1B-A753-256E719FC8FF}">
    <text>Liberar el aula</text>
  </threadedComment>
  <threadedComment ref="H196" dT="2023-01-31T17:02:41.02" personId="{8079AA11-23E2-46B7-BACF-4A32A5F4AD6A}" id="{42BDDFCB-272C-4AE5-93F3-510C602F028A}">
    <text>Sale A13</text>
  </threadedComment>
  <threadedComment ref="O203" dT="2022-10-20T17:27:07.35" personId="{8079AA11-23E2-46B7-BACF-4A32A5F4AD6A}" id="{DAB1E5A1-C9DB-4D7F-A0F6-75054E7C51F8}">
    <text>Ojo comparten el mismo ID. de curso 026995 tanto 8II, IID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F45" dT="2021-11-09T22:32:44.33" personId="{8079AA11-23E2-46B7-BACF-4A32A5F4AD6A}" id="{47B2D91E-D243-462E-AE12-EACED53144B6}">
    <text>Profr. nueva contratación</text>
  </threadedComment>
  <threadedComment ref="F48" dT="2021-11-30T22:56:53.47" personId="{8079AA11-23E2-46B7-BACF-4A32A5F4AD6A}" id="{1B401766-5ECF-4024-9596-A0065426816D}">
    <text>Nueva contratación</text>
  </threadedComment>
  <threadedComment ref="F49" dT="2021-11-30T22:56:38.57" personId="{8079AA11-23E2-46B7-BACF-4A32A5F4AD6A}" id="{6DCB5AC0-E032-4EBF-98C4-79A53A4E9B2B}">
    <text>Nueva Contratación</text>
  </threadedComment>
  <threadedComment ref="F65" dT="2022-01-27T23:58:46.75" personId="{8079AA11-23E2-46B7-BACF-4A32A5F4AD6A}" id="{CC481CA8-3655-47B5-90D0-31663902487C}">
    <text>Ella viene de Guadalajara</text>
  </threadedComment>
  <threadedComment ref="F66" dT="2022-01-27T23:59:19.57" personId="{8079AA11-23E2-46B7-BACF-4A32A5F4AD6A}" id="{FFD4114B-5A85-4AC3-8C55-7ECDC4AAA0BD}">
    <text>Adjunto</text>
  </threadedComment>
  <threadedComment ref="M71" dT="2022-11-25T18:44:28.63" personId="{8079AA11-23E2-46B7-BACF-4A32A5F4AD6A}" id="{DCE3E91D-E6E1-4864-8CAD-22D625188EF4}">
    <text>No. de casa</text>
  </threadedComment>
  <threadedComment ref="F73" dT="2022-10-27T23:35:50.92" personId="{8079AA11-23E2-46B7-BACF-4A32A5F4AD6A}" id="{BEE170CD-D5E1-4398-81E1-B4E9FF0563D7}">
    <text>Nuevo ingreso.</text>
  </threadedComment>
  <threadedComment ref="F80" dT="2022-12-15T22:48:22.19" personId="{8079AA11-23E2-46B7-BACF-4A32A5F4AD6A}" id="{20FC0183-F8E5-48E4-B61B-18673BD652C7}">
    <text>Renovará Expediente</text>
  </threadedComment>
  <threadedComment ref="F133" dT="2022-10-14T15:47:48.67" personId="{8079AA11-23E2-46B7-BACF-4A32A5F4AD6A}" id="{044FB701-0CA8-4646-AB81-D93D58610902}">
    <text>Nueva contratación</text>
  </threadedComment>
  <threadedComment ref="F133" dT="2023-01-24T19:04:29.94" personId="{8079AA11-23E2-46B7-BACF-4A32A5F4AD6A}" id="{7822306C-F192-44E0-A734-36ADB71936B8}" parentId="{044FB701-0CA8-4646-AB81-D93D58610902}">
    <text>Queda como profr. Adjunto (falta titulo)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I36" dT="2022-10-21T16:22:45.47" personId="{8079AA11-23E2-46B7-BACF-4A32A5F4AD6A}" id="{2055513F-852A-4031-9356-137CCA580CE2}">
    <text>9npo. Semestre (optativa)</text>
  </threadedComment>
  <threadedComment ref="C37" dT="2021-12-02T23:25:24.89" personId="{8079AA11-23E2-46B7-BACF-4A32A5F4AD6A}" id="{36F4509D-FAE5-4348-B79B-85BA59F0A54D}">
    <text>Eran de la academia EEC y pasan Civil (Isaí)</text>
  </threadedComment>
  <threadedComment ref="C37" dT="2021-12-02T23:26:01.23" personId="{8079AA11-23E2-46B7-BACF-4A32A5F4AD6A}" id="{B77BAC8E-C823-41E4-A8A6-73A5B2A05743}" parentId="{36F4509D-FAE5-4348-B79B-85BA59F0A54D}">
    <text>Aunque en Upsite aparecen para EEC</text>
  </threadedComment>
  <threadedComment ref="F57" dT="2022-10-20T18:03:25.44" personId="{8079AA11-23E2-46B7-BACF-4A32A5F4AD6A}" id="{B09E98BC-3EA7-4E29-8F88-E3EB32829175}">
    <text>Es 8vo. IID, pero no se abre para este ciclo 1232 para la carrera</text>
  </threadedComment>
  <threadedComment ref="C70" dT="2022-10-13T16:36:13.50" personId="{8079AA11-23E2-46B7-BACF-4A32A5F4AD6A}" id="{7E04D2DD-28BD-461D-A8D6-E05F55CB457F}">
    <text>En Upiste, aparece en la academia de IID</text>
  </threadedComment>
  <threadedComment ref="I70" dT="2021-10-15T21:46:10.87" personId="{8079AA11-23E2-46B7-BACF-4A32A5F4AD6A}" id="{F93F9756-B0CC-4C45-A780-94334BFE4F75}">
    <text>Es materia de primer semestre y se darán en segundo semestre, ciclo 1222</text>
  </threadedComment>
  <threadedComment ref="H75" dT="2021-07-21T15:10:40.41" personId="{D2D8617A-7471-4D00-8015-FCE83F00881A}" id="{CA7A506D-1CED-46B0-942B-0D28DB2534F8}">
    <text>Esta materia se debe ofertar en 3eroaunque en ruta aparece de 4to</text>
  </threadedComment>
  <threadedComment ref="I80" dT="2021-10-21T18:16:19.65" personId="{8079AA11-23E2-46B7-BACF-4A32A5F4AD6A}" id="{F2A8545F-5009-4755-890B-21EB754FF99E}">
    <text>Optativa</text>
  </threadedComment>
  <threadedComment ref="I84" dT="2021-10-22T15:46:44.05" personId="{8079AA11-23E2-46B7-BACF-4A32A5F4AD6A}" id="{A0EF9814-9550-4452-A919-3D2F3B9896A3}">
    <text>Materia de 9no. Semestre (optativa)</text>
  </threadedComment>
  <threadedComment ref="I88" dT="2021-10-21T16:27:42.75" personId="{8079AA11-23E2-46B7-BACF-4A32A5F4AD6A}" id="{AF5434D4-EAAB-48DC-979A-437A82FD15C6}">
    <text>Optativa</text>
  </threadedComment>
  <threadedComment ref="I88" dT="2021-10-21T22:40:40.79" personId="{8079AA11-23E2-46B7-BACF-4A32A5F4AD6A}" id="{7E312025-A736-4DDE-9D2B-D00AC48C462E}" parentId="{AF5434D4-EAAB-48DC-979A-437A82FD15C6}">
    <text>Es de 10mo. semestre y no se oferta</text>
  </threadedComment>
  <threadedComment ref="I117" dT="2021-10-22T15:49:03.80" personId="{8079AA11-23E2-46B7-BACF-4A32A5F4AD6A}" id="{097C7817-C50B-4C22-8F5D-48B58C854027}">
    <text>Materia de 9no. Semestre (optativa)</text>
  </threadedComment>
  <threadedComment ref="C125" dT="2021-05-26T16:06:49.52" personId="{8079AA11-23E2-46B7-BACF-4A32A5F4AD6A}" id="{B08269CD-0407-46FD-9481-C6DE958E5BF8}">
    <text>En Upsite, dice que le pertenece a la academia DIOP?</text>
  </threadedComment>
  <threadedComment ref="I130" dT="2021-11-17T17:14:46.70" personId="{8079AA11-23E2-46B7-BACF-4A32A5F4AD6A}" id="{A73D0277-B97D-467E-BA4F-2F7FD88DB3C6}">
    <text>Optativa</text>
  </threadedComment>
  <threadedComment ref="I130" dT="2021-11-17T17:15:17.85" personId="{8079AA11-23E2-46B7-BACF-4A32A5F4AD6A}" id="{7962AB72-B6AF-43EE-9BA5-798B06AA17C3}" parentId="{A73D0277-B97D-467E-BA4F-2F7FD88DB3C6}">
    <text>No abrira</text>
  </threadedComment>
  <threadedComment ref="I130" dT="2022-10-21T16:23:05.08" personId="{8079AA11-23E2-46B7-BACF-4A32A5F4AD6A}" id="{EFC7506F-DC22-4394-A140-F26DFAA8317E}" parentId="{A73D0277-B97D-467E-BA4F-2F7FD88DB3C6}">
    <text xml:space="preserve">4to. Semestre </text>
  </threadedComment>
  <threadedComment ref="F137" dT="2021-05-07T16:59:52.26" personId="{D2D8617A-7471-4D00-8015-FCE83F00881A}" id="{C20B8122-9864-4BB0-A015-418FDB394A5B}">
    <text>Temporal solo para el 1218</text>
  </threadedComment>
  <threadedComment ref="I149" dT="2022-11-14T17:02:16.96" personId="{54BF0A12-5BDE-4D26-812B-21B5552D033F}" id="{2481A180-1579-4A49-B1FA-16C59F076F6E}">
    <text xml:space="preserve">Es optativa de 10 pero no se abrirá
</text>
  </threadedComment>
  <threadedComment ref="F158" dT="2021-04-22T14:45:19.29" personId="{D2D8617A-7471-4D00-8015-FCE83F00881A}" id="{2D4F2B91-3A3F-48AB-9C9C-3096C66663EA}">
    <text>Definitiva</text>
  </threadedComment>
  <threadedComment ref="F159" dT="2021-04-22T14:45:13.94" personId="{D2D8617A-7471-4D00-8015-FCE83F00881A}" id="{2542E24B-82FB-4941-B990-9D6BB05DFD6F}">
    <text>Temporal</text>
  </threadedComment>
  <threadedComment ref="I166" dT="2021-02-15T19:31:14.63" personId="{D2D8617A-7471-4D00-8015-FCE83F00881A}" id="{059A2DB0-352F-457C-9096-E24556F3FA04}">
    <text>No estaba, lo puse</text>
  </threadedComment>
  <threadedComment ref="C167" dT="2022-01-18T23:32:11.90" personId="{8079AA11-23E2-46B7-BACF-4A32A5F4AD6A}" id="{837D64DB-57C6-4B53-8895-ADF6F4E1D755}">
    <text>Aparece en la academia de Civil pero Rocío Contrato</text>
  </threadedComment>
  <threadedComment ref="F175" dT="2022-10-07T17:31:02.72" personId="{8079AA11-23E2-46B7-BACF-4A32A5F4AD6A}" id="{252CDFCC-183D-4378-8AFC-2BCD56F1D641}">
    <text>Es de 7mo. Pero para este ciclo 1232 se abre</text>
  </threadedComment>
  <threadedComment ref="F175" dT="2022-10-10T15:08:13.10" personId="{54BF0A12-5BDE-4D26-812B-21B5552D033F}" id="{1043317B-8D33-4144-8764-E4D4F22479DE}" parentId="{252CDFCC-183D-4378-8AFC-2BCD56F1D641}">
    <text>Revisado con Mich, no se abre para 6 de IID en el 1232</text>
  </threadedComment>
  <threadedComment ref="K182" dT="2021-02-09T00:41:47.90" personId="{D2D8617A-7471-4D00-8015-FCE83F00881A}" id="{4FC8D050-4347-438C-9953-C950FF760742}">
    <text>Revisar</text>
  </threadedComment>
  <threadedComment ref="K182" dT="2021-11-03T15:58:02.57" personId="{8079AA11-23E2-46B7-BACF-4A32A5F4AD6A}" id="{7A140928-3A9D-42DC-B095-1D0DEB2E6182}" parentId="{4FC8D050-4347-438C-9953-C950FF760742}">
    <text>Corrigí el No. de horas, según el plan de estudios es de 80 horas</text>
  </threadedComment>
  <threadedComment ref="I183" dT="2021-06-14T18:14:33.97" personId="{8079AA11-23E2-46B7-BACF-4A32A5F4AD6A}" id="{DAC1048F-1DB8-4C27-A047-C0BEDB01D257}">
    <text>Es de décimo y se va da en noveno para el ciclo 1218</text>
  </threadedComment>
  <threadedComment ref="R186" dT="2022-10-13T14:45:52.03" personId="{8079AA11-23E2-46B7-BACF-4A32A5F4AD6A}" id="{ED477BFB-C947-4996-95A7-F487B4BFA0BD}">
    <text>EI ID. 027083 es de la carrera de ICA, es materia optativa pero no la llevan</text>
  </threadedComment>
  <threadedComment ref="E191" dT="2022-11-04T00:52:51.06" personId="{8079AA11-23E2-46B7-BACF-4A32A5F4AD6A}" id="{ED5981A7-9B3B-4626-A70F-583778F52F4C}">
    <text>Es de 8vo. Semestre.</text>
  </threadedComment>
  <threadedComment ref="I194" dT="2021-10-22T15:52:16.21" personId="{8079AA11-23E2-46B7-BACF-4A32A5F4AD6A}" id="{E20E2352-1657-48AA-936B-CB18EF092AD9}">
    <text>Materia de 9no. Semestre (optativa)</text>
  </threadedComment>
  <threadedComment ref="I199" dT="2021-10-22T15:50:48.92" personId="{8079AA11-23E2-46B7-BACF-4A32A5F4AD6A}" id="{8494A38A-50BA-493C-870A-20BC8D499862}">
    <text>Materia de 10mo. Semestre (optativa)</text>
  </threadedComment>
  <threadedComment ref="F204" dT="2021-01-12T05:24:56.35" personId="{8079AA11-23E2-46B7-BACF-4A32A5F4AD6A}" id="{65422061-DE33-4EB7-8D72-E9451EBA3CBF}">
    <text>Optativa</text>
  </threadedComment>
  <threadedComment ref="F205" dT="2021-07-20T16:14:12.52" personId="{8079AA11-23E2-46B7-BACF-4A32A5F4AD6A}" id="{FE25BC45-B4FE-4ABA-BE30-0279E3732559}">
    <text>Realmente es de 8vo. semestre pero en este ciclo 1218 se adelanta</text>
  </threadedComment>
  <threadedComment ref="C226" dT="2021-12-02T23:25:32.10" personId="{8079AA11-23E2-46B7-BACF-4A32A5F4AD6A}" id="{25975C4D-B325-4AC1-9F92-427F3533199F}">
    <text>Eran de la academia EEC y pasan Civil (Isaí)</text>
  </threadedComment>
  <threadedComment ref="C226" dT="2021-12-02T23:26:42.27" personId="{8079AA11-23E2-46B7-BACF-4A32A5F4AD6A}" id="{34C680B3-EC59-4789-A743-ED61A8A68E6B}" parentId="{25975C4D-B325-4AC1-9F92-427F3533199F}">
    <text>Aunque en Upsite aparecerán en EEC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D08DD9F-6017-4B39-9672-35C5C3D650C8}">
  <we:reference id="wa104381504" version="1.0.0.0" store="es-ES" storeType="OMEX"/>
  <we:alternateReferences>
    <we:reference id="WA104381504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mailto:hgilardi@up.edu.mx" TargetMode="External"/><Relationship Id="rId117" Type="http://schemas.openxmlformats.org/officeDocument/2006/relationships/hyperlink" Target="mailto:rmchavez@up.edumx" TargetMode="External"/><Relationship Id="rId21" Type="http://schemas.openxmlformats.org/officeDocument/2006/relationships/hyperlink" Target="mailto:lmortiz@up.edu.mx" TargetMode="External"/><Relationship Id="rId42" Type="http://schemas.openxmlformats.org/officeDocument/2006/relationships/hyperlink" Target="mailto:mauruizm@up.edu.mx" TargetMode="External"/><Relationship Id="rId47" Type="http://schemas.openxmlformats.org/officeDocument/2006/relationships/hyperlink" Target="mailto:ghvela@up.edu.mx" TargetMode="External"/><Relationship Id="rId63" Type="http://schemas.openxmlformats.org/officeDocument/2006/relationships/hyperlink" Target="mailto:maromom@up.edu.mx" TargetMode="External"/><Relationship Id="rId68" Type="http://schemas.openxmlformats.org/officeDocument/2006/relationships/hyperlink" Target="mailto:omartinezc@up.edu.mx" TargetMode="External"/><Relationship Id="rId84" Type="http://schemas.openxmlformats.org/officeDocument/2006/relationships/hyperlink" Target="mailto:l.adrian.cuevas.d@gmail.com" TargetMode="External"/><Relationship Id="rId89" Type="http://schemas.openxmlformats.org/officeDocument/2006/relationships/hyperlink" Target="mailto:jemontantes@up.edu.mx" TargetMode="External"/><Relationship Id="rId112" Type="http://schemas.openxmlformats.org/officeDocument/2006/relationships/hyperlink" Target="mailto:amelendez@up.edu.mx" TargetMode="External"/><Relationship Id="rId16" Type="http://schemas.openxmlformats.org/officeDocument/2006/relationships/hyperlink" Target="mailto:gaduran@up.edu.mx" TargetMode="External"/><Relationship Id="rId107" Type="http://schemas.openxmlformats.org/officeDocument/2006/relationships/hyperlink" Target="mailto:esave@up.edu.mx" TargetMode="External"/><Relationship Id="rId11" Type="http://schemas.openxmlformats.org/officeDocument/2006/relationships/hyperlink" Target="mailto:dlarrondom@up.edu.mx" TargetMode="External"/><Relationship Id="rId32" Type="http://schemas.openxmlformats.org/officeDocument/2006/relationships/hyperlink" Target="mailto:pberger@up.edu.mx" TargetMode="External"/><Relationship Id="rId37" Type="http://schemas.openxmlformats.org/officeDocument/2006/relationships/hyperlink" Target="mailto:jquiroga@up.edu.mx" TargetMode="External"/><Relationship Id="rId53" Type="http://schemas.openxmlformats.org/officeDocument/2006/relationships/hyperlink" Target="mailto:bbdelgado@up.edu.mx" TargetMode="External"/><Relationship Id="rId58" Type="http://schemas.openxmlformats.org/officeDocument/2006/relationships/hyperlink" Target="mailto:rtoledo@up.edu.mx" TargetMode="External"/><Relationship Id="rId74" Type="http://schemas.openxmlformats.org/officeDocument/2006/relationships/hyperlink" Target="mailto:jlimong@up.edu.mx" TargetMode="External"/><Relationship Id="rId79" Type="http://schemas.openxmlformats.org/officeDocument/2006/relationships/hyperlink" Target="mailto:ejunco@up.edu.mx" TargetMode="External"/><Relationship Id="rId102" Type="http://schemas.openxmlformats.org/officeDocument/2006/relationships/hyperlink" Target="mailto:aovazquez@up.edu.mx" TargetMode="External"/><Relationship Id="rId123" Type="http://schemas.openxmlformats.org/officeDocument/2006/relationships/table" Target="../tables/table3.xml"/><Relationship Id="rId5" Type="http://schemas.openxmlformats.org/officeDocument/2006/relationships/hyperlink" Target="mailto:lguerrero@up.edu.mx" TargetMode="External"/><Relationship Id="rId90" Type="http://schemas.openxmlformats.org/officeDocument/2006/relationships/hyperlink" Target="mailto:veduenas@up.edu.mx" TargetMode="External"/><Relationship Id="rId95" Type="http://schemas.openxmlformats.org/officeDocument/2006/relationships/hyperlink" Target="mailto:ccervant@up.edu.mx" TargetMode="External"/><Relationship Id="rId22" Type="http://schemas.openxmlformats.org/officeDocument/2006/relationships/hyperlink" Target="mailto:larreolag@up.edu.mx" TargetMode="External"/><Relationship Id="rId27" Type="http://schemas.openxmlformats.org/officeDocument/2006/relationships/hyperlink" Target="mailto:hsasamoto@up.edu.mx" TargetMode="External"/><Relationship Id="rId43" Type="http://schemas.openxmlformats.org/officeDocument/2006/relationships/hyperlink" Target="mailto:grodriguez@up.edu.mx" TargetMode="External"/><Relationship Id="rId48" Type="http://schemas.openxmlformats.org/officeDocument/2006/relationships/hyperlink" Target="mailto:jvidales@up.edu.mx" TargetMode="External"/><Relationship Id="rId64" Type="http://schemas.openxmlformats.org/officeDocument/2006/relationships/hyperlink" Target="mailto:mmunozz@up.edu.mx" TargetMode="External"/><Relationship Id="rId69" Type="http://schemas.openxmlformats.org/officeDocument/2006/relationships/hyperlink" Target="mailto:pbustos@up.edu.mx" TargetMode="External"/><Relationship Id="rId113" Type="http://schemas.openxmlformats.org/officeDocument/2006/relationships/hyperlink" Target="mailto:apedrozad@up.edu.mx" TargetMode="External"/><Relationship Id="rId118" Type="http://schemas.openxmlformats.org/officeDocument/2006/relationships/hyperlink" Target="mailto:tdelarosa@up.edu.mx" TargetMode="External"/><Relationship Id="rId80" Type="http://schemas.openxmlformats.org/officeDocument/2006/relationships/hyperlink" Target="mailto:jmac&#237;as@up.edu.mx" TargetMode="External"/><Relationship Id="rId85" Type="http://schemas.openxmlformats.org/officeDocument/2006/relationships/hyperlink" Target="mailto:medranoescobedoelise@gmail.com" TargetMode="External"/><Relationship Id="rId12" Type="http://schemas.openxmlformats.org/officeDocument/2006/relationships/hyperlink" Target="mailto:ccachutt@up.edu.mx" TargetMode="External"/><Relationship Id="rId17" Type="http://schemas.openxmlformats.org/officeDocument/2006/relationships/hyperlink" Target="mailto:macontreras@up.edu.mx" TargetMode="External"/><Relationship Id="rId33" Type="http://schemas.openxmlformats.org/officeDocument/2006/relationships/hyperlink" Target="mailto:rmacias@up.edu.mx" TargetMode="External"/><Relationship Id="rId38" Type="http://schemas.openxmlformats.org/officeDocument/2006/relationships/hyperlink" Target="mailto:amarquezm@up.edu.mx" TargetMode="External"/><Relationship Id="rId59" Type="http://schemas.openxmlformats.org/officeDocument/2006/relationships/hyperlink" Target="mailto:hvillacorta@up.edu.mx" TargetMode="External"/><Relationship Id="rId103" Type="http://schemas.openxmlformats.org/officeDocument/2006/relationships/hyperlink" Target="mailto:frarambula@up.edu.mx" TargetMode="External"/><Relationship Id="rId108" Type="http://schemas.openxmlformats.org/officeDocument/2006/relationships/hyperlink" Target="mailto:respinosa@up.edu.mx" TargetMode="External"/><Relationship Id="rId124" Type="http://schemas.openxmlformats.org/officeDocument/2006/relationships/table" Target="../tables/table4.xml"/><Relationship Id="rId54" Type="http://schemas.openxmlformats.org/officeDocument/2006/relationships/hyperlink" Target="mailto:jcerda@up.edu.mx" TargetMode="External"/><Relationship Id="rId70" Type="http://schemas.openxmlformats.org/officeDocument/2006/relationships/hyperlink" Target="mailto:mahuizar@up.edu.mx" TargetMode="External"/><Relationship Id="rId75" Type="http://schemas.openxmlformats.org/officeDocument/2006/relationships/hyperlink" Target="mailto:japarga@up.edu.mx" TargetMode="External"/><Relationship Id="rId91" Type="http://schemas.openxmlformats.org/officeDocument/2006/relationships/hyperlink" Target="mailto:fjguerrero@up.edu.mx" TargetMode="External"/><Relationship Id="rId96" Type="http://schemas.openxmlformats.org/officeDocument/2006/relationships/hyperlink" Target="mailto:fbravo@up.edu.mx" TargetMode="External"/><Relationship Id="rId1" Type="http://schemas.openxmlformats.org/officeDocument/2006/relationships/hyperlink" Target="mailto:bnoriegao@up.edu.mx" TargetMode="External"/><Relationship Id="rId6" Type="http://schemas.openxmlformats.org/officeDocument/2006/relationships/hyperlink" Target="mailto:pancho.wow@gmail.com;%20flegon" TargetMode="External"/><Relationship Id="rId23" Type="http://schemas.openxmlformats.org/officeDocument/2006/relationships/hyperlink" Target="mailto:jamarquez@up.edu.mx" TargetMode="External"/><Relationship Id="rId28" Type="http://schemas.openxmlformats.org/officeDocument/2006/relationships/hyperlink" Target="mailto:mmgamez@up.edu.mx" TargetMode="External"/><Relationship Id="rId49" Type="http://schemas.openxmlformats.org/officeDocument/2006/relationships/hyperlink" Target="mailto:magarciac@up.edu.mx" TargetMode="External"/><Relationship Id="rId114" Type="http://schemas.openxmlformats.org/officeDocument/2006/relationships/hyperlink" Target="mailto:pramirezc@up.edu.mx" TargetMode="External"/><Relationship Id="rId119" Type="http://schemas.openxmlformats.org/officeDocument/2006/relationships/hyperlink" Target="mailto:marodriguezr@up.edu.mx" TargetMode="External"/><Relationship Id="rId44" Type="http://schemas.openxmlformats.org/officeDocument/2006/relationships/hyperlink" Target="mailto:sevalenzuela@up.edu.mx" TargetMode="External"/><Relationship Id="rId60" Type="http://schemas.openxmlformats.org/officeDocument/2006/relationships/hyperlink" Target="mailto:ahuizar@up.edu.mx" TargetMode="External"/><Relationship Id="rId65" Type="http://schemas.openxmlformats.org/officeDocument/2006/relationships/hyperlink" Target="mailto:rdealba@up.edu.mx" TargetMode="External"/><Relationship Id="rId81" Type="http://schemas.openxmlformats.org/officeDocument/2006/relationships/hyperlink" Target="mailto:mbecerrac@up.edu.mx" TargetMode="External"/><Relationship Id="rId86" Type="http://schemas.openxmlformats.org/officeDocument/2006/relationships/hyperlink" Target="mailto:nortega@up.edu.mx" TargetMode="External"/><Relationship Id="rId13" Type="http://schemas.openxmlformats.org/officeDocument/2006/relationships/hyperlink" Target="mailto:cnsanchez@up.edu.mx" TargetMode="External"/><Relationship Id="rId18" Type="http://schemas.openxmlformats.org/officeDocument/2006/relationships/hyperlink" Target="mailto:crodriguezc@up.edu.mx" TargetMode="External"/><Relationship Id="rId39" Type="http://schemas.openxmlformats.org/officeDocument/2006/relationships/hyperlink" Target="mailto:amromo@up.edu.mx" TargetMode="External"/><Relationship Id="rId109" Type="http://schemas.openxmlformats.org/officeDocument/2006/relationships/hyperlink" Target="mailto:barambula@up.edu.mx" TargetMode="External"/><Relationship Id="rId34" Type="http://schemas.openxmlformats.org/officeDocument/2006/relationships/hyperlink" Target="mailto:romarquez@up.edu.mx" TargetMode="External"/><Relationship Id="rId50" Type="http://schemas.openxmlformats.org/officeDocument/2006/relationships/hyperlink" Target="mailto:rsoule@up.edu.mx" TargetMode="External"/><Relationship Id="rId55" Type="http://schemas.openxmlformats.org/officeDocument/2006/relationships/hyperlink" Target="mailto:aegonzalez@up.edu.mx" TargetMode="External"/><Relationship Id="rId76" Type="http://schemas.openxmlformats.org/officeDocument/2006/relationships/hyperlink" Target="mailto:ldarriaga@up.edu.mx" TargetMode="External"/><Relationship Id="rId97" Type="http://schemas.openxmlformats.org/officeDocument/2006/relationships/hyperlink" Target="mailto:gaesparza@up.edu.mx" TargetMode="External"/><Relationship Id="rId104" Type="http://schemas.openxmlformats.org/officeDocument/2006/relationships/hyperlink" Target="mailto:osalas@up.edu.mx" TargetMode="External"/><Relationship Id="rId120" Type="http://schemas.openxmlformats.org/officeDocument/2006/relationships/printerSettings" Target="../printerSettings/printerSettings5.bin"/><Relationship Id="rId125" Type="http://schemas.openxmlformats.org/officeDocument/2006/relationships/table" Target="../tables/table5.xml"/><Relationship Id="rId7" Type="http://schemas.openxmlformats.org/officeDocument/2006/relationships/hyperlink" Target="mailto:torvananos@up.edu.mx" TargetMode="External"/><Relationship Id="rId71" Type="http://schemas.openxmlformats.org/officeDocument/2006/relationships/hyperlink" Target="mailto:jjauregui@up.edu.mx" TargetMode="External"/><Relationship Id="rId92" Type="http://schemas.openxmlformats.org/officeDocument/2006/relationships/hyperlink" Target="mailto:jhmej&#237;a@up.edu.mx" TargetMode="External"/><Relationship Id="rId2" Type="http://schemas.openxmlformats.org/officeDocument/2006/relationships/hyperlink" Target="mailto:jbecerra@up.edu.mx" TargetMode="External"/><Relationship Id="rId29" Type="http://schemas.openxmlformats.org/officeDocument/2006/relationships/hyperlink" Target="mailto:marizmendiz@up.edu.mx" TargetMode="External"/><Relationship Id="rId24" Type="http://schemas.openxmlformats.org/officeDocument/2006/relationships/hyperlink" Target="mailto:fayluardo@up.edu.mx" TargetMode="External"/><Relationship Id="rId40" Type="http://schemas.openxmlformats.org/officeDocument/2006/relationships/hyperlink" Target="mailto:iacostap@up.edu.mx" TargetMode="External"/><Relationship Id="rId45" Type="http://schemas.openxmlformats.org/officeDocument/2006/relationships/hyperlink" Target="mailto:damurrillo@up.edu.mx" TargetMode="External"/><Relationship Id="rId66" Type="http://schemas.openxmlformats.org/officeDocument/2006/relationships/hyperlink" Target="mailto:japalomo@up.edu.mx" TargetMode="External"/><Relationship Id="rId87" Type="http://schemas.openxmlformats.org/officeDocument/2006/relationships/hyperlink" Target="mailto:mcortega@up.edu.mx" TargetMode="External"/><Relationship Id="rId110" Type="http://schemas.openxmlformats.org/officeDocument/2006/relationships/hyperlink" Target="mailto:jvelascoa@up.edu.mx" TargetMode="External"/><Relationship Id="rId115" Type="http://schemas.openxmlformats.org/officeDocument/2006/relationships/hyperlink" Target="mailto:dlara@up.edu.mx" TargetMode="External"/><Relationship Id="rId61" Type="http://schemas.openxmlformats.org/officeDocument/2006/relationships/hyperlink" Target="mailto:omiranda@up.edu.mx" TargetMode="External"/><Relationship Id="rId82" Type="http://schemas.openxmlformats.org/officeDocument/2006/relationships/hyperlink" Target="mailto:ngcortes@up.edu.mx" TargetMode="External"/><Relationship Id="rId19" Type="http://schemas.openxmlformats.org/officeDocument/2006/relationships/hyperlink" Target="mailto:clopezmur@up.edu.mx" TargetMode="External"/><Relationship Id="rId14" Type="http://schemas.openxmlformats.org/officeDocument/2006/relationships/hyperlink" Target="mailto:brugarcia@up.edu.mx" TargetMode="External"/><Relationship Id="rId30" Type="http://schemas.openxmlformats.org/officeDocument/2006/relationships/hyperlink" Target="mailto:madiaz@up.edu.mx" TargetMode="External"/><Relationship Id="rId35" Type="http://schemas.openxmlformats.org/officeDocument/2006/relationships/hyperlink" Target="mailto:rbarociol@up.edu.mx" TargetMode="External"/><Relationship Id="rId56" Type="http://schemas.openxmlformats.org/officeDocument/2006/relationships/hyperlink" Target="mailto:evega@up.edu.mx" TargetMode="External"/><Relationship Id="rId77" Type="http://schemas.openxmlformats.org/officeDocument/2006/relationships/hyperlink" Target="mailto:atcastillo@up.edu.mx" TargetMode="External"/><Relationship Id="rId100" Type="http://schemas.openxmlformats.org/officeDocument/2006/relationships/hyperlink" Target="mailto:lservin@up.edu.mx" TargetMode="External"/><Relationship Id="rId105" Type="http://schemas.openxmlformats.org/officeDocument/2006/relationships/hyperlink" Target="mailto:aalba@up.edu.mx" TargetMode="External"/><Relationship Id="rId126" Type="http://schemas.openxmlformats.org/officeDocument/2006/relationships/comments" Target="../comments2.xml"/><Relationship Id="rId8" Type="http://schemas.openxmlformats.org/officeDocument/2006/relationships/hyperlink" Target="mailto:glgoni@up.edu.mx" TargetMode="External"/><Relationship Id="rId51" Type="http://schemas.openxmlformats.org/officeDocument/2006/relationships/hyperlink" Target="mailto:gicastaneda@up.edu.mx" TargetMode="External"/><Relationship Id="rId72" Type="http://schemas.openxmlformats.org/officeDocument/2006/relationships/hyperlink" Target="mailto:kvacio@up.edu.mx" TargetMode="External"/><Relationship Id="rId93" Type="http://schemas.openxmlformats.org/officeDocument/2006/relationships/hyperlink" Target="mailto:esanchez@up.edu.mx" TargetMode="External"/><Relationship Id="rId98" Type="http://schemas.openxmlformats.org/officeDocument/2006/relationships/hyperlink" Target="mailto:cgdiaz@up.edu.mx" TargetMode="External"/><Relationship Id="rId121" Type="http://schemas.openxmlformats.org/officeDocument/2006/relationships/vmlDrawing" Target="../drawings/vmlDrawing5.vml"/><Relationship Id="rId3" Type="http://schemas.openxmlformats.org/officeDocument/2006/relationships/hyperlink" Target="mailto:rvelazquez@up.edu.mx" TargetMode="External"/><Relationship Id="rId25" Type="http://schemas.openxmlformats.org/officeDocument/2006/relationships/hyperlink" Target="mailto:fcomorales@up.edu.mx" TargetMode="External"/><Relationship Id="rId46" Type="http://schemas.openxmlformats.org/officeDocument/2006/relationships/hyperlink" Target="mailto:cemujica@up.edu.mx" TargetMode="External"/><Relationship Id="rId67" Type="http://schemas.openxmlformats.org/officeDocument/2006/relationships/hyperlink" Target="mailto:rgarcias@up.edu.mx" TargetMode="External"/><Relationship Id="rId116" Type="http://schemas.openxmlformats.org/officeDocument/2006/relationships/hyperlink" Target="mailto:agrasillo@up.edu.mx" TargetMode="External"/><Relationship Id="rId20" Type="http://schemas.openxmlformats.org/officeDocument/2006/relationships/hyperlink" Target="mailto:cmrodriguez@up.edu.mx" TargetMode="External"/><Relationship Id="rId41" Type="http://schemas.openxmlformats.org/officeDocument/2006/relationships/hyperlink" Target="mailto:ssosal@up.edu.mx" TargetMode="External"/><Relationship Id="rId62" Type="http://schemas.openxmlformats.org/officeDocument/2006/relationships/hyperlink" Target="mailto:rgutierrezp@up.edu.mx" TargetMode="External"/><Relationship Id="rId83" Type="http://schemas.openxmlformats.org/officeDocument/2006/relationships/hyperlink" Target="mailto:beiceman@gmail.com" TargetMode="External"/><Relationship Id="rId88" Type="http://schemas.openxmlformats.org/officeDocument/2006/relationships/hyperlink" Target="mailto:kerodriguez@up.edu.mx" TargetMode="External"/><Relationship Id="rId111" Type="http://schemas.openxmlformats.org/officeDocument/2006/relationships/hyperlink" Target="mailto:ncadenas@up.edu.mx" TargetMode="External"/><Relationship Id="rId15" Type="http://schemas.openxmlformats.org/officeDocument/2006/relationships/hyperlink" Target="mailto:prodrigo@up.edu.mx" TargetMode="External"/><Relationship Id="rId36" Type="http://schemas.openxmlformats.org/officeDocument/2006/relationships/hyperlink" Target="mailto:valvarez@up.edu.mx" TargetMode="External"/><Relationship Id="rId57" Type="http://schemas.openxmlformats.org/officeDocument/2006/relationships/hyperlink" Target="mailto:laromo@up.edu.mx" TargetMode="External"/><Relationship Id="rId106" Type="http://schemas.openxmlformats.org/officeDocument/2006/relationships/hyperlink" Target="mailto:aggutierrez@up.edu.mx" TargetMode="External"/><Relationship Id="rId127" Type="http://schemas.microsoft.com/office/2017/10/relationships/threadedComment" Target="../threadedComments/threadedComment2.xml"/><Relationship Id="rId10" Type="http://schemas.openxmlformats.org/officeDocument/2006/relationships/hyperlink" Target="mailto:ehernandez@up.edu.mx" TargetMode="External"/><Relationship Id="rId31" Type="http://schemas.openxmlformats.org/officeDocument/2006/relationships/hyperlink" Target="mailto:odavalos@up.edu.mx" TargetMode="External"/><Relationship Id="rId52" Type="http://schemas.openxmlformats.org/officeDocument/2006/relationships/hyperlink" Target="mailto:bcassal@up.edu.mx" TargetMode="External"/><Relationship Id="rId73" Type="http://schemas.openxmlformats.org/officeDocument/2006/relationships/hyperlink" Target="mailto:jmunozr@up.edu.mx" TargetMode="External"/><Relationship Id="rId78" Type="http://schemas.openxmlformats.org/officeDocument/2006/relationships/hyperlink" Target="mailto:ccalabrese@up.edu.mx" TargetMode="External"/><Relationship Id="rId94" Type="http://schemas.openxmlformats.org/officeDocument/2006/relationships/hyperlink" Target="mailto:tenriquez@up.edu.mx" TargetMode="External"/><Relationship Id="rId99" Type="http://schemas.openxmlformats.org/officeDocument/2006/relationships/hyperlink" Target="mailto:chacosta@up.edu.mx" TargetMode="External"/><Relationship Id="rId101" Type="http://schemas.openxmlformats.org/officeDocument/2006/relationships/hyperlink" Target="mailto:fgonzalezp@up.edu.mx" TargetMode="External"/><Relationship Id="rId122" Type="http://schemas.openxmlformats.org/officeDocument/2006/relationships/table" Target="../tables/table2.xml"/><Relationship Id="rId4" Type="http://schemas.openxmlformats.org/officeDocument/2006/relationships/hyperlink" Target="mailto:murzua@up.edu.mx" TargetMode="External"/><Relationship Id="rId9" Type="http://schemas.openxmlformats.org/officeDocument/2006/relationships/hyperlink" Target="mailto:ofruizm@up.edu.mx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microsoft.com/office/2017/10/relationships/threadedComment" Target="../threadedComments/threadedComment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3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pageSetUpPr fitToPage="1"/>
  </sheetPr>
  <dimension ref="A2:AF941"/>
  <sheetViews>
    <sheetView zoomScale="80" zoomScaleNormal="80" workbookViewId="0">
      <selection activeCell="G25" sqref="G25"/>
    </sheetView>
  </sheetViews>
  <sheetFormatPr baseColWidth="10" defaultColWidth="14.453125" defaultRowHeight="13" x14ac:dyDescent="0.3"/>
  <cols>
    <col min="1" max="1" width="4" style="1" customWidth="1"/>
    <col min="2" max="3" width="7.453125" style="2" customWidth="1"/>
    <col min="4" max="4" width="28.453125" style="1" customWidth="1"/>
    <col min="5" max="5" width="15.453125" style="1" customWidth="1"/>
    <col min="6" max="6" width="12.1796875" style="1" customWidth="1"/>
    <col min="7" max="7" width="28.453125" style="1" customWidth="1"/>
    <col min="8" max="8" width="6.6328125" style="1" customWidth="1"/>
    <col min="9" max="9" width="12.1796875" style="1" customWidth="1"/>
    <col min="10" max="10" width="28.453125" style="1" customWidth="1"/>
    <col min="11" max="11" width="6.6328125" style="1" customWidth="1"/>
    <col min="12" max="12" width="12.1796875" style="1" customWidth="1"/>
    <col min="13" max="13" width="28.453125" style="1" customWidth="1"/>
    <col min="14" max="14" width="6.6328125" style="1" customWidth="1"/>
    <col min="15" max="15" width="12.1796875" style="1" customWidth="1"/>
    <col min="16" max="16" width="28.453125" style="1" customWidth="1"/>
    <col min="17" max="17" width="6.6328125" style="1" customWidth="1"/>
    <col min="18" max="18" width="12.1796875" style="1" customWidth="1"/>
    <col min="19" max="19" width="28.453125" style="1" customWidth="1"/>
    <col min="20" max="20" width="6.6328125" style="1" customWidth="1"/>
    <col min="21" max="21" width="12.1796875" style="1" customWidth="1"/>
    <col min="22" max="22" width="13" style="1" bestFit="1" customWidth="1"/>
    <col min="23" max="23" width="24.453125" style="1" customWidth="1"/>
    <col min="24" max="24" width="13" style="1" bestFit="1" customWidth="1"/>
    <col min="25" max="25" width="10.6328125" style="1" customWidth="1"/>
    <col min="26" max="26" width="12" style="1" customWidth="1"/>
    <col min="27" max="30" width="10.6328125" style="1" customWidth="1"/>
    <col min="31" max="16384" width="14.453125" style="1"/>
  </cols>
  <sheetData>
    <row r="2" spans="1:32" ht="17" x14ac:dyDescent="0.35">
      <c r="A2" s="26"/>
      <c r="B2" s="263" t="s">
        <v>0</v>
      </c>
      <c r="C2" s="264"/>
      <c r="D2" s="265" t="s">
        <v>1</v>
      </c>
      <c r="E2" s="266"/>
      <c r="F2" s="266"/>
      <c r="G2" s="267"/>
      <c r="H2" s="31"/>
      <c r="I2" s="26"/>
      <c r="L2" s="26"/>
      <c r="M2" s="26"/>
      <c r="N2" s="26"/>
      <c r="O2" s="26"/>
      <c r="P2" s="26"/>
      <c r="Q2" s="26"/>
      <c r="R2" s="26"/>
      <c r="S2" s="26"/>
      <c r="T2" s="26"/>
      <c r="U2" s="26"/>
      <c r="AB2" s="26"/>
      <c r="AC2" s="26"/>
      <c r="AD2" s="26"/>
      <c r="AE2" s="26"/>
      <c r="AF2" s="26"/>
    </row>
    <row r="4" spans="1:32" ht="14.5" x14ac:dyDescent="0.35">
      <c r="B4" s="261" t="s">
        <v>2</v>
      </c>
      <c r="C4" s="262"/>
      <c r="D4" s="89" t="s">
        <v>3</v>
      </c>
      <c r="E4" s="90" t="s">
        <v>4</v>
      </c>
      <c r="F4" s="89" t="s">
        <v>5</v>
      </c>
      <c r="G4" s="91" t="s">
        <v>6</v>
      </c>
      <c r="H4" s="90" t="s">
        <v>4</v>
      </c>
      <c r="I4" s="89" t="s">
        <v>5</v>
      </c>
      <c r="J4" s="91" t="s">
        <v>7</v>
      </c>
      <c r="K4" s="90" t="s">
        <v>4</v>
      </c>
      <c r="L4" s="89" t="s">
        <v>5</v>
      </c>
      <c r="M4" s="91" t="s">
        <v>8</v>
      </c>
      <c r="N4" s="90" t="s">
        <v>4</v>
      </c>
      <c r="O4" s="89" t="s">
        <v>5</v>
      </c>
      <c r="P4" s="91" t="s">
        <v>9</v>
      </c>
      <c r="Q4" s="90" t="s">
        <v>4</v>
      </c>
      <c r="R4" s="89" t="s">
        <v>5</v>
      </c>
      <c r="S4" s="91" t="s">
        <v>10</v>
      </c>
      <c r="T4" s="90" t="s">
        <v>4</v>
      </c>
      <c r="U4" s="89" t="s">
        <v>5</v>
      </c>
      <c r="AB4" s="27"/>
      <c r="AC4" s="27"/>
      <c r="AD4" s="27"/>
    </row>
    <row r="5" spans="1:32" ht="14.5" x14ac:dyDescent="0.35">
      <c r="B5" s="92">
        <v>0.29166666666666669</v>
      </c>
      <c r="C5" s="93">
        <v>0.3125</v>
      </c>
      <c r="D5" s="28" t="str" cm="1">
        <f t="array" ref="D5">_xlfn.TEXTJOIN(CHAR(10),TRUE,IF(Profesor=base_de_datos[Profesor],IF("x"=base_de_datos[Lunes],IF(base_de_datos[Hora inicio]&lt;=$B5,IF(base_de_datos[Hora fin]&gt;=$C5,base_de_datos[Materia]&amp;" "&amp;base_de_datos[[Número de grupo ]],""),""),""),""),"")</f>
        <v/>
      </c>
      <c r="E5" s="28" t="str" cm="1">
        <f t="array" ref="E5">_xlfn.TEXTJOIN(CHAR(10),TRUE,IF(Profesor=base_de_datos[Profesor],IF("x"=base_de_datos[Lunes],IF(base_de_datos[Hora inicio]&lt;=$B5,IF(base_de_datos[Hora fin]&gt;=$C5,base_de_datos[Aula]&amp;" "&amp;#REF!,""),""),""),""),"")</f>
        <v/>
      </c>
      <c r="F5" s="28" t="str" cm="1">
        <f t="array" ref="F5">_xlfn.TEXTJOIN(CHAR(10),TRUE,IF(Profesor=base_de_datos[Profesor],IF("x"=base_de_datos[Lunes],IF(base_de_datos[Hora inicio]&lt;=$B5,IF(base_de_datos[Hora fin]&gt;=$C5,base_de_datos[No clase],""),""),""),""),"")</f>
        <v/>
      </c>
      <c r="G5" s="28" t="str" cm="1">
        <f t="array" ref="G5">_xlfn.TEXTJOIN(CHAR(10),TRUE,IF(Profesor=base_de_datos[Profesor],IF("x"=base_de_datos[Martes],IF(base_de_datos[Hora inicio]&lt;=$B5,IF(base_de_datos[Hora fin]&gt;=$C5,base_de_datos[Materia]&amp;" "&amp;base_de_datos[[Número de grupo ]],""),""),""),""),"")</f>
        <v/>
      </c>
      <c r="H5" s="28" t="str" cm="1">
        <f t="array" ref="H5">_xlfn.TEXTJOIN(CHAR(10),TRUE,IF(Profesor=base_de_datos[Profesor],IF("x"=base_de_datos[Martes],IF(base_de_datos[Hora inicio]&lt;=$B5,IF(base_de_datos[Hora fin]&gt;=$C5,base_de_datos[Aula]&amp;" "&amp;#REF!,""),""),""),""),"")</f>
        <v/>
      </c>
      <c r="I5" s="28" t="str" cm="1">
        <f t="array" ref="I5">_xlfn.TEXTJOIN(CHAR(10),TRUE,IF(Profesor=base_de_datos[Profesor],IF("x"=base_de_datos[Martes],IF(base_de_datos[Hora inicio]&lt;=$B5,IF(base_de_datos[Hora fin]&gt;=$C5,base_de_datos[No clase],""),""),""),""),"")</f>
        <v/>
      </c>
      <c r="J5" s="28" t="str" cm="1">
        <f t="array" ref="J5">_xlfn.TEXTJOIN(CHAR(10),TRUE,IF(Profesor=base_de_datos[Profesor],IF("x"=base_de_datos[Miércoles],IF(base_de_datos[Hora inicio]&lt;=$B5,IF(base_de_datos[Hora fin]&gt;=$C5,base_de_datos[Materia]&amp;" "&amp;base_de_datos[[Número de grupo ]],""),""),""),""),"")</f>
        <v/>
      </c>
      <c r="K5" s="28" t="str" cm="1">
        <f t="array" ref="K5">_xlfn.TEXTJOIN(CHAR(10),TRUE,IF(Profesor=base_de_datos[Profesor],IF("x"=base_de_datos[Miércoles],IF(base_de_datos[Hora inicio]&lt;=$B5,IF(base_de_datos[Hora fin]&gt;=$C5,base_de_datos[Aula]&amp;" "&amp;#REF!,""),""),""),""),"")</f>
        <v/>
      </c>
      <c r="L5" s="28" t="str" cm="1">
        <f t="array" ref="L5">_xlfn.TEXTJOIN(CHAR(10),TRUE,IF(Profesor=base_de_datos[Profesor],IF("x"=base_de_datos[Miércoles],IF(base_de_datos[Hora inicio]&lt;=$B5,IF(base_de_datos[Hora fin]&gt;=$C5,base_de_datos[No clase],""),""),""),""),"")</f>
        <v/>
      </c>
      <c r="M5" s="28" t="str" cm="1">
        <f t="array" ref="M5">_xlfn.TEXTJOIN(CHAR(10),TRUE,IF(Profesor=base_de_datos[Profesor],IF("x"=base_de_datos[Jueves],IF(base_de_datos[Hora inicio]&lt;=$B5,IF(base_de_datos[Hora fin]&gt;=$C5,base_de_datos[Materia]&amp;" "&amp;base_de_datos[[Número de grupo ]],""),""),""),""),"")</f>
        <v/>
      </c>
      <c r="N5" s="28" t="str" cm="1">
        <f t="array" ref="N5">_xlfn.TEXTJOIN(CHAR(10),TRUE,IF(Profesor=base_de_datos[Profesor],IF("x"=base_de_datos[Jueves],IF(base_de_datos[Hora inicio]&lt;=$B5,IF(base_de_datos[Hora fin]&gt;=$C5,base_de_datos[Aula]&amp;" "&amp;#REF!,""),""),""),""),"")</f>
        <v/>
      </c>
      <c r="O5" s="28" t="str" cm="1">
        <f t="array" ref="O5">_xlfn.TEXTJOIN(CHAR(10),TRUE,IF(Profesor=base_de_datos[Profesor],IF("x"=base_de_datos[Jueves],IF(base_de_datos[Hora inicio]&lt;=$B5,IF(base_de_datos[Hora fin]&gt;=$C5,base_de_datos[No clase],""),""),""),""),"")</f>
        <v/>
      </c>
      <c r="P5" s="28" t="str" cm="1">
        <f t="array" ref="P5">_xlfn.TEXTJOIN(CHAR(10),TRUE,IF(Profesor=base_de_datos[Profesor],IF("x"=base_de_datos[Viernes],IF(base_de_datos[Hora inicio]&lt;=$B5,IF(base_de_datos[Hora fin]&gt;=$C5,base_de_datos[Materia]&amp;" "&amp;base_de_datos[[Número de grupo ]],""),""),""),""),"")</f>
        <v/>
      </c>
      <c r="Q5" s="28" t="str" cm="1">
        <f t="array" ref="Q5">_xlfn.TEXTJOIN(CHAR(10),TRUE,IF(Profesor=base_de_datos[Profesor],IF("x"=base_de_datos[Viernes],IF(base_de_datos[Hora inicio]&lt;=$B5,IF(base_de_datos[Hora fin]&gt;=$C5,base_de_datos[Aula]&amp;" "&amp;#REF!,""),""),""),""),"")</f>
        <v/>
      </c>
      <c r="R5" s="28" t="str" cm="1">
        <f t="array" ref="R5">_xlfn.TEXTJOIN(CHAR(10),TRUE,IF(Profesor=base_de_datos[Profesor],IF("x"=base_de_datos[Viernes],IF(base_de_datos[Hora inicio]&lt;=$B5,IF(base_de_datos[Hora fin]&gt;=$C5,base_de_datos[No clase],""),""),""),""),"")</f>
        <v/>
      </c>
      <c r="S5" s="28" t="str" cm="1">
        <f t="array" ref="S5">_xlfn.TEXTJOIN(CHAR(10),TRUE,IF(Profesor=base_de_datos[Profesor],IF("x"=base_de_datos[Sábado],IF(base_de_datos[Hora inicio]&lt;=$B5,IF(base_de_datos[Hora fin]&gt;=$C5,base_de_datos[Materia]&amp;" "&amp;base_de_datos[[Número de grupo ]],""),""),""),""),"")</f>
        <v/>
      </c>
      <c r="T5" s="28" t="str" cm="1">
        <f t="array" ref="T5">_xlfn.TEXTJOIN(CHAR(10),TRUE,IF(Profesor=base_de_datos[Profesor],IF("x"=base_de_datos[Sábado],IF(base_de_datos[Hora inicio]&lt;=$B5,IF(base_de_datos[Hora fin]&gt;=$C5,base_de_datos[Aula]&amp;" "&amp;#REF!,""),""),""),""),"")</f>
        <v/>
      </c>
      <c r="U5" s="28" t="str" cm="1">
        <f t="array" ref="U5">_xlfn.TEXTJOIN(CHAR(10),TRUE,IF(Profesor=base_de_datos[Profesor],IF("x"=base_de_datos[Sábado],IF(base_de_datos[Hora inicio]&lt;=$B5,IF(base_de_datos[Hora fin]&gt;=$C5,base_de_datos[No clase],""),""),""),""),"")</f>
        <v/>
      </c>
      <c r="AB5" s="27"/>
      <c r="AC5" s="27"/>
      <c r="AD5" s="27"/>
    </row>
    <row r="6" spans="1:32" ht="14.5" x14ac:dyDescent="0.35">
      <c r="B6" s="92">
        <v>0.3125</v>
      </c>
      <c r="C6" s="92">
        <v>0.33333333333333298</v>
      </c>
      <c r="D6" s="28" t="str" cm="1">
        <f t="array" ref="D6">_xlfn.TEXTJOIN(CHAR(10),TRUE,IF(Profesor=base_de_datos[Profesor],IF("x"=base_de_datos[Lunes],IF(base_de_datos[Hora inicio]&lt;=$B6,IF(base_de_datos[Hora fin]&gt;=$C6,base_de_datos[Materia]&amp;" "&amp;base_de_datos[[Número de grupo ]],""),""),""),""),"")</f>
        <v/>
      </c>
      <c r="E6" s="28" t="str" cm="1">
        <f t="array" ref="E6">_xlfn.TEXTJOIN(CHAR(10),TRUE,IF(Profesor=base_de_datos[Profesor],IF("x"=base_de_datos[Lunes],IF(base_de_datos[Hora inicio]&lt;=$B6,IF(base_de_datos[Hora fin]&gt;=$C6,base_de_datos[Aula]&amp;" "&amp;#REF!,""),""),""),""),"")</f>
        <v/>
      </c>
      <c r="F6" s="28" t="str" cm="1">
        <f t="array" ref="F6">_xlfn.TEXTJOIN(CHAR(10),TRUE,IF(Profesor=base_de_datos[Profesor],IF("x"=base_de_datos[Lunes],IF(base_de_datos[Hora inicio]&lt;=$B6,IF(base_de_datos[Hora fin]&gt;=$C6,base_de_datos[No clase],""),""),""),""),"")</f>
        <v/>
      </c>
      <c r="G6" s="28" t="str" cm="1">
        <f t="array" ref="G6">_xlfn.TEXTJOIN(CHAR(10),TRUE,IF(Profesor=base_de_datos[Profesor],IF("x"=base_de_datos[Martes],IF(base_de_datos[Hora inicio]&lt;=$B6,IF(base_de_datos[Hora fin]&gt;=$C6,base_de_datos[Materia]&amp;" "&amp;base_de_datos[[Número de grupo ]],""),""),""),""),"")</f>
        <v/>
      </c>
      <c r="H6" s="28" t="str" cm="1">
        <f t="array" ref="H6">_xlfn.TEXTJOIN(CHAR(10),TRUE,IF(Profesor=base_de_datos[Profesor],IF("x"=base_de_datos[Martes],IF(base_de_datos[Hora inicio]&lt;=$B6,IF(base_de_datos[Hora fin]&gt;=$C6,base_de_datos[Aula]&amp;" "&amp;#REF!,""),""),""),""),"")</f>
        <v/>
      </c>
      <c r="I6" s="28" t="str" cm="1">
        <f t="array" ref="I6">_xlfn.TEXTJOIN(CHAR(10),TRUE,IF(Profesor=base_de_datos[Profesor],IF("x"=base_de_datos[Martes],IF(base_de_datos[Hora inicio]&lt;=$B6,IF(base_de_datos[Hora fin]&gt;=$C6,base_de_datos[No clase],""),""),""),""),"")</f>
        <v/>
      </c>
      <c r="J6" s="28" t="str" cm="1">
        <f t="array" ref="J6">_xlfn.TEXTJOIN(CHAR(10),TRUE,IF(Profesor=base_de_datos[Profesor],IF("x"=base_de_datos[Miércoles],IF(base_de_datos[Hora inicio]&lt;=$B6,IF(base_de_datos[Hora fin]&gt;=$C6,base_de_datos[Materia]&amp;" "&amp;base_de_datos[[Número de grupo ]],""),""),""),""),"")</f>
        <v/>
      </c>
      <c r="K6" s="28" t="str" cm="1">
        <f t="array" ref="K6">_xlfn.TEXTJOIN(CHAR(10),TRUE,IF(Profesor=base_de_datos[Profesor],IF("x"=base_de_datos[Miércoles],IF(base_de_datos[Hora inicio]&lt;=$B6,IF(base_de_datos[Hora fin]&gt;=$C6,base_de_datos[Aula]&amp;" "&amp;#REF!,""),""),""),""),"")</f>
        <v/>
      </c>
      <c r="L6" s="28" t="str" cm="1">
        <f t="array" ref="L6">_xlfn.TEXTJOIN(CHAR(10),TRUE,IF(Profesor=base_de_datos[Profesor],IF("x"=base_de_datos[Miércoles],IF(base_de_datos[Hora inicio]&lt;=$B6,IF(base_de_datos[Hora fin]&gt;=$C6,base_de_datos[No clase],""),""),""),""),"")</f>
        <v/>
      </c>
      <c r="M6" s="28" t="str" cm="1">
        <f t="array" ref="M6">_xlfn.TEXTJOIN(CHAR(10),TRUE,IF(Profesor=base_de_datos[Profesor],IF("x"=base_de_datos[Jueves],IF(base_de_datos[Hora inicio]&lt;=$B6,IF(base_de_datos[Hora fin]&gt;=$C6,base_de_datos[Materia]&amp;" "&amp;base_de_datos[[Número de grupo ]],""),""),""),""),"")</f>
        <v/>
      </c>
      <c r="N6" s="28" t="str" cm="1">
        <f t="array" ref="N6">_xlfn.TEXTJOIN(CHAR(10),TRUE,IF(Profesor=base_de_datos[Profesor],IF("x"=base_de_datos[Jueves],IF(base_de_datos[Hora inicio]&lt;=$B6,IF(base_de_datos[Hora fin]&gt;=$C6,base_de_datos[Aula]&amp;" "&amp;#REF!,""),""),""),""),"")</f>
        <v/>
      </c>
      <c r="O6" s="28" t="str" cm="1">
        <f t="array" ref="O6">_xlfn.TEXTJOIN(CHAR(10),TRUE,IF(Profesor=base_de_datos[Profesor],IF("x"=base_de_datos[Jueves],IF(base_de_datos[Hora inicio]&lt;=$B6,IF(base_de_datos[Hora fin]&gt;=$C6,base_de_datos[No clase],""),""),""),""),"")</f>
        <v/>
      </c>
      <c r="P6" s="28" t="str" cm="1">
        <f t="array" ref="P6">_xlfn.TEXTJOIN(CHAR(10),TRUE,IF(Profesor=base_de_datos[Profesor],IF("x"=base_de_datos[Viernes],IF(base_de_datos[Hora inicio]&lt;=$B6,IF(base_de_datos[Hora fin]&gt;=$C6,base_de_datos[Materia]&amp;" "&amp;base_de_datos[[Número de grupo ]],""),""),""),""),"")</f>
        <v/>
      </c>
      <c r="Q6" s="28" t="str" cm="1">
        <f t="array" ref="Q6">_xlfn.TEXTJOIN(CHAR(10),TRUE,IF(Profesor=base_de_datos[Profesor],IF("x"=base_de_datos[Viernes],IF(base_de_datos[Hora inicio]&lt;=$B6,IF(base_de_datos[Hora fin]&gt;=$C6,base_de_datos[Aula]&amp;" "&amp;#REF!,""),""),""),""),"")</f>
        <v/>
      </c>
      <c r="R6" s="28" t="str" cm="1">
        <f t="array" ref="R6">_xlfn.TEXTJOIN(CHAR(10),TRUE,IF(Profesor=base_de_datos[Profesor],IF("x"=base_de_datos[Viernes],IF(base_de_datos[Hora inicio]&lt;=$B6,IF(base_de_datos[Hora fin]&gt;=$C6,base_de_datos[No clase],""),""),""),""),"")</f>
        <v/>
      </c>
      <c r="S6" s="28" t="str" cm="1">
        <f t="array" ref="S6">_xlfn.TEXTJOIN(CHAR(10),TRUE,IF(Profesor=base_de_datos[Profesor],IF("x"=base_de_datos[Sábado],IF(base_de_datos[Hora inicio]&lt;=$B6,IF(base_de_datos[Hora fin]&gt;=$C6,base_de_datos[Materia]&amp;" "&amp;base_de_datos[[Número de grupo ]],""),""),""),""),"")</f>
        <v/>
      </c>
      <c r="T6" s="28" t="str" cm="1">
        <f t="array" ref="T6">_xlfn.TEXTJOIN(CHAR(10),TRUE,IF(Profesor=base_de_datos[Profesor],IF("x"=base_de_datos[Sábado],IF(base_de_datos[Hora inicio]&lt;=$B6,IF(base_de_datos[Hora fin]&gt;=$C6,base_de_datos[Aula]&amp;" "&amp;#REF!,""),""),""),""),"")</f>
        <v/>
      </c>
      <c r="U6" s="28" t="str" cm="1">
        <f t="array" ref="U6">_xlfn.TEXTJOIN(CHAR(10),TRUE,IF(Profesor=base_de_datos[Profesor],IF("x"=base_de_datos[Sábado],IF(base_de_datos[Hora inicio]&lt;=$B6,IF(base_de_datos[Hora fin]&gt;=$C6,base_de_datos[No clase],""),""),""),""),"")</f>
        <v/>
      </c>
      <c r="AB6" s="27"/>
      <c r="AC6" s="27"/>
      <c r="AD6" s="27"/>
    </row>
    <row r="7" spans="1:32" ht="14.5" x14ac:dyDescent="0.35">
      <c r="B7" s="92">
        <v>0.33333333333333298</v>
      </c>
      <c r="C7" s="92">
        <v>0.35416666666666602</v>
      </c>
      <c r="D7" s="28" t="str" cm="1">
        <f t="array" ref="D7">_xlfn.TEXTJOIN(CHAR(10),TRUE,IF(Profesor=base_de_datos[Profesor],IF("x"=base_de_datos[Lunes],IF(base_de_datos[Hora inicio]&lt;=$B7,IF(base_de_datos[Hora fin]&gt;=$C7,base_de_datos[Materia]&amp;" "&amp;base_de_datos[[Número de grupo ]],""),""),""),""),"")</f>
        <v/>
      </c>
      <c r="E7" s="28" t="str" cm="1">
        <f t="array" ref="E7">_xlfn.TEXTJOIN(CHAR(10),TRUE,IF(Profesor=base_de_datos[Profesor],IF("x"=base_de_datos[Lunes],IF(base_de_datos[Hora inicio]&lt;=$B7,IF(base_de_datos[Hora fin]&gt;=$C7,base_de_datos[Aula]&amp;" "&amp;#REF!,""),""),""),""),"")</f>
        <v/>
      </c>
      <c r="F7" s="28" t="str" cm="1">
        <f t="array" ref="F7">_xlfn.TEXTJOIN(CHAR(10),TRUE,IF(Profesor=base_de_datos[Profesor],IF("x"=base_de_datos[Lunes],IF(base_de_datos[Hora inicio]&lt;=$B7,IF(base_de_datos[Hora fin]&gt;=$C7,base_de_datos[No clase],""),""),""),""),"")</f>
        <v/>
      </c>
      <c r="G7" s="28" t="str" cm="1">
        <f t="array" ref="G7">_xlfn.TEXTJOIN(CHAR(10),TRUE,IF(Profesor=base_de_datos[Profesor],IF("x"=base_de_datos[Martes],IF(base_de_datos[Hora inicio]&lt;=$B7,IF(base_de_datos[Hora fin]&gt;=$C7,base_de_datos[Materia]&amp;" "&amp;base_de_datos[[Número de grupo ]],""),""),""),""),"")</f>
        <v/>
      </c>
      <c r="H7" s="28" t="str" cm="1">
        <f t="array" ref="H7">_xlfn.TEXTJOIN(CHAR(10),TRUE,IF(Profesor=base_de_datos[Profesor],IF("x"=base_de_datos[Martes],IF(base_de_datos[Hora inicio]&lt;=$B7,IF(base_de_datos[Hora fin]&gt;=$C7,base_de_datos[Aula]&amp;" "&amp;#REF!,""),""),""),""),"")</f>
        <v/>
      </c>
      <c r="I7" s="28" t="str" cm="1">
        <f t="array" ref="I7">_xlfn.TEXTJOIN(CHAR(10),TRUE,IF(Profesor=base_de_datos[Profesor],IF("x"=base_de_datos[Martes],IF(base_de_datos[Hora inicio]&lt;=$B7,IF(base_de_datos[Hora fin]&gt;=$C7,base_de_datos[No clase],""),""),""),""),"")</f>
        <v/>
      </c>
      <c r="J7" s="28" t="str" cm="1">
        <f t="array" ref="J7">_xlfn.TEXTJOIN(CHAR(10),TRUE,IF(Profesor=base_de_datos[Profesor],IF("x"=base_de_datos[Miércoles],IF(base_de_datos[Hora inicio]&lt;=$B7,IF(base_de_datos[Hora fin]&gt;=$C7,base_de_datos[Materia]&amp;" "&amp;base_de_datos[[Número de grupo ]],""),""),""),""),"")</f>
        <v/>
      </c>
      <c r="K7" s="28" t="str" cm="1">
        <f t="array" ref="K7">_xlfn.TEXTJOIN(CHAR(10),TRUE,IF(Profesor=base_de_datos[Profesor],IF("x"=base_de_datos[Miércoles],IF(base_de_datos[Hora inicio]&lt;=$B7,IF(base_de_datos[Hora fin]&gt;=$C7,base_de_datos[Aula]&amp;" "&amp;#REF!,""),""),""),""),"")</f>
        <v/>
      </c>
      <c r="L7" s="28" t="str" cm="1">
        <f t="array" ref="L7">_xlfn.TEXTJOIN(CHAR(10),TRUE,IF(Profesor=base_de_datos[Profesor],IF("x"=base_de_datos[Miércoles],IF(base_de_datos[Hora inicio]&lt;=$B7,IF(base_de_datos[Hora fin]&gt;=$C7,base_de_datos[No clase],""),""),""),""),"")</f>
        <v/>
      </c>
      <c r="M7" s="28" t="str" cm="1">
        <f t="array" ref="M7">_xlfn.TEXTJOIN(CHAR(10),TRUE,IF(Profesor=base_de_datos[Profesor],IF("x"=base_de_datos[Jueves],IF(base_de_datos[Hora inicio]&lt;=$B7,IF(base_de_datos[Hora fin]&gt;=$C7,base_de_datos[Materia]&amp;" "&amp;base_de_datos[[Número de grupo ]],""),""),""),""),"")</f>
        <v/>
      </c>
      <c r="N7" s="28" t="str" cm="1">
        <f t="array" ref="N7">_xlfn.TEXTJOIN(CHAR(10),TRUE,IF(Profesor=base_de_datos[Profesor],IF("x"=base_de_datos[Jueves],IF(base_de_datos[Hora inicio]&lt;=$B7,IF(base_de_datos[Hora fin]&gt;=$C7,base_de_datos[Aula]&amp;" "&amp;#REF!,""),""),""),""),"")</f>
        <v/>
      </c>
      <c r="O7" s="28" t="str" cm="1">
        <f t="array" ref="O7">_xlfn.TEXTJOIN(CHAR(10),TRUE,IF(Profesor=base_de_datos[Profesor],IF("x"=base_de_datos[Jueves],IF(base_de_datos[Hora inicio]&lt;=$B7,IF(base_de_datos[Hora fin]&gt;=$C7,base_de_datos[No clase],""),""),""),""),"")</f>
        <v/>
      </c>
      <c r="P7" s="28" t="str" cm="1">
        <f t="array" ref="P7">_xlfn.TEXTJOIN(CHAR(10),TRUE,IF(Profesor=base_de_datos[Profesor],IF("x"=base_de_datos[Viernes],IF(base_de_datos[Hora inicio]&lt;=$B7,IF(base_de_datos[Hora fin]&gt;=$C7,base_de_datos[Materia]&amp;" "&amp;base_de_datos[[Número de grupo ]],""),""),""),""),"")</f>
        <v/>
      </c>
      <c r="Q7" s="28" t="str" cm="1">
        <f t="array" ref="Q7">_xlfn.TEXTJOIN(CHAR(10),TRUE,IF(Profesor=base_de_datos[Profesor],IF("x"=base_de_datos[Viernes],IF(base_de_datos[Hora inicio]&lt;=$B7,IF(base_de_datos[Hora fin]&gt;=$C7,base_de_datos[Aula]&amp;" "&amp;#REF!,""),""),""),""),"")</f>
        <v/>
      </c>
      <c r="R7" s="28" t="str" cm="1">
        <f t="array" ref="R7">_xlfn.TEXTJOIN(CHAR(10),TRUE,IF(Profesor=base_de_datos[Profesor],IF("x"=base_de_datos[Viernes],IF(base_de_datos[Hora inicio]&lt;=$B7,IF(base_de_datos[Hora fin]&gt;=$C7,base_de_datos[No clase],""),""),""),""),"")</f>
        <v/>
      </c>
      <c r="S7" s="28" t="str" cm="1">
        <f t="array" ref="S7">_xlfn.TEXTJOIN(CHAR(10),TRUE,IF(Profesor=base_de_datos[Profesor],IF("x"=base_de_datos[Sábado],IF(base_de_datos[Hora inicio]&lt;=$B7,IF(base_de_datos[Hora fin]&gt;=$C7,base_de_datos[Materia]&amp;" "&amp;base_de_datos[[Número de grupo ]],""),""),""),""),"")</f>
        <v/>
      </c>
      <c r="T7" s="28" t="str" cm="1">
        <f t="array" ref="T7">_xlfn.TEXTJOIN(CHAR(10),TRUE,IF(Profesor=base_de_datos[Profesor],IF("x"=base_de_datos[Sábado],IF(base_de_datos[Hora inicio]&lt;=$B7,IF(base_de_datos[Hora fin]&gt;=$C7,base_de_datos[Aula]&amp;" "&amp;#REF!,""),""),""),""),"")</f>
        <v/>
      </c>
      <c r="U7" s="28" t="str" cm="1">
        <f t="array" ref="U7">_xlfn.TEXTJOIN(CHAR(10),TRUE,IF(Profesor=base_de_datos[Profesor],IF("x"=base_de_datos[Sábado],IF(base_de_datos[Hora inicio]&lt;=$B7,IF(base_de_datos[Hora fin]&gt;=$C7,base_de_datos[No clase],""),""),""),""),"")</f>
        <v/>
      </c>
      <c r="AB7" s="27"/>
      <c r="AC7" s="27"/>
      <c r="AD7" s="27"/>
    </row>
    <row r="8" spans="1:32" ht="14.5" x14ac:dyDescent="0.35">
      <c r="B8" s="92">
        <v>0.35416666666666702</v>
      </c>
      <c r="C8" s="92">
        <v>0.374999999999999</v>
      </c>
      <c r="D8" s="28" t="str" cm="1">
        <f t="array" ref="D8">_xlfn.TEXTJOIN(CHAR(10),TRUE,IF(Profesor=base_de_datos[Profesor],IF("x"=base_de_datos[Lunes],IF(base_de_datos[Hora inicio]&lt;=$B8,IF(base_de_datos[Hora fin]&gt;=$C8,base_de_datos[Materia]&amp;" "&amp;base_de_datos[[Número de grupo ]],""),""),""),""),"")</f>
        <v/>
      </c>
      <c r="E8" s="28" t="str" cm="1">
        <f t="array" ref="E8">_xlfn.TEXTJOIN(CHAR(10),TRUE,IF(Profesor=base_de_datos[Profesor],IF("x"=base_de_datos[Lunes],IF(base_de_datos[Hora inicio]&lt;=$B8,IF(base_de_datos[Hora fin]&gt;=$C8,base_de_datos[Aula]&amp;" "&amp;#REF!,""),""),""),""),"")</f>
        <v/>
      </c>
      <c r="F8" s="28" t="str" cm="1">
        <f t="array" ref="F8">_xlfn.TEXTJOIN(CHAR(10),TRUE,IF(Profesor=base_de_datos[Profesor],IF("x"=base_de_datos[Lunes],IF(base_de_datos[Hora inicio]&lt;=$B8,IF(base_de_datos[Hora fin]&gt;=$C8,base_de_datos[No clase],""),""),""),""),"")</f>
        <v/>
      </c>
      <c r="G8" s="28" t="str" cm="1">
        <f t="array" ref="G8">_xlfn.TEXTJOIN(CHAR(10),TRUE,IF(Profesor=base_de_datos[Profesor],IF("x"=base_de_datos[Martes],IF(base_de_datos[Hora inicio]&lt;=$B8,IF(base_de_datos[Hora fin]&gt;=$C8,base_de_datos[Materia]&amp;" "&amp;base_de_datos[[Número de grupo ]],""),""),""),""),"")</f>
        <v/>
      </c>
      <c r="H8" s="28" t="str" cm="1">
        <f t="array" ref="H8">_xlfn.TEXTJOIN(CHAR(10),TRUE,IF(Profesor=base_de_datos[Profesor],IF("x"=base_de_datos[Martes],IF(base_de_datos[Hora inicio]&lt;=$B8,IF(base_de_datos[Hora fin]&gt;=$C8,base_de_datos[Aula]&amp;" "&amp;#REF!,""),""),""),""),"")</f>
        <v/>
      </c>
      <c r="I8" s="28" t="str" cm="1">
        <f t="array" ref="I8">_xlfn.TEXTJOIN(CHAR(10),TRUE,IF(Profesor=base_de_datos[Profesor],IF("x"=base_de_datos[Martes],IF(base_de_datos[Hora inicio]&lt;=$B8,IF(base_de_datos[Hora fin]&gt;=$C8,base_de_datos[No clase],""),""),""),""),"")</f>
        <v/>
      </c>
      <c r="J8" s="28" t="str" cm="1">
        <f t="array" ref="J8">_xlfn.TEXTJOIN(CHAR(10),TRUE,IF(Profesor=base_de_datos[Profesor],IF("x"=base_de_datos[Miércoles],IF(base_de_datos[Hora inicio]&lt;=$B8,IF(base_de_datos[Hora fin]&gt;=$C8,base_de_datos[Materia]&amp;" "&amp;base_de_datos[[Número de grupo ]],""),""),""),""),"")</f>
        <v/>
      </c>
      <c r="K8" s="28" t="str" cm="1">
        <f t="array" ref="K8">_xlfn.TEXTJOIN(CHAR(10),TRUE,IF(Profesor=base_de_datos[Profesor],IF("x"=base_de_datos[Miércoles],IF(base_de_datos[Hora inicio]&lt;=$B8,IF(base_de_datos[Hora fin]&gt;=$C8,base_de_datos[Aula]&amp;" "&amp;#REF!,""),""),""),""),"")</f>
        <v/>
      </c>
      <c r="L8" s="28" t="str" cm="1">
        <f t="array" ref="L8">_xlfn.TEXTJOIN(CHAR(10),TRUE,IF(Profesor=base_de_datos[Profesor],IF("x"=base_de_datos[Miércoles],IF(base_de_datos[Hora inicio]&lt;=$B8,IF(base_de_datos[Hora fin]&gt;=$C8,base_de_datos[No clase],""),""),""),""),"")</f>
        <v/>
      </c>
      <c r="M8" s="28" t="str" cm="1">
        <f t="array" ref="M8">_xlfn.TEXTJOIN(CHAR(10),TRUE,IF(Profesor=base_de_datos[Profesor],IF("x"=base_de_datos[Jueves],IF(base_de_datos[Hora inicio]&lt;=$B8,IF(base_de_datos[Hora fin]&gt;=$C8,base_de_datos[Materia]&amp;" "&amp;base_de_datos[[Número de grupo ]],""),""),""),""),"")</f>
        <v/>
      </c>
      <c r="N8" s="28" t="str" cm="1">
        <f t="array" ref="N8">_xlfn.TEXTJOIN(CHAR(10),TRUE,IF(Profesor=base_de_datos[Profesor],IF("x"=base_de_datos[Jueves],IF(base_de_datos[Hora inicio]&lt;=$B8,IF(base_de_datos[Hora fin]&gt;=$C8,base_de_datos[Aula]&amp;" "&amp;#REF!,""),""),""),""),"")</f>
        <v/>
      </c>
      <c r="O8" s="28" t="str" cm="1">
        <f t="array" ref="O8">_xlfn.TEXTJOIN(CHAR(10),TRUE,IF(Profesor=base_de_datos[Profesor],IF("x"=base_de_datos[Jueves],IF(base_de_datos[Hora inicio]&lt;=$B8,IF(base_de_datos[Hora fin]&gt;=$C8,base_de_datos[No clase],""),""),""),""),"")</f>
        <v/>
      </c>
      <c r="P8" s="28" t="str" cm="1">
        <f t="array" ref="P8">_xlfn.TEXTJOIN(CHAR(10),TRUE,IF(Profesor=base_de_datos[Profesor],IF("x"=base_de_datos[Viernes],IF(base_de_datos[Hora inicio]&lt;=$B8,IF(base_de_datos[Hora fin]&gt;=$C8,base_de_datos[Materia]&amp;" "&amp;base_de_datos[[Número de grupo ]],""),""),""),""),"")</f>
        <v/>
      </c>
      <c r="Q8" s="28" t="str" cm="1">
        <f t="array" ref="Q8">_xlfn.TEXTJOIN(CHAR(10),TRUE,IF(Profesor=base_de_datos[Profesor],IF("x"=base_de_datos[Viernes],IF(base_de_datos[Hora inicio]&lt;=$B8,IF(base_de_datos[Hora fin]&gt;=$C8,base_de_datos[Aula]&amp;" "&amp;#REF!,""),""),""),""),"")</f>
        <v/>
      </c>
      <c r="R8" s="28" t="str" cm="1">
        <f t="array" ref="R8">_xlfn.TEXTJOIN(CHAR(10),TRUE,IF(Profesor=base_de_datos[Profesor],IF("x"=base_de_datos[Viernes],IF(base_de_datos[Hora inicio]&lt;=$B8,IF(base_de_datos[Hora fin]&gt;=$C8,base_de_datos[No clase],""),""),""),""),"")</f>
        <v/>
      </c>
      <c r="S8" s="28" t="str" cm="1">
        <f t="array" ref="S8">_xlfn.TEXTJOIN(CHAR(10),TRUE,IF(Profesor=base_de_datos[Profesor],IF("x"=base_de_datos[Sábado],IF(base_de_datos[Hora inicio]&lt;=$B8,IF(base_de_datos[Hora fin]&gt;=$C8,base_de_datos[Materia]&amp;" "&amp;base_de_datos[[Número de grupo ]],""),""),""),""),"")</f>
        <v/>
      </c>
      <c r="T8" s="28" t="str" cm="1">
        <f t="array" ref="T8">_xlfn.TEXTJOIN(CHAR(10),TRUE,IF(Profesor=base_de_datos[Profesor],IF("x"=base_de_datos[Sábado],IF(base_de_datos[Hora inicio]&lt;=$B8,IF(base_de_datos[Hora fin]&gt;=$C8,base_de_datos[Aula]&amp;" "&amp;#REF!,""),""),""),""),"")</f>
        <v/>
      </c>
      <c r="U8" s="28" t="str" cm="1">
        <f t="array" ref="U8">_xlfn.TEXTJOIN(CHAR(10),TRUE,IF(Profesor=base_de_datos[Profesor],IF("x"=base_de_datos[Sábado],IF(base_de_datos[Hora inicio]&lt;=$B8,IF(base_de_datos[Hora fin]&gt;=$C8,base_de_datos[No clase],""),""),""),""),"")</f>
        <v/>
      </c>
      <c r="AB8" s="27"/>
      <c r="AC8" s="27"/>
      <c r="AD8" s="27"/>
    </row>
    <row r="9" spans="1:32" ht="14.5" x14ac:dyDescent="0.35">
      <c r="B9" s="92">
        <v>0.375</v>
      </c>
      <c r="C9" s="92">
        <v>0.39583333333333198</v>
      </c>
      <c r="D9" s="28" t="str" cm="1">
        <f t="array" ref="D9">_xlfn.TEXTJOIN(CHAR(10),TRUE,IF(Profesor=base_de_datos[Profesor],IF("x"=base_de_datos[Lunes],IF(base_de_datos[Hora inicio]&lt;=$B9,IF(base_de_datos[Hora fin]&gt;=$C9,base_de_datos[Materia]&amp;" "&amp;base_de_datos[[Número de grupo ]],""),""),""),""),"")</f>
        <v/>
      </c>
      <c r="E9" s="28" t="str" cm="1">
        <f t="array" ref="E9">_xlfn.TEXTJOIN(CHAR(10),TRUE,IF(Profesor=base_de_datos[Profesor],IF("x"=base_de_datos[Lunes],IF(base_de_datos[Hora inicio]&lt;=$B9,IF(base_de_datos[Hora fin]&gt;=$C9,base_de_datos[Aula]&amp;" "&amp;#REF!,""),""),""),""),"")</f>
        <v/>
      </c>
      <c r="F9" s="28" t="str" cm="1">
        <f t="array" ref="F9">_xlfn.TEXTJOIN(CHAR(10),TRUE,IF(Profesor=base_de_datos[Profesor],IF("x"=base_de_datos[Lunes],IF(base_de_datos[Hora inicio]&lt;=$B9,IF(base_de_datos[Hora fin]&gt;=$C9,base_de_datos[No clase],""),""),""),""),"")</f>
        <v/>
      </c>
      <c r="G9" s="28" t="str" cm="1">
        <f t="array" ref="G9">_xlfn.TEXTJOIN(CHAR(10),TRUE,IF(Profesor=base_de_datos[Profesor],IF("x"=base_de_datos[Martes],IF(base_de_datos[Hora inicio]&lt;=$B9,IF(base_de_datos[Hora fin]&gt;=$C9,base_de_datos[Materia]&amp;" "&amp;base_de_datos[[Número de grupo ]],""),""),""),""),"")</f>
        <v/>
      </c>
      <c r="H9" s="28" t="str" cm="1">
        <f t="array" ref="H9">_xlfn.TEXTJOIN(CHAR(10),TRUE,IF(Profesor=base_de_datos[Profesor],IF("x"=base_de_datos[Martes],IF(base_de_datos[Hora inicio]&lt;=$B9,IF(base_de_datos[Hora fin]&gt;=$C9,base_de_datos[Aula]&amp;" "&amp;#REF!,""),""),""),""),"")</f>
        <v/>
      </c>
      <c r="I9" s="28" t="str" cm="1">
        <f t="array" ref="I9">_xlfn.TEXTJOIN(CHAR(10),TRUE,IF(Profesor=base_de_datos[Profesor],IF("x"=base_de_datos[Martes],IF(base_de_datos[Hora inicio]&lt;=$B9,IF(base_de_datos[Hora fin]&gt;=$C9,base_de_datos[No clase],""),""),""),""),"")</f>
        <v/>
      </c>
      <c r="J9" s="28" t="str" cm="1">
        <f t="array" ref="J9">_xlfn.TEXTJOIN(CHAR(10),TRUE,IF(Profesor=base_de_datos[Profesor],IF("x"=base_de_datos[Miércoles],IF(base_de_datos[Hora inicio]&lt;=$B9,IF(base_de_datos[Hora fin]&gt;=$C9,base_de_datos[Materia]&amp;" "&amp;base_de_datos[[Número de grupo ]],""),""),""),""),"")</f>
        <v/>
      </c>
      <c r="K9" s="28" t="str" cm="1">
        <f t="array" ref="K9">_xlfn.TEXTJOIN(CHAR(10),TRUE,IF(Profesor=base_de_datos[Profesor],IF("x"=base_de_datos[Miércoles],IF(base_de_datos[Hora inicio]&lt;=$B9,IF(base_de_datos[Hora fin]&gt;=$C9,base_de_datos[Aula]&amp;" "&amp;#REF!,""),""),""),""),"")</f>
        <v/>
      </c>
      <c r="L9" s="28" t="str" cm="1">
        <f t="array" ref="L9">_xlfn.TEXTJOIN(CHAR(10),TRUE,IF(Profesor=base_de_datos[Profesor],IF("x"=base_de_datos[Miércoles],IF(base_de_datos[Hora inicio]&lt;=$B9,IF(base_de_datos[Hora fin]&gt;=$C9,base_de_datos[No clase],""),""),""),""),"")</f>
        <v/>
      </c>
      <c r="M9" s="28" t="str" cm="1">
        <f t="array" ref="M9">_xlfn.TEXTJOIN(CHAR(10),TRUE,IF(Profesor=base_de_datos[Profesor],IF("x"=base_de_datos[Jueves],IF(base_de_datos[Hora inicio]&lt;=$B9,IF(base_de_datos[Hora fin]&gt;=$C9,base_de_datos[Materia]&amp;" "&amp;base_de_datos[[Número de grupo ]],""),""),""),""),"")</f>
        <v/>
      </c>
      <c r="N9" s="28" t="str" cm="1">
        <f t="array" ref="N9">_xlfn.TEXTJOIN(CHAR(10),TRUE,IF(Profesor=base_de_datos[Profesor],IF("x"=base_de_datos[Jueves],IF(base_de_datos[Hora inicio]&lt;=$B9,IF(base_de_datos[Hora fin]&gt;=$C9,base_de_datos[Aula]&amp;" "&amp;#REF!,""),""),""),""),"")</f>
        <v/>
      </c>
      <c r="O9" s="28" t="str" cm="1">
        <f t="array" ref="O9">_xlfn.TEXTJOIN(CHAR(10),TRUE,IF(Profesor=base_de_datos[Profesor],IF("x"=base_de_datos[Jueves],IF(base_de_datos[Hora inicio]&lt;=$B9,IF(base_de_datos[Hora fin]&gt;=$C9,base_de_datos[No clase],""),""),""),""),"")</f>
        <v/>
      </c>
      <c r="P9" s="28" t="str" cm="1">
        <f t="array" ref="P9">_xlfn.TEXTJOIN(CHAR(10),TRUE,IF(Profesor=base_de_datos[Profesor],IF("x"=base_de_datos[Viernes],IF(base_de_datos[Hora inicio]&lt;=$B9,IF(base_de_datos[Hora fin]&gt;=$C9,base_de_datos[Materia]&amp;" "&amp;base_de_datos[[Número de grupo ]],""),""),""),""),"")</f>
        <v/>
      </c>
      <c r="Q9" s="28" t="str" cm="1">
        <f t="array" ref="Q9">_xlfn.TEXTJOIN(CHAR(10),TRUE,IF(Profesor=base_de_datos[Profesor],IF("x"=base_de_datos[Viernes],IF(base_de_datos[Hora inicio]&lt;=$B9,IF(base_de_datos[Hora fin]&gt;=$C9,base_de_datos[Aula]&amp;" "&amp;#REF!,""),""),""),""),"")</f>
        <v/>
      </c>
      <c r="R9" s="28" t="str" cm="1">
        <f t="array" ref="R9">_xlfn.TEXTJOIN(CHAR(10),TRUE,IF(Profesor=base_de_datos[Profesor],IF("x"=base_de_datos[Viernes],IF(base_de_datos[Hora inicio]&lt;=$B9,IF(base_de_datos[Hora fin]&gt;=$C9,base_de_datos[No clase],""),""),""),""),"")</f>
        <v/>
      </c>
      <c r="S9" s="28" t="str" cm="1">
        <f t="array" ref="S9">_xlfn.TEXTJOIN(CHAR(10),TRUE,IF(Profesor=base_de_datos[Profesor],IF("x"=base_de_datos[Sábado],IF(base_de_datos[Hora inicio]&lt;=$B9,IF(base_de_datos[Hora fin]&gt;=$C9,base_de_datos[Materia]&amp;" "&amp;base_de_datos[[Número de grupo ]],""),""),""),""),"")</f>
        <v/>
      </c>
      <c r="T9" s="28" t="str" cm="1">
        <f t="array" ref="T9">_xlfn.TEXTJOIN(CHAR(10),TRUE,IF(Profesor=base_de_datos[Profesor],IF("x"=base_de_datos[Sábado],IF(base_de_datos[Hora inicio]&lt;=$B9,IF(base_de_datos[Hora fin]&gt;=$C9,base_de_datos[Aula]&amp;" "&amp;#REF!,""),""),""),""),"")</f>
        <v/>
      </c>
      <c r="U9" s="28" t="str" cm="1">
        <f t="array" ref="U9">_xlfn.TEXTJOIN(CHAR(10),TRUE,IF(Profesor=base_de_datos[Profesor],IF("x"=base_de_datos[Sábado],IF(base_de_datos[Hora inicio]&lt;=$B9,IF(base_de_datos[Hora fin]&gt;=$C9,base_de_datos[No clase],""),""),""),""),"")</f>
        <v/>
      </c>
      <c r="AB9" s="27"/>
      <c r="AC9" s="27"/>
      <c r="AD9" s="27"/>
    </row>
    <row r="10" spans="1:32" ht="14.5" x14ac:dyDescent="0.35">
      <c r="B10" s="92">
        <v>0.39583333333333398</v>
      </c>
      <c r="C10" s="92">
        <v>0.41666666666666502</v>
      </c>
      <c r="D10" s="28" t="str" cm="1">
        <f t="array" ref="D10">_xlfn.TEXTJOIN(CHAR(10),TRUE,IF(Profesor=base_de_datos[Profesor],IF("x"=base_de_datos[Lunes],IF(base_de_datos[Hora inicio]&lt;=$B10,IF(base_de_datos[Hora fin]&gt;=$C10,base_de_datos[Materia]&amp;" "&amp;base_de_datos[[Número de grupo ]],""),""),""),""),"")</f>
        <v/>
      </c>
      <c r="E10" s="28" t="str" cm="1">
        <f t="array" ref="E10">_xlfn.TEXTJOIN(CHAR(10),TRUE,IF(Profesor=base_de_datos[Profesor],IF("x"=base_de_datos[Lunes],IF(base_de_datos[Hora inicio]&lt;=$B10,IF(base_de_datos[Hora fin]&gt;=$C10,base_de_datos[Aula]&amp;" "&amp;#REF!,""),""),""),""),"")</f>
        <v/>
      </c>
      <c r="F10" s="28" t="str" cm="1">
        <f t="array" ref="F10">_xlfn.TEXTJOIN(CHAR(10),TRUE,IF(Profesor=base_de_datos[Profesor],IF("x"=base_de_datos[Lunes],IF(base_de_datos[Hora inicio]&lt;=$B10,IF(base_de_datos[Hora fin]&gt;=$C10,base_de_datos[No clase],""),""),""),""),"")</f>
        <v/>
      </c>
      <c r="G10" s="28" t="str" cm="1">
        <f t="array" ref="G10">_xlfn.TEXTJOIN(CHAR(10),TRUE,IF(Profesor=base_de_datos[Profesor],IF("x"=base_de_datos[Martes],IF(base_de_datos[Hora inicio]&lt;=$B10,IF(base_de_datos[Hora fin]&gt;=$C10,base_de_datos[Materia]&amp;" "&amp;base_de_datos[[Número de grupo ]],""),""),""),""),"")</f>
        <v/>
      </c>
      <c r="H10" s="28" t="str" cm="1">
        <f t="array" ref="H10">_xlfn.TEXTJOIN(CHAR(10),TRUE,IF(Profesor=base_de_datos[Profesor],IF("x"=base_de_datos[Martes],IF(base_de_datos[Hora inicio]&lt;=$B10,IF(base_de_datos[Hora fin]&gt;=$C10,base_de_datos[Aula]&amp;" "&amp;#REF!,""),""),""),""),"")</f>
        <v/>
      </c>
      <c r="I10" s="28" t="str" cm="1">
        <f t="array" ref="I10">_xlfn.TEXTJOIN(CHAR(10),TRUE,IF(Profesor=base_de_datos[Profesor],IF("x"=base_de_datos[Martes],IF(base_de_datos[Hora inicio]&lt;=$B10,IF(base_de_datos[Hora fin]&gt;=$C10,base_de_datos[No clase],""),""),""),""),"")</f>
        <v/>
      </c>
      <c r="J10" s="28" t="str" cm="1">
        <f t="array" ref="J10">_xlfn.TEXTJOIN(CHAR(10),TRUE,IF(Profesor=base_de_datos[Profesor],IF("x"=base_de_datos[Miércoles],IF(base_de_datos[Hora inicio]&lt;=$B10,IF(base_de_datos[Hora fin]&gt;=$C10,base_de_datos[Materia]&amp;" "&amp;base_de_datos[[Número de grupo ]],""),""),""),""),"")</f>
        <v/>
      </c>
      <c r="K10" s="28" t="str" cm="1">
        <f t="array" ref="K10">_xlfn.TEXTJOIN(CHAR(10),TRUE,IF(Profesor=base_de_datos[Profesor],IF("x"=base_de_datos[Miércoles],IF(base_de_datos[Hora inicio]&lt;=$B10,IF(base_de_datos[Hora fin]&gt;=$C10,base_de_datos[Aula]&amp;" "&amp;#REF!,""),""),""),""),"")</f>
        <v/>
      </c>
      <c r="L10" s="28" t="str" cm="1">
        <f t="array" ref="L10">_xlfn.TEXTJOIN(CHAR(10),TRUE,IF(Profesor=base_de_datos[Profesor],IF("x"=base_de_datos[Miércoles],IF(base_de_datos[Hora inicio]&lt;=$B10,IF(base_de_datos[Hora fin]&gt;=$C10,base_de_datos[No clase],""),""),""),""),"")</f>
        <v/>
      </c>
      <c r="M10" s="28" t="str" cm="1">
        <f t="array" ref="M10">_xlfn.TEXTJOIN(CHAR(10),TRUE,IF(Profesor=base_de_datos[Profesor],IF("x"=base_de_datos[Jueves],IF(base_de_datos[Hora inicio]&lt;=$B10,IF(base_de_datos[Hora fin]&gt;=$C10,base_de_datos[Materia]&amp;" "&amp;base_de_datos[[Número de grupo ]],""),""),""),""),"")</f>
        <v/>
      </c>
      <c r="N10" s="28" t="str" cm="1">
        <f t="array" ref="N10">_xlfn.TEXTJOIN(CHAR(10),TRUE,IF(Profesor=base_de_datos[Profesor],IF("x"=base_de_datos[Jueves],IF(base_de_datos[Hora inicio]&lt;=$B10,IF(base_de_datos[Hora fin]&gt;=$C10,base_de_datos[Aula]&amp;" "&amp;#REF!,""),""),""),""),"")</f>
        <v/>
      </c>
      <c r="O10" s="28" t="str" cm="1">
        <f t="array" ref="O10">_xlfn.TEXTJOIN(CHAR(10),TRUE,IF(Profesor=base_de_datos[Profesor],IF("x"=base_de_datos[Jueves],IF(base_de_datos[Hora inicio]&lt;=$B10,IF(base_de_datos[Hora fin]&gt;=$C10,base_de_datos[No clase],""),""),""),""),"")</f>
        <v/>
      </c>
      <c r="P10" s="28" t="str" cm="1">
        <f t="array" ref="P10">_xlfn.TEXTJOIN(CHAR(10),TRUE,IF(Profesor=base_de_datos[Profesor],IF("x"=base_de_datos[Viernes],IF(base_de_datos[Hora inicio]&lt;=$B10,IF(base_de_datos[Hora fin]&gt;=$C10,base_de_datos[Materia]&amp;" "&amp;base_de_datos[[Número de grupo ]],""),""),""),""),"")</f>
        <v/>
      </c>
      <c r="Q10" s="28" t="str" cm="1">
        <f t="array" ref="Q10">_xlfn.TEXTJOIN(CHAR(10),TRUE,IF(Profesor=base_de_datos[Profesor],IF("x"=base_de_datos[Viernes],IF(base_de_datos[Hora inicio]&lt;=$B10,IF(base_de_datos[Hora fin]&gt;=$C10,base_de_datos[Aula]&amp;" "&amp;#REF!,""),""),""),""),"")</f>
        <v/>
      </c>
      <c r="R10" s="28" t="str" cm="1">
        <f t="array" ref="R10">_xlfn.TEXTJOIN(CHAR(10),TRUE,IF(Profesor=base_de_datos[Profesor],IF("x"=base_de_datos[Viernes],IF(base_de_datos[Hora inicio]&lt;=$B10,IF(base_de_datos[Hora fin]&gt;=$C10,base_de_datos[No clase],""),""),""),""),"")</f>
        <v/>
      </c>
      <c r="S10" s="28" t="str" cm="1">
        <f t="array" ref="S10">_xlfn.TEXTJOIN(CHAR(10),TRUE,IF(Profesor=base_de_datos[Profesor],IF("x"=base_de_datos[Sábado],IF(base_de_datos[Hora inicio]&lt;=$B10,IF(base_de_datos[Hora fin]&gt;=$C10,base_de_datos[Materia]&amp;" "&amp;base_de_datos[[Número de grupo ]],""),""),""),""),"")</f>
        <v/>
      </c>
      <c r="T10" s="28" t="str" cm="1">
        <f t="array" ref="T10">_xlfn.TEXTJOIN(CHAR(10),TRUE,IF(Profesor=base_de_datos[Profesor],IF("x"=base_de_datos[Sábado],IF(base_de_datos[Hora inicio]&lt;=$B10,IF(base_de_datos[Hora fin]&gt;=$C10,base_de_datos[Aula]&amp;" "&amp;#REF!,""),""),""),""),"")</f>
        <v/>
      </c>
      <c r="U10" s="28" t="str" cm="1">
        <f t="array" ref="U10">_xlfn.TEXTJOIN(CHAR(10),TRUE,IF(Profesor=base_de_datos[Profesor],IF("x"=base_de_datos[Sábado],IF(base_de_datos[Hora inicio]&lt;=$B10,IF(base_de_datos[Hora fin]&gt;=$C10,base_de_datos[No clase],""),""),""),""),"")</f>
        <v/>
      </c>
      <c r="AB10" s="27"/>
      <c r="AC10" s="27"/>
      <c r="AD10" s="27"/>
    </row>
    <row r="11" spans="1:32" ht="14.5" x14ac:dyDescent="0.35">
      <c r="B11" s="92">
        <v>0.41666666666666702</v>
      </c>
      <c r="C11" s="92">
        <v>0.437499999999998</v>
      </c>
      <c r="D11" s="28" t="str" cm="1">
        <f t="array" ref="D11">_xlfn.TEXTJOIN(CHAR(10),TRUE,IF(Profesor=base_de_datos[Profesor],IF("x"=base_de_datos[Lunes],IF(base_de_datos[Hora inicio]&lt;=$B11,IF(base_de_datos[Hora fin]&gt;=$C11,base_de_datos[Materia]&amp;" "&amp;base_de_datos[[Número de grupo ]],""),""),""),""),"")</f>
        <v/>
      </c>
      <c r="E11" s="28" t="str" cm="1">
        <f t="array" ref="E11">_xlfn.TEXTJOIN(CHAR(10),TRUE,IF(Profesor=base_de_datos[Profesor],IF("x"=base_de_datos[Lunes],IF(base_de_datos[Hora inicio]&lt;=$B11,IF(base_de_datos[Hora fin]&gt;=$C11,base_de_datos[Aula]&amp;" "&amp;#REF!,""),""),""),""),"")</f>
        <v/>
      </c>
      <c r="F11" s="28" t="str" cm="1">
        <f t="array" ref="F11">_xlfn.TEXTJOIN(CHAR(10),TRUE,IF(Profesor=base_de_datos[Profesor],IF("x"=base_de_datos[Lunes],IF(base_de_datos[Hora inicio]&lt;=$B11,IF(base_de_datos[Hora fin]&gt;=$C11,base_de_datos[No clase],""),""),""),""),"")</f>
        <v/>
      </c>
      <c r="G11" s="28" t="str" cm="1">
        <f t="array" ref="G11">_xlfn.TEXTJOIN(CHAR(10),TRUE,IF(Profesor=base_de_datos[Profesor],IF("x"=base_de_datos[Martes],IF(base_de_datos[Hora inicio]&lt;=$B11,IF(base_de_datos[Hora fin]&gt;=$C11,base_de_datos[Materia]&amp;" "&amp;base_de_datos[[Número de grupo ]],""),""),""),""),"")</f>
        <v/>
      </c>
      <c r="H11" s="28" t="str" cm="1">
        <f t="array" ref="H11">_xlfn.TEXTJOIN(CHAR(10),TRUE,IF(Profesor=base_de_datos[Profesor],IF("x"=base_de_datos[Martes],IF(base_de_datos[Hora inicio]&lt;=$B11,IF(base_de_datos[Hora fin]&gt;=$C11,base_de_datos[Aula]&amp;" "&amp;#REF!,""),""),""),""),"")</f>
        <v/>
      </c>
      <c r="I11" s="28" t="str" cm="1">
        <f t="array" ref="I11">_xlfn.TEXTJOIN(CHAR(10),TRUE,IF(Profesor=base_de_datos[Profesor],IF("x"=base_de_datos[Martes],IF(base_de_datos[Hora inicio]&lt;=$B11,IF(base_de_datos[Hora fin]&gt;=$C11,base_de_datos[No clase],""),""),""),""),"")</f>
        <v/>
      </c>
      <c r="J11" s="28" t="str" cm="1">
        <f t="array" ref="J11">_xlfn.TEXTJOIN(CHAR(10),TRUE,IF(Profesor=base_de_datos[Profesor],IF("x"=base_de_datos[Miércoles],IF(base_de_datos[Hora inicio]&lt;=$B11,IF(base_de_datos[Hora fin]&gt;=$C11,base_de_datos[Materia]&amp;" "&amp;base_de_datos[[Número de grupo ]],""),""),""),""),"")</f>
        <v/>
      </c>
      <c r="K11" s="28" t="str" cm="1">
        <f t="array" ref="K11">_xlfn.TEXTJOIN(CHAR(10),TRUE,IF(Profesor=base_de_datos[Profesor],IF("x"=base_de_datos[Miércoles],IF(base_de_datos[Hora inicio]&lt;=$B11,IF(base_de_datos[Hora fin]&gt;=$C11,base_de_datos[Aula]&amp;" "&amp;#REF!,""),""),""),""),"")</f>
        <v/>
      </c>
      <c r="L11" s="28" t="str" cm="1">
        <f t="array" ref="L11">_xlfn.TEXTJOIN(CHAR(10),TRUE,IF(Profesor=base_de_datos[Profesor],IF("x"=base_de_datos[Miércoles],IF(base_de_datos[Hora inicio]&lt;=$B11,IF(base_de_datos[Hora fin]&gt;=$C11,base_de_datos[No clase],""),""),""),""),"")</f>
        <v/>
      </c>
      <c r="M11" s="28" t="str" cm="1">
        <f t="array" ref="M11">_xlfn.TEXTJOIN(CHAR(10),TRUE,IF(Profesor=base_de_datos[Profesor],IF("x"=base_de_datos[Jueves],IF(base_de_datos[Hora inicio]&lt;=$B11,IF(base_de_datos[Hora fin]&gt;=$C11,base_de_datos[Materia]&amp;" "&amp;base_de_datos[[Número de grupo ]],""),""),""),""),"")</f>
        <v/>
      </c>
      <c r="N11" s="28" t="str" cm="1">
        <f t="array" ref="N11">_xlfn.TEXTJOIN(CHAR(10),TRUE,IF(Profesor=base_de_datos[Profesor],IF("x"=base_de_datos[Jueves],IF(base_de_datos[Hora inicio]&lt;=$B11,IF(base_de_datos[Hora fin]&gt;=$C11,base_de_datos[Aula]&amp;" "&amp;#REF!,""),""),""),""),"")</f>
        <v/>
      </c>
      <c r="O11" s="28" t="str" cm="1">
        <f t="array" ref="O11">_xlfn.TEXTJOIN(CHAR(10),TRUE,IF(Profesor=base_de_datos[Profesor],IF("x"=base_de_datos[Jueves],IF(base_de_datos[Hora inicio]&lt;=$B11,IF(base_de_datos[Hora fin]&gt;=$C11,base_de_datos[No clase],""),""),""),""),"")</f>
        <v/>
      </c>
      <c r="P11" s="28" t="str" cm="1">
        <f t="array" ref="P11">_xlfn.TEXTJOIN(CHAR(10),TRUE,IF(Profesor=base_de_datos[Profesor],IF("x"=base_de_datos[Viernes],IF(base_de_datos[Hora inicio]&lt;=$B11,IF(base_de_datos[Hora fin]&gt;=$C11,base_de_datos[Materia]&amp;" "&amp;base_de_datos[[Número de grupo ]],""),""),""),""),"")</f>
        <v/>
      </c>
      <c r="Q11" s="28" t="str" cm="1">
        <f t="array" ref="Q11">_xlfn.TEXTJOIN(CHAR(10),TRUE,IF(Profesor=base_de_datos[Profesor],IF("x"=base_de_datos[Viernes],IF(base_de_datos[Hora inicio]&lt;=$B11,IF(base_de_datos[Hora fin]&gt;=$C11,base_de_datos[Aula]&amp;" "&amp;#REF!,""),""),""),""),"")</f>
        <v/>
      </c>
      <c r="R11" s="28" t="str" cm="1">
        <f t="array" ref="R11">_xlfn.TEXTJOIN(CHAR(10),TRUE,IF(Profesor=base_de_datos[Profesor],IF("x"=base_de_datos[Viernes],IF(base_de_datos[Hora inicio]&lt;=$B11,IF(base_de_datos[Hora fin]&gt;=$C11,base_de_datos[No clase],""),""),""),""),"")</f>
        <v/>
      </c>
      <c r="S11" s="28" t="str" cm="1">
        <f t="array" ref="S11">_xlfn.TEXTJOIN(CHAR(10),TRUE,IF(Profesor=base_de_datos[Profesor],IF("x"=base_de_datos[Sábado],IF(base_de_datos[Hora inicio]&lt;=$B11,IF(base_de_datos[Hora fin]&gt;=$C11,base_de_datos[Materia]&amp;" "&amp;base_de_datos[[Número de grupo ]],""),""),""),""),"")</f>
        <v/>
      </c>
      <c r="T11" s="28" t="str" cm="1">
        <f t="array" ref="T11">_xlfn.TEXTJOIN(CHAR(10),TRUE,IF(Profesor=base_de_datos[Profesor],IF("x"=base_de_datos[Sábado],IF(base_de_datos[Hora inicio]&lt;=$B11,IF(base_de_datos[Hora fin]&gt;=$C11,base_de_datos[Aula]&amp;" "&amp;#REF!,""),""),""),""),"")</f>
        <v/>
      </c>
      <c r="U11" s="28" t="str" cm="1">
        <f t="array" ref="U11">_xlfn.TEXTJOIN(CHAR(10),TRUE,IF(Profesor=base_de_datos[Profesor],IF("x"=base_de_datos[Sábado],IF(base_de_datos[Hora inicio]&lt;=$B11,IF(base_de_datos[Hora fin]&gt;=$C11,base_de_datos[No clase],""),""),""),""),"")</f>
        <v/>
      </c>
      <c r="AB11" s="27"/>
      <c r="AC11" s="27"/>
      <c r="AD11" s="27"/>
    </row>
    <row r="12" spans="1:32" ht="14.5" x14ac:dyDescent="0.35">
      <c r="B12" s="92">
        <v>0.4375</v>
      </c>
      <c r="C12" s="92">
        <v>0.45833333333333098</v>
      </c>
      <c r="D12" s="28" t="str" cm="1">
        <f t="array" ref="D12">_xlfn.TEXTJOIN(CHAR(10),TRUE,IF(Profesor=base_de_datos[Profesor],IF("x"=base_de_datos[Lunes],IF(base_de_datos[Hora inicio]&lt;=$B12,IF(base_de_datos[Hora fin]&gt;=$C12,base_de_datos[Materia]&amp;" "&amp;base_de_datos[[Número de grupo ]],""),""),""),""),"")</f>
        <v/>
      </c>
      <c r="E12" s="28" t="str" cm="1">
        <f t="array" ref="E12">_xlfn.TEXTJOIN(CHAR(10),TRUE,IF(Profesor=base_de_datos[Profesor],IF("x"=base_de_datos[Lunes],IF(base_de_datos[Hora inicio]&lt;=$B12,IF(base_de_datos[Hora fin]&gt;=$C12,base_de_datos[Aula]&amp;" "&amp;#REF!,""),""),""),""),"")</f>
        <v/>
      </c>
      <c r="F12" s="28" t="str" cm="1">
        <f t="array" ref="F12">_xlfn.TEXTJOIN(CHAR(10),TRUE,IF(Profesor=base_de_datos[Profesor],IF("x"=base_de_datos[Lunes],IF(base_de_datos[Hora inicio]&lt;=$B12,IF(base_de_datos[Hora fin]&gt;=$C12,base_de_datos[No clase],""),""),""),""),"")</f>
        <v/>
      </c>
      <c r="G12" s="28" t="str" cm="1">
        <f t="array" ref="G12">_xlfn.TEXTJOIN(CHAR(10),TRUE,IF(Profesor=base_de_datos[Profesor],IF("x"=base_de_datos[Martes],IF(base_de_datos[Hora inicio]&lt;=$B12,IF(base_de_datos[Hora fin]&gt;=$C12,base_de_datos[Materia]&amp;" "&amp;base_de_datos[[Número de grupo ]],""),""),""),""),"")</f>
        <v/>
      </c>
      <c r="H12" s="28" t="str" cm="1">
        <f t="array" ref="H12">_xlfn.TEXTJOIN(CHAR(10),TRUE,IF(Profesor=base_de_datos[Profesor],IF("x"=base_de_datos[Martes],IF(base_de_datos[Hora inicio]&lt;=$B12,IF(base_de_datos[Hora fin]&gt;=$C12,base_de_datos[Aula]&amp;" "&amp;#REF!,""),""),""),""),"")</f>
        <v/>
      </c>
      <c r="I12" s="28" t="str" cm="1">
        <f t="array" ref="I12">_xlfn.TEXTJOIN(CHAR(10),TRUE,IF(Profesor=base_de_datos[Profesor],IF("x"=base_de_datos[Martes],IF(base_de_datos[Hora inicio]&lt;=$B12,IF(base_de_datos[Hora fin]&gt;=$C12,base_de_datos[No clase],""),""),""),""),"")</f>
        <v/>
      </c>
      <c r="J12" s="28" t="str" cm="1">
        <f t="array" ref="J12">_xlfn.TEXTJOIN(CHAR(10),TRUE,IF(Profesor=base_de_datos[Profesor],IF("x"=base_de_datos[Miércoles],IF(base_de_datos[Hora inicio]&lt;=$B12,IF(base_de_datos[Hora fin]&gt;=$C12,base_de_datos[Materia]&amp;" "&amp;base_de_datos[[Número de grupo ]],""),""),""),""),"")</f>
        <v/>
      </c>
      <c r="K12" s="28" t="str" cm="1">
        <f t="array" ref="K12">_xlfn.TEXTJOIN(CHAR(10),TRUE,IF(Profesor=base_de_datos[Profesor],IF("x"=base_de_datos[Miércoles],IF(base_de_datos[Hora inicio]&lt;=$B12,IF(base_de_datos[Hora fin]&gt;=$C12,base_de_datos[Aula]&amp;" "&amp;#REF!,""),""),""),""),"")</f>
        <v/>
      </c>
      <c r="L12" s="28" t="str" cm="1">
        <f t="array" ref="L12">_xlfn.TEXTJOIN(CHAR(10),TRUE,IF(Profesor=base_de_datos[Profesor],IF("x"=base_de_datos[Miércoles],IF(base_de_datos[Hora inicio]&lt;=$B12,IF(base_de_datos[Hora fin]&gt;=$C12,base_de_datos[No clase],""),""),""),""),"")</f>
        <v/>
      </c>
      <c r="M12" s="28" t="str" cm="1">
        <f t="array" ref="M12">_xlfn.TEXTJOIN(CHAR(10),TRUE,IF(Profesor=base_de_datos[Profesor],IF("x"=base_de_datos[Jueves],IF(base_de_datos[Hora inicio]&lt;=$B12,IF(base_de_datos[Hora fin]&gt;=$C12,base_de_datos[Materia]&amp;" "&amp;base_de_datos[[Número de grupo ]],""),""),""),""),"")</f>
        <v/>
      </c>
      <c r="N12" s="28" t="str" cm="1">
        <f t="array" ref="N12">_xlfn.TEXTJOIN(CHAR(10),TRUE,IF(Profesor=base_de_datos[Profesor],IF("x"=base_de_datos[Jueves],IF(base_de_datos[Hora inicio]&lt;=$B12,IF(base_de_datos[Hora fin]&gt;=$C12,base_de_datos[Aula]&amp;" "&amp;#REF!,""),""),""),""),"")</f>
        <v/>
      </c>
      <c r="O12" s="28" t="str" cm="1">
        <f t="array" ref="O12">_xlfn.TEXTJOIN(CHAR(10),TRUE,IF(Profesor=base_de_datos[Profesor],IF("x"=base_de_datos[Jueves],IF(base_de_datos[Hora inicio]&lt;=$B12,IF(base_de_datos[Hora fin]&gt;=$C12,base_de_datos[No clase],""),""),""),""),"")</f>
        <v/>
      </c>
      <c r="P12" s="28" t="str" cm="1">
        <f t="array" ref="P12">_xlfn.TEXTJOIN(CHAR(10),TRUE,IF(Profesor=base_de_datos[Profesor],IF("x"=base_de_datos[Viernes],IF(base_de_datos[Hora inicio]&lt;=$B12,IF(base_de_datos[Hora fin]&gt;=$C12,base_de_datos[Materia]&amp;" "&amp;base_de_datos[[Número de grupo ]],""),""),""),""),"")</f>
        <v/>
      </c>
      <c r="Q12" s="28" t="str" cm="1">
        <f t="array" ref="Q12">_xlfn.TEXTJOIN(CHAR(10),TRUE,IF(Profesor=base_de_datos[Profesor],IF("x"=base_de_datos[Viernes],IF(base_de_datos[Hora inicio]&lt;=$B12,IF(base_de_datos[Hora fin]&gt;=$C12,base_de_datos[Aula]&amp;" "&amp;#REF!,""),""),""),""),"")</f>
        <v/>
      </c>
      <c r="R12" s="28" t="str" cm="1">
        <f t="array" ref="R12">_xlfn.TEXTJOIN(CHAR(10),TRUE,IF(Profesor=base_de_datos[Profesor],IF("x"=base_de_datos[Viernes],IF(base_de_datos[Hora inicio]&lt;=$B12,IF(base_de_datos[Hora fin]&gt;=$C12,base_de_datos[No clase],""),""),""),""),"")</f>
        <v/>
      </c>
      <c r="S12" s="28" t="str" cm="1">
        <f t="array" ref="S12">_xlfn.TEXTJOIN(CHAR(10),TRUE,IF(Profesor=base_de_datos[Profesor],IF("x"=base_de_datos[Sábado],IF(base_de_datos[Hora inicio]&lt;=$B12,IF(base_de_datos[Hora fin]&gt;=$C12,base_de_datos[Materia]&amp;" "&amp;base_de_datos[[Número de grupo ]],""),""),""),""),"")</f>
        <v/>
      </c>
      <c r="T12" s="28" t="str" cm="1">
        <f t="array" ref="T12">_xlfn.TEXTJOIN(CHAR(10),TRUE,IF(Profesor=base_de_datos[Profesor],IF("x"=base_de_datos[Sábado],IF(base_de_datos[Hora inicio]&lt;=$B12,IF(base_de_datos[Hora fin]&gt;=$C12,base_de_datos[Aula]&amp;" "&amp;#REF!,""),""),""),""),"")</f>
        <v/>
      </c>
      <c r="U12" s="28" t="str" cm="1">
        <f t="array" ref="U12">_xlfn.TEXTJOIN(CHAR(10),TRUE,IF(Profesor=base_de_datos[Profesor],IF("x"=base_de_datos[Sábado],IF(base_de_datos[Hora inicio]&lt;=$B12,IF(base_de_datos[Hora fin]&gt;=$C12,base_de_datos[No clase],""),""),""),""),"")</f>
        <v/>
      </c>
      <c r="AB12" s="27"/>
      <c r="AC12" s="27"/>
      <c r="AD12" s="27"/>
    </row>
    <row r="13" spans="1:32" ht="14.5" x14ac:dyDescent="0.35">
      <c r="B13" s="92">
        <v>0.45833333333333398</v>
      </c>
      <c r="C13" s="92">
        <v>0.47916666666666402</v>
      </c>
      <c r="D13" s="29" t="str" cm="1">
        <f t="array" ref="D13">_xlfn.TEXTJOIN(CHAR(10),TRUE,IF(Profesor=base_de_datos[Profesor],IF("x"=base_de_datos[Lunes],IF(base_de_datos[Hora inicio]&lt;=$B13,IF(base_de_datos[Hora fin]&gt;=$C13,base_de_datos[Materia]&amp;" "&amp;base_de_datos[[Número de grupo ]],""),""),""),""),"")</f>
        <v/>
      </c>
      <c r="E13" s="29" t="str" cm="1">
        <f t="array" ref="E13">_xlfn.TEXTJOIN(CHAR(10),TRUE,IF(Profesor=base_de_datos[Profesor],IF("x"=base_de_datos[Lunes],IF(base_de_datos[Hora inicio]&lt;=$B13,IF(base_de_datos[Hora fin]&gt;=$C13,base_de_datos[Aula]&amp;" "&amp;#REF!,""),""),""),""),"")</f>
        <v/>
      </c>
      <c r="F13" s="29" t="str" cm="1">
        <f t="array" ref="F13">_xlfn.TEXTJOIN(CHAR(10),TRUE,IF(Profesor=base_de_datos[Profesor],IF("x"=base_de_datos[Lunes],IF(base_de_datos[Hora inicio]&lt;=$B13,IF(base_de_datos[Hora fin]&gt;=$C13,base_de_datos[No clase],""),""),""),""),"")</f>
        <v/>
      </c>
      <c r="G13" s="29" t="str" cm="1">
        <f t="array" ref="G13">_xlfn.TEXTJOIN(CHAR(10),TRUE,IF(Profesor=base_de_datos[Profesor],IF("x"=base_de_datos[Martes],IF(base_de_datos[Hora inicio]&lt;=$B13,IF(base_de_datos[Hora fin]&gt;=$C13,base_de_datos[Materia]&amp;" "&amp;base_de_datos[[Número de grupo ]],""),""),""),""),"")</f>
        <v/>
      </c>
      <c r="H13" s="29" t="str" cm="1">
        <f t="array" ref="H13">_xlfn.TEXTJOIN(CHAR(10),TRUE,IF(Profesor=base_de_datos[Profesor],IF("x"=base_de_datos[Martes],IF(base_de_datos[Hora inicio]&lt;=$B13,IF(base_de_datos[Hora fin]&gt;=$C13,base_de_datos[Aula]&amp;" "&amp;#REF!,""),""),""),""),"")</f>
        <v/>
      </c>
      <c r="I13" s="29" t="str" cm="1">
        <f t="array" ref="I13">_xlfn.TEXTJOIN(CHAR(10),TRUE,IF(Profesor=base_de_datos[Profesor],IF("x"=base_de_datos[Martes],IF(base_de_datos[Hora inicio]&lt;=$B13,IF(base_de_datos[Hora fin]&gt;=$C13,base_de_datos[No clase],""),""),""),""),"")</f>
        <v/>
      </c>
      <c r="J13" s="29" t="str" cm="1">
        <f t="array" ref="J13">_xlfn.TEXTJOIN(CHAR(10),TRUE,IF(Profesor=base_de_datos[Profesor],IF("x"=base_de_datos[Miércoles],IF(base_de_datos[Hora inicio]&lt;=$B13,IF(base_de_datos[Hora fin]&gt;=$C13,base_de_datos[Materia]&amp;" "&amp;base_de_datos[[Número de grupo ]],""),""),""),""),"")</f>
        <v/>
      </c>
      <c r="K13" s="29" t="str" cm="1">
        <f t="array" ref="K13">_xlfn.TEXTJOIN(CHAR(10),TRUE,IF(Profesor=base_de_datos[Profesor],IF("x"=base_de_datos[Miércoles],IF(base_de_datos[Hora inicio]&lt;=$B13,IF(base_de_datos[Hora fin]&gt;=$C13,base_de_datos[Aula]&amp;" "&amp;#REF!,""),""),""),""),"")</f>
        <v/>
      </c>
      <c r="L13" s="29" t="str" cm="1">
        <f t="array" ref="L13">_xlfn.TEXTJOIN(CHAR(10),TRUE,IF(Profesor=base_de_datos[Profesor],IF("x"=base_de_datos[Miércoles],IF(base_de_datos[Hora inicio]&lt;=$B13,IF(base_de_datos[Hora fin]&gt;=$C13,base_de_datos[No clase],""),""),""),""),"")</f>
        <v/>
      </c>
      <c r="M13" s="29" t="str" cm="1">
        <f t="array" ref="M13">_xlfn.TEXTJOIN(CHAR(10),TRUE,IF(Profesor=base_de_datos[Profesor],IF("x"=base_de_datos[Jueves],IF(base_de_datos[Hora inicio]&lt;=$B13,IF(base_de_datos[Hora fin]&gt;=$C13,base_de_datos[Materia]&amp;" "&amp;base_de_datos[[Número de grupo ]],""),""),""),""),"")</f>
        <v/>
      </c>
      <c r="N13" s="29" t="str" cm="1">
        <f t="array" ref="N13">_xlfn.TEXTJOIN(CHAR(10),TRUE,IF(Profesor=base_de_datos[Profesor],IF("x"=base_de_datos[Jueves],IF(base_de_datos[Hora inicio]&lt;=$B13,IF(base_de_datos[Hora fin]&gt;=$C13,base_de_datos[Aula]&amp;" "&amp;#REF!,""),""),""),""),"")</f>
        <v/>
      </c>
      <c r="O13" s="29" t="str" cm="1">
        <f t="array" ref="O13">_xlfn.TEXTJOIN(CHAR(10),TRUE,IF(Profesor=base_de_datos[Profesor],IF("x"=base_de_datos[Jueves],IF(base_de_datos[Hora inicio]&lt;=$B13,IF(base_de_datos[Hora fin]&gt;=$C13,base_de_datos[No clase],""),""),""),""),"")</f>
        <v/>
      </c>
      <c r="P13" s="29" t="str" cm="1">
        <f t="array" ref="P13">_xlfn.TEXTJOIN(CHAR(10),TRUE,IF(Profesor=base_de_datos[Profesor],IF("x"=base_de_datos[Viernes],IF(base_de_datos[Hora inicio]&lt;=$B13,IF(base_de_datos[Hora fin]&gt;=$C13,base_de_datos[Materia]&amp;" "&amp;base_de_datos[[Número de grupo ]],""),""),""),""),"")</f>
        <v/>
      </c>
      <c r="Q13" s="28" t="str" cm="1">
        <f t="array" ref="Q13">_xlfn.TEXTJOIN(CHAR(10),TRUE,IF(Profesor=base_de_datos[Profesor],IF("x"=base_de_datos[Viernes],IF(base_de_datos[Hora inicio]&lt;=$B13,IF(base_de_datos[Hora fin]&gt;=$C13,base_de_datos[Aula]&amp;" "&amp;#REF!,""),""),""),""),"")</f>
        <v/>
      </c>
      <c r="R13" s="28" t="str" cm="1">
        <f t="array" ref="R13">_xlfn.TEXTJOIN(CHAR(10),TRUE,IF(Profesor=base_de_datos[Profesor],IF("x"=base_de_datos[Viernes],IF(base_de_datos[Hora inicio]&lt;=$B13,IF(base_de_datos[Hora fin]&gt;=$C13,base_de_datos[No clase],""),""),""),""),"")</f>
        <v/>
      </c>
      <c r="S13" s="28" t="str" cm="1">
        <f t="array" ref="S13">_xlfn.TEXTJOIN(CHAR(10),TRUE,IF(Profesor=base_de_datos[Profesor],IF("x"=base_de_datos[Sábado],IF(base_de_datos[Hora inicio]&lt;=$B13,IF(base_de_datos[Hora fin]&gt;=$C13,base_de_datos[Materia]&amp;" "&amp;base_de_datos[[Número de grupo ]],""),""),""),""),"")</f>
        <v/>
      </c>
      <c r="T13" s="28" t="str" cm="1">
        <f t="array" ref="T13">_xlfn.TEXTJOIN(CHAR(10),TRUE,IF(Profesor=base_de_datos[Profesor],IF("x"=base_de_datos[Sábado],IF(base_de_datos[Hora inicio]&lt;=$B13,IF(base_de_datos[Hora fin]&gt;=$C13,base_de_datos[Aula]&amp;" "&amp;#REF!,""),""),""),""),"")</f>
        <v/>
      </c>
      <c r="U13" s="28" t="str" cm="1">
        <f t="array" ref="U13">_xlfn.TEXTJOIN(CHAR(10),TRUE,IF(Profesor=base_de_datos[Profesor],IF("x"=base_de_datos[Sábado],IF(base_de_datos[Hora inicio]&lt;=$B13,IF(base_de_datos[Hora fin]&gt;=$C13,base_de_datos[No clase],""),""),""),""),"")</f>
        <v/>
      </c>
      <c r="AB13" s="27"/>
      <c r="AC13" s="27"/>
      <c r="AD13" s="27"/>
    </row>
    <row r="14" spans="1:32" ht="14.5" x14ac:dyDescent="0.35">
      <c r="B14" s="92">
        <v>0.47916666666666702</v>
      </c>
      <c r="C14" s="92">
        <v>0.499999999999997</v>
      </c>
      <c r="D14" s="29" t="str" cm="1">
        <f t="array" ref="D14">_xlfn.TEXTJOIN(CHAR(10),TRUE,IF(Profesor=base_de_datos[Profesor],IF("x"=base_de_datos[Lunes],IF(base_de_datos[Hora inicio]&lt;=$B14,IF(base_de_datos[Hora fin]&gt;=$C14,base_de_datos[Materia]&amp;" "&amp;base_de_datos[[Número de grupo ]],""),""),""),""),"")</f>
        <v/>
      </c>
      <c r="E14" s="29" t="str" cm="1">
        <f t="array" ref="E14">_xlfn.TEXTJOIN(CHAR(10),TRUE,IF(Profesor=base_de_datos[Profesor],IF("x"=base_de_datos[Lunes],IF(base_de_datos[Hora inicio]&lt;=$B14,IF(base_de_datos[Hora fin]&gt;=$C14,base_de_datos[Aula]&amp;" "&amp;#REF!,""),""),""),""),"")</f>
        <v/>
      </c>
      <c r="F14" s="29" t="str" cm="1">
        <f t="array" ref="F14">_xlfn.TEXTJOIN(CHAR(10),TRUE,IF(Profesor=base_de_datos[Profesor],IF("x"=base_de_datos[Lunes],IF(base_de_datos[Hora inicio]&lt;=$B14,IF(base_de_datos[Hora fin]&gt;=$C14,base_de_datos[No clase],""),""),""),""),"")</f>
        <v/>
      </c>
      <c r="G14" s="29" t="str" cm="1">
        <f t="array" ref="G14">_xlfn.TEXTJOIN(CHAR(10),TRUE,IF(Profesor=base_de_datos[Profesor],IF("x"=base_de_datos[Martes],IF(base_de_datos[Hora inicio]&lt;=$B14,IF(base_de_datos[Hora fin]&gt;=$C14,base_de_datos[Materia]&amp;" "&amp;base_de_datos[[Número de grupo ]],""),""),""),""),"")</f>
        <v/>
      </c>
      <c r="H14" s="29" t="str" cm="1">
        <f t="array" ref="H14">_xlfn.TEXTJOIN(CHAR(10),TRUE,IF(Profesor=base_de_datos[Profesor],IF("x"=base_de_datos[Martes],IF(base_de_datos[Hora inicio]&lt;=$B14,IF(base_de_datos[Hora fin]&gt;=$C14,base_de_datos[Aula]&amp;" "&amp;#REF!,""),""),""),""),"")</f>
        <v/>
      </c>
      <c r="I14" s="29" t="str" cm="1">
        <f t="array" ref="I14">_xlfn.TEXTJOIN(CHAR(10),TRUE,IF(Profesor=base_de_datos[Profesor],IF("x"=base_de_datos[Martes],IF(base_de_datos[Hora inicio]&lt;=$B14,IF(base_de_datos[Hora fin]&gt;=$C14,base_de_datos[No clase],""),""),""),""),"")</f>
        <v/>
      </c>
      <c r="J14" s="29" t="str" cm="1">
        <f t="array" ref="J14">_xlfn.TEXTJOIN(CHAR(10),TRUE,IF(Profesor=base_de_datos[Profesor],IF("x"=base_de_datos[Miércoles],IF(base_de_datos[Hora inicio]&lt;=$B14,IF(base_de_datos[Hora fin]&gt;=$C14,base_de_datos[Materia]&amp;" "&amp;base_de_datos[[Número de grupo ]],""),""),""),""),"")</f>
        <v/>
      </c>
      <c r="K14" s="29" t="str" cm="1">
        <f t="array" ref="K14">_xlfn.TEXTJOIN(CHAR(10),TRUE,IF(Profesor=base_de_datos[Profesor],IF("x"=base_de_datos[Miércoles],IF(base_de_datos[Hora inicio]&lt;=$B14,IF(base_de_datos[Hora fin]&gt;=$C14,base_de_datos[Aula]&amp;" "&amp;#REF!,""),""),""),""),"")</f>
        <v/>
      </c>
      <c r="L14" s="29" t="str" cm="1">
        <f t="array" ref="L14">_xlfn.TEXTJOIN(CHAR(10),TRUE,IF(Profesor=base_de_datos[Profesor],IF("x"=base_de_datos[Miércoles],IF(base_de_datos[Hora inicio]&lt;=$B14,IF(base_de_datos[Hora fin]&gt;=$C14,base_de_datos[No clase],""),""),""),""),"")</f>
        <v/>
      </c>
      <c r="M14" s="29" t="str" cm="1">
        <f t="array" ref="M14">_xlfn.TEXTJOIN(CHAR(10),TRUE,IF(Profesor=base_de_datos[Profesor],IF("x"=base_de_datos[Jueves],IF(base_de_datos[Hora inicio]&lt;=$B14,IF(base_de_datos[Hora fin]&gt;=$C14,base_de_datos[Materia]&amp;" "&amp;base_de_datos[[Número de grupo ]],""),""),""),""),"")</f>
        <v/>
      </c>
      <c r="N14" s="29" t="str" cm="1">
        <f t="array" ref="N14">_xlfn.TEXTJOIN(CHAR(10),TRUE,IF(Profesor=base_de_datos[Profesor],IF("x"=base_de_datos[Jueves],IF(base_de_datos[Hora inicio]&lt;=$B14,IF(base_de_datos[Hora fin]&gt;=$C14,base_de_datos[Aula]&amp;" "&amp;#REF!,""),""),""),""),"")</f>
        <v/>
      </c>
      <c r="O14" s="29" t="str" cm="1">
        <f t="array" ref="O14">_xlfn.TEXTJOIN(CHAR(10),TRUE,IF(Profesor=base_de_datos[Profesor],IF("x"=base_de_datos[Jueves],IF(base_de_datos[Hora inicio]&lt;=$B14,IF(base_de_datos[Hora fin]&gt;=$C14,base_de_datos[No clase],""),""),""),""),"")</f>
        <v/>
      </c>
      <c r="P14" s="29" t="str" cm="1">
        <f t="array" ref="P14">_xlfn.TEXTJOIN(CHAR(10),TRUE,IF(Profesor=base_de_datos[Profesor],IF("x"=base_de_datos[Viernes],IF(base_de_datos[Hora inicio]&lt;=$B14,IF(base_de_datos[Hora fin]&gt;=$C14,base_de_datos[Materia]&amp;" "&amp;base_de_datos[[Número de grupo ]],""),""),""),""),"")</f>
        <v/>
      </c>
      <c r="Q14" s="28" t="str" cm="1">
        <f t="array" ref="Q14">_xlfn.TEXTJOIN(CHAR(10),TRUE,IF(Profesor=base_de_datos[Profesor],IF("x"=base_de_datos[Viernes],IF(base_de_datos[Hora inicio]&lt;=$B14,IF(base_de_datos[Hora fin]&gt;=$C14,base_de_datos[Aula]&amp;" "&amp;#REF!,""),""),""),""),"")</f>
        <v/>
      </c>
      <c r="R14" s="28" t="str" cm="1">
        <f t="array" ref="R14">_xlfn.TEXTJOIN(CHAR(10),TRUE,IF(Profesor=base_de_datos[Profesor],IF("x"=base_de_datos[Viernes],IF(base_de_datos[Hora inicio]&lt;=$B14,IF(base_de_datos[Hora fin]&gt;=$C14,base_de_datos[No clase],""),""),""),""),"")</f>
        <v/>
      </c>
      <c r="S14" s="28" t="str" cm="1">
        <f t="array" ref="S14">_xlfn.TEXTJOIN(CHAR(10),TRUE,IF(Profesor=base_de_datos[Profesor],IF("x"=base_de_datos[Sábado],IF(base_de_datos[Hora inicio]&lt;=$B14,IF(base_de_datos[Hora fin]&gt;=$C14,base_de_datos[Materia]&amp;" "&amp;base_de_datos[[Número de grupo ]],""),""),""),""),"")</f>
        <v/>
      </c>
      <c r="T14" s="28" t="str" cm="1">
        <f t="array" ref="T14">_xlfn.TEXTJOIN(CHAR(10),TRUE,IF(Profesor=base_de_datos[Profesor],IF("x"=base_de_datos[Sábado],IF(base_de_datos[Hora inicio]&lt;=$B14,IF(base_de_datos[Hora fin]&gt;=$C14,base_de_datos[Aula]&amp;" "&amp;#REF!,""),""),""),""),"")</f>
        <v/>
      </c>
      <c r="U14" s="28" t="str" cm="1">
        <f t="array" ref="U14">_xlfn.TEXTJOIN(CHAR(10),TRUE,IF(Profesor=base_de_datos[Profesor],IF("x"=base_de_datos[Sábado],IF(base_de_datos[Hora inicio]&lt;=$B14,IF(base_de_datos[Hora fin]&gt;=$C14,base_de_datos[No clase],""),""),""),""),"")</f>
        <v/>
      </c>
      <c r="AB14" s="27"/>
      <c r="AC14" s="27"/>
      <c r="AD14" s="27"/>
    </row>
    <row r="15" spans="1:32" ht="14.5" x14ac:dyDescent="0.35">
      <c r="B15" s="92">
        <v>0.5</v>
      </c>
      <c r="C15" s="92">
        <v>0.52083333333333004</v>
      </c>
      <c r="D15" s="28" t="str" cm="1">
        <f t="array" ref="D15">_xlfn.TEXTJOIN(CHAR(10),TRUE,IF(Profesor=base_de_datos[Profesor],IF("x"=base_de_datos[Lunes],IF(base_de_datos[Hora inicio]&lt;=$B15,IF(base_de_datos[Hora fin]&gt;=$C15,base_de_datos[Materia]&amp;" "&amp;base_de_datos[[Número de grupo ]],""),""),""),""),"")</f>
        <v/>
      </c>
      <c r="E15" s="28" t="str" cm="1">
        <f t="array" ref="E15">_xlfn.TEXTJOIN(CHAR(10),TRUE,IF(Profesor=base_de_datos[Profesor],IF("x"=base_de_datos[Lunes],IF(base_de_datos[Hora inicio]&lt;=$B15,IF(base_de_datos[Hora fin]&gt;=$C15,base_de_datos[Aula]&amp;" "&amp;#REF!,""),""),""),""),"")</f>
        <v/>
      </c>
      <c r="F15" s="28" t="str" cm="1">
        <f t="array" ref="F15">_xlfn.TEXTJOIN(CHAR(10),TRUE,IF(Profesor=base_de_datos[Profesor],IF("x"=base_de_datos[Lunes],IF(base_de_datos[Hora inicio]&lt;=$B15,IF(base_de_datos[Hora fin]&gt;=$C15,base_de_datos[No clase],""),""),""),""),"")</f>
        <v/>
      </c>
      <c r="G15" s="28" t="str" cm="1">
        <f t="array" ref="G15">_xlfn.TEXTJOIN(CHAR(10),TRUE,IF(Profesor=base_de_datos[Profesor],IF("x"=base_de_datos[Martes],IF(base_de_datos[Hora inicio]&lt;=$B15,IF(base_de_datos[Hora fin]&gt;=$C15,base_de_datos[Materia]&amp;" "&amp;base_de_datos[[Número de grupo ]],""),""),""),""),"")</f>
        <v/>
      </c>
      <c r="H15" s="28" t="str" cm="1">
        <f t="array" ref="H15">_xlfn.TEXTJOIN(CHAR(10),TRUE,IF(Profesor=base_de_datos[Profesor],IF("x"=base_de_datos[Martes],IF(base_de_datos[Hora inicio]&lt;=$B15,IF(base_de_datos[Hora fin]&gt;=$C15,base_de_datos[Aula]&amp;" "&amp;#REF!,""),""),""),""),"")</f>
        <v/>
      </c>
      <c r="I15" s="28" t="str" cm="1">
        <f t="array" ref="I15">_xlfn.TEXTJOIN(CHAR(10),TRUE,IF(Profesor=base_de_datos[Profesor],IF("x"=base_de_datos[Martes],IF(base_de_datos[Hora inicio]&lt;=$B15,IF(base_de_datos[Hora fin]&gt;=$C15,base_de_datos[No clase],""),""),""),""),"")</f>
        <v/>
      </c>
      <c r="J15" s="28" t="str" cm="1">
        <f t="array" ref="J15">_xlfn.TEXTJOIN(CHAR(10),TRUE,IF(Profesor=base_de_datos[Profesor],IF("x"=base_de_datos[Miércoles],IF(base_de_datos[Hora inicio]&lt;=$B15,IF(base_de_datos[Hora fin]&gt;=$C15,base_de_datos[Materia]&amp;" "&amp;base_de_datos[[Número de grupo ]],""),""),""),""),"")</f>
        <v/>
      </c>
      <c r="K15" s="28" t="str" cm="1">
        <f t="array" ref="K15">_xlfn.TEXTJOIN(CHAR(10),TRUE,IF(Profesor=base_de_datos[Profesor],IF("x"=base_de_datos[Miércoles],IF(base_de_datos[Hora inicio]&lt;=$B15,IF(base_de_datos[Hora fin]&gt;=$C15,base_de_datos[Aula]&amp;" "&amp;#REF!,""),""),""),""),"")</f>
        <v/>
      </c>
      <c r="L15" s="28" t="str" cm="1">
        <f t="array" ref="L15">_xlfn.TEXTJOIN(CHAR(10),TRUE,IF(Profesor=base_de_datos[Profesor],IF("x"=base_de_datos[Miércoles],IF(base_de_datos[Hora inicio]&lt;=$B15,IF(base_de_datos[Hora fin]&gt;=$C15,base_de_datos[No clase],""),""),""),""),"")</f>
        <v/>
      </c>
      <c r="M15" s="28" t="str" cm="1">
        <f t="array" ref="M15">_xlfn.TEXTJOIN(CHAR(10),TRUE,IF(Profesor=base_de_datos[Profesor],IF("x"=base_de_datos[Jueves],IF(base_de_datos[Hora inicio]&lt;=$B15,IF(base_de_datos[Hora fin]&gt;=$C15,base_de_datos[Materia]&amp;" "&amp;base_de_datos[[Número de grupo ]],""),""),""),""),"")</f>
        <v/>
      </c>
      <c r="N15" s="28" t="str" cm="1">
        <f t="array" ref="N15">_xlfn.TEXTJOIN(CHAR(10),TRUE,IF(Profesor=base_de_datos[Profesor],IF("x"=base_de_datos[Jueves],IF(base_de_datos[Hora inicio]&lt;=$B15,IF(base_de_datos[Hora fin]&gt;=$C15,base_de_datos[Aula]&amp;" "&amp;#REF!,""),""),""),""),"")</f>
        <v/>
      </c>
      <c r="O15" s="28" t="str" cm="1">
        <f t="array" ref="O15">_xlfn.TEXTJOIN(CHAR(10),TRUE,IF(Profesor=base_de_datos[Profesor],IF("x"=base_de_datos[Jueves],IF(base_de_datos[Hora inicio]&lt;=$B15,IF(base_de_datos[Hora fin]&gt;=$C15,base_de_datos[No clase],""),""),""),""),"")</f>
        <v/>
      </c>
      <c r="P15" s="28" t="str" cm="1">
        <f t="array" ref="P15">_xlfn.TEXTJOIN(CHAR(10),TRUE,IF(Profesor=base_de_datos[Profesor],IF("x"=base_de_datos[Viernes],IF(base_de_datos[Hora inicio]&lt;=$B15,IF(base_de_datos[Hora fin]&gt;=$C15,base_de_datos[Materia]&amp;" "&amp;base_de_datos[[Número de grupo ]],""),""),""),""),"")</f>
        <v/>
      </c>
      <c r="Q15" s="28" t="str" cm="1">
        <f t="array" ref="Q15">_xlfn.TEXTJOIN(CHAR(10),TRUE,IF(Profesor=base_de_datos[Profesor],IF("x"=base_de_datos[Viernes],IF(base_de_datos[Hora inicio]&lt;=$B15,IF(base_de_datos[Hora fin]&gt;=$C15,base_de_datos[Aula]&amp;" "&amp;#REF!,""),""),""),""),"")</f>
        <v/>
      </c>
      <c r="R15" s="28" t="str" cm="1">
        <f t="array" ref="R15">_xlfn.TEXTJOIN(CHAR(10),TRUE,IF(Profesor=base_de_datos[Profesor],IF("x"=base_de_datos[Viernes],IF(base_de_datos[Hora inicio]&lt;=$B15,IF(base_de_datos[Hora fin]&gt;=$C15,base_de_datos[No clase],""),""),""),""),"")</f>
        <v/>
      </c>
      <c r="S15" s="28" t="str" cm="1">
        <f t="array" ref="S15">_xlfn.TEXTJOIN(CHAR(10),TRUE,IF(Profesor=base_de_datos[Profesor],IF("x"=base_de_datos[Sábado],IF(base_de_datos[Hora inicio]&lt;=$B15,IF(base_de_datos[Hora fin]&gt;=$C15,base_de_datos[Materia]&amp;" "&amp;base_de_datos[[Número de grupo ]],""),""),""),""),"")</f>
        <v/>
      </c>
      <c r="T15" s="28" t="str" cm="1">
        <f t="array" ref="T15">_xlfn.TEXTJOIN(CHAR(10),TRUE,IF(Profesor=base_de_datos[Profesor],IF("x"=base_de_datos[Sábado],IF(base_de_datos[Hora inicio]&lt;=$B15,IF(base_de_datos[Hora fin]&gt;=$C15,base_de_datos[Aula]&amp;" "&amp;#REF!,""),""),""),""),"")</f>
        <v/>
      </c>
      <c r="U15" s="28" t="str" cm="1">
        <f t="array" ref="U15">_xlfn.TEXTJOIN(CHAR(10),TRUE,IF(Profesor=base_de_datos[Profesor],IF("x"=base_de_datos[Sábado],IF(base_de_datos[Hora inicio]&lt;=$B15,IF(base_de_datos[Hora fin]&gt;=$C15,base_de_datos[No clase],""),""),""),""),"")</f>
        <v/>
      </c>
      <c r="AB15" s="27"/>
      <c r="AC15" s="27"/>
      <c r="AD15" s="27"/>
    </row>
    <row r="16" spans="1:32" ht="14.5" x14ac:dyDescent="0.35">
      <c r="B16" s="92">
        <v>0.52083333333333304</v>
      </c>
      <c r="C16" s="92">
        <v>0.54166666666666297</v>
      </c>
      <c r="D16" s="28" t="str" cm="1">
        <f t="array" ref="D16">_xlfn.TEXTJOIN(CHAR(10),TRUE,IF(Profesor=base_de_datos[Profesor],IF("x"=base_de_datos[Lunes],IF(base_de_datos[Hora inicio]&lt;=$B16,IF(base_de_datos[Hora fin]&gt;=$C16,base_de_datos[Materia]&amp;" "&amp;base_de_datos[[Número de grupo ]],""),""),""),""),"")</f>
        <v/>
      </c>
      <c r="E16" s="28" t="str" cm="1">
        <f t="array" ref="E16">_xlfn.TEXTJOIN(CHAR(10),TRUE,IF(Profesor=base_de_datos[Profesor],IF("x"=base_de_datos[Lunes],IF(base_de_datos[Hora inicio]&lt;=$B16,IF(base_de_datos[Hora fin]&gt;=$C16,base_de_datos[Aula]&amp;" "&amp;#REF!,""),""),""),""),"")</f>
        <v/>
      </c>
      <c r="F16" s="28" t="str" cm="1">
        <f t="array" ref="F16">_xlfn.TEXTJOIN(CHAR(10),TRUE,IF(Profesor=base_de_datos[Profesor],IF("x"=base_de_datos[Lunes],IF(base_de_datos[Hora inicio]&lt;=$B16,IF(base_de_datos[Hora fin]&gt;=$C16,base_de_datos[No clase],""),""),""),""),"")</f>
        <v/>
      </c>
      <c r="G16" s="28" t="str" cm="1">
        <f t="array" ref="G16">_xlfn.TEXTJOIN(CHAR(10),TRUE,IF(Profesor=base_de_datos[Profesor],IF("x"=base_de_datos[Martes],IF(base_de_datos[Hora inicio]&lt;=$B16,IF(base_de_datos[Hora fin]&gt;=$C16,base_de_datos[Materia]&amp;" "&amp;base_de_datos[[Número de grupo ]],""),""),""),""),"")</f>
        <v/>
      </c>
      <c r="H16" s="28" t="str" cm="1">
        <f t="array" ref="H16">_xlfn.TEXTJOIN(CHAR(10),TRUE,IF(Profesor=base_de_datos[Profesor],IF("x"=base_de_datos[Martes],IF(base_de_datos[Hora inicio]&lt;=$B16,IF(base_de_datos[Hora fin]&gt;=$C16,base_de_datos[Aula]&amp;" "&amp;#REF!,""),""),""),""),"")</f>
        <v/>
      </c>
      <c r="I16" s="28" t="str" cm="1">
        <f t="array" ref="I16">_xlfn.TEXTJOIN(CHAR(10),TRUE,IF(Profesor=base_de_datos[Profesor],IF("x"=base_de_datos[Martes],IF(base_de_datos[Hora inicio]&lt;=$B16,IF(base_de_datos[Hora fin]&gt;=$C16,base_de_datos[No clase],""),""),""),""),"")</f>
        <v/>
      </c>
      <c r="J16" s="28" t="str" cm="1">
        <f t="array" ref="J16">_xlfn.TEXTJOIN(CHAR(10),TRUE,IF(Profesor=base_de_datos[Profesor],IF("x"=base_de_datos[Miércoles],IF(base_de_datos[Hora inicio]&lt;=$B16,IF(base_de_datos[Hora fin]&gt;=$C16,base_de_datos[Materia]&amp;" "&amp;base_de_datos[[Número de grupo ]],""),""),""),""),"")</f>
        <v/>
      </c>
      <c r="K16" s="28" t="str" cm="1">
        <f t="array" ref="K16">_xlfn.TEXTJOIN(CHAR(10),TRUE,IF(Profesor=base_de_datos[Profesor],IF("x"=base_de_datos[Miércoles],IF(base_de_datos[Hora inicio]&lt;=$B16,IF(base_de_datos[Hora fin]&gt;=$C16,base_de_datos[Aula]&amp;" "&amp;#REF!,""),""),""),""),"")</f>
        <v/>
      </c>
      <c r="L16" s="28" t="str" cm="1">
        <f t="array" ref="L16">_xlfn.TEXTJOIN(CHAR(10),TRUE,IF(Profesor=base_de_datos[Profesor],IF("x"=base_de_datos[Miércoles],IF(base_de_datos[Hora inicio]&lt;=$B16,IF(base_de_datos[Hora fin]&gt;=$C16,base_de_datos[No clase],""),""),""),""),"")</f>
        <v/>
      </c>
      <c r="M16" s="28" t="str" cm="1">
        <f t="array" ref="M16">_xlfn.TEXTJOIN(CHAR(10),TRUE,IF(Profesor=base_de_datos[Profesor],IF("x"=base_de_datos[Jueves],IF(base_de_datos[Hora inicio]&lt;=$B16,IF(base_de_datos[Hora fin]&gt;=$C16,base_de_datos[Materia]&amp;" "&amp;base_de_datos[[Número de grupo ]],""),""),""),""),"")</f>
        <v/>
      </c>
      <c r="N16" s="28" t="str" cm="1">
        <f t="array" ref="N16">_xlfn.TEXTJOIN(CHAR(10),TRUE,IF(Profesor=base_de_datos[Profesor],IF("x"=base_de_datos[Jueves],IF(base_de_datos[Hora inicio]&lt;=$B16,IF(base_de_datos[Hora fin]&gt;=$C16,base_de_datos[Aula]&amp;" "&amp;#REF!,""),""),""),""),"")</f>
        <v/>
      </c>
      <c r="O16" s="28" t="str" cm="1">
        <f t="array" ref="O16">_xlfn.TEXTJOIN(CHAR(10),TRUE,IF(Profesor=base_de_datos[Profesor],IF("x"=base_de_datos[Jueves],IF(base_de_datos[Hora inicio]&lt;=$B16,IF(base_de_datos[Hora fin]&gt;=$C16,base_de_datos[No clase],""),""),""),""),"")</f>
        <v/>
      </c>
      <c r="P16" s="28" t="str" cm="1">
        <f t="array" ref="P16">_xlfn.TEXTJOIN(CHAR(10),TRUE,IF(Profesor=base_de_datos[Profesor],IF("x"=base_de_datos[Viernes],IF(base_de_datos[Hora inicio]&lt;=$B16,IF(base_de_datos[Hora fin]&gt;=$C16,base_de_datos[Materia]&amp;" "&amp;base_de_datos[[Número de grupo ]],""),""),""),""),"")</f>
        <v/>
      </c>
      <c r="Q16" s="28" t="str" cm="1">
        <f t="array" ref="Q16">_xlfn.TEXTJOIN(CHAR(10),TRUE,IF(Profesor=base_de_datos[Profesor],IF("x"=base_de_datos[Viernes],IF(base_de_datos[Hora inicio]&lt;=$B16,IF(base_de_datos[Hora fin]&gt;=$C16,base_de_datos[Aula]&amp;" "&amp;#REF!,""),""),""),""),"")</f>
        <v/>
      </c>
      <c r="R16" s="28" t="str" cm="1">
        <f t="array" ref="R16">_xlfn.TEXTJOIN(CHAR(10),TRUE,IF(Profesor=base_de_datos[Profesor],IF("x"=base_de_datos[Viernes],IF(base_de_datos[Hora inicio]&lt;=$B16,IF(base_de_datos[Hora fin]&gt;=$C16,base_de_datos[No clase],""),""),""),""),"")</f>
        <v/>
      </c>
      <c r="S16" s="28" t="str" cm="1">
        <f t="array" ref="S16">_xlfn.TEXTJOIN(CHAR(10),TRUE,IF(Profesor=base_de_datos[Profesor],IF("x"=base_de_datos[Sábado],IF(base_de_datos[Hora inicio]&lt;=$B16,IF(base_de_datos[Hora fin]&gt;=$C16,base_de_datos[Materia]&amp;" "&amp;base_de_datos[[Número de grupo ]],""),""),""),""),"")</f>
        <v/>
      </c>
      <c r="T16" s="28" t="str" cm="1">
        <f t="array" ref="T16">_xlfn.TEXTJOIN(CHAR(10),TRUE,IF(Profesor=base_de_datos[Profesor],IF("x"=base_de_datos[Sábado],IF(base_de_datos[Hora inicio]&lt;=$B16,IF(base_de_datos[Hora fin]&gt;=$C16,base_de_datos[Aula]&amp;" "&amp;#REF!,""),""),""),""),"")</f>
        <v/>
      </c>
      <c r="U16" s="28" t="str" cm="1">
        <f t="array" ref="U16">_xlfn.TEXTJOIN(CHAR(10),TRUE,IF(Profesor=base_de_datos[Profesor],IF("x"=base_de_datos[Sábado],IF(base_de_datos[Hora inicio]&lt;=$B16,IF(base_de_datos[Hora fin]&gt;=$C16,base_de_datos[No clase],""),""),""),""),"")</f>
        <v/>
      </c>
      <c r="AB16" s="27"/>
      <c r="AC16" s="27"/>
      <c r="AD16" s="27"/>
    </row>
    <row r="17" spans="2:30" ht="14.5" x14ac:dyDescent="0.35">
      <c r="B17" s="92">
        <v>0.54166666666666696</v>
      </c>
      <c r="C17" s="92">
        <v>0.562499999999996</v>
      </c>
      <c r="D17" s="28" t="str" cm="1">
        <f t="array" ref="D17">_xlfn.TEXTJOIN(CHAR(10),TRUE,IF(Profesor=base_de_datos[Profesor],IF("x"=base_de_datos[Lunes],IF(base_de_datos[Hora inicio]&lt;=$B17,IF(base_de_datos[Hora fin]&gt;=$C17,base_de_datos[Materia]&amp;" "&amp;base_de_datos[[Número de grupo ]],""),""),""),""),"")</f>
        <v/>
      </c>
      <c r="E17" s="28" t="str" cm="1">
        <f t="array" ref="E17">_xlfn.TEXTJOIN(CHAR(10),TRUE,IF(Profesor=base_de_datos[Profesor],IF("x"=base_de_datos[Lunes],IF(base_de_datos[Hora inicio]&lt;=$B17,IF(base_de_datos[Hora fin]&gt;=$C17,base_de_datos[Aula]&amp;" "&amp;#REF!,""),""),""),""),"")</f>
        <v/>
      </c>
      <c r="F17" s="28" t="str" cm="1">
        <f t="array" ref="F17">_xlfn.TEXTJOIN(CHAR(10),TRUE,IF(Profesor=base_de_datos[Profesor],IF("x"=base_de_datos[Lunes],IF(base_de_datos[Hora inicio]&lt;=$B17,IF(base_de_datos[Hora fin]&gt;=$C17,base_de_datos[No clase],""),""),""),""),"")</f>
        <v/>
      </c>
      <c r="G17" s="28" t="str" cm="1">
        <f t="array" ref="G17">_xlfn.TEXTJOIN(CHAR(10),TRUE,IF(Profesor=base_de_datos[Profesor],IF("x"=base_de_datos[Martes],IF(base_de_datos[Hora inicio]&lt;=$B17,IF(base_de_datos[Hora fin]&gt;=$C17,base_de_datos[Materia]&amp;" "&amp;base_de_datos[[Número de grupo ]],""),""),""),""),"")</f>
        <v/>
      </c>
      <c r="H17" s="28" t="str" cm="1">
        <f t="array" ref="H17">_xlfn.TEXTJOIN(CHAR(10),TRUE,IF(Profesor=base_de_datos[Profesor],IF("x"=base_de_datos[Martes],IF(base_de_datos[Hora inicio]&lt;=$B17,IF(base_de_datos[Hora fin]&gt;=$C17,base_de_datos[Aula]&amp;" "&amp;#REF!,""),""),""),""),"")</f>
        <v/>
      </c>
      <c r="I17" s="28" t="str" cm="1">
        <f t="array" ref="I17">_xlfn.TEXTJOIN(CHAR(10),TRUE,IF(Profesor=base_de_datos[Profesor],IF("x"=base_de_datos[Martes],IF(base_de_datos[Hora inicio]&lt;=$B17,IF(base_de_datos[Hora fin]&gt;=$C17,base_de_datos[No clase],""),""),""),""),"")</f>
        <v/>
      </c>
      <c r="J17" s="28" t="str" cm="1">
        <f t="array" ref="J17">_xlfn.TEXTJOIN(CHAR(10),TRUE,IF(Profesor=base_de_datos[Profesor],IF("x"=base_de_datos[Miércoles],IF(base_de_datos[Hora inicio]&lt;=$B17,IF(base_de_datos[Hora fin]&gt;=$C17,base_de_datos[Materia]&amp;" "&amp;base_de_datos[[Número de grupo ]],""),""),""),""),"")</f>
        <v/>
      </c>
      <c r="K17" s="28" t="str" cm="1">
        <f t="array" ref="K17">_xlfn.TEXTJOIN(CHAR(10),TRUE,IF(Profesor=base_de_datos[Profesor],IF("x"=base_de_datos[Miércoles],IF(base_de_datos[Hora inicio]&lt;=$B17,IF(base_de_datos[Hora fin]&gt;=$C17,base_de_datos[Aula]&amp;" "&amp;#REF!,""),""),""),""),"")</f>
        <v/>
      </c>
      <c r="L17" s="28" t="str" cm="1">
        <f t="array" ref="L17">_xlfn.TEXTJOIN(CHAR(10),TRUE,IF(Profesor=base_de_datos[Profesor],IF("x"=base_de_datos[Miércoles],IF(base_de_datos[Hora inicio]&lt;=$B17,IF(base_de_datos[Hora fin]&gt;=$C17,base_de_datos[No clase],""),""),""),""),"")</f>
        <v/>
      </c>
      <c r="M17" s="28" t="str" cm="1">
        <f t="array" ref="M17">_xlfn.TEXTJOIN(CHAR(10),TRUE,IF(Profesor=base_de_datos[Profesor],IF("x"=base_de_datos[Jueves],IF(base_de_datos[Hora inicio]&lt;=$B17,IF(base_de_datos[Hora fin]&gt;=$C17,base_de_datos[Materia]&amp;" "&amp;base_de_datos[[Número de grupo ]],""),""),""),""),"")</f>
        <v/>
      </c>
      <c r="N17" s="28" t="str" cm="1">
        <f t="array" ref="N17">_xlfn.TEXTJOIN(CHAR(10),TRUE,IF(Profesor=base_de_datos[Profesor],IF("x"=base_de_datos[Jueves],IF(base_de_datos[Hora inicio]&lt;=$B17,IF(base_de_datos[Hora fin]&gt;=$C17,base_de_datos[Aula]&amp;" "&amp;#REF!,""),""),""),""),"")</f>
        <v/>
      </c>
      <c r="O17" s="28" t="str" cm="1">
        <f t="array" ref="O17">_xlfn.TEXTJOIN(CHAR(10),TRUE,IF(Profesor=base_de_datos[Profesor],IF("x"=base_de_datos[Jueves],IF(base_de_datos[Hora inicio]&lt;=$B17,IF(base_de_datos[Hora fin]&gt;=$C17,base_de_datos[No clase],""),""),""),""),"")</f>
        <v/>
      </c>
      <c r="P17" s="28" t="str" cm="1">
        <f t="array" ref="P17">_xlfn.TEXTJOIN(CHAR(10),TRUE,IF(Profesor=base_de_datos[Profesor],IF("x"=base_de_datos[Viernes],IF(base_de_datos[Hora inicio]&lt;=$B17,IF(base_de_datos[Hora fin]&gt;=$C17,base_de_datos[Materia]&amp;" "&amp;base_de_datos[[Número de grupo ]],""),""),""),""),"")</f>
        <v/>
      </c>
      <c r="Q17" s="28" t="str" cm="1">
        <f t="array" ref="Q17">_xlfn.TEXTJOIN(CHAR(10),TRUE,IF(Profesor=base_de_datos[Profesor],IF("x"=base_de_datos[Viernes],IF(base_de_datos[Hora inicio]&lt;=$B17,IF(base_de_datos[Hora fin]&gt;=$C17,base_de_datos[Aula]&amp;" "&amp;#REF!,""),""),""),""),"")</f>
        <v/>
      </c>
      <c r="R17" s="28" t="str" cm="1">
        <f t="array" ref="R17">_xlfn.TEXTJOIN(CHAR(10),TRUE,IF(Profesor=base_de_datos[Profesor],IF("x"=base_de_datos[Viernes],IF(base_de_datos[Hora inicio]&lt;=$B17,IF(base_de_datos[Hora fin]&gt;=$C17,base_de_datos[No clase],""),""),""),""),"")</f>
        <v/>
      </c>
      <c r="S17" s="28" t="str" cm="1">
        <f t="array" ref="S17">_xlfn.TEXTJOIN(CHAR(10),TRUE,IF(Profesor=base_de_datos[Profesor],IF("x"=base_de_datos[Sábado],IF(base_de_datos[Hora inicio]&lt;=$B17,IF(base_de_datos[Hora fin]&gt;=$C17,base_de_datos[Materia]&amp;" "&amp;base_de_datos[[Número de grupo ]],""),""),""),""),"")</f>
        <v/>
      </c>
      <c r="T17" s="28" t="str" cm="1">
        <f t="array" ref="T17">_xlfn.TEXTJOIN(CHAR(10),TRUE,IF(Profesor=base_de_datos[Profesor],IF("x"=base_de_datos[Sábado],IF(base_de_datos[Hora inicio]&lt;=$B17,IF(base_de_datos[Hora fin]&gt;=$C17,base_de_datos[Aula]&amp;" "&amp;#REF!,""),""),""),""),"")</f>
        <v/>
      </c>
      <c r="U17" s="28" t="str" cm="1">
        <f t="array" ref="U17">_xlfn.TEXTJOIN(CHAR(10),TRUE,IF(Profesor=base_de_datos[Profesor],IF("x"=base_de_datos[Sábado],IF(base_de_datos[Hora inicio]&lt;=$B17,IF(base_de_datos[Hora fin]&gt;=$C17,base_de_datos[No clase],""),""),""),""),"")</f>
        <v/>
      </c>
      <c r="AB17" s="27"/>
      <c r="AC17" s="27"/>
      <c r="AD17" s="27"/>
    </row>
    <row r="18" spans="2:30" ht="14.5" x14ac:dyDescent="0.35">
      <c r="B18" s="92">
        <v>0.5625</v>
      </c>
      <c r="C18" s="92">
        <v>0.58333333333332904</v>
      </c>
      <c r="D18" s="28" t="str" cm="1">
        <f t="array" ref="D18">_xlfn.TEXTJOIN(CHAR(10),TRUE,IF(Profesor=base_de_datos[Profesor],IF("x"=base_de_datos[Lunes],IF(base_de_datos[Hora inicio]&lt;=$B18,IF(base_de_datos[Hora fin]&gt;=$C18,base_de_datos[Materia]&amp;" "&amp;base_de_datos[[Número de grupo ]],""),""),""),""),"")</f>
        <v/>
      </c>
      <c r="E18" s="28" t="str" cm="1">
        <f t="array" ref="E18">_xlfn.TEXTJOIN(CHAR(10),TRUE,IF(Profesor=base_de_datos[Profesor],IF("x"=base_de_datos[Lunes],IF(base_de_datos[Hora inicio]&lt;=$B18,IF(base_de_datos[Hora fin]&gt;=$C18,base_de_datos[Aula]&amp;" "&amp;#REF!,""),""),""),""),"")</f>
        <v/>
      </c>
      <c r="F18" s="28" t="str" cm="1">
        <f t="array" ref="F18">_xlfn.TEXTJOIN(CHAR(10),TRUE,IF(Profesor=base_de_datos[Profesor],IF("x"=base_de_datos[Lunes],IF(base_de_datos[Hora inicio]&lt;=$B18,IF(base_de_datos[Hora fin]&gt;=$C18,base_de_datos[No clase],""),""),""),""),"")</f>
        <v/>
      </c>
      <c r="G18" s="28" t="str" cm="1">
        <f t="array" ref="G18">_xlfn.TEXTJOIN(CHAR(10),TRUE,IF(Profesor=base_de_datos[Profesor],IF("x"=base_de_datos[Martes],IF(base_de_datos[Hora inicio]&lt;=$B18,IF(base_de_datos[Hora fin]&gt;=$C18,base_de_datos[Materia]&amp;" "&amp;base_de_datos[[Número de grupo ]],""),""),""),""),"")</f>
        <v/>
      </c>
      <c r="H18" s="28" t="str" cm="1">
        <f t="array" ref="H18">_xlfn.TEXTJOIN(CHAR(10),TRUE,IF(Profesor=base_de_datos[Profesor],IF("x"=base_de_datos[Martes],IF(base_de_datos[Hora inicio]&lt;=$B18,IF(base_de_datos[Hora fin]&gt;=$C18,base_de_datos[Aula]&amp;" "&amp;#REF!,""),""),""),""),"")</f>
        <v/>
      </c>
      <c r="I18" s="28" t="str" cm="1">
        <f t="array" ref="I18">_xlfn.TEXTJOIN(CHAR(10),TRUE,IF(Profesor=base_de_datos[Profesor],IF("x"=base_de_datos[Martes],IF(base_de_datos[Hora inicio]&lt;=$B18,IF(base_de_datos[Hora fin]&gt;=$C18,base_de_datos[No clase],""),""),""),""),"")</f>
        <v/>
      </c>
      <c r="J18" s="28" t="str" cm="1">
        <f t="array" ref="J18">_xlfn.TEXTJOIN(CHAR(10),TRUE,IF(Profesor=base_de_datos[Profesor],IF("x"=base_de_datos[Miércoles],IF(base_de_datos[Hora inicio]&lt;=$B18,IF(base_de_datos[Hora fin]&gt;=$C18,base_de_datos[Materia]&amp;" "&amp;base_de_datos[[Número de grupo ]],""),""),""),""),"")</f>
        <v/>
      </c>
      <c r="K18" s="28" t="str" cm="1">
        <f t="array" ref="K18">_xlfn.TEXTJOIN(CHAR(10),TRUE,IF(Profesor=base_de_datos[Profesor],IF("x"=base_de_datos[Miércoles],IF(base_de_datos[Hora inicio]&lt;=$B18,IF(base_de_datos[Hora fin]&gt;=$C18,base_de_datos[Aula]&amp;" "&amp;#REF!,""),""),""),""),"")</f>
        <v/>
      </c>
      <c r="L18" s="28" t="str" cm="1">
        <f t="array" ref="L18">_xlfn.TEXTJOIN(CHAR(10),TRUE,IF(Profesor=base_de_datos[Profesor],IF("x"=base_de_datos[Miércoles],IF(base_de_datos[Hora inicio]&lt;=$B18,IF(base_de_datos[Hora fin]&gt;=$C18,base_de_datos[No clase],""),""),""),""),"")</f>
        <v/>
      </c>
      <c r="M18" s="28" t="str" cm="1">
        <f t="array" ref="M18">_xlfn.TEXTJOIN(CHAR(10),TRUE,IF(Profesor=base_de_datos[Profesor],IF("x"=base_de_datos[Jueves],IF(base_de_datos[Hora inicio]&lt;=$B18,IF(base_de_datos[Hora fin]&gt;=$C18,base_de_datos[Materia]&amp;" "&amp;base_de_datos[[Número de grupo ]],""),""),""),""),"")</f>
        <v/>
      </c>
      <c r="N18" s="28" t="str" cm="1">
        <f t="array" ref="N18">_xlfn.TEXTJOIN(CHAR(10),TRUE,IF(Profesor=base_de_datos[Profesor],IF("x"=base_de_datos[Jueves],IF(base_de_datos[Hora inicio]&lt;=$B18,IF(base_de_datos[Hora fin]&gt;=$C18,base_de_datos[Aula]&amp;" "&amp;#REF!,""),""),""),""),"")</f>
        <v/>
      </c>
      <c r="O18" s="28" t="str" cm="1">
        <f t="array" ref="O18">_xlfn.TEXTJOIN(CHAR(10),TRUE,IF(Profesor=base_de_datos[Profesor],IF("x"=base_de_datos[Jueves],IF(base_de_datos[Hora inicio]&lt;=$B18,IF(base_de_datos[Hora fin]&gt;=$C18,base_de_datos[No clase],""),""),""),""),"")</f>
        <v/>
      </c>
      <c r="P18" s="28" t="str" cm="1">
        <f t="array" ref="P18">_xlfn.TEXTJOIN(CHAR(10),TRUE,IF(Profesor=base_de_datos[Profesor],IF("x"=base_de_datos[Viernes],IF(base_de_datos[Hora inicio]&lt;=$B18,IF(base_de_datos[Hora fin]&gt;=$C18,base_de_datos[Materia]&amp;" "&amp;base_de_datos[[Número de grupo ]],""),""),""),""),"")</f>
        <v/>
      </c>
      <c r="Q18" s="28" t="str" cm="1">
        <f t="array" ref="Q18">_xlfn.TEXTJOIN(CHAR(10),TRUE,IF(Profesor=base_de_datos[Profesor],IF("x"=base_de_datos[Viernes],IF(base_de_datos[Hora inicio]&lt;=$B18,IF(base_de_datos[Hora fin]&gt;=$C18,base_de_datos[Aula]&amp;" "&amp;#REF!,""),""),""),""),"")</f>
        <v/>
      </c>
      <c r="R18" s="28" t="str" cm="1">
        <f t="array" ref="R18">_xlfn.TEXTJOIN(CHAR(10),TRUE,IF(Profesor=base_de_datos[Profesor],IF("x"=base_de_datos[Viernes],IF(base_de_datos[Hora inicio]&lt;=$B18,IF(base_de_datos[Hora fin]&gt;=$C18,base_de_datos[No clase],""),""),""),""),"")</f>
        <v/>
      </c>
      <c r="S18" s="28" t="str" cm="1">
        <f t="array" ref="S18">_xlfn.TEXTJOIN(CHAR(10),TRUE,IF(Profesor=base_de_datos[Profesor],IF("x"=base_de_datos[Sábado],IF(base_de_datos[Hora inicio]&lt;=$B18,IF(base_de_datos[Hora fin]&gt;=$C18,base_de_datos[Materia]&amp;" "&amp;base_de_datos[[Número de grupo ]],""),""),""),""),"")</f>
        <v/>
      </c>
      <c r="T18" s="28" t="str" cm="1">
        <f t="array" ref="T18">_xlfn.TEXTJOIN(CHAR(10),TRUE,IF(Profesor=base_de_datos[Profesor],IF("x"=base_de_datos[Sábado],IF(base_de_datos[Hora inicio]&lt;=$B18,IF(base_de_datos[Hora fin]&gt;=$C18,base_de_datos[Aula]&amp;" "&amp;#REF!,""),""),""),""),"")</f>
        <v/>
      </c>
      <c r="U18" s="28" t="str" cm="1">
        <f t="array" ref="U18">_xlfn.TEXTJOIN(CHAR(10),TRUE,IF(Profesor=base_de_datos[Profesor],IF("x"=base_de_datos[Sábado],IF(base_de_datos[Hora inicio]&lt;=$B18,IF(base_de_datos[Hora fin]&gt;=$C18,base_de_datos[No clase],""),""),""),""),"")</f>
        <v/>
      </c>
    </row>
    <row r="19" spans="2:30" ht="14.5" x14ac:dyDescent="0.35">
      <c r="B19" s="92">
        <v>0.58333333333333304</v>
      </c>
      <c r="C19" s="92">
        <v>0.60416666666666197</v>
      </c>
      <c r="D19" s="28" t="str" cm="1">
        <f t="array" ref="D19">_xlfn.TEXTJOIN(CHAR(10),TRUE,IF(Profesor=base_de_datos[Profesor],IF("x"=base_de_datos[Lunes],IF(base_de_datos[Hora inicio]&lt;=$B19,IF(base_de_datos[Hora fin]&gt;=$C19,base_de_datos[Materia]&amp;" "&amp;base_de_datos[[Número de grupo ]],""),""),""),""),"")</f>
        <v/>
      </c>
      <c r="E19" s="28" t="str" cm="1">
        <f t="array" ref="E19">_xlfn.TEXTJOIN(CHAR(10),TRUE,IF(Profesor=base_de_datos[Profesor],IF("x"=base_de_datos[Lunes],IF(base_de_datos[Hora inicio]&lt;=$B19,IF(base_de_datos[Hora fin]&gt;=$C19,base_de_datos[Aula]&amp;" "&amp;#REF!,""),""),""),""),"")</f>
        <v/>
      </c>
      <c r="F19" s="28" t="str" cm="1">
        <f t="array" ref="F19">_xlfn.TEXTJOIN(CHAR(10),TRUE,IF(Profesor=base_de_datos[Profesor],IF("x"=base_de_datos[Lunes],IF(base_de_datos[Hora inicio]&lt;=$B19,IF(base_de_datos[Hora fin]&gt;=$C19,base_de_datos[No clase],""),""),""),""),"")</f>
        <v/>
      </c>
      <c r="G19" s="28" t="str" cm="1">
        <f t="array" ref="G19">_xlfn.TEXTJOIN(CHAR(10),TRUE,IF(Profesor=base_de_datos[Profesor],IF("x"=base_de_datos[Martes],IF(base_de_datos[Hora inicio]&lt;=$B19,IF(base_de_datos[Hora fin]&gt;=$C19,base_de_datos[Materia]&amp;" "&amp;base_de_datos[[Número de grupo ]],""),""),""),""),"")</f>
        <v/>
      </c>
      <c r="H19" s="28" t="str" cm="1">
        <f t="array" ref="H19">_xlfn.TEXTJOIN(CHAR(10),TRUE,IF(Profesor=base_de_datos[Profesor],IF("x"=base_de_datos[Martes],IF(base_de_datos[Hora inicio]&lt;=$B19,IF(base_de_datos[Hora fin]&gt;=$C19,base_de_datos[Aula]&amp;" "&amp;#REF!,""),""),""),""),"")</f>
        <v/>
      </c>
      <c r="I19" s="28" t="str" cm="1">
        <f t="array" ref="I19">_xlfn.TEXTJOIN(CHAR(10),TRUE,IF(Profesor=base_de_datos[Profesor],IF("x"=base_de_datos[Martes],IF(base_de_datos[Hora inicio]&lt;=$B19,IF(base_de_datos[Hora fin]&gt;=$C19,base_de_datos[No clase],""),""),""),""),"")</f>
        <v/>
      </c>
      <c r="J19" s="28" t="str" cm="1">
        <f t="array" ref="J19">_xlfn.TEXTJOIN(CHAR(10),TRUE,IF(Profesor=base_de_datos[Profesor],IF("x"=base_de_datos[Miércoles],IF(base_de_datos[Hora inicio]&lt;=$B19,IF(base_de_datos[Hora fin]&gt;=$C19,base_de_datos[Materia]&amp;" "&amp;base_de_datos[[Número de grupo ]],""),""),""),""),"")</f>
        <v/>
      </c>
      <c r="K19" s="28" t="str" cm="1">
        <f t="array" ref="K19">_xlfn.TEXTJOIN(CHAR(10),TRUE,IF(Profesor=base_de_datos[Profesor],IF("x"=base_de_datos[Miércoles],IF(base_de_datos[Hora inicio]&lt;=$B19,IF(base_de_datos[Hora fin]&gt;=$C19,base_de_datos[Aula]&amp;" "&amp;#REF!,""),""),""),""),"")</f>
        <v/>
      </c>
      <c r="L19" s="28" t="str" cm="1">
        <f t="array" ref="L19">_xlfn.TEXTJOIN(CHAR(10),TRUE,IF(Profesor=base_de_datos[Profesor],IF("x"=base_de_datos[Miércoles],IF(base_de_datos[Hora inicio]&lt;=$B19,IF(base_de_datos[Hora fin]&gt;=$C19,base_de_datos[No clase],""),""),""),""),"")</f>
        <v/>
      </c>
      <c r="M19" s="28" t="str" cm="1">
        <f t="array" ref="M19">_xlfn.TEXTJOIN(CHAR(10),TRUE,IF(Profesor=base_de_datos[Profesor],IF("x"=base_de_datos[Jueves],IF(base_de_datos[Hora inicio]&lt;=$B19,IF(base_de_datos[Hora fin]&gt;=$C19,base_de_datos[Materia]&amp;" "&amp;base_de_datos[[Número de grupo ]],""),""),""),""),"")</f>
        <v/>
      </c>
      <c r="N19" s="28" t="str" cm="1">
        <f t="array" ref="N19">_xlfn.TEXTJOIN(CHAR(10),TRUE,IF(Profesor=base_de_datos[Profesor],IF("x"=base_de_datos[Jueves],IF(base_de_datos[Hora inicio]&lt;=$B19,IF(base_de_datos[Hora fin]&gt;=$C19,base_de_datos[Aula]&amp;" "&amp;#REF!,""),""),""),""),"")</f>
        <v/>
      </c>
      <c r="O19" s="28" t="str" cm="1">
        <f t="array" ref="O19">_xlfn.TEXTJOIN(CHAR(10),TRUE,IF(Profesor=base_de_datos[Profesor],IF("x"=base_de_datos[Jueves],IF(base_de_datos[Hora inicio]&lt;=$B19,IF(base_de_datos[Hora fin]&gt;=$C19,base_de_datos[No clase],""),""),""),""),"")</f>
        <v/>
      </c>
      <c r="P19" s="28" t="str" cm="1">
        <f t="array" ref="P19">_xlfn.TEXTJOIN(CHAR(10),TRUE,IF(Profesor=base_de_datos[Profesor],IF("x"=base_de_datos[Viernes],IF(base_de_datos[Hora inicio]&lt;=$B19,IF(base_de_datos[Hora fin]&gt;=$C19,base_de_datos[Materia]&amp;" "&amp;base_de_datos[[Número de grupo ]],""),""),""),""),"")</f>
        <v/>
      </c>
      <c r="Q19" s="28" t="str" cm="1">
        <f t="array" ref="Q19">_xlfn.TEXTJOIN(CHAR(10),TRUE,IF(Profesor=base_de_datos[Profesor],IF("x"=base_de_datos[Viernes],IF(base_de_datos[Hora inicio]&lt;=$B19,IF(base_de_datos[Hora fin]&gt;=$C19,base_de_datos[Aula]&amp;" "&amp;#REF!,""),""),""),""),"")</f>
        <v/>
      </c>
      <c r="R19" s="28" t="str" cm="1">
        <f t="array" ref="R19">_xlfn.TEXTJOIN(CHAR(10),TRUE,IF(Profesor=base_de_datos[Profesor],IF("x"=base_de_datos[Viernes],IF(base_de_datos[Hora inicio]&lt;=$B19,IF(base_de_datos[Hora fin]&gt;=$C19,base_de_datos[No clase],""),""),""),""),"")</f>
        <v/>
      </c>
      <c r="S19" s="28" t="str" cm="1">
        <f t="array" ref="S19">_xlfn.TEXTJOIN(CHAR(10),TRUE,IF(Profesor=base_de_datos[Profesor],IF("x"=base_de_datos[Sábado],IF(base_de_datos[Hora inicio]&lt;=$B19,IF(base_de_datos[Hora fin]&gt;=$C19,base_de_datos[Materia]&amp;" "&amp;base_de_datos[[Número de grupo ]],""),""),""),""),"")</f>
        <v/>
      </c>
      <c r="T19" s="28" t="str" cm="1">
        <f t="array" ref="T19">_xlfn.TEXTJOIN(CHAR(10),TRUE,IF(Profesor=base_de_datos[Profesor],IF("x"=base_de_datos[Sábado],IF(base_de_datos[Hora inicio]&lt;=$B19,IF(base_de_datos[Hora fin]&gt;=$C19,base_de_datos[Aula]&amp;" "&amp;#REF!,""),""),""),""),"")</f>
        <v/>
      </c>
      <c r="U19" s="28" t="str" cm="1">
        <f t="array" ref="U19">_xlfn.TEXTJOIN(CHAR(10),TRUE,IF(Profesor=base_de_datos[Profesor],IF("x"=base_de_datos[Sábado],IF(base_de_datos[Hora inicio]&lt;=$B19,IF(base_de_datos[Hora fin]&gt;=$C19,base_de_datos[No clase],""),""),""),""),"")</f>
        <v/>
      </c>
    </row>
    <row r="20" spans="2:30" ht="14.5" x14ac:dyDescent="0.35">
      <c r="B20" s="92">
        <v>0.60416666666666696</v>
      </c>
      <c r="C20" s="92">
        <v>0.624999999999995</v>
      </c>
      <c r="D20" s="28" t="str" cm="1">
        <f t="array" ref="D20">_xlfn.TEXTJOIN(CHAR(10),TRUE,IF(Profesor=base_de_datos[Profesor],IF("x"=base_de_datos[Lunes],IF(base_de_datos[Hora inicio]&lt;=$B20,IF(base_de_datos[Hora fin]&gt;=$C20,base_de_datos[Materia]&amp;" "&amp;base_de_datos[[Número de grupo ]],""),""),""),""),"")</f>
        <v/>
      </c>
      <c r="E20" s="28" t="str" cm="1">
        <f t="array" ref="E20">_xlfn.TEXTJOIN(CHAR(10),TRUE,IF(Profesor=base_de_datos[Profesor],IF("x"=base_de_datos[Lunes],IF(base_de_datos[Hora inicio]&lt;=$B20,IF(base_de_datos[Hora fin]&gt;=$C20,base_de_datos[Aula]&amp;" "&amp;#REF!,""),""),""),""),"")</f>
        <v/>
      </c>
      <c r="F20" s="28" t="str" cm="1">
        <f t="array" ref="F20">_xlfn.TEXTJOIN(CHAR(10),TRUE,IF(Profesor=base_de_datos[Profesor],IF("x"=base_de_datos[Lunes],IF(base_de_datos[Hora inicio]&lt;=$B20,IF(base_de_datos[Hora fin]&gt;=$C20,base_de_datos[No clase],""),""),""),""),"")</f>
        <v/>
      </c>
      <c r="G20" s="28" t="str" cm="1">
        <f t="array" ref="G20">_xlfn.TEXTJOIN(CHAR(10),TRUE,IF(Profesor=base_de_datos[Profesor],IF("x"=base_de_datos[Martes],IF(base_de_datos[Hora inicio]&lt;=$B20,IF(base_de_datos[Hora fin]&gt;=$C20,base_de_datos[Materia]&amp;" "&amp;base_de_datos[[Número de grupo ]],""),""),""),""),"")</f>
        <v/>
      </c>
      <c r="H20" s="28" t="str" cm="1">
        <f t="array" ref="H20">_xlfn.TEXTJOIN(CHAR(10),TRUE,IF(Profesor=base_de_datos[Profesor],IF("x"=base_de_datos[Martes],IF(base_de_datos[Hora inicio]&lt;=$B20,IF(base_de_datos[Hora fin]&gt;=$C20,base_de_datos[Aula]&amp;" "&amp;#REF!,""),""),""),""),"")</f>
        <v/>
      </c>
      <c r="I20" s="28" t="str" cm="1">
        <f t="array" ref="I20">_xlfn.TEXTJOIN(CHAR(10),TRUE,IF(Profesor=base_de_datos[Profesor],IF("x"=base_de_datos[Martes],IF(base_de_datos[Hora inicio]&lt;=$B20,IF(base_de_datos[Hora fin]&gt;=$C20,base_de_datos[No clase],""),""),""),""),"")</f>
        <v/>
      </c>
      <c r="J20" s="28" t="str" cm="1">
        <f t="array" ref="J20">_xlfn.TEXTJOIN(CHAR(10),TRUE,IF(Profesor=base_de_datos[Profesor],IF("x"=base_de_datos[Miércoles],IF(base_de_datos[Hora inicio]&lt;=$B20,IF(base_de_datos[Hora fin]&gt;=$C20,base_de_datos[Materia]&amp;" "&amp;base_de_datos[[Número de grupo ]],""),""),""),""),"")</f>
        <v/>
      </c>
      <c r="K20" s="28" t="str" cm="1">
        <f t="array" ref="K20">_xlfn.TEXTJOIN(CHAR(10),TRUE,IF(Profesor=base_de_datos[Profesor],IF("x"=base_de_datos[Miércoles],IF(base_de_datos[Hora inicio]&lt;=$B20,IF(base_de_datos[Hora fin]&gt;=$C20,base_de_datos[Aula]&amp;" "&amp;#REF!,""),""),""),""),"")</f>
        <v/>
      </c>
      <c r="L20" s="28" t="str" cm="1">
        <f t="array" ref="L20">_xlfn.TEXTJOIN(CHAR(10),TRUE,IF(Profesor=base_de_datos[Profesor],IF("x"=base_de_datos[Miércoles],IF(base_de_datos[Hora inicio]&lt;=$B20,IF(base_de_datos[Hora fin]&gt;=$C20,base_de_datos[No clase],""),""),""),""),"")</f>
        <v/>
      </c>
      <c r="M20" s="28" t="str" cm="1">
        <f t="array" ref="M20">_xlfn.TEXTJOIN(CHAR(10),TRUE,IF(Profesor=base_de_datos[Profesor],IF("x"=base_de_datos[Jueves],IF(base_de_datos[Hora inicio]&lt;=$B20,IF(base_de_datos[Hora fin]&gt;=$C20,base_de_datos[Materia]&amp;" "&amp;base_de_datos[[Número de grupo ]],""),""),""),""),"")</f>
        <v/>
      </c>
      <c r="N20" s="28" t="str" cm="1">
        <f t="array" ref="N20">_xlfn.TEXTJOIN(CHAR(10),TRUE,IF(Profesor=base_de_datos[Profesor],IF("x"=base_de_datos[Jueves],IF(base_de_datos[Hora inicio]&lt;=$B20,IF(base_de_datos[Hora fin]&gt;=$C20,base_de_datos[Aula]&amp;" "&amp;#REF!,""),""),""),""),"")</f>
        <v/>
      </c>
      <c r="O20" s="28" t="str" cm="1">
        <f t="array" ref="O20">_xlfn.TEXTJOIN(CHAR(10),TRUE,IF(Profesor=base_de_datos[Profesor],IF("x"=base_de_datos[Jueves],IF(base_de_datos[Hora inicio]&lt;=$B20,IF(base_de_datos[Hora fin]&gt;=$C20,base_de_datos[No clase],""),""),""),""),"")</f>
        <v/>
      </c>
      <c r="P20" s="28" t="str" cm="1">
        <f t="array" ref="P20">_xlfn.TEXTJOIN(CHAR(10),TRUE,IF(Profesor=base_de_datos[Profesor],IF("x"=base_de_datos[Viernes],IF(base_de_datos[Hora inicio]&lt;=$B20,IF(base_de_datos[Hora fin]&gt;=$C20,base_de_datos[Materia]&amp;" "&amp;base_de_datos[[Número de grupo ]],""),""),""),""),"")</f>
        <v/>
      </c>
      <c r="Q20" s="28" t="str" cm="1">
        <f t="array" ref="Q20">_xlfn.TEXTJOIN(CHAR(10),TRUE,IF(Profesor=base_de_datos[Profesor],IF("x"=base_de_datos[Viernes],IF(base_de_datos[Hora inicio]&lt;=$B20,IF(base_de_datos[Hora fin]&gt;=$C20,base_de_datos[Aula]&amp;" "&amp;#REF!,""),""),""),""),"")</f>
        <v/>
      </c>
      <c r="R20" s="28" t="str" cm="1">
        <f t="array" ref="R20">_xlfn.TEXTJOIN(CHAR(10),TRUE,IF(Profesor=base_de_datos[Profesor],IF("x"=base_de_datos[Viernes],IF(base_de_datos[Hora inicio]&lt;=$B20,IF(base_de_datos[Hora fin]&gt;=$C20,base_de_datos[No clase],""),""),""),""),"")</f>
        <v/>
      </c>
      <c r="S20" s="28" t="str" cm="1">
        <f t="array" ref="S20">_xlfn.TEXTJOIN(CHAR(10),TRUE,IF(Profesor=base_de_datos[Profesor],IF("x"=base_de_datos[Sábado],IF(base_de_datos[Hora inicio]&lt;=$B20,IF(base_de_datos[Hora fin]&gt;=$C20,base_de_datos[Materia]&amp;" "&amp;base_de_datos[[Número de grupo ]],""),""),""),""),"")</f>
        <v/>
      </c>
      <c r="T20" s="28" t="str" cm="1">
        <f t="array" ref="T20">_xlfn.TEXTJOIN(CHAR(10),TRUE,IF(Profesor=base_de_datos[Profesor],IF("x"=base_de_datos[Sábado],IF(base_de_datos[Hora inicio]&lt;=$B20,IF(base_de_datos[Hora fin]&gt;=$C20,base_de_datos[Aula]&amp;" "&amp;#REF!,""),""),""),""),"")</f>
        <v/>
      </c>
      <c r="U20" s="28" t="str" cm="1">
        <f t="array" ref="U20">_xlfn.TEXTJOIN(CHAR(10),TRUE,IF(Profesor=base_de_datos[Profesor],IF("x"=base_de_datos[Sábado],IF(base_de_datos[Hora inicio]&lt;=$B20,IF(base_de_datos[Hora fin]&gt;=$C20,base_de_datos[No clase],""),""),""),""),"")</f>
        <v/>
      </c>
    </row>
    <row r="21" spans="2:30" ht="14.5" x14ac:dyDescent="0.35">
      <c r="B21" s="92">
        <v>0.625</v>
      </c>
      <c r="C21" s="92">
        <v>0.64583333333332804</v>
      </c>
      <c r="D21" s="29" t="str" cm="1">
        <f t="array" ref="D21">_xlfn.TEXTJOIN(CHAR(10),TRUE,IF(Profesor=base_de_datos[Profesor],IF("x"=base_de_datos[Lunes],IF(base_de_datos[Hora inicio]&lt;=$B21,IF(base_de_datos[Hora fin]&gt;=$C21,base_de_datos[Materia]&amp;" "&amp;base_de_datos[[Número de grupo ]],""),""),""),""),"")</f>
        <v/>
      </c>
      <c r="E21" s="29" t="str" cm="1">
        <f t="array" ref="E21">_xlfn.TEXTJOIN(CHAR(10),TRUE,IF(Profesor=base_de_datos[Profesor],IF("x"=base_de_datos[Lunes],IF(base_de_datos[Hora inicio]&lt;=$B21,IF(base_de_datos[Hora fin]&gt;=$C21,base_de_datos[Aula]&amp;" "&amp;#REF!,""),""),""),""),"")</f>
        <v/>
      </c>
      <c r="F21" s="29" t="str" cm="1">
        <f t="array" ref="F21">_xlfn.TEXTJOIN(CHAR(10),TRUE,IF(Profesor=base_de_datos[Profesor],IF("x"=base_de_datos[Lunes],IF(base_de_datos[Hora inicio]&lt;=$B21,IF(base_de_datos[Hora fin]&gt;=$C21,base_de_datos[No clase],""),""),""),""),"")</f>
        <v/>
      </c>
      <c r="G21" s="28" t="str" cm="1">
        <f t="array" ref="G21">_xlfn.TEXTJOIN(CHAR(10),TRUE,IF(Profesor=base_de_datos[Profesor],IF("x"=base_de_datos[Martes],IF(base_de_datos[Hora inicio]&lt;=$B21,IF(base_de_datos[Hora fin]&gt;=$C21,base_de_datos[Materia]&amp;" "&amp;base_de_datos[[Número de grupo ]],""),""),""),""),"")</f>
        <v/>
      </c>
      <c r="H21" s="28" t="str" cm="1">
        <f t="array" ref="H21">_xlfn.TEXTJOIN(CHAR(10),TRUE,IF(Profesor=base_de_datos[Profesor],IF("x"=base_de_datos[Martes],IF(base_de_datos[Hora inicio]&lt;=$B21,IF(base_de_datos[Hora fin]&gt;=$C21,base_de_datos[Aula]&amp;" "&amp;#REF!,""),""),""),""),"")</f>
        <v/>
      </c>
      <c r="I21" s="28" t="str" cm="1">
        <f t="array" ref="I21">_xlfn.TEXTJOIN(CHAR(10),TRUE,IF(Profesor=base_de_datos[Profesor],IF("x"=base_de_datos[Martes],IF(base_de_datos[Hora inicio]&lt;=$B21,IF(base_de_datos[Hora fin]&gt;=$C21,base_de_datos[No clase],""),""),""),""),"")</f>
        <v/>
      </c>
      <c r="J21" s="29" t="str" cm="1">
        <f t="array" ref="J21">_xlfn.TEXTJOIN(CHAR(10),TRUE,IF(Profesor=base_de_datos[Profesor],IF("x"=base_de_datos[Lunes],IF(base_de_datos[Hora inicio]&lt;=$B21,IF(base_de_datos[Hora fin]&gt;=$C21,base_de_datos[Materia]&amp;" "&amp;base_de_datos[[Número de grupo ]],""),""),""),""),"")</f>
        <v/>
      </c>
      <c r="K21" s="29" t="str" cm="1">
        <f t="array" ref="K21">_xlfn.TEXTJOIN(CHAR(10),TRUE,IF(Profesor=base_de_datos[Profesor],IF("x"=base_de_datos[Lunes],IF(base_de_datos[Hora inicio]&lt;=$B21,IF(base_de_datos[Hora fin]&gt;=$C21,base_de_datos[Aula]&amp;" "&amp;#REF!,""),""),""),""),"")</f>
        <v/>
      </c>
      <c r="L21" s="29" t="str" cm="1">
        <f t="array" ref="L21">_xlfn.TEXTJOIN(CHAR(10),TRUE,IF(Profesor=base_de_datos[Profesor],IF("x"=base_de_datos[Lunes],IF(base_de_datos[Hora inicio]&lt;=$B21,IF(base_de_datos[Hora fin]&gt;=$C21,base_de_datos[No clase],""),""),""),""),"")</f>
        <v/>
      </c>
      <c r="M21" s="28" t="str" cm="1">
        <f t="array" ref="M21">_xlfn.TEXTJOIN(CHAR(10),TRUE,IF(Profesor=base_de_datos[Profesor],IF("x"=base_de_datos[Jueves],IF(base_de_datos[Hora inicio]&lt;=$B21,IF(base_de_datos[Hora fin]&gt;=$C21,base_de_datos[Materia]&amp;" "&amp;base_de_datos[[Número de grupo ]],""),""),""),""),"")</f>
        <v/>
      </c>
      <c r="N21" s="28" t="str" cm="1">
        <f t="array" ref="N21">_xlfn.TEXTJOIN(CHAR(10),TRUE,IF(Profesor=base_de_datos[Profesor],IF("x"=base_de_datos[Jueves],IF(base_de_datos[Hora inicio]&lt;=$B21,IF(base_de_datos[Hora fin]&gt;=$C21,base_de_datos[Aula]&amp;" "&amp;#REF!,""),""),""),""),"")</f>
        <v/>
      </c>
      <c r="O21" s="28" t="str" cm="1">
        <f t="array" ref="O21">_xlfn.TEXTJOIN(CHAR(10),TRUE,IF(Profesor=base_de_datos[Profesor],IF("x"=base_de_datos[Jueves],IF(base_de_datos[Hora inicio]&lt;=$B21,IF(base_de_datos[Hora fin]&gt;=$C21,base_de_datos[No clase],""),""),""),""),"")</f>
        <v/>
      </c>
      <c r="P21" s="29" t="str" cm="1">
        <f t="array" ref="P21">_xlfn.TEXTJOIN(CHAR(10),TRUE,IF(Profesor=base_de_datos[Profesor],IF("x"=base_de_datos[Viernes],IF(base_de_datos[Hora inicio]&lt;=$B21,IF(base_de_datos[Hora fin]&gt;=$C21,base_de_datos[Materia]&amp;" "&amp;base_de_datos[[Número de grupo ]],""),""),""),""),"")</f>
        <v/>
      </c>
      <c r="Q21" s="29" t="str" cm="1">
        <f t="array" ref="Q21">_xlfn.TEXTJOIN(CHAR(10),TRUE,IF(Profesor=base_de_datos[Profesor],IF("x"=base_de_datos[Viernes],IF(base_de_datos[Hora inicio]&lt;=$B21,IF(base_de_datos[Hora fin]&gt;=$C21,base_de_datos[Aula]&amp;" "&amp;#REF!,""),""),""),""),"")</f>
        <v/>
      </c>
      <c r="R21" s="29" t="str" cm="1">
        <f t="array" ref="R21">_xlfn.TEXTJOIN(CHAR(10),TRUE,IF(Profesor=base_de_datos[Profesor],IF("x"=base_de_datos[Viernes],IF(base_de_datos[Hora inicio]&lt;=$B21,IF(base_de_datos[Hora fin]&gt;=$C21,base_de_datos[No clase],""),""),""),""),"")</f>
        <v/>
      </c>
      <c r="S21" s="28" t="str" cm="1">
        <f t="array" ref="S21">_xlfn.TEXTJOIN(CHAR(10),TRUE,IF(Profesor=base_de_datos[Profesor],IF("x"=base_de_datos[Sábado],IF(base_de_datos[Hora inicio]&lt;=$B21,IF(base_de_datos[Hora fin]&gt;=$C21,base_de_datos[Materia]&amp;" "&amp;base_de_datos[[Número de grupo ]],""),""),""),""),"")</f>
        <v/>
      </c>
      <c r="T21" s="28" t="str" cm="1">
        <f t="array" ref="T21">_xlfn.TEXTJOIN(CHAR(10),TRUE,IF(Profesor=base_de_datos[Profesor],IF("x"=base_de_datos[Sábado],IF(base_de_datos[Hora inicio]&lt;=$B21,IF(base_de_datos[Hora fin]&gt;=$C21,base_de_datos[Aula]&amp;" "&amp;#REF!,""),""),""),""),"")</f>
        <v/>
      </c>
      <c r="U21" s="28" t="str" cm="1">
        <f t="array" ref="U21">_xlfn.TEXTJOIN(CHAR(10),TRUE,IF(Profesor=base_de_datos[Profesor],IF("x"=base_de_datos[Sábado],IF(base_de_datos[Hora inicio]&lt;=$B21,IF(base_de_datos[Hora fin]&gt;=$C21,base_de_datos[No clase],""),""),""),""),"")</f>
        <v/>
      </c>
    </row>
    <row r="22" spans="2:30" ht="14.5" x14ac:dyDescent="0.35">
      <c r="B22" s="92">
        <v>0.64583333333333304</v>
      </c>
      <c r="C22" s="92">
        <v>0.66666666666666097</v>
      </c>
      <c r="D22" s="29" t="str" cm="1">
        <f t="array" ref="D22">_xlfn.TEXTJOIN(CHAR(10),TRUE,IF(Profesor=base_de_datos[Profesor],IF("x"=base_de_datos[Lunes],IF(base_de_datos[Hora inicio]&lt;=$B22,IF(base_de_datos[Hora fin]&gt;=$C22,base_de_datos[Materia]&amp;" "&amp;base_de_datos[[Número de grupo ]],""),""),""),""),"")</f>
        <v/>
      </c>
      <c r="E22" s="29" t="str" cm="1">
        <f t="array" ref="E22">_xlfn.TEXTJOIN(CHAR(10),TRUE,IF(Profesor=base_de_datos[Profesor],IF("x"=base_de_datos[Lunes],IF(base_de_datos[Hora inicio]&lt;=$B22,IF(base_de_datos[Hora fin]&gt;=$C22,base_de_datos[Aula]&amp;" "&amp;#REF!,""),""),""),""),"")</f>
        <v/>
      </c>
      <c r="F22" s="29" t="str" cm="1">
        <f t="array" ref="F22">_xlfn.TEXTJOIN(CHAR(10),TRUE,IF(Profesor=base_de_datos[Profesor],IF("x"=base_de_datos[Lunes],IF(base_de_datos[Hora inicio]&lt;=$B22,IF(base_de_datos[Hora fin]&gt;=$C22,base_de_datos[No clase],""),""),""),""),"")</f>
        <v/>
      </c>
      <c r="G22" s="28" t="str" cm="1">
        <f t="array" ref="G22">_xlfn.TEXTJOIN(CHAR(10),TRUE,IF(Profesor=base_de_datos[Profesor],IF("x"=base_de_datos[Martes],IF(base_de_datos[Hora inicio]&lt;=$B22,IF(base_de_datos[Hora fin]&gt;=$C22,base_de_datos[Materia]&amp;" "&amp;base_de_datos[[Número de grupo ]],""),""),""),""),"")</f>
        <v/>
      </c>
      <c r="H22" s="28" t="str" cm="1">
        <f t="array" ref="H22">_xlfn.TEXTJOIN(CHAR(10),TRUE,IF(Profesor=base_de_datos[Profesor],IF("x"=base_de_datos[Martes],IF(base_de_datos[Hora inicio]&lt;=$B22,IF(base_de_datos[Hora fin]&gt;=$C22,base_de_datos[Aula]&amp;" "&amp;#REF!,""),""),""),""),"")</f>
        <v/>
      </c>
      <c r="I22" s="28" t="str" cm="1">
        <f t="array" ref="I22">_xlfn.TEXTJOIN(CHAR(10),TRUE,IF(Profesor=base_de_datos[Profesor],IF("x"=base_de_datos[Martes],IF(base_de_datos[Hora inicio]&lt;=$B22,IF(base_de_datos[Hora fin]&gt;=$C22,base_de_datos[No clase],""),""),""),""),"")</f>
        <v/>
      </c>
      <c r="J22" s="29" t="str" cm="1">
        <f t="array" ref="J22">_xlfn.TEXTJOIN(CHAR(10),TRUE,IF(Profesor=base_de_datos[Profesor],IF("x"=base_de_datos[Lunes],IF(base_de_datos[Hora inicio]&lt;=$B22,IF(base_de_datos[Hora fin]&gt;=$C22,base_de_datos[Materia]&amp;" "&amp;base_de_datos[[Número de grupo ]],""),""),""),""),"")</f>
        <v/>
      </c>
      <c r="K22" s="29" t="str" cm="1">
        <f t="array" ref="K22">_xlfn.TEXTJOIN(CHAR(10),TRUE,IF(Profesor=base_de_datos[Profesor],IF("x"=base_de_datos[Lunes],IF(base_de_datos[Hora inicio]&lt;=$B22,IF(base_de_datos[Hora fin]&gt;=$C22,base_de_datos[Aula]&amp;" "&amp;#REF!,""),""),""),""),"")</f>
        <v/>
      </c>
      <c r="L22" s="29" t="str" cm="1">
        <f t="array" ref="L22">_xlfn.TEXTJOIN(CHAR(10),TRUE,IF(Profesor=base_de_datos[Profesor],IF("x"=base_de_datos[Lunes],IF(base_de_datos[Hora inicio]&lt;=$B22,IF(base_de_datos[Hora fin]&gt;=$C22,base_de_datos[No clase],""),""),""),""),"")</f>
        <v/>
      </c>
      <c r="M22" s="28" t="str" cm="1">
        <f t="array" ref="M22">_xlfn.TEXTJOIN(CHAR(10),TRUE,IF(Profesor=base_de_datos[Profesor],IF("x"=base_de_datos[Jueves],IF(base_de_datos[Hora inicio]&lt;=$B22,IF(base_de_datos[Hora fin]&gt;=$C22,base_de_datos[Materia]&amp;" "&amp;base_de_datos[[Número de grupo ]],""),""),""),""),"")</f>
        <v/>
      </c>
      <c r="N22" s="28" t="str" cm="1">
        <f t="array" ref="N22">_xlfn.TEXTJOIN(CHAR(10),TRUE,IF(Profesor=base_de_datos[Profesor],IF("x"=base_de_datos[Jueves],IF(base_de_datos[Hora inicio]&lt;=$B22,IF(base_de_datos[Hora fin]&gt;=$C22,base_de_datos[Aula]&amp;" "&amp;#REF!,""),""),""),""),"")</f>
        <v/>
      </c>
      <c r="O22" s="28" t="str" cm="1">
        <f t="array" ref="O22">_xlfn.TEXTJOIN(CHAR(10),TRUE,IF(Profesor=base_de_datos[Profesor],IF("x"=base_de_datos[Jueves],IF(base_de_datos[Hora inicio]&lt;=$B22,IF(base_de_datos[Hora fin]&gt;=$C22,base_de_datos[No clase],""),""),""),""),"")</f>
        <v/>
      </c>
      <c r="P22" s="29" t="str" cm="1">
        <f t="array" ref="P22">_xlfn.TEXTJOIN(CHAR(10),TRUE,IF(Profesor=base_de_datos[Profesor],IF("x"=base_de_datos[Viernes],IF(base_de_datos[Hora inicio]&lt;=$B22,IF(base_de_datos[Hora fin]&gt;=$C22,base_de_datos[Materia]&amp;" "&amp;base_de_datos[[Número de grupo ]],""),""),""),""),"")</f>
        <v/>
      </c>
      <c r="Q22" s="29" t="str" cm="1">
        <f t="array" ref="Q22">_xlfn.TEXTJOIN(CHAR(10),TRUE,IF(Profesor=base_de_datos[Profesor],IF("x"=base_de_datos[Viernes],IF(base_de_datos[Hora inicio]&lt;=$B22,IF(base_de_datos[Hora fin]&gt;=$C22,base_de_datos[Aula]&amp;" "&amp;#REF!,""),""),""),""),"")</f>
        <v/>
      </c>
      <c r="R22" s="29" t="str" cm="1">
        <f t="array" ref="R22">_xlfn.TEXTJOIN(CHAR(10),TRUE,IF(Profesor=base_de_datos[Profesor],IF("x"=base_de_datos[Viernes],IF(base_de_datos[Hora inicio]&lt;=$B22,IF(base_de_datos[Hora fin]&gt;=$C22,base_de_datos[No clase],""),""),""),""),"")</f>
        <v/>
      </c>
      <c r="S22" s="28" t="str" cm="1">
        <f t="array" ref="S22">_xlfn.TEXTJOIN(CHAR(10),TRUE,IF(Profesor=base_de_datos[Profesor],IF("x"=base_de_datos[Sábado],IF(base_de_datos[Hora inicio]&lt;=$B22,IF(base_de_datos[Hora fin]&gt;=$C22,base_de_datos[Materia]&amp;" "&amp;base_de_datos[[Número de grupo ]],""),""),""),""),"")</f>
        <v/>
      </c>
      <c r="T22" s="28" t="str" cm="1">
        <f t="array" ref="T22">_xlfn.TEXTJOIN(CHAR(10),TRUE,IF(Profesor=base_de_datos[Profesor],IF("x"=base_de_datos[Sábado],IF(base_de_datos[Hora inicio]&lt;=$B22,IF(base_de_datos[Hora fin]&gt;=$C22,base_de_datos[Aula]&amp;" "&amp;#REF!,""),""),""),""),"")</f>
        <v/>
      </c>
      <c r="U22" s="28" t="str" cm="1">
        <f t="array" ref="U22">_xlfn.TEXTJOIN(CHAR(10),TRUE,IF(Profesor=base_de_datos[Profesor],IF("x"=base_de_datos[Sábado],IF(base_de_datos[Hora inicio]&lt;=$B22,IF(base_de_datos[Hora fin]&gt;=$C22,base_de_datos[No clase],""),""),""),""),"")</f>
        <v/>
      </c>
    </row>
    <row r="23" spans="2:30" ht="14.5" x14ac:dyDescent="0.35">
      <c r="B23" s="92">
        <v>0.66666666666666696</v>
      </c>
      <c r="C23" s="92">
        <v>0.687499999999994</v>
      </c>
      <c r="D23" s="29" t="str" cm="1">
        <f t="array" ref="D23">_xlfn.TEXTJOIN(CHAR(10),TRUE,IF(Profesor=base_de_datos[Profesor],IF("x"=base_de_datos[Lunes],IF(base_de_datos[Hora inicio]&lt;=$B23,IF(base_de_datos[Hora fin]&gt;=$C23,base_de_datos[Materia]&amp;" "&amp;base_de_datos[[Número de grupo ]],""),""),""),""),"")</f>
        <v/>
      </c>
      <c r="E23" s="29" t="str" cm="1">
        <f t="array" ref="E23">_xlfn.TEXTJOIN(CHAR(10),TRUE,IF(Profesor=base_de_datos[Profesor],IF("x"=base_de_datos[Lunes],IF(base_de_datos[Hora inicio]&lt;=$B23,IF(base_de_datos[Hora fin]&gt;=$C23,base_de_datos[Aula]&amp;" "&amp;#REF!,""),""),""),""),"")</f>
        <v/>
      </c>
      <c r="F23" s="29" t="str" cm="1">
        <f t="array" ref="F23">_xlfn.TEXTJOIN(CHAR(10),TRUE,IF(Profesor=base_de_datos[Profesor],IF("x"=base_de_datos[Lunes],IF(base_de_datos[Hora inicio]&lt;=$B23,IF(base_de_datos[Hora fin]&gt;=$C23,base_de_datos[No clase],""),""),""),""),"")</f>
        <v/>
      </c>
      <c r="G23" s="28" t="str" cm="1">
        <f t="array" ref="G23">_xlfn.TEXTJOIN(CHAR(10),TRUE,IF(Profesor=base_de_datos[Profesor],IF("x"=base_de_datos[Martes],IF(base_de_datos[Hora inicio]&lt;=$B23,IF(base_de_datos[Hora fin]&gt;=$C23,base_de_datos[Materia]&amp;" "&amp;base_de_datos[[Número de grupo ]],""),""),""),""),"")</f>
        <v/>
      </c>
      <c r="H23" s="28" t="str" cm="1">
        <f t="array" ref="H23">_xlfn.TEXTJOIN(CHAR(10),TRUE,IF(Profesor=base_de_datos[Profesor],IF("x"=base_de_datos[Martes],IF(base_de_datos[Hora inicio]&lt;=$B23,IF(base_de_datos[Hora fin]&gt;=$C23,base_de_datos[Aula]&amp;" "&amp;#REF!,""),""),""),""),"")</f>
        <v/>
      </c>
      <c r="I23" s="28" t="str" cm="1">
        <f t="array" ref="I23">_xlfn.TEXTJOIN(CHAR(10),TRUE,IF(Profesor=base_de_datos[Profesor],IF("x"=base_de_datos[Martes],IF(base_de_datos[Hora inicio]&lt;=$B23,IF(base_de_datos[Hora fin]&gt;=$C23,base_de_datos[No clase],""),""),""),""),"")</f>
        <v/>
      </c>
      <c r="J23" s="29" t="str" cm="1">
        <f t="array" ref="J23">_xlfn.TEXTJOIN(CHAR(10),TRUE,IF(Profesor=base_de_datos[Profesor],IF("x"=base_de_datos[Lunes],IF(base_de_datos[Hora inicio]&lt;=$B23,IF(base_de_datos[Hora fin]&gt;=$C23,base_de_datos[Materia]&amp;" "&amp;base_de_datos[[Número de grupo ]],""),""),""),""),"")</f>
        <v/>
      </c>
      <c r="K23" s="29" t="str" cm="1">
        <f t="array" ref="K23">_xlfn.TEXTJOIN(CHAR(10),TRUE,IF(Profesor=base_de_datos[Profesor],IF("x"=base_de_datos[Lunes],IF(base_de_datos[Hora inicio]&lt;=$B23,IF(base_de_datos[Hora fin]&gt;=$C23,base_de_datos[Aula]&amp;" "&amp;#REF!,""),""),""),""),"")</f>
        <v/>
      </c>
      <c r="L23" s="29" t="str" cm="1">
        <f t="array" ref="L23">_xlfn.TEXTJOIN(CHAR(10),TRUE,IF(Profesor=base_de_datos[Profesor],IF("x"=base_de_datos[Lunes],IF(base_de_datos[Hora inicio]&lt;=$B23,IF(base_de_datos[Hora fin]&gt;=$C23,base_de_datos[No clase],""),""),""),""),"")</f>
        <v/>
      </c>
      <c r="M23" s="28" t="str" cm="1">
        <f t="array" ref="M23">_xlfn.TEXTJOIN(CHAR(10),TRUE,IF(Profesor=base_de_datos[Profesor],IF("x"=base_de_datos[Jueves],IF(base_de_datos[Hora inicio]&lt;=$B23,IF(base_de_datos[Hora fin]&gt;=$C23,base_de_datos[Materia]&amp;" "&amp;base_de_datos[[Número de grupo ]],""),""),""),""),"")</f>
        <v/>
      </c>
      <c r="N23" s="28" t="str" cm="1">
        <f t="array" ref="N23">_xlfn.TEXTJOIN(CHAR(10),TRUE,IF(Profesor=base_de_datos[Profesor],IF("x"=base_de_datos[Jueves],IF(base_de_datos[Hora inicio]&lt;=$B23,IF(base_de_datos[Hora fin]&gt;=$C23,base_de_datos[Aula]&amp;" "&amp;#REF!,""),""),""),""),"")</f>
        <v/>
      </c>
      <c r="O23" s="28" t="str" cm="1">
        <f t="array" ref="O23">_xlfn.TEXTJOIN(CHAR(10),TRUE,IF(Profesor=base_de_datos[Profesor],IF("x"=base_de_datos[Jueves],IF(base_de_datos[Hora inicio]&lt;=$B23,IF(base_de_datos[Hora fin]&gt;=$C23,base_de_datos[No clase],""),""),""),""),"")</f>
        <v/>
      </c>
      <c r="P23" s="28" t="str" cm="1">
        <f t="array" ref="P23">_xlfn.TEXTJOIN(CHAR(10),TRUE,IF(Profesor=base_de_datos[Profesor],IF("x"=base_de_datos[Viernes],IF(base_de_datos[Hora inicio]&lt;=$B23,IF(base_de_datos[Hora fin]&gt;=$C23,base_de_datos[Materia]&amp;" "&amp;base_de_datos[[Número de grupo ]],""),""),""),""),"")</f>
        <v/>
      </c>
      <c r="Q23" s="28" t="str" cm="1">
        <f t="array" ref="Q23">_xlfn.TEXTJOIN(CHAR(10),TRUE,IF(Profesor=base_de_datos[Profesor],IF("x"=base_de_datos[Viernes],IF(base_de_datos[Hora inicio]&lt;=$B23,IF(base_de_datos[Hora fin]&gt;=$C23,base_de_datos[Aula]&amp;" "&amp;#REF!,""),""),""),""),"")</f>
        <v/>
      </c>
      <c r="R23" s="28" t="str" cm="1">
        <f t="array" ref="R23">_xlfn.TEXTJOIN(CHAR(10),TRUE,IF(Profesor=base_de_datos[Profesor],IF("x"=base_de_datos[Viernes],IF(base_de_datos[Hora inicio]&lt;=$B23,IF(base_de_datos[Hora fin]&gt;=$C23,base_de_datos[No clase],""),""),""),""),"")</f>
        <v/>
      </c>
      <c r="S23" s="28" t="str" cm="1">
        <f t="array" ref="S23">_xlfn.TEXTJOIN(CHAR(10),TRUE,IF(Profesor=base_de_datos[Profesor],IF("x"=base_de_datos[Sábado],IF(base_de_datos[Hora inicio]&lt;=$B23,IF(base_de_datos[Hora fin]&gt;=$C23,base_de_datos[Materia]&amp;" "&amp;base_de_datos[[Número de grupo ]],""),""),""),""),"")</f>
        <v/>
      </c>
      <c r="T23" s="28" t="str" cm="1">
        <f t="array" ref="T23">_xlfn.TEXTJOIN(CHAR(10),TRUE,IF(Profesor=base_de_datos[Profesor],IF("x"=base_de_datos[Sábado],IF(base_de_datos[Hora inicio]&lt;=$B23,IF(base_de_datos[Hora fin]&gt;=$C23,base_de_datos[Aula]&amp;" "&amp;#REF!,""),""),""),""),"")</f>
        <v/>
      </c>
      <c r="U23" s="28" t="str" cm="1">
        <f t="array" ref="U23">_xlfn.TEXTJOIN(CHAR(10),TRUE,IF(Profesor=base_de_datos[Profesor],IF("x"=base_de_datos[Sábado],IF(base_de_datos[Hora inicio]&lt;=$B23,IF(base_de_datos[Hora fin]&gt;=$C23,base_de_datos[No clase],""),""),""),""),"")</f>
        <v/>
      </c>
    </row>
    <row r="24" spans="2:30" ht="14.5" x14ac:dyDescent="0.35">
      <c r="B24" s="92">
        <v>0.6875</v>
      </c>
      <c r="C24" s="92">
        <v>0.70833333333332704</v>
      </c>
      <c r="D24" s="29" t="str" cm="1">
        <f t="array" ref="D24">_xlfn.TEXTJOIN(CHAR(10),TRUE,IF(Profesor=base_de_datos[Profesor],IF("x"=base_de_datos[Lunes],IF(base_de_datos[Hora inicio]&lt;=$B24,IF(base_de_datos[Hora fin]&gt;=$C24,base_de_datos[Materia]&amp;" "&amp;base_de_datos[[Número de grupo ]],""),""),""),""),"")</f>
        <v/>
      </c>
      <c r="E24" s="29" t="str" cm="1">
        <f t="array" ref="E24">_xlfn.TEXTJOIN(CHAR(10),TRUE,IF(Profesor=base_de_datos[Profesor],IF("x"=base_de_datos[Lunes],IF(base_de_datos[Hora inicio]&lt;=$B24,IF(base_de_datos[Hora fin]&gt;=$C24,base_de_datos[Aula]&amp;" "&amp;#REF!,""),""),""),""),"")</f>
        <v/>
      </c>
      <c r="F24" s="29" t="str" cm="1">
        <f t="array" ref="F24">_xlfn.TEXTJOIN(CHAR(10),TRUE,IF(Profesor=base_de_datos[Profesor],IF("x"=base_de_datos[Lunes],IF(base_de_datos[Hora inicio]&lt;=$B24,IF(base_de_datos[Hora fin]&gt;=$C24,base_de_datos[No clase],""),""),""),""),"")</f>
        <v/>
      </c>
      <c r="G24" s="28" t="str" cm="1">
        <f t="array" ref="G24">_xlfn.TEXTJOIN(CHAR(10),TRUE,IF(Profesor=base_de_datos[Profesor],IF("x"=base_de_datos[Martes],IF(base_de_datos[Hora inicio]&lt;=$B24,IF(base_de_datos[Hora fin]&gt;=$C24,base_de_datos[Materia]&amp;" "&amp;base_de_datos[[Número de grupo ]],""),""),""),""),"")</f>
        <v/>
      </c>
      <c r="H24" s="28" t="str" cm="1">
        <f t="array" ref="H24">_xlfn.TEXTJOIN(CHAR(10),TRUE,IF(Profesor=base_de_datos[Profesor],IF("x"=base_de_datos[Martes],IF(base_de_datos[Hora inicio]&lt;=$B24,IF(base_de_datos[Hora fin]&gt;=$C24,base_de_datos[Aula]&amp;" "&amp;#REF!,""),""),""),""),"")</f>
        <v/>
      </c>
      <c r="I24" s="28" t="str" cm="1">
        <f t="array" ref="I24">_xlfn.TEXTJOIN(CHAR(10),TRUE,IF(Profesor=base_de_datos[Profesor],IF("x"=base_de_datos[Martes],IF(base_de_datos[Hora inicio]&lt;=$B24,IF(base_de_datos[Hora fin]&gt;=$C24,base_de_datos[No clase],""),""),""),""),"")</f>
        <v/>
      </c>
      <c r="J24" s="29" t="str" cm="1">
        <f t="array" ref="J24">_xlfn.TEXTJOIN(CHAR(10),TRUE,IF(Profesor=base_de_datos[Profesor],IF("x"=base_de_datos[Lunes],IF(base_de_datos[Hora inicio]&lt;=$B24,IF(base_de_datos[Hora fin]&gt;=$C24,base_de_datos[Materia]&amp;" "&amp;base_de_datos[[Número de grupo ]],""),""),""),""),"")</f>
        <v/>
      </c>
      <c r="K24" s="29" t="str" cm="1">
        <f t="array" ref="K24">_xlfn.TEXTJOIN(CHAR(10),TRUE,IF(Profesor=base_de_datos[Profesor],IF("x"=base_de_datos[Lunes],IF(base_de_datos[Hora inicio]&lt;=$B24,IF(base_de_datos[Hora fin]&gt;=$C24,base_de_datos[Aula]&amp;" "&amp;#REF!,""),""),""),""),"")</f>
        <v/>
      </c>
      <c r="L24" s="29" t="str" cm="1">
        <f t="array" ref="L24">_xlfn.TEXTJOIN(CHAR(10),TRUE,IF(Profesor=base_de_datos[Profesor],IF("x"=base_de_datos[Lunes],IF(base_de_datos[Hora inicio]&lt;=$B24,IF(base_de_datos[Hora fin]&gt;=$C24,base_de_datos[No clase],""),""),""),""),"")</f>
        <v/>
      </c>
      <c r="M24" s="28" t="str" cm="1">
        <f t="array" ref="M24">_xlfn.TEXTJOIN(CHAR(10),TRUE,IF(Profesor=base_de_datos[Profesor],IF("x"=base_de_datos[Jueves],IF(base_de_datos[Hora inicio]&lt;=$B24,IF(base_de_datos[Hora fin]&gt;=$C24,base_de_datos[Materia]&amp;" "&amp;base_de_datos[[Número de grupo ]],""),""),""),""),"")</f>
        <v/>
      </c>
      <c r="N24" s="28" t="str" cm="1">
        <f t="array" ref="N24">_xlfn.TEXTJOIN(CHAR(10),TRUE,IF(Profesor=base_de_datos[Profesor],IF("x"=base_de_datos[Jueves],IF(base_de_datos[Hora inicio]&lt;=$B24,IF(base_de_datos[Hora fin]&gt;=$C24,base_de_datos[Aula]&amp;" "&amp;#REF!,""),""),""),""),"")</f>
        <v/>
      </c>
      <c r="O24" s="28" t="str" cm="1">
        <f t="array" ref="O24">_xlfn.TEXTJOIN(CHAR(10),TRUE,IF(Profesor=base_de_datos[Profesor],IF("x"=base_de_datos[Jueves],IF(base_de_datos[Hora inicio]&lt;=$B24,IF(base_de_datos[Hora fin]&gt;=$C24,base_de_datos[No clase],""),""),""),""),"")</f>
        <v/>
      </c>
      <c r="P24" s="28" t="str" cm="1">
        <f t="array" ref="P24">_xlfn.TEXTJOIN(CHAR(10),TRUE,IF(Profesor=base_de_datos[Profesor],IF("x"=base_de_datos[Viernes],IF(base_de_datos[Hora inicio]&lt;=$B24,IF(base_de_datos[Hora fin]&gt;=$C24,base_de_datos[Materia]&amp;" "&amp;base_de_datos[[Número de grupo ]],""),""),""),""),"")</f>
        <v/>
      </c>
      <c r="Q24" s="28" t="str" cm="1">
        <f t="array" ref="Q24">_xlfn.TEXTJOIN(CHAR(10),TRUE,IF(Profesor=base_de_datos[Profesor],IF("x"=base_de_datos[Viernes],IF(base_de_datos[Hora inicio]&lt;=$B24,IF(base_de_datos[Hora fin]&gt;=$C24,base_de_datos[Aula]&amp;" "&amp;#REF!,""),""),""),""),"")</f>
        <v/>
      </c>
      <c r="R24" s="28" t="str" cm="1">
        <f t="array" ref="R24">_xlfn.TEXTJOIN(CHAR(10),TRUE,IF(Profesor=base_de_datos[Profesor],IF("x"=base_de_datos[Viernes],IF(base_de_datos[Hora inicio]&lt;=$B24,IF(base_de_datos[Hora fin]&gt;=$C24,base_de_datos[No clase],""),""),""),""),"")</f>
        <v/>
      </c>
      <c r="S24" s="28" t="str" cm="1">
        <f t="array" ref="S24">_xlfn.TEXTJOIN(CHAR(10),TRUE,IF(Profesor=base_de_datos[Profesor],IF("x"=base_de_datos[Sábado],IF(base_de_datos[Hora inicio]&lt;=$B24,IF(base_de_datos[Hora fin]&gt;=$C24,base_de_datos[Materia]&amp;" "&amp;base_de_datos[[Número de grupo ]],""),""),""),""),"")</f>
        <v/>
      </c>
      <c r="T24" s="28" t="str" cm="1">
        <f t="array" ref="T24">_xlfn.TEXTJOIN(CHAR(10),TRUE,IF(Profesor=base_de_datos[Profesor],IF("x"=base_de_datos[Sábado],IF(base_de_datos[Hora inicio]&lt;=$B24,IF(base_de_datos[Hora fin]&gt;=$C24,base_de_datos[Aula]&amp;" "&amp;#REF!,""),""),""),""),"")</f>
        <v/>
      </c>
      <c r="U24" s="28" t="str" cm="1">
        <f t="array" ref="U24">_xlfn.TEXTJOIN(CHAR(10),TRUE,IF(Profesor=base_de_datos[Profesor],IF("x"=base_de_datos[Sábado],IF(base_de_datos[Hora inicio]&lt;=$B24,IF(base_de_datos[Hora fin]&gt;=$C24,base_de_datos[No clase],""),""),""),""),"")</f>
        <v/>
      </c>
    </row>
    <row r="25" spans="2:30" ht="14.5" x14ac:dyDescent="0.35">
      <c r="B25" s="92">
        <v>0.70833333333333304</v>
      </c>
      <c r="C25" s="92">
        <v>0.72916666666665997</v>
      </c>
      <c r="D25" s="28" t="str" cm="1">
        <f t="array" ref="D25">_xlfn.TEXTJOIN(CHAR(10),TRUE,IF(Profesor=base_de_datos[Profesor],IF("x"=base_de_datos[Lunes],IF(base_de_datos[Hora inicio]&lt;=$B25,IF(base_de_datos[Hora fin]&gt;=$C25,base_de_datos[Materia]&amp;" "&amp;base_de_datos[[Número de grupo ]],""),""),""),""),"")</f>
        <v/>
      </c>
      <c r="E25" s="28" t="str" cm="1">
        <f t="array" ref="E25">_xlfn.TEXTJOIN(CHAR(10),TRUE,IF(Profesor=base_de_datos[Profesor],IF("x"=base_de_datos[Lunes],IF(base_de_datos[Hora inicio]&lt;=$B25,IF(base_de_datos[Hora fin]&gt;=$C25,base_de_datos[Aula]&amp;" "&amp;#REF!,""),""),""),""),"")</f>
        <v/>
      </c>
      <c r="F25" s="28" t="str" cm="1">
        <f t="array" ref="F25">_xlfn.TEXTJOIN(CHAR(10),TRUE,IF(Profesor=base_de_datos[Profesor],IF("x"=base_de_datos[Lunes],IF(base_de_datos[Hora inicio]&lt;=$B25,IF(base_de_datos[Hora fin]&gt;=$C25,base_de_datos[No clase],""),""),""),""),"")</f>
        <v/>
      </c>
      <c r="G25" s="28" t="str" cm="1">
        <f t="array" ref="G25">_xlfn.TEXTJOIN(CHAR(10),TRUE,IF(Profesor=base_de_datos[Profesor],IF("x"=base_de_datos[Martes],IF(base_de_datos[Hora inicio]&lt;=$B25,IF(base_de_datos[Hora fin]&gt;=$C25,base_de_datos[Materia]&amp;" "&amp;base_de_datos[[Número de grupo ]],""),""),""),""),"")</f>
        <v/>
      </c>
      <c r="H25" s="28" t="str" cm="1">
        <f t="array" ref="H25">_xlfn.TEXTJOIN(CHAR(10),TRUE,IF(Profesor=base_de_datos[Profesor],IF("x"=base_de_datos[Martes],IF(base_de_datos[Hora inicio]&lt;=$B25,IF(base_de_datos[Hora fin]&gt;=$C25,base_de_datos[Aula]&amp;" "&amp;#REF!,""),""),""),""),"")</f>
        <v/>
      </c>
      <c r="I25" s="28" t="str" cm="1">
        <f t="array" ref="I25">_xlfn.TEXTJOIN(CHAR(10),TRUE,IF(Profesor=base_de_datos[Profesor],IF("x"=base_de_datos[Martes],IF(base_de_datos[Hora inicio]&lt;=$B25,IF(base_de_datos[Hora fin]&gt;=$C25,base_de_datos[No clase],""),""),""),""),"")</f>
        <v/>
      </c>
      <c r="J25" s="28" t="str" cm="1">
        <f t="array" ref="J25">_xlfn.TEXTJOIN(CHAR(10),TRUE,IF(Profesor=base_de_datos[Profesor],IF("x"=base_de_datos[Miércoles],IF(base_de_datos[Hora inicio]&lt;=$B25,IF(base_de_datos[Hora fin]&gt;=$C25,base_de_datos[Materia]&amp;" "&amp;base_de_datos[[Número de grupo ]],""),""),""),""),"")</f>
        <v/>
      </c>
      <c r="K25" s="28" t="str" cm="1">
        <f t="array" ref="K25">_xlfn.TEXTJOIN(CHAR(10),TRUE,IF(Profesor=base_de_datos[Profesor],IF("x"=base_de_datos[Miércoles],IF(base_de_datos[Hora inicio]&lt;=$B25,IF(base_de_datos[Hora fin]&gt;=$C25,base_de_datos[Aula]&amp;" "&amp;#REF!,""),""),""),""),"")</f>
        <v/>
      </c>
      <c r="L25" s="28" t="str" cm="1">
        <f t="array" ref="L25">_xlfn.TEXTJOIN(CHAR(10),TRUE,IF(Profesor=base_de_datos[Profesor],IF("x"=base_de_datos[Miércoles],IF(base_de_datos[Hora inicio]&lt;=$B25,IF(base_de_datos[Hora fin]&gt;=$C25,base_de_datos[No clase],""),""),""),""),"")</f>
        <v/>
      </c>
      <c r="M25" s="28" t="str" cm="1">
        <f t="array" ref="M25">_xlfn.TEXTJOIN(CHAR(10),TRUE,IF(Profesor=base_de_datos[Profesor],IF("x"=base_de_datos[Jueves],IF(base_de_datos[Hora inicio]&lt;=$B25,IF(base_de_datos[Hora fin]&gt;=$C25,base_de_datos[Materia]&amp;" "&amp;base_de_datos[[Número de grupo ]],""),""),""),""),"")</f>
        <v>Contabilidad y costos 2</v>
      </c>
      <c r="N25" s="28" t="e" cm="1">
        <f t="array" ref="N25">_xlfn.TEXTJOIN(CHAR(10),TRUE,IF(Profesor=base_de_datos[Profesor],IF("x"=base_de_datos[Jueves],IF(base_de_datos[Hora inicio]&lt;=$B25,IF(base_de_datos[Hora fin]&gt;=$C25,base_de_datos[Aula]&amp;" "&amp;#REF!,""),""),""),""),"")</f>
        <v>#REF!</v>
      </c>
      <c r="O25" s="28" t="str" cm="1">
        <f t="array" ref="O25">_xlfn.TEXTJOIN(CHAR(10),TRUE,IF(Profesor=base_de_datos[Profesor],IF("x"=base_de_datos[Jueves],IF(base_de_datos[Hora inicio]&lt;=$B25,IF(base_de_datos[Hora fin]&gt;=$C25,base_de_datos[No clase],""),""),""),""),"")</f>
        <v>1777 (8vo. ICA)</v>
      </c>
      <c r="P25" s="28" t="str" cm="1">
        <f t="array" ref="P25">_xlfn.TEXTJOIN(CHAR(10),TRUE,IF(Profesor=base_de_datos[Profesor],IF("x"=base_de_datos[Viernes],IF(base_de_datos[Hora inicio]&lt;=$B25,IF(base_de_datos[Hora fin]&gt;=$C25,base_de_datos[Materia]&amp;" "&amp;base_de_datos[[Número de grupo ]],""),""),""),""),"")</f>
        <v/>
      </c>
      <c r="Q25" s="28" t="str" cm="1">
        <f t="array" ref="Q25">_xlfn.TEXTJOIN(CHAR(10),TRUE,IF(Profesor=base_de_datos[Profesor],IF("x"=base_de_datos[Viernes],IF(base_de_datos[Hora inicio]&lt;=$B25,IF(base_de_datos[Hora fin]&gt;=$C25,base_de_datos[Aula]&amp;" "&amp;#REF!,""),""),""),""),"")</f>
        <v/>
      </c>
      <c r="R25" s="28" t="str" cm="1">
        <f t="array" ref="R25">_xlfn.TEXTJOIN(CHAR(10),TRUE,IF(Profesor=base_de_datos[Profesor],IF("x"=base_de_datos[Viernes],IF(base_de_datos[Hora inicio]&lt;=$B25,IF(base_de_datos[Hora fin]&gt;=$C25,base_de_datos[No clase],""),""),""),""),"")</f>
        <v/>
      </c>
      <c r="S25" s="28" t="str" cm="1">
        <f t="array" ref="S25">_xlfn.TEXTJOIN(CHAR(10),TRUE,IF(Profesor=base_de_datos[Profesor],IF("x"=base_de_datos[Sábado],IF(base_de_datos[Hora inicio]&lt;=$B25,IF(base_de_datos[Hora fin]&gt;=$C25,base_de_datos[Materia]&amp;" "&amp;base_de_datos[[Número de grupo ]],""),""),""),""),"")</f>
        <v/>
      </c>
      <c r="T25" s="28" t="str" cm="1">
        <f t="array" ref="T25">_xlfn.TEXTJOIN(CHAR(10),TRUE,IF(Profesor=base_de_datos[Profesor],IF("x"=base_de_datos[Sábado],IF(base_de_datos[Hora inicio]&lt;=$B25,IF(base_de_datos[Hora fin]&gt;=$C25,base_de_datos[Aula]&amp;" "&amp;#REF!,""),""),""),""),"")</f>
        <v/>
      </c>
      <c r="U25" s="28" t="str" cm="1">
        <f t="array" ref="U25">_xlfn.TEXTJOIN(CHAR(10),TRUE,IF(Profesor=base_de_datos[Profesor],IF("x"=base_de_datos[Sábado],IF(base_de_datos[Hora inicio]&lt;=$B25,IF(base_de_datos[Hora fin]&gt;=$C25,base_de_datos[No clase],""),""),""),""),"")</f>
        <v/>
      </c>
    </row>
    <row r="26" spans="2:30" ht="14.5" x14ac:dyDescent="0.35">
      <c r="B26" s="92">
        <v>0.72916666666666696</v>
      </c>
      <c r="C26" s="92">
        <v>0.74999999999999301</v>
      </c>
      <c r="D26" s="28" t="str" cm="1">
        <f t="array" ref="D26">_xlfn.TEXTJOIN(CHAR(10),TRUE,IF(Profesor=base_de_datos[Profesor],IF("x"=base_de_datos[Lunes],IF(base_de_datos[Hora inicio]&lt;=$B26,IF(base_de_datos[Hora fin]&gt;=$C26,base_de_datos[Materia]&amp;" "&amp;base_de_datos[[Número de grupo ]],""),""),""),""),"")</f>
        <v/>
      </c>
      <c r="E26" s="28" t="str" cm="1">
        <f t="array" ref="E26">_xlfn.TEXTJOIN(CHAR(10),TRUE,IF(Profesor=base_de_datos[Profesor],IF("x"=base_de_datos[Lunes],IF(base_de_datos[Hora inicio]&lt;=$B26,IF(base_de_datos[Hora fin]&gt;=$C26,base_de_datos[Aula]&amp;" "&amp;#REF!,""),""),""),""),"")</f>
        <v/>
      </c>
      <c r="F26" s="28" t="str" cm="1">
        <f t="array" ref="F26">_xlfn.TEXTJOIN(CHAR(10),TRUE,IF(Profesor=base_de_datos[Profesor],IF("x"=base_de_datos[Lunes],IF(base_de_datos[Hora inicio]&lt;=$B26,IF(base_de_datos[Hora fin]&gt;=$C26,base_de_datos[No clase],""),""),""),""),"")</f>
        <v/>
      </c>
      <c r="G26" s="28" t="str" cm="1">
        <f t="array" ref="G26">_xlfn.TEXTJOIN(CHAR(10),TRUE,IF(Profesor=base_de_datos[Profesor],IF("x"=base_de_datos[Martes],IF(base_de_datos[Hora inicio]&lt;=$B26,IF(base_de_datos[Hora fin]&gt;=$C26,base_de_datos[Materia]&amp;" "&amp;base_de_datos[[Número de grupo ]],""),""),""),""),"")</f>
        <v/>
      </c>
      <c r="H26" s="28" t="str" cm="1">
        <f t="array" ref="H26">_xlfn.TEXTJOIN(CHAR(10),TRUE,IF(Profesor=base_de_datos[Profesor],IF("x"=base_de_datos[Martes],IF(base_de_datos[Hora inicio]&lt;=$B26,IF(base_de_datos[Hora fin]&gt;=$C26,base_de_datos[Aula]&amp;" "&amp;#REF!,""),""),""),""),"")</f>
        <v/>
      </c>
      <c r="I26" s="28" t="str" cm="1">
        <f t="array" ref="I26">_xlfn.TEXTJOIN(CHAR(10),TRUE,IF(Profesor=base_de_datos[Profesor],IF("x"=base_de_datos[Martes],IF(base_de_datos[Hora inicio]&lt;=$B26,IF(base_de_datos[Hora fin]&gt;=$C26,base_de_datos[No clase],""),""),""),""),"")</f>
        <v/>
      </c>
      <c r="J26" s="28" t="str" cm="1">
        <f t="array" ref="J26">_xlfn.TEXTJOIN(CHAR(10),TRUE,IF(Profesor=base_de_datos[Profesor],IF("x"=base_de_datos[Miércoles],IF(base_de_datos[Hora inicio]&lt;=$B26,IF(base_de_datos[Hora fin]&gt;=$C26,base_de_datos[Materia]&amp;" "&amp;base_de_datos[[Número de grupo ]],""),""),""),""),"")</f>
        <v/>
      </c>
      <c r="K26" s="28" t="str" cm="1">
        <f t="array" ref="K26">_xlfn.TEXTJOIN(CHAR(10),TRUE,IF(Profesor=base_de_datos[Profesor],IF("x"=base_de_datos[Miércoles],IF(base_de_datos[Hora inicio]&lt;=$B26,IF(base_de_datos[Hora fin]&gt;=$C26,base_de_datos[Aula]&amp;" "&amp;#REF!,""),""),""),""),"")</f>
        <v/>
      </c>
      <c r="L26" s="28" t="str" cm="1">
        <f t="array" ref="L26">_xlfn.TEXTJOIN(CHAR(10),TRUE,IF(Profesor=base_de_datos[Profesor],IF("x"=base_de_datos[Miércoles],IF(base_de_datos[Hora inicio]&lt;=$B26,IF(base_de_datos[Hora fin]&gt;=$C26,base_de_datos[No clase],""),""),""),""),"")</f>
        <v/>
      </c>
      <c r="M26" s="28" t="str" cm="1">
        <f t="array" ref="M26">_xlfn.TEXTJOIN(CHAR(10),TRUE,IF(Profesor=base_de_datos[Profesor],IF("x"=base_de_datos[Jueves],IF(base_de_datos[Hora inicio]&lt;=$B26,IF(base_de_datos[Hora fin]&gt;=$C26,base_de_datos[Materia]&amp;" "&amp;base_de_datos[[Número de grupo ]],""),""),""),""),"")</f>
        <v>Contabilidad y costos 2</v>
      </c>
      <c r="N26" s="28" t="e" cm="1">
        <f t="array" ref="N26">_xlfn.TEXTJOIN(CHAR(10),TRUE,IF(Profesor=base_de_datos[Profesor],IF("x"=base_de_datos[Jueves],IF(base_de_datos[Hora inicio]&lt;=$B26,IF(base_de_datos[Hora fin]&gt;=$C26,base_de_datos[Aula]&amp;" "&amp;#REF!,""),""),""),""),"")</f>
        <v>#REF!</v>
      </c>
      <c r="O26" s="28" t="str" cm="1">
        <f t="array" ref="O26">_xlfn.TEXTJOIN(CHAR(10),TRUE,IF(Profesor=base_de_datos[Profesor],IF("x"=base_de_datos[Jueves],IF(base_de_datos[Hora inicio]&lt;=$B26,IF(base_de_datos[Hora fin]&gt;=$C26,base_de_datos[No clase],""),""),""),""),"")</f>
        <v>1777 (8vo. ICA)</v>
      </c>
      <c r="P26" s="28" t="str" cm="1">
        <f t="array" ref="P26">_xlfn.TEXTJOIN(CHAR(10),TRUE,IF(Profesor=base_de_datos[Profesor],IF("x"=base_de_datos[Viernes],IF(base_de_datos[Hora inicio]&lt;=$B26,IF(base_de_datos[Hora fin]&gt;=$C26,base_de_datos[Materia]&amp;" "&amp;base_de_datos[[Número de grupo ]],""),""),""),""),"")</f>
        <v/>
      </c>
      <c r="Q26" s="28" t="str" cm="1">
        <f t="array" ref="Q26">_xlfn.TEXTJOIN(CHAR(10),TRUE,IF(Profesor=base_de_datos[Profesor],IF("x"=base_de_datos[Viernes],IF(base_de_datos[Hora inicio]&lt;=$B26,IF(base_de_datos[Hora fin]&gt;=$C26,base_de_datos[Aula]&amp;" "&amp;#REF!,""),""),""),""),"")</f>
        <v/>
      </c>
      <c r="R26" s="28" t="str" cm="1">
        <f t="array" ref="R26">_xlfn.TEXTJOIN(CHAR(10),TRUE,IF(Profesor=base_de_datos[Profesor],IF("x"=base_de_datos[Viernes],IF(base_de_datos[Hora inicio]&lt;=$B26,IF(base_de_datos[Hora fin]&gt;=$C26,base_de_datos[No clase],""),""),""),""),"")</f>
        <v/>
      </c>
      <c r="S26" s="28" t="str" cm="1">
        <f t="array" ref="S26">_xlfn.TEXTJOIN(CHAR(10),TRUE,IF(Profesor=base_de_datos[Profesor],IF("x"=base_de_datos[Sábado],IF(base_de_datos[Hora inicio]&lt;=$B26,IF(base_de_datos[Hora fin]&gt;=$C26,base_de_datos[Materia]&amp;" "&amp;base_de_datos[[Número de grupo ]],""),""),""),""),"")</f>
        <v/>
      </c>
      <c r="T26" s="28" t="str" cm="1">
        <f t="array" ref="T26">_xlfn.TEXTJOIN(CHAR(10),TRUE,IF(Profesor=base_de_datos[Profesor],IF("x"=base_de_datos[Sábado],IF(base_de_datos[Hora inicio]&lt;=$B26,IF(base_de_datos[Hora fin]&gt;=$C26,base_de_datos[Aula]&amp;" "&amp;#REF!,""),""),""),""),"")</f>
        <v/>
      </c>
      <c r="U26" s="28" t="str" cm="1">
        <f t="array" ref="U26">_xlfn.TEXTJOIN(CHAR(10),TRUE,IF(Profesor=base_de_datos[Profesor],IF("x"=base_de_datos[Sábado],IF(base_de_datos[Hora inicio]&lt;=$B26,IF(base_de_datos[Hora fin]&gt;=$C26,base_de_datos[No clase],""),""),""),""),"")</f>
        <v/>
      </c>
    </row>
    <row r="27" spans="2:30" ht="26" x14ac:dyDescent="0.35">
      <c r="B27" s="92">
        <v>0.75</v>
      </c>
      <c r="C27" s="92">
        <v>0.77083333333332604</v>
      </c>
      <c r="D27" s="28" t="str" cm="1">
        <f t="array" ref="D27">_xlfn.TEXTJOIN(CHAR(10),TRUE,IF(Profesor=base_de_datos[Profesor],IF("x"=base_de_datos[Lunes],IF(base_de_datos[Hora inicio]&lt;=$B27,IF(base_de_datos[Hora fin]&gt;=$C27,base_de_datos[Materia]&amp;" "&amp;base_de_datos[[Número de grupo ]],""),""),""),""),"")</f>
        <v/>
      </c>
      <c r="E27" s="28" t="str" cm="1">
        <f t="array" ref="E27">_xlfn.TEXTJOIN(CHAR(10),TRUE,IF(Profesor=base_de_datos[Profesor],IF("x"=base_de_datos[Lunes],IF(base_de_datos[Hora inicio]&lt;=$B27,IF(base_de_datos[Hora fin]&gt;=$C27,base_de_datos[Aula]&amp;" "&amp;#REF!,""),""),""),""),"")</f>
        <v/>
      </c>
      <c r="F27" s="28" t="str" cm="1">
        <f t="array" ref="F27">_xlfn.TEXTJOIN(CHAR(10),TRUE,IF(Profesor=base_de_datos[Profesor],IF("x"=base_de_datos[Lunes],IF(base_de_datos[Hora inicio]&lt;=$B27,IF(base_de_datos[Hora fin]&gt;=$C27,base_de_datos[No clase],""),""),""),""),"")</f>
        <v/>
      </c>
      <c r="G27" s="28" t="str" cm="1">
        <f t="array" ref="G27">_xlfn.TEXTJOIN(CHAR(10),TRUE,IF(Profesor=base_de_datos[Profesor],IF("x"=base_de_datos[Martes],IF(base_de_datos[Hora inicio]&lt;=$B27,IF(base_de_datos[Hora fin]&gt;=$C27,base_de_datos[Materia]&amp;" "&amp;base_de_datos[[Número de grupo ]],""),""),""),""),"")</f>
        <v/>
      </c>
      <c r="H27" s="28" t="str" cm="1">
        <f t="array" ref="H27">_xlfn.TEXTJOIN(CHAR(10),TRUE,IF(Profesor=base_de_datos[Profesor],IF("x"=base_de_datos[Martes],IF(base_de_datos[Hora inicio]&lt;=$B27,IF(base_de_datos[Hora fin]&gt;=$C27,base_de_datos[Aula]&amp;" "&amp;#REF!,""),""),""),""),"")</f>
        <v/>
      </c>
      <c r="I27" s="28" t="str" cm="1">
        <f t="array" ref="I27">_xlfn.TEXTJOIN(CHAR(10),TRUE,IF(Profesor=base_de_datos[Profesor],IF("x"=base_de_datos[Martes],IF(base_de_datos[Hora inicio]&lt;=$B27,IF(base_de_datos[Hora fin]&gt;=$C27,base_de_datos[No clase],""),""),""),""),"")</f>
        <v/>
      </c>
      <c r="J27" s="28" t="str" cm="1">
        <f t="array" ref="J27">_xlfn.TEXTJOIN(CHAR(10),TRUE,IF(Profesor=base_de_datos[Profesor],IF("x"=base_de_datos[Miércoles],IF(base_de_datos[Hora inicio]&lt;=$B27,IF(base_de_datos[Hora fin]&gt;=$C27,base_de_datos[Materia]&amp;" "&amp;base_de_datos[[Número de grupo ]],""),""),""),""),"")</f>
        <v/>
      </c>
      <c r="K27" s="28" t="str" cm="1">
        <f t="array" ref="K27">_xlfn.TEXTJOIN(CHAR(10),TRUE,IF(Profesor=base_de_datos[Profesor],IF("x"=base_de_datos[Miércoles],IF(base_de_datos[Hora inicio]&lt;=$B27,IF(base_de_datos[Hora fin]&gt;=$C27,base_de_datos[Aula]&amp;" "&amp;#REF!,""),""),""),""),"")</f>
        <v/>
      </c>
      <c r="L27" s="28" t="str" cm="1">
        <f t="array" ref="L27">_xlfn.TEXTJOIN(CHAR(10),TRUE,IF(Profesor=base_de_datos[Profesor],IF("x"=base_de_datos[Miércoles],IF(base_de_datos[Hora inicio]&lt;=$B27,IF(base_de_datos[Hora fin]&gt;=$C27,base_de_datos[No clase],""),""),""),""),"")</f>
        <v/>
      </c>
      <c r="M27" s="28" t="str" cm="1">
        <f t="array" ref="M27">_xlfn.TEXTJOIN(CHAR(10),TRUE,IF(Profesor=base_de_datos[Profesor],IF("x"=base_de_datos[Jueves],IF(base_de_datos[Hora inicio]&lt;=$B27,IF(base_de_datos[Hora fin]&gt;=$C27,base_de_datos[Materia]&amp;" "&amp;base_de_datos[[Número de grupo ]],""),""),""),""),"")</f>
        <v>Contabilidad y costos 2</v>
      </c>
      <c r="N27" s="28" t="e" cm="1">
        <f t="array" ref="N27">_xlfn.TEXTJOIN(CHAR(10),TRUE,IF(Profesor=base_de_datos[Profesor],IF("x"=base_de_datos[Jueves],IF(base_de_datos[Hora inicio]&lt;=$B27,IF(base_de_datos[Hora fin]&gt;=$C27,base_de_datos[Aula]&amp;" "&amp;#REF!,""),""),""),""),"")</f>
        <v>#REF!</v>
      </c>
      <c r="O27" s="28" t="str" cm="1">
        <f t="array" ref="O27">_xlfn.TEXTJOIN(CHAR(10),TRUE,IF(Profesor=base_de_datos[Profesor],IF("x"=base_de_datos[Jueves],IF(base_de_datos[Hora inicio]&lt;=$B27,IF(base_de_datos[Hora fin]&gt;=$C27,base_de_datos[No clase],""),""),""),""),"")</f>
        <v>1777 (8vo. ICA)</v>
      </c>
      <c r="P27" s="28" t="str" cm="1">
        <f t="array" ref="P27">_xlfn.TEXTJOIN(CHAR(10),TRUE,IF(Profesor=base_de_datos[Profesor],IF("x"=base_de_datos[Viernes],IF(base_de_datos[Hora inicio]&lt;=$B27,IF(base_de_datos[Hora fin]&gt;=$C27,base_de_datos[Materia]&amp;" "&amp;base_de_datos[[Número de grupo ]],""),""),""),""),"")</f>
        <v>Sistemas de costos y presupuestos 1</v>
      </c>
      <c r="Q27" s="28" t="e" cm="1">
        <f t="array" ref="Q27">_xlfn.TEXTJOIN(CHAR(10),TRUE,IF(Profesor=base_de_datos[Profesor],IF("x"=base_de_datos[Viernes],IF(base_de_datos[Hora inicio]&lt;=$B27,IF(base_de_datos[Hora fin]&gt;=$C27,base_de_datos[Aula]&amp;" "&amp;#REF!,""),""),""),""),"")</f>
        <v>#REF!</v>
      </c>
      <c r="R27" s="28" t="str" cm="1">
        <f t="array" ref="R27">_xlfn.TEXTJOIN(CHAR(10),TRUE,IF(Profesor=base_de_datos[Profesor],IF("x"=base_de_datos[Viernes],IF(base_de_datos[Hora inicio]&lt;=$B27,IF(base_de_datos[Hora fin]&gt;=$C27,base_de_datos[No clase],""),""),""),""),"")</f>
        <v>2255</v>
      </c>
      <c r="S27" s="28" t="str" cm="1">
        <f t="array" ref="S27">_xlfn.TEXTJOIN(CHAR(10),TRUE,IF(Profesor=base_de_datos[Profesor],IF("x"=base_de_datos[Sábado],IF(base_de_datos[Hora inicio]&lt;=$B27,IF(base_de_datos[Hora fin]&gt;=$C27,base_de_datos[Materia]&amp;" "&amp;base_de_datos[[Número de grupo ]],""),""),""),""),"")</f>
        <v/>
      </c>
      <c r="T27" s="28" t="str" cm="1">
        <f t="array" ref="T27">_xlfn.TEXTJOIN(CHAR(10),TRUE,IF(Profesor=base_de_datos[Profesor],IF("x"=base_de_datos[Sábado],IF(base_de_datos[Hora inicio]&lt;=$B27,IF(base_de_datos[Hora fin]&gt;=$C27,base_de_datos[Aula]&amp;" "&amp;#REF!,""),""),""),""),"")</f>
        <v/>
      </c>
      <c r="U27" s="28" t="str" cm="1">
        <f t="array" ref="U27">_xlfn.TEXTJOIN(CHAR(10),TRUE,IF(Profesor=base_de_datos[Profesor],IF("x"=base_de_datos[Sábado],IF(base_de_datos[Hora inicio]&lt;=$B27,IF(base_de_datos[Hora fin]&gt;=$C27,base_de_datos[No clase],""),""),""),""),"")</f>
        <v/>
      </c>
    </row>
    <row r="28" spans="2:30" ht="26" x14ac:dyDescent="0.35">
      <c r="B28" s="92">
        <v>0.77083333333333304</v>
      </c>
      <c r="C28" s="92">
        <v>0.79166666666665897</v>
      </c>
      <c r="D28" s="28" t="str" cm="1">
        <f t="array" ref="D28">_xlfn.TEXTJOIN(CHAR(10),TRUE,IF(Profesor=base_de_datos[Profesor],IF("x"=base_de_datos[Lunes],IF(base_de_datos[Hora inicio]&lt;=$B28,IF(base_de_datos[Hora fin]&gt;=$C28,base_de_datos[Materia]&amp;" "&amp;base_de_datos[[Número de grupo ]],""),""),""),""),"")</f>
        <v/>
      </c>
      <c r="E28" s="28" t="str" cm="1">
        <f t="array" ref="E28">_xlfn.TEXTJOIN(CHAR(10),TRUE,IF(Profesor=base_de_datos[Profesor],IF("x"=base_de_datos[Lunes],IF(base_de_datos[Hora inicio]&lt;=$B28,IF(base_de_datos[Hora fin]&gt;=$C28,base_de_datos[Aula]&amp;" "&amp;#REF!,""),""),""),""),"")</f>
        <v/>
      </c>
      <c r="F28" s="28" t="str" cm="1">
        <f t="array" ref="F28">_xlfn.TEXTJOIN(CHAR(10),TRUE,IF(Profesor=base_de_datos[Profesor],IF("x"=base_de_datos[Lunes],IF(base_de_datos[Hora inicio]&lt;=$B28,IF(base_de_datos[Hora fin]&gt;=$C28,base_de_datos[No clase],""),""),""),""),"")</f>
        <v/>
      </c>
      <c r="G28" s="28" t="str" cm="1">
        <f t="array" ref="G28">_xlfn.TEXTJOIN(CHAR(10),TRUE,IF(Profesor=base_de_datos[Profesor],IF("x"=base_de_datos[Martes],IF(base_de_datos[Hora inicio]&lt;=$B28,IF(base_de_datos[Hora fin]&gt;=$C28,base_de_datos[Materia]&amp;" "&amp;base_de_datos[[Número de grupo ]],""),""),""),""),"")</f>
        <v/>
      </c>
      <c r="H28" s="28" t="str" cm="1">
        <f t="array" ref="H28">_xlfn.TEXTJOIN(CHAR(10),TRUE,IF(Profesor=base_de_datos[Profesor],IF("x"=base_de_datos[Martes],IF(base_de_datos[Hora inicio]&lt;=$B28,IF(base_de_datos[Hora fin]&gt;=$C28,base_de_datos[Aula]&amp;" "&amp;#REF!,""),""),""),""),"")</f>
        <v/>
      </c>
      <c r="I28" s="28" t="str" cm="1">
        <f t="array" ref="I28">_xlfn.TEXTJOIN(CHAR(10),TRUE,IF(Profesor=base_de_datos[Profesor],IF("x"=base_de_datos[Martes],IF(base_de_datos[Hora inicio]&lt;=$B28,IF(base_de_datos[Hora fin]&gt;=$C28,base_de_datos[No clase],""),""),""),""),"")</f>
        <v/>
      </c>
      <c r="J28" s="28" t="str" cm="1">
        <f t="array" ref="J28">_xlfn.TEXTJOIN(CHAR(10),TRUE,IF(Profesor=base_de_datos[Profesor],IF("x"=base_de_datos[Miércoles],IF(base_de_datos[Hora inicio]&lt;=$B28,IF(base_de_datos[Hora fin]&gt;=$C28,base_de_datos[Materia]&amp;" "&amp;base_de_datos[[Número de grupo ]],""),""),""),""),"")</f>
        <v/>
      </c>
      <c r="K28" s="28" t="str" cm="1">
        <f t="array" ref="K28">_xlfn.TEXTJOIN(CHAR(10),TRUE,IF(Profesor=base_de_datos[Profesor],IF("x"=base_de_datos[Miércoles],IF(base_de_datos[Hora inicio]&lt;=$B28,IF(base_de_datos[Hora fin]&gt;=$C28,base_de_datos[Aula]&amp;" "&amp;#REF!,""),""),""),""),"")</f>
        <v/>
      </c>
      <c r="L28" s="28" t="str" cm="1">
        <f t="array" ref="L28">_xlfn.TEXTJOIN(CHAR(10),TRUE,IF(Profesor=base_de_datos[Profesor],IF("x"=base_de_datos[Miércoles],IF(base_de_datos[Hora inicio]&lt;=$B28,IF(base_de_datos[Hora fin]&gt;=$C28,base_de_datos[No clase],""),""),""),""),"")</f>
        <v/>
      </c>
      <c r="M28" s="28" t="str" cm="1">
        <f t="array" ref="M28">_xlfn.TEXTJOIN(CHAR(10),TRUE,IF(Profesor=base_de_datos[Profesor],IF("x"=base_de_datos[Jueves],IF(base_de_datos[Hora inicio]&lt;=$B28,IF(base_de_datos[Hora fin]&gt;=$C28,base_de_datos[Materia]&amp;" "&amp;base_de_datos[[Número de grupo ]],""),""),""),""),"")</f>
        <v>Contabilidad y costos 2</v>
      </c>
      <c r="N28" s="28" t="e" cm="1">
        <f t="array" ref="N28">_xlfn.TEXTJOIN(CHAR(10),TRUE,IF(Profesor=base_de_datos[Profesor],IF("x"=base_de_datos[Jueves],IF(base_de_datos[Hora inicio]&lt;=$B28,IF(base_de_datos[Hora fin]&gt;=$C28,base_de_datos[Aula]&amp;" "&amp;#REF!,""),""),""),""),"")</f>
        <v>#REF!</v>
      </c>
      <c r="O28" s="28" t="str" cm="1">
        <f t="array" ref="O28">_xlfn.TEXTJOIN(CHAR(10),TRUE,IF(Profesor=base_de_datos[Profesor],IF("x"=base_de_datos[Jueves],IF(base_de_datos[Hora inicio]&lt;=$B28,IF(base_de_datos[Hora fin]&gt;=$C28,base_de_datos[No clase],""),""),""),""),"")</f>
        <v>1777 (8vo. ICA)</v>
      </c>
      <c r="P28" s="28" t="str" cm="1">
        <f t="array" ref="P28">_xlfn.TEXTJOIN(CHAR(10),TRUE,IF(Profesor=base_de_datos[Profesor],IF("x"=base_de_datos[Viernes],IF(base_de_datos[Hora inicio]&lt;=$B28,IF(base_de_datos[Hora fin]&gt;=$C28,base_de_datos[Materia]&amp;" "&amp;base_de_datos[[Número de grupo ]],""),""),""),""),"")</f>
        <v>Sistemas de costos y presupuestos 1</v>
      </c>
      <c r="Q28" s="28" t="e" cm="1">
        <f t="array" ref="Q28">_xlfn.TEXTJOIN(CHAR(10),TRUE,IF(Profesor=base_de_datos[Profesor],IF("x"=base_de_datos[Viernes],IF(base_de_datos[Hora inicio]&lt;=$B28,IF(base_de_datos[Hora fin]&gt;=$C28,base_de_datos[Aula]&amp;" "&amp;#REF!,""),""),""),""),"")</f>
        <v>#REF!</v>
      </c>
      <c r="R28" s="28" t="str" cm="1">
        <f t="array" ref="R28">_xlfn.TEXTJOIN(CHAR(10),TRUE,IF(Profesor=base_de_datos[Profesor],IF("x"=base_de_datos[Viernes],IF(base_de_datos[Hora inicio]&lt;=$B28,IF(base_de_datos[Hora fin]&gt;=$C28,base_de_datos[No clase],""),""),""),""),"")</f>
        <v>2255</v>
      </c>
      <c r="S28" s="28" t="str" cm="1">
        <f t="array" ref="S28">_xlfn.TEXTJOIN(CHAR(10),TRUE,IF(Profesor=base_de_datos[Profesor],IF("x"=base_de_datos[Sábado],IF(base_de_datos[Hora inicio]&lt;=$B28,IF(base_de_datos[Hora fin]&gt;=$C28,base_de_datos[Materia]&amp;" "&amp;base_de_datos[[Número de grupo ]],""),""),""),""),"")</f>
        <v/>
      </c>
      <c r="T28" s="28" t="str" cm="1">
        <f t="array" ref="T28">_xlfn.TEXTJOIN(CHAR(10),TRUE,IF(Profesor=base_de_datos[Profesor],IF("x"=base_de_datos[Sábado],IF(base_de_datos[Hora inicio]&lt;=$B28,IF(base_de_datos[Hora fin]&gt;=$C28,base_de_datos[Aula]&amp;" "&amp;#REF!,""),""),""),""),"")</f>
        <v/>
      </c>
      <c r="U28" s="28" t="str" cm="1">
        <f t="array" ref="U28">_xlfn.TEXTJOIN(CHAR(10),TRUE,IF(Profesor=base_de_datos[Profesor],IF("x"=base_de_datos[Sábado],IF(base_de_datos[Hora inicio]&lt;=$B28,IF(base_de_datos[Hora fin]&gt;=$C28,base_de_datos[No clase],""),""),""),""),"")</f>
        <v/>
      </c>
    </row>
    <row r="29" spans="2:30" ht="26" x14ac:dyDescent="0.35">
      <c r="B29" s="92">
        <v>0.79166666666666696</v>
      </c>
      <c r="C29" s="92">
        <v>0.81249999999999201</v>
      </c>
      <c r="D29" s="28" t="str" cm="1">
        <f t="array" ref="D29">_xlfn.TEXTJOIN(CHAR(10),TRUE,IF(Profesor=base_de_datos[Profesor],IF("x"=base_de_datos[Lunes],IF(base_de_datos[Hora inicio]&lt;=$B29,IF(base_de_datos[Hora fin]&gt;=$C29,base_de_datos[Materia]&amp;" "&amp;base_de_datos[[Número de grupo ]],""),""),""),""),"")</f>
        <v/>
      </c>
      <c r="E29" s="28" t="str" cm="1">
        <f t="array" ref="E29">_xlfn.TEXTJOIN(CHAR(10),TRUE,IF(Profesor=base_de_datos[Profesor],IF("x"=base_de_datos[Lunes],IF(base_de_datos[Hora inicio]&lt;=$B29,IF(base_de_datos[Hora fin]&gt;=$C29,base_de_datos[Aula]&amp;" "&amp;#REF!,""),""),""),""),"")</f>
        <v/>
      </c>
      <c r="F29" s="28" t="str" cm="1">
        <f t="array" ref="F29">_xlfn.TEXTJOIN(CHAR(10),TRUE,IF(Profesor=base_de_datos[Profesor],IF("x"=base_de_datos[Lunes],IF(base_de_datos[Hora inicio]&lt;=$B29,IF(base_de_datos[Hora fin]&gt;=$C29,base_de_datos[No clase],""),""),""),""),"")</f>
        <v/>
      </c>
      <c r="G29" s="28" t="str" cm="1">
        <f t="array" ref="G29">_xlfn.TEXTJOIN(CHAR(10),TRUE,IF(Profesor=base_de_datos[Profesor],IF("x"=base_de_datos[Martes],IF(base_de_datos[Hora inicio]&lt;=$B29,IF(base_de_datos[Hora fin]&gt;=$C29,base_de_datos[Materia]&amp;" "&amp;base_de_datos[[Número de grupo ]],""),""),""),""),"")</f>
        <v/>
      </c>
      <c r="H29" s="28" t="str" cm="1">
        <f t="array" ref="H29">_xlfn.TEXTJOIN(CHAR(10),TRUE,IF(Profesor=base_de_datos[Profesor],IF("x"=base_de_datos[Martes],IF(base_de_datos[Hora inicio]&lt;=$B29,IF(base_de_datos[Hora fin]&gt;=$C29,base_de_datos[Aula]&amp;" "&amp;#REF!,""),""),""),""),"")</f>
        <v/>
      </c>
      <c r="I29" s="28" t="str" cm="1">
        <f t="array" ref="I29">_xlfn.TEXTJOIN(CHAR(10),TRUE,IF(Profesor=base_de_datos[Profesor],IF("x"=base_de_datos[Martes],IF(base_de_datos[Hora inicio]&lt;=$B29,IF(base_de_datos[Hora fin]&gt;=$C29,base_de_datos[No clase],""),""),""),""),"")</f>
        <v/>
      </c>
      <c r="J29" s="28" t="str" cm="1">
        <f t="array" ref="J29">_xlfn.TEXTJOIN(CHAR(10),TRUE,IF(Profesor=base_de_datos[Profesor],IF("x"=base_de_datos[Miércoles],IF(base_de_datos[Hora inicio]&lt;=$B29,IF(base_de_datos[Hora fin]&gt;=$C29,base_de_datos[Materia]&amp;" "&amp;base_de_datos[[Número de grupo ]],""),""),""),""),"")</f>
        <v/>
      </c>
      <c r="K29" s="28" t="str" cm="1">
        <f t="array" ref="K29">_xlfn.TEXTJOIN(CHAR(10),TRUE,IF(Profesor=base_de_datos[Profesor],IF("x"=base_de_datos[Miércoles],IF(base_de_datos[Hora inicio]&lt;=$B29,IF(base_de_datos[Hora fin]&gt;=$C29,base_de_datos[Aula]&amp;" "&amp;#REF!,""),""),""),""),"")</f>
        <v/>
      </c>
      <c r="L29" s="28" t="str" cm="1">
        <f t="array" ref="L29">_xlfn.TEXTJOIN(CHAR(10),TRUE,IF(Profesor=base_de_datos[Profesor],IF("x"=base_de_datos[Miércoles],IF(base_de_datos[Hora inicio]&lt;=$B29,IF(base_de_datos[Hora fin]&gt;=$C29,base_de_datos[No clase],""),""),""),""),"")</f>
        <v/>
      </c>
      <c r="M29" s="28" t="str" cm="1">
        <f t="array" ref="M29">_xlfn.TEXTJOIN(CHAR(10),TRUE,IF(Profesor=base_de_datos[Profesor],IF("x"=base_de_datos[Jueves],IF(base_de_datos[Hora inicio]&lt;=$B29,IF(base_de_datos[Hora fin]&gt;=$C29,base_de_datos[Materia]&amp;" "&amp;base_de_datos[[Número de grupo ]],""),""),""),""),"")</f>
        <v>Contabilidad y costos 2</v>
      </c>
      <c r="N29" s="28" t="e" cm="1">
        <f t="array" ref="N29">_xlfn.TEXTJOIN(CHAR(10),TRUE,IF(Profesor=base_de_datos[Profesor],IF("x"=base_de_datos[Jueves],IF(base_de_datos[Hora inicio]&lt;=$B29,IF(base_de_datos[Hora fin]&gt;=$C29,base_de_datos[Aula]&amp;" "&amp;#REF!,""),""),""),""),"")</f>
        <v>#REF!</v>
      </c>
      <c r="O29" s="28" t="str" cm="1">
        <f t="array" ref="O29">_xlfn.TEXTJOIN(CHAR(10),TRUE,IF(Profesor=base_de_datos[Profesor],IF("x"=base_de_datos[Jueves],IF(base_de_datos[Hora inicio]&lt;=$B29,IF(base_de_datos[Hora fin]&gt;=$C29,base_de_datos[No clase],""),""),""),""),"")</f>
        <v>1777 (8vo. ICA)</v>
      </c>
      <c r="P29" s="28" t="str" cm="1">
        <f t="array" ref="P29">_xlfn.TEXTJOIN(CHAR(10),TRUE,IF(Profesor=base_de_datos[Profesor],IF("x"=base_de_datos[Viernes],IF(base_de_datos[Hora inicio]&lt;=$B29,IF(base_de_datos[Hora fin]&gt;=$C29,base_de_datos[Materia]&amp;" "&amp;base_de_datos[[Número de grupo ]],""),""),""),""),"")</f>
        <v>Sistemas de costos y presupuestos 1</v>
      </c>
      <c r="Q29" s="28" t="e" cm="1">
        <f t="array" ref="Q29">_xlfn.TEXTJOIN(CHAR(10),TRUE,IF(Profesor=base_de_datos[Profesor],IF("x"=base_de_datos[Viernes],IF(base_de_datos[Hora inicio]&lt;=$B29,IF(base_de_datos[Hora fin]&gt;=$C29,base_de_datos[Aula]&amp;" "&amp;#REF!,""),""),""),""),"")</f>
        <v>#REF!</v>
      </c>
      <c r="R29" s="28" t="str" cm="1">
        <f t="array" ref="R29">_xlfn.TEXTJOIN(CHAR(10),TRUE,IF(Profesor=base_de_datos[Profesor],IF("x"=base_de_datos[Viernes],IF(base_de_datos[Hora inicio]&lt;=$B29,IF(base_de_datos[Hora fin]&gt;=$C29,base_de_datos[No clase],""),""),""),""),"")</f>
        <v>2255</v>
      </c>
      <c r="S29" s="28" t="str" cm="1">
        <f t="array" ref="S29">_xlfn.TEXTJOIN(CHAR(10),TRUE,IF(Profesor=base_de_datos[Profesor],IF("x"=base_de_datos[Sábado],IF(base_de_datos[Hora inicio]&lt;=$B29,IF(base_de_datos[Hora fin]&gt;=$C29,base_de_datos[Materia]&amp;" "&amp;base_de_datos[[Número de grupo ]],""),""),""),""),"")</f>
        <v/>
      </c>
      <c r="T29" s="28" t="str" cm="1">
        <f t="array" ref="T29">_xlfn.TEXTJOIN(CHAR(10),TRUE,IF(Profesor=base_de_datos[Profesor],IF("x"=base_de_datos[Sábado],IF(base_de_datos[Hora inicio]&lt;=$B29,IF(base_de_datos[Hora fin]&gt;=$C29,base_de_datos[Aula]&amp;" "&amp;#REF!,""),""),""),""),"")</f>
        <v/>
      </c>
      <c r="U29" s="28" t="str" cm="1">
        <f t="array" ref="U29">_xlfn.TEXTJOIN(CHAR(10),TRUE,IF(Profesor=base_de_datos[Profesor],IF("x"=base_de_datos[Sábado],IF(base_de_datos[Hora inicio]&lt;=$B29,IF(base_de_datos[Hora fin]&gt;=$C29,base_de_datos[No clase],""),""),""),""),"")</f>
        <v/>
      </c>
    </row>
    <row r="30" spans="2:30" ht="14.5" x14ac:dyDescent="0.35">
      <c r="B30" s="92">
        <v>0.8125</v>
      </c>
      <c r="C30" s="92">
        <v>0.83333333333332504</v>
      </c>
      <c r="D30" s="28" t="str" cm="1">
        <f t="array" ref="D30">_xlfn.TEXTJOIN(CHAR(10),TRUE,IF(Profesor=base_de_datos[Profesor],IF("x"=base_de_datos[Lunes],IF(base_de_datos[Hora inicio]&lt;=$B30,IF(base_de_datos[Hora fin]&gt;=$C30,base_de_datos[Materia]&amp;" "&amp;base_de_datos[[Número de grupo ]],""),""),""),""),"")</f>
        <v/>
      </c>
      <c r="E30" s="28" t="str" cm="1">
        <f t="array" ref="E30">_xlfn.TEXTJOIN(CHAR(10),TRUE,IF(Profesor=base_de_datos[Profesor],IF("x"=base_de_datos[Lunes],IF(base_de_datos[Hora inicio]&lt;=$B30,IF(base_de_datos[Hora fin]&gt;=$C30,base_de_datos[Aula]&amp;" "&amp;#REF!,""),""),""),""),"")</f>
        <v/>
      </c>
      <c r="F30" s="28" t="str" cm="1">
        <f t="array" ref="F30">_xlfn.TEXTJOIN(CHAR(10),TRUE,IF(Profesor=base_de_datos[Profesor],IF("x"=base_de_datos[Lunes],IF(base_de_datos[Hora inicio]&lt;=$B30,IF(base_de_datos[Hora fin]&gt;=$C30,base_de_datos[No clase],""),""),""),""),"")</f>
        <v/>
      </c>
      <c r="G30" s="28" t="str" cm="1">
        <f t="array" ref="G30">_xlfn.TEXTJOIN(CHAR(10),TRUE,IF(Profesor=base_de_datos[Profesor],IF("x"=base_de_datos[Martes],IF(base_de_datos[Hora inicio]&lt;=$B30,IF(base_de_datos[Hora fin]&gt;=$C30,base_de_datos[Materia]&amp;" "&amp;base_de_datos[[Número de grupo ]],""),""),""),""),"")</f>
        <v/>
      </c>
      <c r="H30" s="28" t="str" cm="1">
        <f t="array" ref="H30">_xlfn.TEXTJOIN(CHAR(10),TRUE,IF(Profesor=base_de_datos[Profesor],IF("x"=base_de_datos[Martes],IF(base_de_datos[Hora inicio]&lt;=$B30,IF(base_de_datos[Hora fin]&gt;=$C30,base_de_datos[Aula]&amp;" "&amp;#REF!,""),""),""),""),"")</f>
        <v/>
      </c>
      <c r="I30" s="28" t="str" cm="1">
        <f t="array" ref="I30">_xlfn.TEXTJOIN(CHAR(10),TRUE,IF(Profesor=base_de_datos[Profesor],IF("x"=base_de_datos[Martes],IF(base_de_datos[Hora inicio]&lt;=$B30,IF(base_de_datos[Hora fin]&gt;=$C30,base_de_datos[No clase],""),""),""),""),"")</f>
        <v/>
      </c>
      <c r="J30" s="28" t="str" cm="1">
        <f t="array" ref="J30">_xlfn.TEXTJOIN(CHAR(10),TRUE,IF(Profesor=base_de_datos[Profesor],IF("x"=base_de_datos[Miércoles],IF(base_de_datos[Hora inicio]&lt;=$B30,IF(base_de_datos[Hora fin]&gt;=$C30,base_de_datos[Materia]&amp;" "&amp;base_de_datos[[Número de grupo ]],""),""),""),""),"")</f>
        <v/>
      </c>
      <c r="K30" s="28" t="str" cm="1">
        <f t="array" ref="K30">_xlfn.TEXTJOIN(CHAR(10),TRUE,IF(Profesor=base_de_datos[Profesor],IF("x"=base_de_datos[Miércoles],IF(base_de_datos[Hora inicio]&lt;=$B30,IF(base_de_datos[Hora fin]&gt;=$C30,base_de_datos[Aula]&amp;" "&amp;#REF!,""),""),""),""),"")</f>
        <v/>
      </c>
      <c r="L30" s="28" t="str" cm="1">
        <f t="array" ref="L30">_xlfn.TEXTJOIN(CHAR(10),TRUE,IF(Profesor=base_de_datos[Profesor],IF("x"=base_de_datos[Miércoles],IF(base_de_datos[Hora inicio]&lt;=$B30,IF(base_de_datos[Hora fin]&gt;=$C30,base_de_datos[No clase],""),""),""),""),"")</f>
        <v/>
      </c>
      <c r="M30" s="28" t="str" cm="1">
        <f t="array" ref="M30">_xlfn.TEXTJOIN(CHAR(10),TRUE,IF(Profesor=base_de_datos[Profesor],IF("x"=base_de_datos[Jueves],IF(base_de_datos[Hora inicio]&lt;=$B30,IF(base_de_datos[Hora fin]&gt;=$C30,base_de_datos[Materia]&amp;" "&amp;base_de_datos[[Número de grupo ]],""),""),""),""),"")</f>
        <v>Contabilidad y costos 2</v>
      </c>
      <c r="N30" s="28" t="e" cm="1">
        <f t="array" ref="N30">_xlfn.TEXTJOIN(CHAR(10),TRUE,IF(Profesor=base_de_datos[Profesor],IF("x"=base_de_datos[Jueves],IF(base_de_datos[Hora inicio]&lt;=$B30,IF(base_de_datos[Hora fin]&gt;=$C30,base_de_datos[Aula]&amp;" "&amp;#REF!,""),""),""),""),"")</f>
        <v>#REF!</v>
      </c>
      <c r="O30" s="28" t="str" cm="1">
        <f t="array" ref="O30">_xlfn.TEXTJOIN(CHAR(10),TRUE,IF(Profesor=base_de_datos[Profesor],IF("x"=base_de_datos[Jueves],IF(base_de_datos[Hora inicio]&lt;=$B30,IF(base_de_datos[Hora fin]&gt;=$C30,base_de_datos[No clase],""),""),""),""),"")</f>
        <v>1777 (8vo. ICA)</v>
      </c>
      <c r="P30" s="28" t="str" cm="1">
        <f t="array" ref="P30">_xlfn.TEXTJOIN(CHAR(10),TRUE,IF(Profesor=base_de_datos[Profesor],IF("x"=base_de_datos[Viernes],IF(base_de_datos[Hora inicio]&lt;=$B30,IF(base_de_datos[Hora fin]&gt;=$C30,base_de_datos[Materia]&amp;" "&amp;base_de_datos[[Número de grupo ]],""),""),""),""),"")</f>
        <v/>
      </c>
      <c r="Q30" s="28" t="str" cm="1">
        <f t="array" ref="Q30">_xlfn.TEXTJOIN(CHAR(10),TRUE,IF(Profesor=base_de_datos[Profesor],IF("x"=base_de_datos[Viernes],IF(base_de_datos[Hora inicio]&lt;=$B30,IF(base_de_datos[Hora fin]&gt;=$C30,base_de_datos[Aula]&amp;" "&amp;#REF!,""),""),""),""),"")</f>
        <v/>
      </c>
      <c r="R30" s="28" t="str" cm="1">
        <f t="array" ref="R30">_xlfn.TEXTJOIN(CHAR(10),TRUE,IF(Profesor=base_de_datos[Profesor],IF("x"=base_de_datos[Viernes],IF(base_de_datos[Hora inicio]&lt;=$B30,IF(base_de_datos[Hora fin]&gt;=$C30,base_de_datos[No clase],""),""),""),""),"")</f>
        <v/>
      </c>
      <c r="S30" s="28" t="str" cm="1">
        <f t="array" ref="S30">_xlfn.TEXTJOIN(CHAR(10),TRUE,IF(Profesor=base_de_datos[Profesor],IF("x"=base_de_datos[Sábado],IF(base_de_datos[Hora inicio]&lt;=$B30,IF(base_de_datos[Hora fin]&gt;=$C30,base_de_datos[Materia]&amp;" "&amp;base_de_datos[[Número de grupo ]],""),""),""),""),"")</f>
        <v/>
      </c>
      <c r="T30" s="28" t="str" cm="1">
        <f t="array" ref="T30">_xlfn.TEXTJOIN(CHAR(10),TRUE,IF(Profesor=base_de_datos[Profesor],IF("x"=base_de_datos[Sábado],IF(base_de_datos[Hora inicio]&lt;=$B30,IF(base_de_datos[Hora fin]&gt;=$C30,base_de_datos[Aula]&amp;" "&amp;#REF!,""),""),""),""),"")</f>
        <v/>
      </c>
      <c r="U30" s="28" t="str" cm="1">
        <f t="array" ref="U30">_xlfn.TEXTJOIN(CHAR(10),TRUE,IF(Profesor=base_de_datos[Profesor],IF("x"=base_de_datos[Sábado],IF(base_de_datos[Hora inicio]&lt;=$B30,IF(base_de_datos[Hora fin]&gt;=$C30,base_de_datos[No clase],""),""),""),""),"")</f>
        <v/>
      </c>
    </row>
    <row r="31" spans="2:30" ht="26" x14ac:dyDescent="0.35">
      <c r="B31" s="92">
        <v>0.83333333333333304</v>
      </c>
      <c r="C31" s="92">
        <v>0.85416666666665797</v>
      </c>
      <c r="D31" s="28" t="str" cm="1">
        <f t="array" ref="D31">_xlfn.TEXTJOIN(CHAR(10),TRUE,IF(Profesor=base_de_datos[Profesor],IF("x"=base_de_datos[Lunes],IF(base_de_datos[Hora inicio]&lt;=$B31,IF(base_de_datos[Hora fin]&gt;=$C31,base_de_datos[Materia]&amp;" "&amp;base_de_datos[[Número de grupo ]],""),""),""),""),"")</f>
        <v>Sistemas de costos y presupuestos 1</v>
      </c>
      <c r="E31" s="28" t="e" cm="1">
        <f t="array" ref="E31">_xlfn.TEXTJOIN(CHAR(10),TRUE,IF(Profesor=base_de_datos[Profesor],IF("x"=base_de_datos[Lunes],IF(base_de_datos[Hora inicio]&lt;=$B31,IF(base_de_datos[Hora fin]&gt;=$C31,base_de_datos[Aula]&amp;" "&amp;#REF!,""),""),""),""),"")</f>
        <v>#REF!</v>
      </c>
      <c r="F31" s="28" t="str" cm="1">
        <f t="array" ref="F31">_xlfn.TEXTJOIN(CHAR(10),TRUE,IF(Profesor=base_de_datos[Profesor],IF("x"=base_de_datos[Lunes],IF(base_de_datos[Hora inicio]&lt;=$B31,IF(base_de_datos[Hora fin]&gt;=$C31,base_de_datos[No clase],""),""),""),""),"")</f>
        <v>2255</v>
      </c>
      <c r="G31" s="28" t="str" cm="1">
        <f t="array" ref="G31">_xlfn.TEXTJOIN(CHAR(10),TRUE,IF(Profesor=base_de_datos[Profesor],IF("x"=base_de_datos[Martes],IF(base_de_datos[Hora inicio]&lt;=$B31,IF(base_de_datos[Hora fin]&gt;=$C31,base_de_datos[Materia]&amp;" "&amp;base_de_datos[[Número de grupo ]],""),""),""),""),"")</f>
        <v/>
      </c>
      <c r="H31" s="28" t="str" cm="1">
        <f t="array" ref="H31">_xlfn.TEXTJOIN(CHAR(10),TRUE,IF(Profesor=base_de_datos[Profesor],IF("x"=base_de_datos[Martes],IF(base_de_datos[Hora inicio]&lt;=$B31,IF(base_de_datos[Hora fin]&gt;=$C31,base_de_datos[Aula]&amp;" "&amp;#REF!,""),""),""),""),"")</f>
        <v/>
      </c>
      <c r="I31" s="28" t="str" cm="1">
        <f t="array" ref="I31">_xlfn.TEXTJOIN(CHAR(10),TRUE,IF(Profesor=base_de_datos[Profesor],IF("x"=base_de_datos[Martes],IF(base_de_datos[Hora inicio]&lt;=$B31,IF(base_de_datos[Hora fin]&gt;=$C31,base_de_datos[No clase],""),""),""),""),"")</f>
        <v/>
      </c>
      <c r="J31" s="28" t="str" cm="1">
        <f t="array" ref="J31">_xlfn.TEXTJOIN(CHAR(10),TRUE,IF(Profesor=base_de_datos[Profesor],IF("x"=base_de_datos[Miércoles],IF(base_de_datos[Hora inicio]&lt;=$B31,IF(base_de_datos[Hora fin]&gt;=$C31,base_de_datos[Materia]&amp;" "&amp;base_de_datos[[Número de grupo ]],""),""),""),""),"")</f>
        <v/>
      </c>
      <c r="K31" s="28" t="str" cm="1">
        <f t="array" ref="K31">_xlfn.TEXTJOIN(CHAR(10),TRUE,IF(Profesor=base_de_datos[Profesor],IF("x"=base_de_datos[Miércoles],IF(base_de_datos[Hora inicio]&lt;=$B31,IF(base_de_datos[Hora fin]&gt;=$C31,base_de_datos[Aula]&amp;" "&amp;#REF!,""),""),""),""),"")</f>
        <v/>
      </c>
      <c r="L31" s="28" t="str" cm="1">
        <f t="array" ref="L31">_xlfn.TEXTJOIN(CHAR(10),TRUE,IF(Profesor=base_de_datos[Profesor],IF("x"=base_de_datos[Miércoles],IF(base_de_datos[Hora inicio]&lt;=$B31,IF(base_de_datos[Hora fin]&gt;=$C31,base_de_datos[No clase],""),""),""),""),"")</f>
        <v/>
      </c>
      <c r="M31" s="28" t="str" cm="1">
        <f t="array" ref="M31">_xlfn.TEXTJOIN(CHAR(10),TRUE,IF(Profesor=base_de_datos[Profesor],IF("x"=base_de_datos[Jueves],IF(base_de_datos[Hora inicio]&lt;=$B31,IF(base_de_datos[Hora fin]&gt;=$C31,base_de_datos[Materia]&amp;" "&amp;base_de_datos[[Número de grupo ]],""),""),""),""),"")</f>
        <v/>
      </c>
      <c r="N31" s="28" t="str" cm="1">
        <f t="array" ref="N31">_xlfn.TEXTJOIN(CHAR(10),TRUE,IF(Profesor=base_de_datos[Profesor],IF("x"=base_de_datos[Jueves],IF(base_de_datos[Hora inicio]&lt;=$B31,IF(base_de_datos[Hora fin]&gt;=$C31,base_de_datos[Aula]&amp;" "&amp;#REF!,""),""),""),""),"")</f>
        <v/>
      </c>
      <c r="O31" s="28" t="str" cm="1">
        <f t="array" ref="O31">_xlfn.TEXTJOIN(CHAR(10),TRUE,IF(Profesor=base_de_datos[Profesor],IF("x"=base_de_datos[Jueves],IF(base_de_datos[Hora inicio]&lt;=$B31,IF(base_de_datos[Hora fin]&gt;=$C31,base_de_datos[No clase],""),""),""),""),"")</f>
        <v/>
      </c>
      <c r="P31" s="28" t="str" cm="1">
        <f t="array" ref="P31">_xlfn.TEXTJOIN(CHAR(10),TRUE,IF(Profesor=base_de_datos[Profesor],IF("x"=base_de_datos[Viernes],IF(base_de_datos[Hora inicio]&lt;=$B31,IF(base_de_datos[Hora fin]&gt;=$C31,base_de_datos[Materia]&amp;" "&amp;base_de_datos[[Número de grupo ]],""),""),""),""),"")</f>
        <v/>
      </c>
      <c r="Q31" s="28" t="str" cm="1">
        <f t="array" ref="Q31">_xlfn.TEXTJOIN(CHAR(10),TRUE,IF(Profesor=base_de_datos[Profesor],IF("x"=base_de_datos[Viernes],IF(base_de_datos[Hora inicio]&lt;=$B31,IF(base_de_datos[Hora fin]&gt;=$C31,base_de_datos[Aula]&amp;" "&amp;#REF!,""),""),""),""),"")</f>
        <v/>
      </c>
      <c r="R31" s="28" t="str" cm="1">
        <f t="array" ref="R31">_xlfn.TEXTJOIN(CHAR(10),TRUE,IF(Profesor=base_de_datos[Profesor],IF("x"=base_de_datos[Viernes],IF(base_de_datos[Hora inicio]&lt;=$B31,IF(base_de_datos[Hora fin]&gt;=$C31,base_de_datos[No clase],""),""),""),""),"")</f>
        <v/>
      </c>
      <c r="S31" s="28" t="str" cm="1">
        <f t="array" ref="S31">_xlfn.TEXTJOIN(CHAR(10),TRUE,IF(Profesor=base_de_datos[Profesor],IF("x"=base_de_datos[Sábado],IF(base_de_datos[Hora inicio]&lt;=$B31,IF(base_de_datos[Hora fin]&gt;=$C31,base_de_datos[Materia]&amp;" "&amp;base_de_datos[[Número de grupo ]],""),""),""),""),"")</f>
        <v/>
      </c>
      <c r="T31" s="28" t="str" cm="1">
        <f t="array" ref="T31">_xlfn.TEXTJOIN(CHAR(10),TRUE,IF(Profesor=base_de_datos[Profesor],IF("x"=base_de_datos[Sábado],IF(base_de_datos[Hora inicio]&lt;=$B31,IF(base_de_datos[Hora fin]&gt;=$C31,base_de_datos[Aula]&amp;" "&amp;#REF!,""),""),""),""),"")</f>
        <v/>
      </c>
      <c r="U31" s="28" t="str" cm="1">
        <f t="array" ref="U31">_xlfn.TEXTJOIN(CHAR(10),TRUE,IF(Profesor=base_de_datos[Profesor],IF("x"=base_de_datos[Sábado],IF(base_de_datos[Hora inicio]&lt;=$B31,IF(base_de_datos[Hora fin]&gt;=$C31,base_de_datos[No clase],""),""),""),""),"")</f>
        <v/>
      </c>
    </row>
    <row r="32" spans="2:30" ht="26" x14ac:dyDescent="0.35">
      <c r="B32" s="92">
        <v>0.85416666666666696</v>
      </c>
      <c r="C32" s="92">
        <v>0.87499999999999001</v>
      </c>
      <c r="D32" s="28" t="str" cm="1">
        <f t="array" ref="D32">_xlfn.TEXTJOIN(CHAR(10),TRUE,IF(Profesor=base_de_datos[Profesor],IF("x"=base_de_datos[Lunes],IF(base_de_datos[Hora inicio]&lt;=$B32,IF(base_de_datos[Hora fin]&gt;=$C32,base_de_datos[Materia]&amp;" "&amp;base_de_datos[[Número de grupo ]],""),""),""),""),"")</f>
        <v>Sistemas de costos y presupuestos 1</v>
      </c>
      <c r="E32" s="28" t="e" cm="1">
        <f t="array" ref="E32">_xlfn.TEXTJOIN(CHAR(10),TRUE,IF(Profesor=base_de_datos[Profesor],IF("x"=base_de_datos[Lunes],IF(base_de_datos[Hora inicio]&lt;=$B32,IF(base_de_datos[Hora fin]&gt;=$C32,base_de_datos[Aula]&amp;" "&amp;#REF!,""),""),""),""),"")</f>
        <v>#REF!</v>
      </c>
      <c r="F32" s="28" t="str" cm="1">
        <f t="array" ref="F32">_xlfn.TEXTJOIN(CHAR(10),TRUE,IF(Profesor=base_de_datos[Profesor],IF("x"=base_de_datos[Lunes],IF(base_de_datos[Hora inicio]&lt;=$B32,IF(base_de_datos[Hora fin]&gt;=$C32,base_de_datos[No clase],""),""),""),""),"")</f>
        <v>2255</v>
      </c>
      <c r="G32" s="28" t="str" cm="1">
        <f t="array" ref="G32">_xlfn.TEXTJOIN(CHAR(10),TRUE,IF(Profesor=base_de_datos[Profesor],IF("x"=base_de_datos[Martes],IF(base_de_datos[Hora inicio]&lt;=$B32,IF(base_de_datos[Hora fin]&gt;=$C32,base_de_datos[Materia]&amp;" "&amp;base_de_datos[[Número de grupo ]],""),""),""),""),"")</f>
        <v/>
      </c>
      <c r="H32" s="28" t="str" cm="1">
        <f t="array" ref="H32">_xlfn.TEXTJOIN(CHAR(10),TRUE,IF(Profesor=base_de_datos[Profesor],IF("x"=base_de_datos[Martes],IF(base_de_datos[Hora inicio]&lt;=$B32,IF(base_de_datos[Hora fin]&gt;=$C32,base_de_datos[Aula]&amp;" "&amp;#REF!,""),""),""),""),"")</f>
        <v/>
      </c>
      <c r="I32" s="28" t="str" cm="1">
        <f t="array" ref="I32">_xlfn.TEXTJOIN(CHAR(10),TRUE,IF(Profesor=base_de_datos[Profesor],IF("x"=base_de_datos[Martes],IF(base_de_datos[Hora inicio]&lt;=$B32,IF(base_de_datos[Hora fin]&gt;=$C32,base_de_datos[No clase],""),""),""),""),"")</f>
        <v/>
      </c>
      <c r="J32" s="28" t="str" cm="1">
        <f t="array" ref="J32">_xlfn.TEXTJOIN(CHAR(10),TRUE,IF(Profesor=base_de_datos[Profesor],IF("x"=base_de_datos[Miércoles],IF(base_de_datos[Hora inicio]&lt;=$B32,IF(base_de_datos[Hora fin]&gt;=$C32,base_de_datos[Materia]&amp;" "&amp;base_de_datos[[Número de grupo ]],""),""),""),""),"")</f>
        <v/>
      </c>
      <c r="K32" s="28" t="str" cm="1">
        <f t="array" ref="K32">_xlfn.TEXTJOIN(CHAR(10),TRUE,IF(Profesor=base_de_datos[Profesor],IF("x"=base_de_datos[Miércoles],IF(base_de_datos[Hora inicio]&lt;=$B32,IF(base_de_datos[Hora fin]&gt;=$C32,base_de_datos[Aula]&amp;" "&amp;#REF!,""),""),""),""),"")</f>
        <v/>
      </c>
      <c r="L32" s="28" t="str" cm="1">
        <f t="array" ref="L32">_xlfn.TEXTJOIN(CHAR(10),TRUE,IF(Profesor=base_de_datos[Profesor],IF("x"=base_de_datos[Miércoles],IF(base_de_datos[Hora inicio]&lt;=$B32,IF(base_de_datos[Hora fin]&gt;=$C32,base_de_datos[No clase],""),""),""),""),"")</f>
        <v/>
      </c>
      <c r="M32" s="28" t="str" cm="1">
        <f t="array" ref="M32">_xlfn.TEXTJOIN(CHAR(10),TRUE,IF(Profesor=base_de_datos[Profesor],IF("x"=base_de_datos[Jueves],IF(base_de_datos[Hora inicio]&lt;=$B32,IF(base_de_datos[Hora fin]&gt;=$C32,base_de_datos[Materia]&amp;" "&amp;base_de_datos[[Número de grupo ]],""),""),""),""),"")</f>
        <v/>
      </c>
      <c r="N32" s="28" t="str" cm="1">
        <f t="array" ref="N32">_xlfn.TEXTJOIN(CHAR(10),TRUE,IF(Profesor=base_de_datos[Profesor],IF("x"=base_de_datos[Jueves],IF(base_de_datos[Hora inicio]&lt;=$B32,IF(base_de_datos[Hora fin]&gt;=$C32,base_de_datos[Aula]&amp;" "&amp;#REF!,""),""),""),""),"")</f>
        <v/>
      </c>
      <c r="O32" s="28" t="str" cm="1">
        <f t="array" ref="O32">_xlfn.TEXTJOIN(CHAR(10),TRUE,IF(Profesor=base_de_datos[Profesor],IF("x"=base_de_datos[Jueves],IF(base_de_datos[Hora inicio]&lt;=$B32,IF(base_de_datos[Hora fin]&gt;=$C32,base_de_datos[No clase],""),""),""),""),"")</f>
        <v/>
      </c>
      <c r="P32" s="28" t="str" cm="1">
        <f t="array" ref="P32">_xlfn.TEXTJOIN(CHAR(10),TRUE,IF(Profesor=base_de_datos[Profesor],IF("x"=base_de_datos[Viernes],IF(base_de_datos[Hora inicio]&lt;=$B32,IF(base_de_datos[Hora fin]&gt;=$C32,base_de_datos[Materia]&amp;" "&amp;base_de_datos[[Número de grupo ]],""),""),""),""),"")</f>
        <v/>
      </c>
      <c r="Q32" s="28" t="str" cm="1">
        <f t="array" ref="Q32">_xlfn.TEXTJOIN(CHAR(10),TRUE,IF(Profesor=base_de_datos[Profesor],IF("x"=base_de_datos[Viernes],IF(base_de_datos[Hora inicio]&lt;=$B32,IF(base_de_datos[Hora fin]&gt;=$C32,base_de_datos[Aula]&amp;" "&amp;#REF!,""),""),""),""),"")</f>
        <v/>
      </c>
      <c r="R32" s="28" t="str" cm="1">
        <f t="array" ref="R32">_xlfn.TEXTJOIN(CHAR(10),TRUE,IF(Profesor=base_de_datos[Profesor],IF("x"=base_de_datos[Viernes],IF(base_de_datos[Hora inicio]&lt;=$B32,IF(base_de_datos[Hora fin]&gt;=$C32,base_de_datos[No clase],""),""),""),""),"")</f>
        <v/>
      </c>
      <c r="S32" s="28" t="str" cm="1">
        <f t="array" ref="S32">_xlfn.TEXTJOIN(CHAR(10),TRUE,IF(Profesor=base_de_datos[Profesor],IF("x"=base_de_datos[Sábado],IF(base_de_datos[Hora inicio]&lt;=$B32,IF(base_de_datos[Hora fin]&gt;=$C32,base_de_datos[Materia]&amp;" "&amp;base_de_datos[[Número de grupo ]],""),""),""),""),"")</f>
        <v/>
      </c>
      <c r="T32" s="28" t="str" cm="1">
        <f t="array" ref="T32">_xlfn.TEXTJOIN(CHAR(10),TRUE,IF(Profesor=base_de_datos[Profesor],IF("x"=base_de_datos[Sábado],IF(base_de_datos[Hora inicio]&lt;=$B32,IF(base_de_datos[Hora fin]&gt;=$C32,base_de_datos[Aula]&amp;" "&amp;#REF!,""),""),""),""),"")</f>
        <v/>
      </c>
      <c r="U32" s="28" t="str" cm="1">
        <f t="array" ref="U32">_xlfn.TEXTJOIN(CHAR(10),TRUE,IF(Profesor=base_de_datos[Profesor],IF("x"=base_de_datos[Sábado],IF(base_de_datos[Hora inicio]&lt;=$B32,IF(base_de_datos[Hora fin]&gt;=$C32,base_de_datos[No clase],""),""),""),""),"")</f>
        <v/>
      </c>
    </row>
    <row r="33" spans="2:30" ht="26" x14ac:dyDescent="0.35">
      <c r="B33" s="92">
        <v>0.875</v>
      </c>
      <c r="C33" s="92">
        <v>0.89583333333332305</v>
      </c>
      <c r="D33" s="28" t="str" cm="1">
        <f t="array" ref="D33">_xlfn.TEXTJOIN(CHAR(10),TRUE,IF(Profesor=base_de_datos[Profesor],IF("x"=base_de_datos[Lunes],IF(base_de_datos[Hora inicio]&lt;=$B33,IF(base_de_datos[Hora fin]&gt;=$C33,base_de_datos[Materia]&amp;" "&amp;base_de_datos[[Número de grupo ]],""),""),""),""),"")</f>
        <v>Sistemas de costos y presupuestos 1</v>
      </c>
      <c r="E33" s="28" t="e" cm="1">
        <f t="array" ref="E33">_xlfn.TEXTJOIN(CHAR(10),TRUE,IF(Profesor=base_de_datos[Profesor],IF("x"=base_de_datos[Lunes],IF(base_de_datos[Hora inicio]&lt;=$B33,IF(base_de_datos[Hora fin]&gt;=$C33,base_de_datos[Aula]&amp;" "&amp;#REF!,""),""),""),""),"")</f>
        <v>#REF!</v>
      </c>
      <c r="F33" s="28" t="str" cm="1">
        <f t="array" ref="F33">_xlfn.TEXTJOIN(CHAR(10),TRUE,IF(Profesor=base_de_datos[Profesor],IF("x"=base_de_datos[Lunes],IF(base_de_datos[Hora inicio]&lt;=$B33,IF(base_de_datos[Hora fin]&gt;=$C33,base_de_datos[No clase],""),""),""),""),"")</f>
        <v>2255</v>
      </c>
      <c r="G33" s="28" t="str" cm="1">
        <f t="array" ref="G33">_xlfn.TEXTJOIN(CHAR(10),TRUE,IF(Profesor=base_de_datos[Profesor],IF("x"=base_de_datos[Martes],IF(base_de_datos[Hora inicio]&lt;=$B33,IF(base_de_datos[Hora fin]&gt;=$C33,base_de_datos[Materia]&amp;" "&amp;base_de_datos[[Número de grupo ]],""),""),""),""),"")</f>
        <v/>
      </c>
      <c r="H33" s="28" t="str" cm="1">
        <f t="array" ref="H33">_xlfn.TEXTJOIN(CHAR(10),TRUE,IF(Profesor=base_de_datos[Profesor],IF("x"=base_de_datos[Martes],IF(base_de_datos[Hora inicio]&lt;=$B33,IF(base_de_datos[Hora fin]&gt;=$C33,base_de_datos[Aula]&amp;" "&amp;#REF!,""),""),""),""),"")</f>
        <v/>
      </c>
      <c r="I33" s="28" t="str" cm="1">
        <f t="array" ref="I33">_xlfn.TEXTJOIN(CHAR(10),TRUE,IF(Profesor=base_de_datos[Profesor],IF("x"=base_de_datos[Martes],IF(base_de_datos[Hora inicio]&lt;=$B33,IF(base_de_datos[Hora fin]&gt;=$C33,base_de_datos[No clase],""),""),""),""),"")</f>
        <v/>
      </c>
      <c r="J33" s="28" t="str" cm="1">
        <f t="array" ref="J33">_xlfn.TEXTJOIN(CHAR(10),TRUE,IF(Profesor=base_de_datos[Profesor],IF("x"=base_de_datos[Miércoles],IF(base_de_datos[Hora inicio]&lt;=$B33,IF(base_de_datos[Hora fin]&gt;=$C33,base_de_datos[Materia]&amp;" "&amp;base_de_datos[[Número de grupo ]],""),""),""),""),"")</f>
        <v/>
      </c>
      <c r="K33" s="28" t="str" cm="1">
        <f t="array" ref="K33">_xlfn.TEXTJOIN(CHAR(10),TRUE,IF(Profesor=base_de_datos[Profesor],IF("x"=base_de_datos[Miércoles],IF(base_de_datos[Hora inicio]&lt;=$B33,IF(base_de_datos[Hora fin]&gt;=$C33,base_de_datos[Aula]&amp;" "&amp;#REF!,""),""),""),""),"")</f>
        <v/>
      </c>
      <c r="L33" s="28" t="str" cm="1">
        <f t="array" ref="L33">_xlfn.TEXTJOIN(CHAR(10),TRUE,IF(Profesor=base_de_datos[Profesor],IF("x"=base_de_datos[Miércoles],IF(base_de_datos[Hora inicio]&lt;=$B33,IF(base_de_datos[Hora fin]&gt;=$C33,base_de_datos[No clase],""),""),""),""),"")</f>
        <v/>
      </c>
      <c r="M33" s="28" t="str" cm="1">
        <f t="array" ref="M33">_xlfn.TEXTJOIN(CHAR(10),TRUE,IF(Profesor=base_de_datos[Profesor],IF("x"=base_de_datos[Jueves],IF(base_de_datos[Hora inicio]&lt;=$B33,IF(base_de_datos[Hora fin]&gt;=$C33,base_de_datos[Materia]&amp;" "&amp;base_de_datos[[Número de grupo ]],""),""),""),""),"")</f>
        <v/>
      </c>
      <c r="N33" s="28" t="str" cm="1">
        <f t="array" ref="N33">_xlfn.TEXTJOIN(CHAR(10),TRUE,IF(Profesor=base_de_datos[Profesor],IF("x"=base_de_datos[Jueves],IF(base_de_datos[Hora inicio]&lt;=$B33,IF(base_de_datos[Hora fin]&gt;=$C33,base_de_datos[Aula]&amp;" "&amp;#REF!,""),""),""),""),"")</f>
        <v/>
      </c>
      <c r="O33" s="28" t="str" cm="1">
        <f t="array" ref="O33">_xlfn.TEXTJOIN(CHAR(10),TRUE,IF(Profesor=base_de_datos[Profesor],IF("x"=base_de_datos[Jueves],IF(base_de_datos[Hora inicio]&lt;=$B33,IF(base_de_datos[Hora fin]&gt;=$C33,base_de_datos[No clase],""),""),""),""),"")</f>
        <v/>
      </c>
      <c r="P33" s="28" t="str" cm="1">
        <f t="array" ref="P33">_xlfn.TEXTJOIN(CHAR(10),TRUE,IF(Profesor=base_de_datos[Profesor],IF("x"=base_de_datos[Viernes],IF(base_de_datos[Hora inicio]&lt;=$B33,IF(base_de_datos[Hora fin]&gt;=$C33,base_de_datos[Materia]&amp;" "&amp;base_de_datos[[Número de grupo ]],""),""),""),""),"")</f>
        <v/>
      </c>
      <c r="Q33" s="28" t="str" cm="1">
        <f t="array" ref="Q33">_xlfn.TEXTJOIN(CHAR(10),TRUE,IF(Profesor=base_de_datos[Profesor],IF("x"=base_de_datos[Viernes],IF(base_de_datos[Hora inicio]&lt;=$B33,IF(base_de_datos[Hora fin]&gt;=$C33,base_de_datos[Aula]&amp;" "&amp;#REF!,""),""),""),""),"")</f>
        <v/>
      </c>
      <c r="R33" s="28" t="str" cm="1">
        <f t="array" ref="R33">_xlfn.TEXTJOIN(CHAR(10),TRUE,IF(Profesor=base_de_datos[Profesor],IF("x"=base_de_datos[Viernes],IF(base_de_datos[Hora inicio]&lt;=$B33,IF(base_de_datos[Hora fin]&gt;=$C33,base_de_datos[No clase],""),""),""),""),"")</f>
        <v/>
      </c>
      <c r="S33" s="28" t="str" cm="1">
        <f t="array" ref="S33">_xlfn.TEXTJOIN(CHAR(10),TRUE,IF(Profesor=base_de_datos[Profesor],IF("x"=base_de_datos[Sábado],IF(base_de_datos[Hora inicio]&lt;=$B33,IF(base_de_datos[Hora fin]&gt;=$C33,base_de_datos[Materia]&amp;" "&amp;base_de_datos[[Número de grupo ]],""),""),""),""),"")</f>
        <v/>
      </c>
      <c r="T33" s="28" t="str" cm="1">
        <f t="array" ref="T33">_xlfn.TEXTJOIN(CHAR(10),TRUE,IF(Profesor=base_de_datos[Profesor],IF("x"=base_de_datos[Sábado],IF(base_de_datos[Hora inicio]&lt;=$B33,IF(base_de_datos[Hora fin]&gt;=$C33,base_de_datos[Aula]&amp;" "&amp;#REF!,""),""),""),""),"")</f>
        <v/>
      </c>
      <c r="U33" s="28" t="str" cm="1">
        <f t="array" ref="U33">_xlfn.TEXTJOIN(CHAR(10),TRUE,IF(Profesor=base_de_datos[Profesor],IF("x"=base_de_datos[Sábado],IF(base_de_datos[Hora inicio]&lt;=$B33,IF(base_de_datos[Hora fin]&gt;=$C33,base_de_datos[No clase],""),""),""),""),"")</f>
        <v/>
      </c>
    </row>
    <row r="34" spans="2:30" ht="14.5" x14ac:dyDescent="0.35">
      <c r="B34" s="92">
        <v>0.89583333333333304</v>
      </c>
      <c r="C34" s="92">
        <v>0.91666666666665697</v>
      </c>
      <c r="D34" s="28" t="str" cm="1">
        <f t="array" ref="D34">_xlfn.TEXTJOIN(CHAR(10),TRUE,IF(Profesor=base_de_datos[Profesor],IF("x"=base_de_datos[Lunes],IF(base_de_datos[Hora inicio]&lt;=$B34,IF(base_de_datos[Hora fin]&gt;=$C34,base_de_datos[Materia]&amp;" "&amp;base_de_datos[[Número de grupo ]],""),""),""),""),"")</f>
        <v/>
      </c>
      <c r="E34" s="28" t="str" cm="1">
        <f t="array" ref="E34">_xlfn.TEXTJOIN(CHAR(10),TRUE,IF(Profesor=base_de_datos[Profesor],IF("x"=base_de_datos[Lunes],IF(base_de_datos[Hora inicio]&lt;=$B34,IF(base_de_datos[Hora fin]&gt;=$C34,base_de_datos[Aula]&amp;" "&amp;#REF!,""),""),""),""),"")</f>
        <v/>
      </c>
      <c r="F34" s="28" t="str" cm="1">
        <f t="array" ref="F34">_xlfn.TEXTJOIN(CHAR(10),TRUE,IF(Profesor=base_de_datos[Profesor],IF("x"=base_de_datos[Lunes],IF(base_de_datos[Hora inicio]&lt;=$B34,IF(base_de_datos[Hora fin]&gt;=$C34,base_de_datos[No clase],""),""),""),""),"")</f>
        <v/>
      </c>
      <c r="G34" s="28" t="str" cm="1">
        <f t="array" ref="G34">_xlfn.TEXTJOIN(CHAR(10),TRUE,IF(Profesor=base_de_datos[Profesor],IF("x"=base_de_datos[Martes],IF(base_de_datos[Hora inicio]&lt;=$B34,IF(base_de_datos[Hora fin]&gt;=$C34,base_de_datos[Materia]&amp;" "&amp;base_de_datos[[Número de grupo ]],""),""),""),""),"")</f>
        <v/>
      </c>
      <c r="H34" s="28" t="str" cm="1">
        <f t="array" ref="H34">_xlfn.TEXTJOIN(CHAR(10),TRUE,IF(Profesor=base_de_datos[Profesor],IF("x"=base_de_datos[Martes],IF(base_de_datos[Hora inicio]&lt;=$B34,IF(base_de_datos[Hora fin]&gt;=$C34,base_de_datos[Aula]&amp;" "&amp;#REF!,""),""),""),""),"")</f>
        <v/>
      </c>
      <c r="I34" s="28" t="str" cm="1">
        <f t="array" ref="I34">_xlfn.TEXTJOIN(CHAR(10),TRUE,IF(Profesor=base_de_datos[Profesor],IF("x"=base_de_datos[Martes],IF(base_de_datos[Hora inicio]&lt;=$B34,IF(base_de_datos[Hora fin]&gt;=$C34,base_de_datos[No clase],""),""),""),""),"")</f>
        <v/>
      </c>
      <c r="J34" s="28" t="str" cm="1">
        <f t="array" ref="J34">_xlfn.TEXTJOIN(CHAR(10),TRUE,IF(Profesor=base_de_datos[Profesor],IF("x"=base_de_datos[Miércoles],IF(base_de_datos[Hora inicio]&lt;=$B34,IF(base_de_datos[Hora fin]&gt;=$C34,base_de_datos[Materia]&amp;" "&amp;base_de_datos[[Número de grupo ]],""),""),""),""),"")</f>
        <v/>
      </c>
      <c r="K34" s="28" t="str" cm="1">
        <f t="array" ref="K34">_xlfn.TEXTJOIN(CHAR(10),TRUE,IF(Profesor=base_de_datos[Profesor],IF("x"=base_de_datos[Miércoles],IF(base_de_datos[Hora inicio]&lt;=$B34,IF(base_de_datos[Hora fin]&gt;=$C34,base_de_datos[Aula]&amp;" "&amp;#REF!,""),""),""),""),"")</f>
        <v/>
      </c>
      <c r="L34" s="28" t="str" cm="1">
        <f t="array" ref="L34">_xlfn.TEXTJOIN(CHAR(10),TRUE,IF(Profesor=base_de_datos[Profesor],IF("x"=base_de_datos[Miércoles],IF(base_de_datos[Hora inicio]&lt;=$B34,IF(base_de_datos[Hora fin]&gt;=$C34,base_de_datos[No clase],""),""),""),""),"")</f>
        <v/>
      </c>
      <c r="M34" s="28" t="str" cm="1">
        <f t="array" ref="M34">_xlfn.TEXTJOIN(CHAR(10),TRUE,IF(Profesor=base_de_datos[Profesor],IF("x"=base_de_datos[Jueves],IF(base_de_datos[Hora inicio]&lt;=$B34,IF(base_de_datos[Hora fin]&gt;=$C34,base_de_datos[Materia]&amp;" "&amp;base_de_datos[[Número de grupo ]],""),""),""),""),"")</f>
        <v/>
      </c>
      <c r="N34" s="28" t="str" cm="1">
        <f t="array" ref="N34">_xlfn.TEXTJOIN(CHAR(10),TRUE,IF(Profesor=base_de_datos[Profesor],IF("x"=base_de_datos[Jueves],IF(base_de_datos[Hora inicio]&lt;=$B34,IF(base_de_datos[Hora fin]&gt;=$C34,base_de_datos[Aula]&amp;" "&amp;#REF!,""),""),""),""),"")</f>
        <v/>
      </c>
      <c r="O34" s="28" t="str" cm="1">
        <f t="array" ref="O34">_xlfn.TEXTJOIN(CHAR(10),TRUE,IF(Profesor=base_de_datos[Profesor],IF("x"=base_de_datos[Jueves],IF(base_de_datos[Hora inicio]&lt;=$B34,IF(base_de_datos[Hora fin]&gt;=$C34,base_de_datos[No clase],""),""),""),""),"")</f>
        <v/>
      </c>
      <c r="P34" s="28" t="str" cm="1">
        <f t="array" ref="P34">_xlfn.TEXTJOIN(CHAR(10),TRUE,IF(Profesor=base_de_datos[Profesor],IF("x"=base_de_datos[Viernes],IF(base_de_datos[Hora inicio]&lt;=$B34,IF(base_de_datos[Hora fin]&gt;=$C34,base_de_datos[Materia]&amp;" "&amp;base_de_datos[[Número de grupo ]],""),""),""),""),"")</f>
        <v/>
      </c>
      <c r="Q34" s="28" t="str" cm="1">
        <f t="array" ref="Q34">_xlfn.TEXTJOIN(CHAR(10),TRUE,IF(Profesor=base_de_datos[Profesor],IF("x"=base_de_datos[Viernes],IF(base_de_datos[Hora inicio]&lt;=$B34,IF(base_de_datos[Hora fin]&gt;=$C34,base_de_datos[Aula]&amp;" "&amp;#REF!,""),""),""),""),"")</f>
        <v/>
      </c>
      <c r="R34" s="28" t="str" cm="1">
        <f t="array" ref="R34">_xlfn.TEXTJOIN(CHAR(10),TRUE,IF(Profesor=base_de_datos[Profesor],IF("x"=base_de_datos[Viernes],IF(base_de_datos[Hora inicio]&lt;=$B34,IF(base_de_datos[Hora fin]&gt;=$C34,base_de_datos[No clase],""),""),""),""),"")</f>
        <v/>
      </c>
      <c r="S34" s="28" t="str" cm="1">
        <f t="array" ref="S34">_xlfn.TEXTJOIN(CHAR(10),TRUE,IF(Profesor=base_de_datos[Profesor],IF("x"=base_de_datos[Sábado],IF(base_de_datos[Hora inicio]&lt;=$B34,IF(base_de_datos[Hora fin]&gt;=$C34,base_de_datos[Materia]&amp;" "&amp;base_de_datos[[Número de grupo ]],""),""),""),""),"")</f>
        <v/>
      </c>
      <c r="T34" s="28" t="str" cm="1">
        <f t="array" ref="T34">_xlfn.TEXTJOIN(CHAR(10),TRUE,IF(Profesor=base_de_datos[Profesor],IF("x"=base_de_datos[Sábado],IF(base_de_datos[Hora inicio]&lt;=$B34,IF(base_de_datos[Hora fin]&gt;=$C34,base_de_datos[Aula]&amp;" "&amp;#REF!,""),""),""),""),"")</f>
        <v/>
      </c>
      <c r="U34" s="28" t="str" cm="1">
        <f t="array" ref="U34">_xlfn.TEXTJOIN(CHAR(10),TRUE,IF(Profesor=base_de_datos[Profesor],IF("x"=base_de_datos[Sábado],IF(base_de_datos[Hora inicio]&lt;=$B34,IF(base_de_datos[Hora fin]&gt;=$C34,base_de_datos[No clase],""),""),""),""),"")</f>
        <v/>
      </c>
      <c r="AB34" s="27"/>
      <c r="AC34" s="27"/>
      <c r="AD34" s="27"/>
    </row>
    <row r="35" spans="2:30" x14ac:dyDescent="0.3">
      <c r="C35" s="3"/>
      <c r="D35" s="27"/>
      <c r="E35" s="27"/>
      <c r="F35" s="27"/>
      <c r="G35" s="27"/>
      <c r="H35" s="27"/>
      <c r="I35" s="27"/>
      <c r="J35" s="30"/>
      <c r="K35" s="30"/>
      <c r="L35" s="27"/>
      <c r="M35" s="27"/>
      <c r="N35" s="27"/>
      <c r="O35" s="27"/>
      <c r="P35" s="27"/>
      <c r="Q35" s="27"/>
      <c r="R35" s="27"/>
      <c r="S35" s="27"/>
      <c r="T35" s="27"/>
      <c r="U35" s="27"/>
      <c r="AB35" s="27"/>
      <c r="AC35" s="27"/>
      <c r="AD35" s="27"/>
    </row>
    <row r="36" spans="2:30" x14ac:dyDescent="0.3">
      <c r="C36" s="3"/>
      <c r="D36" s="27"/>
      <c r="E36" s="27"/>
      <c r="F36" s="27"/>
      <c r="G36" s="27"/>
      <c r="H36" s="27"/>
      <c r="I36" s="27"/>
      <c r="J36" s="30"/>
      <c r="K36" s="30"/>
      <c r="L36" s="27"/>
      <c r="M36" s="27"/>
      <c r="N36" s="27"/>
      <c r="O36" s="27"/>
      <c r="P36" s="27"/>
      <c r="Q36" s="27"/>
      <c r="R36" s="27"/>
      <c r="S36" s="27"/>
      <c r="T36" s="27"/>
      <c r="U36" s="27"/>
      <c r="AB36" s="27"/>
      <c r="AC36" s="27"/>
      <c r="AD36" s="27"/>
    </row>
    <row r="37" spans="2:30" x14ac:dyDescent="0.3">
      <c r="C37" s="3"/>
      <c r="D37" s="27"/>
      <c r="E37" s="27"/>
      <c r="F37" s="27"/>
      <c r="G37" s="27"/>
      <c r="H37" s="27"/>
      <c r="I37" s="27"/>
      <c r="J37" s="30"/>
      <c r="K37" s="30"/>
      <c r="L37" s="27"/>
      <c r="M37" s="27"/>
      <c r="N37" s="27"/>
      <c r="O37" s="27"/>
      <c r="P37" s="27"/>
      <c r="Q37" s="27"/>
      <c r="R37" s="27"/>
      <c r="S37" s="27"/>
      <c r="T37" s="27"/>
      <c r="U37" s="27"/>
      <c r="AB37" s="27"/>
      <c r="AC37" s="27"/>
      <c r="AD37" s="27"/>
    </row>
    <row r="38" spans="2:30" x14ac:dyDescent="0.3">
      <c r="C38" s="3"/>
      <c r="D38" s="27"/>
      <c r="E38" s="27"/>
      <c r="F38" s="27"/>
      <c r="G38" s="27"/>
      <c r="H38" s="27"/>
      <c r="I38" s="27"/>
      <c r="J38" s="30"/>
      <c r="K38" s="30"/>
      <c r="L38" s="27"/>
      <c r="M38" s="27"/>
      <c r="N38" s="27"/>
      <c r="O38" s="27"/>
      <c r="P38" s="27"/>
      <c r="Q38" s="27"/>
      <c r="R38" s="27"/>
      <c r="S38" s="27"/>
      <c r="T38" s="27"/>
      <c r="U38" s="27"/>
      <c r="AB38" s="27"/>
      <c r="AC38" s="27"/>
      <c r="AD38" s="27"/>
    </row>
    <row r="39" spans="2:30" x14ac:dyDescent="0.3">
      <c r="C39" s="3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AB39" s="27"/>
      <c r="AC39" s="27"/>
      <c r="AD39" s="27"/>
    </row>
    <row r="40" spans="2:30" x14ac:dyDescent="0.3">
      <c r="C40" s="3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AB40" s="27"/>
      <c r="AC40" s="27"/>
      <c r="AD40" s="27"/>
    </row>
    <row r="41" spans="2:30" x14ac:dyDescent="0.3">
      <c r="C41" s="3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AB41" s="27"/>
      <c r="AC41" s="27"/>
      <c r="AD41" s="27"/>
    </row>
    <row r="42" spans="2:30" x14ac:dyDescent="0.3">
      <c r="C42" s="3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AB42" s="27"/>
      <c r="AC42" s="27"/>
      <c r="AD42" s="27"/>
    </row>
    <row r="43" spans="2:30" x14ac:dyDescent="0.3">
      <c r="C43" s="3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AB43" s="27"/>
      <c r="AC43" s="27"/>
      <c r="AD43" s="27"/>
    </row>
    <row r="44" spans="2:30" x14ac:dyDescent="0.3">
      <c r="C44" s="3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AB44" s="27"/>
      <c r="AC44" s="27"/>
      <c r="AD44" s="27"/>
    </row>
    <row r="45" spans="2:30" x14ac:dyDescent="0.3">
      <c r="C45" s="3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AB45" s="27"/>
      <c r="AC45" s="27"/>
      <c r="AD45" s="27"/>
    </row>
    <row r="46" spans="2:30" x14ac:dyDescent="0.3">
      <c r="C46" s="3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AB46" s="27"/>
      <c r="AC46" s="27"/>
      <c r="AD46" s="27"/>
    </row>
    <row r="47" spans="2:30" x14ac:dyDescent="0.3">
      <c r="C47" s="3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AB47" s="27"/>
      <c r="AC47" s="27"/>
      <c r="AD47" s="27"/>
    </row>
    <row r="48" spans="2:30" x14ac:dyDescent="0.3">
      <c r="C48" s="3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AB48" s="27"/>
      <c r="AC48" s="27"/>
      <c r="AD48" s="27"/>
    </row>
    <row r="49" spans="3:30" x14ac:dyDescent="0.3">
      <c r="C49" s="3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AB49" s="27"/>
      <c r="AC49" s="27"/>
      <c r="AD49" s="27"/>
    </row>
    <row r="50" spans="3:30" x14ac:dyDescent="0.3">
      <c r="C50" s="3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AB50" s="27"/>
      <c r="AC50" s="27"/>
      <c r="AD50" s="27"/>
    </row>
    <row r="51" spans="3:30" x14ac:dyDescent="0.3">
      <c r="C51" s="3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AB51" s="27"/>
      <c r="AC51" s="27"/>
      <c r="AD51" s="27"/>
    </row>
    <row r="52" spans="3:30" x14ac:dyDescent="0.3">
      <c r="C52" s="3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AB52" s="27"/>
      <c r="AC52" s="27"/>
      <c r="AD52" s="27"/>
    </row>
    <row r="53" spans="3:30" x14ac:dyDescent="0.3">
      <c r="C53" s="3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AB53" s="27"/>
      <c r="AC53" s="27"/>
      <c r="AD53" s="27"/>
    </row>
    <row r="54" spans="3:30" x14ac:dyDescent="0.3">
      <c r="C54" s="3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AB54" s="27"/>
      <c r="AC54" s="27"/>
      <c r="AD54" s="27"/>
    </row>
    <row r="55" spans="3:30" x14ac:dyDescent="0.3">
      <c r="C55" s="3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AB55" s="27"/>
      <c r="AC55" s="27"/>
      <c r="AD55" s="27"/>
    </row>
    <row r="56" spans="3:30" x14ac:dyDescent="0.3">
      <c r="C56" s="3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AB56" s="27"/>
      <c r="AC56" s="27"/>
      <c r="AD56" s="27"/>
    </row>
    <row r="57" spans="3:30" x14ac:dyDescent="0.3">
      <c r="C57" s="3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AB57" s="27"/>
      <c r="AC57" s="27"/>
      <c r="AD57" s="27"/>
    </row>
    <row r="58" spans="3:30" x14ac:dyDescent="0.3">
      <c r="C58" s="3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AB58" s="27"/>
      <c r="AC58" s="27"/>
      <c r="AD58" s="27"/>
    </row>
    <row r="59" spans="3:30" x14ac:dyDescent="0.3">
      <c r="C59" s="3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AB59" s="27"/>
      <c r="AC59" s="27"/>
      <c r="AD59" s="27"/>
    </row>
    <row r="60" spans="3:30" x14ac:dyDescent="0.3">
      <c r="C60" s="3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AB60" s="27"/>
      <c r="AC60" s="27"/>
      <c r="AD60" s="27"/>
    </row>
    <row r="61" spans="3:30" x14ac:dyDescent="0.3">
      <c r="C61" s="3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AB61" s="27"/>
      <c r="AC61" s="27"/>
      <c r="AD61" s="27"/>
    </row>
    <row r="62" spans="3:30" x14ac:dyDescent="0.3">
      <c r="C62" s="3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AB62" s="27"/>
      <c r="AC62" s="27"/>
      <c r="AD62" s="27"/>
    </row>
    <row r="63" spans="3:30" x14ac:dyDescent="0.3">
      <c r="C63" s="3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AB63" s="27"/>
      <c r="AC63" s="27"/>
      <c r="AD63" s="27"/>
    </row>
    <row r="64" spans="3:30" x14ac:dyDescent="0.3">
      <c r="C64" s="3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AB64" s="27"/>
      <c r="AC64" s="27"/>
      <c r="AD64" s="27"/>
    </row>
    <row r="65" spans="3:30" x14ac:dyDescent="0.3">
      <c r="C65" s="3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AB65" s="27"/>
      <c r="AC65" s="27"/>
      <c r="AD65" s="27"/>
    </row>
    <row r="66" spans="3:30" x14ac:dyDescent="0.3">
      <c r="C66" s="3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AB66" s="27"/>
      <c r="AC66" s="27"/>
      <c r="AD66" s="27"/>
    </row>
    <row r="67" spans="3:30" x14ac:dyDescent="0.3">
      <c r="C67" s="3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AB67" s="27"/>
      <c r="AC67" s="27"/>
      <c r="AD67" s="27"/>
    </row>
    <row r="68" spans="3:30" x14ac:dyDescent="0.3">
      <c r="C68" s="3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AB68" s="27"/>
      <c r="AC68" s="27"/>
      <c r="AD68" s="27"/>
    </row>
    <row r="69" spans="3:30" x14ac:dyDescent="0.3">
      <c r="C69" s="3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AB69" s="27"/>
      <c r="AC69" s="27"/>
      <c r="AD69" s="27"/>
    </row>
    <row r="70" spans="3:30" x14ac:dyDescent="0.3">
      <c r="C70" s="3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AB70" s="27"/>
      <c r="AC70" s="27"/>
      <c r="AD70" s="27"/>
    </row>
    <row r="71" spans="3:30" x14ac:dyDescent="0.3">
      <c r="C71" s="3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AB71" s="27"/>
      <c r="AC71" s="27"/>
      <c r="AD71" s="27"/>
    </row>
    <row r="72" spans="3:30" x14ac:dyDescent="0.3">
      <c r="C72" s="3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AB72" s="27"/>
      <c r="AC72" s="27"/>
      <c r="AD72" s="27"/>
    </row>
    <row r="73" spans="3:30" x14ac:dyDescent="0.3">
      <c r="C73" s="3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AB73" s="27"/>
      <c r="AC73" s="27"/>
      <c r="AD73" s="27"/>
    </row>
    <row r="74" spans="3:30" x14ac:dyDescent="0.3">
      <c r="C74" s="3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AB74" s="27"/>
      <c r="AC74" s="27"/>
      <c r="AD74" s="27"/>
    </row>
    <row r="75" spans="3:30" x14ac:dyDescent="0.3">
      <c r="C75" s="3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AB75" s="27"/>
      <c r="AC75" s="27"/>
      <c r="AD75" s="27"/>
    </row>
    <row r="76" spans="3:30" x14ac:dyDescent="0.3">
      <c r="C76" s="3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AB76" s="27"/>
      <c r="AC76" s="27"/>
      <c r="AD76" s="27"/>
    </row>
    <row r="77" spans="3:30" x14ac:dyDescent="0.3">
      <c r="C77" s="3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AB77" s="27"/>
      <c r="AC77" s="27"/>
      <c r="AD77" s="27"/>
    </row>
    <row r="78" spans="3:30" x14ac:dyDescent="0.3">
      <c r="C78" s="3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AB78" s="27"/>
      <c r="AC78" s="27"/>
      <c r="AD78" s="27"/>
    </row>
    <row r="79" spans="3:30" x14ac:dyDescent="0.3">
      <c r="C79" s="3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AB79" s="27"/>
      <c r="AC79" s="27"/>
      <c r="AD79" s="27"/>
    </row>
    <row r="80" spans="3:30" x14ac:dyDescent="0.3">
      <c r="C80" s="3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AB80" s="27"/>
      <c r="AC80" s="27"/>
      <c r="AD80" s="27"/>
    </row>
    <row r="81" spans="3:30" x14ac:dyDescent="0.3">
      <c r="C81" s="3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AB81" s="27"/>
      <c r="AC81" s="27"/>
      <c r="AD81" s="27"/>
    </row>
    <row r="82" spans="3:30" x14ac:dyDescent="0.3">
      <c r="C82" s="3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AB82" s="27"/>
      <c r="AC82" s="27"/>
      <c r="AD82" s="27"/>
    </row>
    <row r="83" spans="3:30" x14ac:dyDescent="0.3">
      <c r="C83" s="3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AB83" s="27"/>
      <c r="AC83" s="27"/>
      <c r="AD83" s="27"/>
    </row>
    <row r="84" spans="3:30" x14ac:dyDescent="0.3">
      <c r="C84" s="3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AB84" s="27"/>
      <c r="AC84" s="27"/>
      <c r="AD84" s="27"/>
    </row>
    <row r="85" spans="3:30" x14ac:dyDescent="0.3">
      <c r="C85" s="3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AB85" s="27"/>
      <c r="AC85" s="27"/>
      <c r="AD85" s="27"/>
    </row>
    <row r="86" spans="3:30" x14ac:dyDescent="0.3">
      <c r="C86" s="3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AB86" s="27"/>
      <c r="AC86" s="27"/>
      <c r="AD86" s="27"/>
    </row>
    <row r="87" spans="3:30" x14ac:dyDescent="0.3">
      <c r="C87" s="3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AB87" s="27"/>
      <c r="AC87" s="27"/>
      <c r="AD87" s="27"/>
    </row>
    <row r="88" spans="3:30" x14ac:dyDescent="0.3">
      <c r="C88" s="3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AB88" s="27"/>
      <c r="AC88" s="27"/>
      <c r="AD88" s="27"/>
    </row>
    <row r="89" spans="3:30" x14ac:dyDescent="0.3">
      <c r="C89" s="3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AB89" s="27"/>
      <c r="AC89" s="27"/>
      <c r="AD89" s="27"/>
    </row>
    <row r="90" spans="3:30" x14ac:dyDescent="0.3">
      <c r="C90" s="3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AB90" s="27"/>
      <c r="AC90" s="27"/>
      <c r="AD90" s="27"/>
    </row>
    <row r="91" spans="3:30" x14ac:dyDescent="0.3">
      <c r="C91" s="3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AB91" s="27"/>
      <c r="AC91" s="27"/>
      <c r="AD91" s="27"/>
    </row>
    <row r="92" spans="3:30" x14ac:dyDescent="0.3">
      <c r="C92" s="3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AB92" s="27"/>
      <c r="AC92" s="27"/>
      <c r="AD92" s="27"/>
    </row>
    <row r="93" spans="3:30" x14ac:dyDescent="0.3">
      <c r="C93" s="3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AB93" s="27"/>
      <c r="AC93" s="27"/>
      <c r="AD93" s="27"/>
    </row>
    <row r="94" spans="3:30" x14ac:dyDescent="0.3">
      <c r="C94" s="3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AB94" s="27"/>
      <c r="AC94" s="27"/>
      <c r="AD94" s="27"/>
    </row>
    <row r="95" spans="3:30" x14ac:dyDescent="0.3">
      <c r="C95" s="3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AB95" s="27"/>
      <c r="AC95" s="27"/>
      <c r="AD95" s="27"/>
    </row>
    <row r="96" spans="3:30" x14ac:dyDescent="0.3">
      <c r="C96" s="3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AB96" s="27"/>
      <c r="AC96" s="27"/>
      <c r="AD96" s="27"/>
    </row>
    <row r="97" spans="3:30" x14ac:dyDescent="0.3">
      <c r="C97" s="3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AB97" s="27"/>
      <c r="AC97" s="27"/>
      <c r="AD97" s="27"/>
    </row>
    <row r="98" spans="3:30" x14ac:dyDescent="0.3">
      <c r="C98" s="3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AB98" s="27"/>
      <c r="AC98" s="27"/>
      <c r="AD98" s="27"/>
    </row>
    <row r="99" spans="3:30" x14ac:dyDescent="0.3">
      <c r="C99" s="3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AB99" s="27"/>
      <c r="AC99" s="27"/>
      <c r="AD99" s="27"/>
    </row>
    <row r="100" spans="3:30" x14ac:dyDescent="0.3">
      <c r="C100" s="3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AB100" s="27"/>
      <c r="AC100" s="27"/>
      <c r="AD100" s="27"/>
    </row>
    <row r="101" spans="3:30" x14ac:dyDescent="0.3">
      <c r="C101" s="3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AB101" s="27"/>
      <c r="AC101" s="27"/>
      <c r="AD101" s="27"/>
    </row>
    <row r="102" spans="3:30" x14ac:dyDescent="0.3">
      <c r="C102" s="3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AB102" s="27"/>
      <c r="AC102" s="27"/>
      <c r="AD102" s="27"/>
    </row>
    <row r="103" spans="3:30" x14ac:dyDescent="0.3">
      <c r="C103" s="3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AB103" s="27"/>
      <c r="AC103" s="27"/>
      <c r="AD103" s="27"/>
    </row>
    <row r="104" spans="3:30" x14ac:dyDescent="0.3">
      <c r="C104" s="3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AB104" s="27"/>
      <c r="AC104" s="27"/>
      <c r="AD104" s="27"/>
    </row>
    <row r="105" spans="3:30" x14ac:dyDescent="0.3">
      <c r="C105" s="3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AB105" s="27"/>
      <c r="AC105" s="27"/>
      <c r="AD105" s="27"/>
    </row>
    <row r="106" spans="3:30" x14ac:dyDescent="0.3">
      <c r="C106" s="3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AB106" s="27"/>
      <c r="AC106" s="27"/>
      <c r="AD106" s="27"/>
    </row>
    <row r="107" spans="3:30" x14ac:dyDescent="0.3">
      <c r="C107" s="3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AB107" s="27"/>
      <c r="AC107" s="27"/>
      <c r="AD107" s="27"/>
    </row>
    <row r="108" spans="3:30" x14ac:dyDescent="0.3">
      <c r="C108" s="3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AB108" s="27"/>
      <c r="AC108" s="27"/>
      <c r="AD108" s="27"/>
    </row>
    <row r="109" spans="3:30" x14ac:dyDescent="0.3">
      <c r="C109" s="3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AB109" s="27"/>
      <c r="AC109" s="27"/>
      <c r="AD109" s="27"/>
    </row>
    <row r="110" spans="3:30" x14ac:dyDescent="0.3">
      <c r="C110" s="3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AB110" s="27"/>
      <c r="AC110" s="27"/>
      <c r="AD110" s="27"/>
    </row>
    <row r="111" spans="3:30" x14ac:dyDescent="0.3">
      <c r="C111" s="3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AB111" s="27"/>
      <c r="AC111" s="27"/>
      <c r="AD111" s="27"/>
    </row>
    <row r="112" spans="3:30" x14ac:dyDescent="0.3">
      <c r="C112" s="3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AB112" s="27"/>
      <c r="AC112" s="27"/>
      <c r="AD112" s="27"/>
    </row>
    <row r="113" spans="3:30" x14ac:dyDescent="0.3">
      <c r="C113" s="3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AB113" s="27"/>
      <c r="AC113" s="27"/>
      <c r="AD113" s="27"/>
    </row>
    <row r="114" spans="3:30" x14ac:dyDescent="0.3">
      <c r="C114" s="3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AB114" s="27"/>
      <c r="AC114" s="27"/>
      <c r="AD114" s="27"/>
    </row>
    <row r="115" spans="3:30" x14ac:dyDescent="0.3">
      <c r="C115" s="3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AB115" s="27"/>
      <c r="AC115" s="27"/>
      <c r="AD115" s="27"/>
    </row>
    <row r="116" spans="3:30" x14ac:dyDescent="0.3">
      <c r="C116" s="3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AB116" s="27"/>
      <c r="AC116" s="27"/>
      <c r="AD116" s="27"/>
    </row>
    <row r="117" spans="3:30" x14ac:dyDescent="0.3">
      <c r="C117" s="3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AB117" s="27"/>
      <c r="AC117" s="27"/>
      <c r="AD117" s="27"/>
    </row>
    <row r="118" spans="3:30" x14ac:dyDescent="0.3">
      <c r="C118" s="3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AB118" s="27"/>
      <c r="AC118" s="27"/>
      <c r="AD118" s="27"/>
    </row>
    <row r="119" spans="3:30" x14ac:dyDescent="0.3">
      <c r="C119" s="3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AB119" s="27"/>
      <c r="AC119" s="27"/>
      <c r="AD119" s="27"/>
    </row>
    <row r="120" spans="3:30" x14ac:dyDescent="0.3">
      <c r="C120" s="3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AB120" s="27"/>
      <c r="AC120" s="27"/>
      <c r="AD120" s="27"/>
    </row>
    <row r="121" spans="3:30" x14ac:dyDescent="0.3">
      <c r="C121" s="3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AB121" s="27"/>
      <c r="AC121" s="27"/>
      <c r="AD121" s="27"/>
    </row>
    <row r="122" spans="3:30" x14ac:dyDescent="0.3">
      <c r="C122" s="3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AB122" s="27"/>
      <c r="AC122" s="27"/>
      <c r="AD122" s="27"/>
    </row>
    <row r="123" spans="3:30" x14ac:dyDescent="0.3">
      <c r="C123" s="3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AB123" s="27"/>
      <c r="AC123" s="27"/>
      <c r="AD123" s="27"/>
    </row>
    <row r="124" spans="3:30" x14ac:dyDescent="0.3">
      <c r="C124" s="3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AB124" s="27"/>
      <c r="AC124" s="27"/>
      <c r="AD124" s="27"/>
    </row>
    <row r="125" spans="3:30" x14ac:dyDescent="0.3">
      <c r="C125" s="3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AB125" s="27"/>
      <c r="AC125" s="27"/>
      <c r="AD125" s="27"/>
    </row>
    <row r="126" spans="3:30" x14ac:dyDescent="0.3">
      <c r="C126" s="3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AB126" s="27"/>
      <c r="AC126" s="27"/>
      <c r="AD126" s="27"/>
    </row>
    <row r="127" spans="3:30" x14ac:dyDescent="0.3">
      <c r="C127" s="3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AB127" s="27"/>
      <c r="AC127" s="27"/>
      <c r="AD127" s="27"/>
    </row>
    <row r="128" spans="3:30" x14ac:dyDescent="0.3">
      <c r="C128" s="3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AB128" s="27"/>
      <c r="AC128" s="27"/>
      <c r="AD128" s="27"/>
    </row>
    <row r="129" spans="3:30" x14ac:dyDescent="0.3">
      <c r="C129" s="3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AB129" s="27"/>
      <c r="AC129" s="27"/>
      <c r="AD129" s="27"/>
    </row>
    <row r="130" spans="3:30" x14ac:dyDescent="0.3">
      <c r="C130" s="3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AB130" s="27"/>
      <c r="AC130" s="27"/>
      <c r="AD130" s="27"/>
    </row>
    <row r="131" spans="3:30" x14ac:dyDescent="0.3">
      <c r="C131" s="3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AB131" s="27"/>
      <c r="AC131" s="27"/>
      <c r="AD131" s="27"/>
    </row>
    <row r="132" spans="3:30" x14ac:dyDescent="0.3">
      <c r="C132" s="3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AB132" s="27"/>
      <c r="AC132" s="27"/>
      <c r="AD132" s="27"/>
    </row>
    <row r="133" spans="3:30" x14ac:dyDescent="0.3">
      <c r="C133" s="3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AB133" s="27"/>
      <c r="AC133" s="27"/>
      <c r="AD133" s="27"/>
    </row>
    <row r="134" spans="3:30" x14ac:dyDescent="0.3">
      <c r="C134" s="3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AB134" s="27"/>
      <c r="AC134" s="27"/>
      <c r="AD134" s="27"/>
    </row>
    <row r="135" spans="3:30" x14ac:dyDescent="0.3">
      <c r="C135" s="3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AB135" s="27"/>
      <c r="AC135" s="27"/>
      <c r="AD135" s="27"/>
    </row>
    <row r="136" spans="3:30" x14ac:dyDescent="0.3">
      <c r="C136" s="3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AB136" s="27"/>
      <c r="AC136" s="27"/>
      <c r="AD136" s="27"/>
    </row>
    <row r="137" spans="3:30" x14ac:dyDescent="0.3">
      <c r="C137" s="3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AB137" s="27"/>
      <c r="AC137" s="27"/>
      <c r="AD137" s="27"/>
    </row>
    <row r="138" spans="3:30" x14ac:dyDescent="0.3">
      <c r="C138" s="3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AB138" s="27"/>
      <c r="AC138" s="27"/>
      <c r="AD138" s="27"/>
    </row>
    <row r="139" spans="3:30" x14ac:dyDescent="0.3">
      <c r="C139" s="3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AB139" s="27"/>
      <c r="AC139" s="27"/>
      <c r="AD139" s="27"/>
    </row>
    <row r="140" spans="3:30" x14ac:dyDescent="0.3">
      <c r="C140" s="3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AB140" s="27"/>
      <c r="AC140" s="27"/>
      <c r="AD140" s="27"/>
    </row>
    <row r="141" spans="3:30" x14ac:dyDescent="0.3">
      <c r="C141" s="3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AB141" s="27"/>
      <c r="AC141" s="27"/>
      <c r="AD141" s="27"/>
    </row>
    <row r="142" spans="3:30" x14ac:dyDescent="0.3">
      <c r="C142" s="3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AB142" s="27"/>
      <c r="AC142" s="27"/>
      <c r="AD142" s="27"/>
    </row>
    <row r="143" spans="3:30" x14ac:dyDescent="0.3">
      <c r="C143" s="3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AB143" s="27"/>
      <c r="AC143" s="27"/>
      <c r="AD143" s="27"/>
    </row>
    <row r="144" spans="3:30" x14ac:dyDescent="0.3">
      <c r="C144" s="3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AB144" s="27"/>
      <c r="AC144" s="27"/>
      <c r="AD144" s="27"/>
    </row>
    <row r="145" spans="3:30" x14ac:dyDescent="0.3">
      <c r="C145" s="3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AB145" s="27"/>
      <c r="AC145" s="27"/>
      <c r="AD145" s="27"/>
    </row>
    <row r="146" spans="3:30" x14ac:dyDescent="0.3">
      <c r="C146" s="3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AB146" s="27"/>
      <c r="AC146" s="27"/>
      <c r="AD146" s="27"/>
    </row>
    <row r="147" spans="3:30" x14ac:dyDescent="0.3">
      <c r="C147" s="3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AB147" s="27"/>
      <c r="AC147" s="27"/>
      <c r="AD147" s="27"/>
    </row>
    <row r="148" spans="3:30" x14ac:dyDescent="0.3">
      <c r="C148" s="3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AB148" s="27"/>
      <c r="AC148" s="27"/>
      <c r="AD148" s="27"/>
    </row>
    <row r="149" spans="3:30" x14ac:dyDescent="0.3">
      <c r="C149" s="3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AB149" s="27"/>
      <c r="AC149" s="27"/>
      <c r="AD149" s="27"/>
    </row>
    <row r="150" spans="3:30" x14ac:dyDescent="0.3">
      <c r="C150" s="3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AB150" s="27"/>
      <c r="AC150" s="27"/>
      <c r="AD150" s="27"/>
    </row>
    <row r="151" spans="3:30" x14ac:dyDescent="0.3">
      <c r="C151" s="3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AB151" s="27"/>
      <c r="AC151" s="27"/>
      <c r="AD151" s="27"/>
    </row>
    <row r="152" spans="3:30" x14ac:dyDescent="0.3">
      <c r="C152" s="3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AB152" s="27"/>
      <c r="AC152" s="27"/>
      <c r="AD152" s="27"/>
    </row>
    <row r="153" spans="3:30" x14ac:dyDescent="0.3">
      <c r="C153" s="3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AB153" s="27"/>
      <c r="AC153" s="27"/>
      <c r="AD153" s="27"/>
    </row>
    <row r="154" spans="3:30" x14ac:dyDescent="0.3">
      <c r="C154" s="3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AB154" s="27"/>
      <c r="AC154" s="27"/>
      <c r="AD154" s="27"/>
    </row>
    <row r="155" spans="3:30" x14ac:dyDescent="0.3">
      <c r="C155" s="3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AB155" s="27"/>
      <c r="AC155" s="27"/>
      <c r="AD155" s="27"/>
    </row>
    <row r="156" spans="3:30" x14ac:dyDescent="0.3">
      <c r="C156" s="3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AB156" s="27"/>
      <c r="AC156" s="27"/>
      <c r="AD156" s="27"/>
    </row>
    <row r="157" spans="3:30" x14ac:dyDescent="0.3">
      <c r="C157" s="3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AB157" s="27"/>
      <c r="AC157" s="27"/>
      <c r="AD157" s="27"/>
    </row>
    <row r="158" spans="3:30" x14ac:dyDescent="0.3">
      <c r="C158" s="3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AB158" s="27"/>
      <c r="AC158" s="27"/>
      <c r="AD158" s="27"/>
    </row>
    <row r="159" spans="3:30" x14ac:dyDescent="0.3">
      <c r="C159" s="3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AB159" s="27"/>
      <c r="AC159" s="27"/>
      <c r="AD159" s="27"/>
    </row>
    <row r="160" spans="3:30" x14ac:dyDescent="0.3">
      <c r="C160" s="3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AB160" s="27"/>
      <c r="AC160" s="27"/>
      <c r="AD160" s="27"/>
    </row>
    <row r="161" spans="3:30" x14ac:dyDescent="0.3">
      <c r="C161" s="3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AB161" s="27"/>
      <c r="AC161" s="27"/>
      <c r="AD161" s="27"/>
    </row>
    <row r="162" spans="3:30" x14ac:dyDescent="0.3">
      <c r="C162" s="3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AB162" s="27"/>
      <c r="AC162" s="27"/>
      <c r="AD162" s="27"/>
    </row>
    <row r="163" spans="3:30" x14ac:dyDescent="0.3">
      <c r="C163" s="3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AB163" s="27"/>
      <c r="AC163" s="27"/>
      <c r="AD163" s="27"/>
    </row>
    <row r="164" spans="3:30" x14ac:dyDescent="0.3">
      <c r="C164" s="3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AB164" s="27"/>
      <c r="AC164" s="27"/>
      <c r="AD164" s="27"/>
    </row>
    <row r="165" spans="3:30" x14ac:dyDescent="0.3">
      <c r="C165" s="3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AB165" s="27"/>
      <c r="AC165" s="27"/>
      <c r="AD165" s="27"/>
    </row>
    <row r="166" spans="3:30" x14ac:dyDescent="0.3">
      <c r="C166" s="3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AB166" s="27"/>
      <c r="AC166" s="27"/>
      <c r="AD166" s="27"/>
    </row>
    <row r="167" spans="3:30" x14ac:dyDescent="0.3">
      <c r="C167" s="3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AB167" s="27"/>
      <c r="AC167" s="27"/>
      <c r="AD167" s="27"/>
    </row>
    <row r="168" spans="3:30" x14ac:dyDescent="0.3">
      <c r="C168" s="3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AB168" s="27"/>
      <c r="AC168" s="27"/>
      <c r="AD168" s="27"/>
    </row>
    <row r="169" spans="3:30" x14ac:dyDescent="0.3">
      <c r="C169" s="3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AB169" s="27"/>
      <c r="AC169" s="27"/>
      <c r="AD169" s="27"/>
    </row>
    <row r="170" spans="3:30" x14ac:dyDescent="0.3">
      <c r="C170" s="3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AB170" s="27"/>
      <c r="AC170" s="27"/>
      <c r="AD170" s="27"/>
    </row>
    <row r="171" spans="3:30" x14ac:dyDescent="0.3">
      <c r="C171" s="3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AB171" s="27"/>
      <c r="AC171" s="27"/>
      <c r="AD171" s="27"/>
    </row>
    <row r="172" spans="3:30" x14ac:dyDescent="0.3">
      <c r="C172" s="3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AB172" s="27"/>
      <c r="AC172" s="27"/>
      <c r="AD172" s="27"/>
    </row>
    <row r="173" spans="3:30" x14ac:dyDescent="0.3">
      <c r="C173" s="3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AB173" s="27"/>
      <c r="AC173" s="27"/>
      <c r="AD173" s="27"/>
    </row>
    <row r="174" spans="3:30" x14ac:dyDescent="0.3">
      <c r="C174" s="3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AB174" s="27"/>
      <c r="AC174" s="27"/>
      <c r="AD174" s="27"/>
    </row>
    <row r="175" spans="3:30" x14ac:dyDescent="0.3">
      <c r="C175" s="3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AB175" s="27"/>
      <c r="AC175" s="27"/>
      <c r="AD175" s="27"/>
    </row>
    <row r="176" spans="3:30" x14ac:dyDescent="0.3">
      <c r="C176" s="3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AB176" s="27"/>
      <c r="AC176" s="27"/>
      <c r="AD176" s="27"/>
    </row>
    <row r="177" spans="3:30" x14ac:dyDescent="0.3">
      <c r="C177" s="3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AB177" s="27"/>
      <c r="AC177" s="27"/>
      <c r="AD177" s="27"/>
    </row>
    <row r="178" spans="3:30" x14ac:dyDescent="0.3">
      <c r="C178" s="3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AB178" s="27"/>
      <c r="AC178" s="27"/>
      <c r="AD178" s="27"/>
    </row>
    <row r="179" spans="3:30" x14ac:dyDescent="0.3">
      <c r="C179" s="3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AB179" s="27"/>
      <c r="AC179" s="27"/>
      <c r="AD179" s="27"/>
    </row>
    <row r="180" spans="3:30" x14ac:dyDescent="0.3">
      <c r="C180" s="3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AB180" s="27"/>
      <c r="AC180" s="27"/>
      <c r="AD180" s="27"/>
    </row>
    <row r="181" spans="3:30" x14ac:dyDescent="0.3">
      <c r="C181" s="3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AB181" s="27"/>
      <c r="AC181" s="27"/>
      <c r="AD181" s="27"/>
    </row>
    <row r="182" spans="3:30" x14ac:dyDescent="0.3">
      <c r="C182" s="3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AB182" s="27"/>
      <c r="AC182" s="27"/>
      <c r="AD182" s="27"/>
    </row>
    <row r="183" spans="3:30" x14ac:dyDescent="0.3">
      <c r="C183" s="3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AB183" s="27"/>
      <c r="AC183" s="27"/>
      <c r="AD183" s="27"/>
    </row>
    <row r="184" spans="3:30" x14ac:dyDescent="0.3">
      <c r="C184" s="3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AB184" s="27"/>
      <c r="AC184" s="27"/>
      <c r="AD184" s="27"/>
    </row>
    <row r="185" spans="3:30" x14ac:dyDescent="0.3">
      <c r="C185" s="3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AB185" s="27"/>
      <c r="AC185" s="27"/>
      <c r="AD185" s="27"/>
    </row>
    <row r="186" spans="3:30" x14ac:dyDescent="0.3">
      <c r="C186" s="3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AB186" s="27"/>
      <c r="AC186" s="27"/>
      <c r="AD186" s="27"/>
    </row>
    <row r="187" spans="3:30" x14ac:dyDescent="0.3">
      <c r="C187" s="3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AB187" s="27"/>
      <c r="AC187" s="27"/>
      <c r="AD187" s="27"/>
    </row>
    <row r="188" spans="3:30" x14ac:dyDescent="0.3">
      <c r="C188" s="3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AB188" s="27"/>
      <c r="AC188" s="27"/>
      <c r="AD188" s="27"/>
    </row>
    <row r="189" spans="3:30" x14ac:dyDescent="0.3">
      <c r="C189" s="3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AB189" s="27"/>
      <c r="AC189" s="27"/>
      <c r="AD189" s="27"/>
    </row>
    <row r="190" spans="3:30" x14ac:dyDescent="0.3">
      <c r="C190" s="3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AB190" s="27"/>
      <c r="AC190" s="27"/>
      <c r="AD190" s="27"/>
    </row>
    <row r="191" spans="3:30" x14ac:dyDescent="0.3">
      <c r="C191" s="3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AB191" s="27"/>
      <c r="AC191" s="27"/>
      <c r="AD191" s="27"/>
    </row>
    <row r="192" spans="3:30" x14ac:dyDescent="0.3">
      <c r="C192" s="3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AB192" s="27"/>
      <c r="AC192" s="27"/>
      <c r="AD192" s="27"/>
    </row>
    <row r="193" spans="3:30" x14ac:dyDescent="0.3">
      <c r="C193" s="3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AB193" s="27"/>
      <c r="AC193" s="27"/>
      <c r="AD193" s="27"/>
    </row>
    <row r="194" spans="3:30" x14ac:dyDescent="0.3">
      <c r="C194" s="3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AB194" s="27"/>
      <c r="AC194" s="27"/>
      <c r="AD194" s="27"/>
    </row>
    <row r="195" spans="3:30" x14ac:dyDescent="0.3">
      <c r="C195" s="3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AB195" s="27"/>
      <c r="AC195" s="27"/>
      <c r="AD195" s="27"/>
    </row>
    <row r="196" spans="3:30" x14ac:dyDescent="0.3">
      <c r="C196" s="3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AB196" s="27"/>
      <c r="AC196" s="27"/>
      <c r="AD196" s="27"/>
    </row>
    <row r="197" spans="3:30" x14ac:dyDescent="0.3">
      <c r="C197" s="3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AB197" s="27"/>
      <c r="AC197" s="27"/>
      <c r="AD197" s="27"/>
    </row>
    <row r="198" spans="3:30" x14ac:dyDescent="0.3">
      <c r="C198" s="3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AB198" s="27"/>
      <c r="AC198" s="27"/>
      <c r="AD198" s="27"/>
    </row>
    <row r="199" spans="3:30" x14ac:dyDescent="0.3">
      <c r="C199" s="3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AB199" s="27"/>
      <c r="AC199" s="27"/>
      <c r="AD199" s="27"/>
    </row>
    <row r="200" spans="3:30" x14ac:dyDescent="0.3">
      <c r="C200" s="3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AB200" s="27"/>
      <c r="AC200" s="27"/>
      <c r="AD200" s="27"/>
    </row>
    <row r="201" spans="3:30" x14ac:dyDescent="0.3">
      <c r="C201" s="3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AB201" s="27"/>
      <c r="AC201" s="27"/>
      <c r="AD201" s="27"/>
    </row>
    <row r="202" spans="3:30" x14ac:dyDescent="0.3">
      <c r="C202" s="3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AB202" s="27"/>
      <c r="AC202" s="27"/>
      <c r="AD202" s="27"/>
    </row>
    <row r="203" spans="3:30" x14ac:dyDescent="0.3">
      <c r="C203" s="3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AB203" s="27"/>
      <c r="AC203" s="27"/>
      <c r="AD203" s="27"/>
    </row>
    <row r="204" spans="3:30" x14ac:dyDescent="0.3">
      <c r="C204" s="3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AB204" s="27"/>
      <c r="AC204" s="27"/>
      <c r="AD204" s="27"/>
    </row>
    <row r="205" spans="3:30" x14ac:dyDescent="0.3">
      <c r="C205" s="3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AB205" s="27"/>
      <c r="AC205" s="27"/>
      <c r="AD205" s="27"/>
    </row>
    <row r="206" spans="3:30" x14ac:dyDescent="0.3">
      <c r="C206" s="3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AB206" s="27"/>
      <c r="AC206" s="27"/>
      <c r="AD206" s="27"/>
    </row>
    <row r="207" spans="3:30" x14ac:dyDescent="0.3">
      <c r="C207" s="3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AB207" s="27"/>
      <c r="AC207" s="27"/>
      <c r="AD207" s="27"/>
    </row>
    <row r="208" spans="3:30" x14ac:dyDescent="0.3">
      <c r="C208" s="3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AB208" s="27"/>
      <c r="AC208" s="27"/>
      <c r="AD208" s="27"/>
    </row>
    <row r="209" spans="3:30" x14ac:dyDescent="0.3">
      <c r="C209" s="3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AB209" s="27"/>
      <c r="AC209" s="27"/>
      <c r="AD209" s="27"/>
    </row>
    <row r="210" spans="3:30" x14ac:dyDescent="0.3">
      <c r="C210" s="3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AB210" s="27"/>
      <c r="AC210" s="27"/>
      <c r="AD210" s="27"/>
    </row>
    <row r="211" spans="3:30" x14ac:dyDescent="0.3">
      <c r="C211" s="3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AB211" s="27"/>
      <c r="AC211" s="27"/>
      <c r="AD211" s="27"/>
    </row>
    <row r="212" spans="3:30" x14ac:dyDescent="0.3">
      <c r="C212" s="3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AB212" s="27"/>
      <c r="AC212" s="27"/>
      <c r="AD212" s="27"/>
    </row>
    <row r="213" spans="3:30" x14ac:dyDescent="0.3">
      <c r="C213" s="3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AB213" s="27"/>
      <c r="AC213" s="27"/>
      <c r="AD213" s="27"/>
    </row>
    <row r="214" spans="3:30" x14ac:dyDescent="0.3">
      <c r="C214" s="3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AB214" s="27"/>
      <c r="AC214" s="27"/>
      <c r="AD214" s="27"/>
    </row>
    <row r="215" spans="3:30" x14ac:dyDescent="0.3">
      <c r="C215" s="3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AB215" s="27"/>
      <c r="AC215" s="27"/>
      <c r="AD215" s="27"/>
    </row>
    <row r="216" spans="3:30" x14ac:dyDescent="0.3">
      <c r="C216" s="3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AB216" s="27"/>
      <c r="AC216" s="27"/>
      <c r="AD216" s="27"/>
    </row>
    <row r="217" spans="3:30" x14ac:dyDescent="0.3">
      <c r="C217" s="3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AB217" s="27"/>
      <c r="AC217" s="27"/>
      <c r="AD217" s="27"/>
    </row>
    <row r="218" spans="3:30" x14ac:dyDescent="0.3">
      <c r="C218" s="3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AB218" s="27"/>
      <c r="AC218" s="27"/>
      <c r="AD218" s="27"/>
    </row>
    <row r="219" spans="3:30" x14ac:dyDescent="0.3">
      <c r="C219" s="3"/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AB219" s="27"/>
      <c r="AC219" s="27"/>
      <c r="AD219" s="27"/>
    </row>
    <row r="220" spans="3:30" x14ac:dyDescent="0.3">
      <c r="C220" s="3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AB220" s="27"/>
      <c r="AC220" s="27"/>
      <c r="AD220" s="27"/>
    </row>
    <row r="221" spans="3:30" x14ac:dyDescent="0.3">
      <c r="C221" s="3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AB221" s="27"/>
      <c r="AC221" s="27"/>
      <c r="AD221" s="27"/>
    </row>
    <row r="222" spans="3:30" x14ac:dyDescent="0.3">
      <c r="C222" s="3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AB222" s="27"/>
      <c r="AC222" s="27"/>
      <c r="AD222" s="27"/>
    </row>
    <row r="223" spans="3:30" x14ac:dyDescent="0.3">
      <c r="C223" s="3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AB223" s="27"/>
      <c r="AC223" s="27"/>
      <c r="AD223" s="27"/>
    </row>
    <row r="224" spans="3:30" x14ac:dyDescent="0.3">
      <c r="C224" s="3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AB224" s="27"/>
      <c r="AC224" s="27"/>
      <c r="AD224" s="27"/>
    </row>
    <row r="225" spans="3:30" x14ac:dyDescent="0.3">
      <c r="C225" s="3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AB225" s="27"/>
      <c r="AC225" s="27"/>
      <c r="AD225" s="27"/>
    </row>
    <row r="226" spans="3:30" x14ac:dyDescent="0.3">
      <c r="C226" s="3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AB226" s="27"/>
      <c r="AC226" s="27"/>
      <c r="AD226" s="27"/>
    </row>
    <row r="227" spans="3:30" x14ac:dyDescent="0.3">
      <c r="C227" s="3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AB227" s="27"/>
      <c r="AC227" s="27"/>
      <c r="AD227" s="27"/>
    </row>
    <row r="228" spans="3:30" x14ac:dyDescent="0.3">
      <c r="C228" s="3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AB228" s="27"/>
      <c r="AC228" s="27"/>
      <c r="AD228" s="27"/>
    </row>
    <row r="229" spans="3:30" x14ac:dyDescent="0.3">
      <c r="C229" s="3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AB229" s="27"/>
      <c r="AC229" s="27"/>
      <c r="AD229" s="27"/>
    </row>
    <row r="230" spans="3:30" x14ac:dyDescent="0.3">
      <c r="C230" s="3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AB230" s="27"/>
      <c r="AC230" s="27"/>
      <c r="AD230" s="27"/>
    </row>
    <row r="231" spans="3:30" x14ac:dyDescent="0.3">
      <c r="C231" s="3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AB231" s="27"/>
      <c r="AC231" s="27"/>
      <c r="AD231" s="27"/>
    </row>
    <row r="232" spans="3:30" x14ac:dyDescent="0.3">
      <c r="C232" s="3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AB232" s="27"/>
      <c r="AC232" s="27"/>
      <c r="AD232" s="27"/>
    </row>
    <row r="233" spans="3:30" x14ac:dyDescent="0.3">
      <c r="C233" s="3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AB233" s="27"/>
      <c r="AC233" s="27"/>
      <c r="AD233" s="27"/>
    </row>
    <row r="234" spans="3:30" x14ac:dyDescent="0.3">
      <c r="C234" s="3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AB234" s="27"/>
      <c r="AC234" s="27"/>
      <c r="AD234" s="27"/>
    </row>
    <row r="235" spans="3:30" x14ac:dyDescent="0.3">
      <c r="C235" s="3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AB235" s="27"/>
      <c r="AC235" s="27"/>
      <c r="AD235" s="27"/>
    </row>
    <row r="236" spans="3:30" x14ac:dyDescent="0.3">
      <c r="C236" s="3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AB236" s="27"/>
      <c r="AC236" s="27"/>
      <c r="AD236" s="27"/>
    </row>
    <row r="237" spans="3:30" x14ac:dyDescent="0.3">
      <c r="C237" s="3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AB237" s="27"/>
      <c r="AC237" s="27"/>
      <c r="AD237" s="27"/>
    </row>
    <row r="238" spans="3:30" x14ac:dyDescent="0.3">
      <c r="C238" s="3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AB238" s="27"/>
      <c r="AC238" s="27"/>
      <c r="AD238" s="27"/>
    </row>
    <row r="239" spans="3:30" x14ac:dyDescent="0.3">
      <c r="C239" s="3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AB239" s="27"/>
      <c r="AC239" s="27"/>
      <c r="AD239" s="27"/>
    </row>
    <row r="240" spans="3:30" x14ac:dyDescent="0.3">
      <c r="C240" s="3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AB240" s="27"/>
      <c r="AC240" s="27"/>
      <c r="AD240" s="27"/>
    </row>
    <row r="241" spans="3:30" x14ac:dyDescent="0.3">
      <c r="C241" s="3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AB241" s="27"/>
      <c r="AC241" s="27"/>
      <c r="AD241" s="27"/>
    </row>
    <row r="242" spans="3:30" x14ac:dyDescent="0.3">
      <c r="C242" s="3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AB242" s="27"/>
      <c r="AC242" s="27"/>
      <c r="AD242" s="27"/>
    </row>
    <row r="243" spans="3:30" x14ac:dyDescent="0.3">
      <c r="C243" s="3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AB243" s="27"/>
      <c r="AC243" s="27"/>
      <c r="AD243" s="27"/>
    </row>
    <row r="244" spans="3:30" x14ac:dyDescent="0.3">
      <c r="C244" s="3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AB244" s="27"/>
      <c r="AC244" s="27"/>
      <c r="AD244" s="27"/>
    </row>
    <row r="245" spans="3:30" x14ac:dyDescent="0.3">
      <c r="C245" s="3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AB245" s="27"/>
      <c r="AC245" s="27"/>
      <c r="AD245" s="27"/>
    </row>
    <row r="246" spans="3:30" x14ac:dyDescent="0.3">
      <c r="C246" s="3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AB246" s="27"/>
      <c r="AC246" s="27"/>
      <c r="AD246" s="27"/>
    </row>
    <row r="247" spans="3:30" x14ac:dyDescent="0.3">
      <c r="C247" s="3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AB247" s="27"/>
      <c r="AC247" s="27"/>
      <c r="AD247" s="27"/>
    </row>
    <row r="248" spans="3:30" x14ac:dyDescent="0.3">
      <c r="C248" s="3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AB248" s="27"/>
      <c r="AC248" s="27"/>
      <c r="AD248" s="27"/>
    </row>
    <row r="249" spans="3:30" x14ac:dyDescent="0.3">
      <c r="C249" s="3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AB249" s="27"/>
      <c r="AC249" s="27"/>
      <c r="AD249" s="27"/>
    </row>
    <row r="250" spans="3:30" x14ac:dyDescent="0.3">
      <c r="C250" s="3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AB250" s="27"/>
      <c r="AC250" s="27"/>
      <c r="AD250" s="27"/>
    </row>
    <row r="251" spans="3:30" x14ac:dyDescent="0.3">
      <c r="C251" s="3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AB251" s="27"/>
      <c r="AC251" s="27"/>
      <c r="AD251" s="27"/>
    </row>
    <row r="252" spans="3:30" x14ac:dyDescent="0.3">
      <c r="C252" s="3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AB252" s="27"/>
      <c r="AC252" s="27"/>
      <c r="AD252" s="27"/>
    </row>
    <row r="253" spans="3:30" x14ac:dyDescent="0.3">
      <c r="C253" s="3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AB253" s="27"/>
      <c r="AC253" s="27"/>
      <c r="AD253" s="27"/>
    </row>
    <row r="254" spans="3:30" x14ac:dyDescent="0.3">
      <c r="C254" s="3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AB254" s="27"/>
      <c r="AC254" s="27"/>
      <c r="AD254" s="27"/>
    </row>
    <row r="255" spans="3:30" x14ac:dyDescent="0.3">
      <c r="C255" s="3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AB255" s="27"/>
      <c r="AC255" s="27"/>
      <c r="AD255" s="27"/>
    </row>
    <row r="256" spans="3:30" x14ac:dyDescent="0.3">
      <c r="C256" s="3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AB256" s="27"/>
      <c r="AC256" s="27"/>
      <c r="AD256" s="27"/>
    </row>
    <row r="257" spans="3:30" x14ac:dyDescent="0.3">
      <c r="C257" s="3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/>
      <c r="U257" s="27"/>
      <c r="AB257" s="27"/>
      <c r="AC257" s="27"/>
      <c r="AD257" s="27"/>
    </row>
    <row r="258" spans="3:30" x14ac:dyDescent="0.3">
      <c r="C258" s="3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AB258" s="27"/>
      <c r="AC258" s="27"/>
      <c r="AD258" s="27"/>
    </row>
    <row r="259" spans="3:30" x14ac:dyDescent="0.3">
      <c r="C259" s="3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/>
      <c r="U259" s="27"/>
      <c r="AB259" s="27"/>
      <c r="AC259" s="27"/>
      <c r="AD259" s="27"/>
    </row>
    <row r="260" spans="3:30" x14ac:dyDescent="0.3">
      <c r="C260" s="3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AB260" s="27"/>
      <c r="AC260" s="27"/>
      <c r="AD260" s="27"/>
    </row>
    <row r="261" spans="3:30" x14ac:dyDescent="0.3">
      <c r="C261" s="3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AB261" s="27"/>
      <c r="AC261" s="27"/>
      <c r="AD261" s="27"/>
    </row>
    <row r="262" spans="3:30" x14ac:dyDescent="0.3">
      <c r="C262" s="3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AB262" s="27"/>
      <c r="AC262" s="27"/>
      <c r="AD262" s="27"/>
    </row>
    <row r="263" spans="3:30" x14ac:dyDescent="0.3">
      <c r="C263" s="3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/>
      <c r="U263" s="27"/>
      <c r="AB263" s="27"/>
      <c r="AC263" s="27"/>
      <c r="AD263" s="27"/>
    </row>
    <row r="264" spans="3:30" x14ac:dyDescent="0.3">
      <c r="C264" s="3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AB264" s="27"/>
      <c r="AC264" s="27"/>
      <c r="AD264" s="27"/>
    </row>
    <row r="265" spans="3:30" x14ac:dyDescent="0.3">
      <c r="C265" s="3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/>
      <c r="U265" s="27"/>
      <c r="AB265" s="27"/>
      <c r="AC265" s="27"/>
      <c r="AD265" s="27"/>
    </row>
    <row r="266" spans="3:30" x14ac:dyDescent="0.3">
      <c r="C266" s="3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AB266" s="27"/>
      <c r="AC266" s="27"/>
      <c r="AD266" s="27"/>
    </row>
    <row r="267" spans="3:30" x14ac:dyDescent="0.3">
      <c r="C267" s="3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/>
      <c r="U267" s="27"/>
      <c r="AB267" s="27"/>
      <c r="AC267" s="27"/>
      <c r="AD267" s="27"/>
    </row>
    <row r="268" spans="3:30" x14ac:dyDescent="0.3">
      <c r="C268" s="3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AB268" s="27"/>
      <c r="AC268" s="27"/>
      <c r="AD268" s="27"/>
    </row>
    <row r="269" spans="3:30" x14ac:dyDescent="0.3">
      <c r="C269" s="3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/>
      <c r="U269" s="27"/>
      <c r="AB269" s="27"/>
      <c r="AC269" s="27"/>
      <c r="AD269" s="27"/>
    </row>
    <row r="270" spans="3:30" x14ac:dyDescent="0.3">
      <c r="C270" s="3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AB270" s="27"/>
      <c r="AC270" s="27"/>
      <c r="AD270" s="27"/>
    </row>
    <row r="271" spans="3:30" x14ac:dyDescent="0.3">
      <c r="C271" s="3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/>
      <c r="AB271" s="27"/>
      <c r="AC271" s="27"/>
      <c r="AD271" s="27"/>
    </row>
    <row r="272" spans="3:30" x14ac:dyDescent="0.3">
      <c r="C272" s="3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AB272" s="27"/>
      <c r="AC272" s="27"/>
      <c r="AD272" s="27"/>
    </row>
    <row r="273" spans="3:30" x14ac:dyDescent="0.3">
      <c r="C273" s="3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/>
      <c r="AB273" s="27"/>
      <c r="AC273" s="27"/>
      <c r="AD273" s="27"/>
    </row>
    <row r="274" spans="3:30" x14ac:dyDescent="0.3">
      <c r="C274" s="3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AB274" s="27"/>
      <c r="AC274" s="27"/>
      <c r="AD274" s="27"/>
    </row>
    <row r="275" spans="3:30" x14ac:dyDescent="0.3">
      <c r="C275" s="3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  <c r="S275" s="27"/>
      <c r="T275" s="27"/>
      <c r="U275" s="27"/>
      <c r="AB275" s="27"/>
      <c r="AC275" s="27"/>
      <c r="AD275" s="27"/>
    </row>
    <row r="276" spans="3:30" x14ac:dyDescent="0.3">
      <c r="C276" s="3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AB276" s="27"/>
      <c r="AC276" s="27"/>
      <c r="AD276" s="27"/>
    </row>
    <row r="277" spans="3:30" x14ac:dyDescent="0.3">
      <c r="C277" s="3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  <c r="T277" s="27"/>
      <c r="U277" s="27"/>
      <c r="AB277" s="27"/>
      <c r="AC277" s="27"/>
      <c r="AD277" s="27"/>
    </row>
    <row r="278" spans="3:30" x14ac:dyDescent="0.3">
      <c r="C278" s="3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AB278" s="27"/>
      <c r="AC278" s="27"/>
      <c r="AD278" s="27"/>
    </row>
    <row r="279" spans="3:30" x14ac:dyDescent="0.3">
      <c r="C279" s="3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27"/>
      <c r="U279" s="27"/>
      <c r="AB279" s="27"/>
      <c r="AC279" s="27"/>
      <c r="AD279" s="27"/>
    </row>
    <row r="280" spans="3:30" x14ac:dyDescent="0.3">
      <c r="C280" s="3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AB280" s="27"/>
      <c r="AC280" s="27"/>
      <c r="AD280" s="27"/>
    </row>
    <row r="281" spans="3:30" x14ac:dyDescent="0.3">
      <c r="C281" s="3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/>
      <c r="U281" s="27"/>
      <c r="AB281" s="27"/>
      <c r="AC281" s="27"/>
      <c r="AD281" s="27"/>
    </row>
    <row r="282" spans="3:30" x14ac:dyDescent="0.3">
      <c r="C282" s="3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AB282" s="27"/>
      <c r="AC282" s="27"/>
      <c r="AD282" s="27"/>
    </row>
    <row r="283" spans="3:30" x14ac:dyDescent="0.3">
      <c r="C283" s="3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  <c r="T283" s="27"/>
      <c r="U283" s="27"/>
      <c r="AB283" s="27"/>
      <c r="AC283" s="27"/>
      <c r="AD283" s="27"/>
    </row>
    <row r="284" spans="3:30" x14ac:dyDescent="0.3">
      <c r="C284" s="3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AB284" s="27"/>
      <c r="AC284" s="27"/>
      <c r="AD284" s="27"/>
    </row>
    <row r="285" spans="3:30" x14ac:dyDescent="0.3">
      <c r="C285" s="3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/>
      <c r="U285" s="27"/>
      <c r="AB285" s="27"/>
      <c r="AC285" s="27"/>
      <c r="AD285" s="27"/>
    </row>
    <row r="286" spans="3:30" x14ac:dyDescent="0.3">
      <c r="C286" s="3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AB286" s="27"/>
      <c r="AC286" s="27"/>
      <c r="AD286" s="27"/>
    </row>
    <row r="287" spans="3:30" x14ac:dyDescent="0.3">
      <c r="C287" s="3"/>
      <c r="D287" s="27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AB287" s="27"/>
      <c r="AC287" s="27"/>
      <c r="AD287" s="27"/>
    </row>
    <row r="288" spans="3:30" x14ac:dyDescent="0.3">
      <c r="C288" s="3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AB288" s="27"/>
      <c r="AC288" s="27"/>
      <c r="AD288" s="27"/>
    </row>
    <row r="289" spans="3:30" x14ac:dyDescent="0.3">
      <c r="C289" s="3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/>
      <c r="U289" s="27"/>
      <c r="AB289" s="27"/>
      <c r="AC289" s="27"/>
      <c r="AD289" s="27"/>
    </row>
    <row r="290" spans="3:30" x14ac:dyDescent="0.3">
      <c r="C290" s="3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AB290" s="27"/>
      <c r="AC290" s="27"/>
      <c r="AD290" s="27"/>
    </row>
    <row r="291" spans="3:30" x14ac:dyDescent="0.3">
      <c r="C291" s="3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/>
      <c r="U291" s="27"/>
      <c r="AB291" s="27"/>
      <c r="AC291" s="27"/>
      <c r="AD291" s="27"/>
    </row>
    <row r="292" spans="3:30" x14ac:dyDescent="0.3">
      <c r="C292" s="3"/>
      <c r="D292" s="27"/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AB292" s="27"/>
      <c r="AC292" s="27"/>
      <c r="AD292" s="27"/>
    </row>
    <row r="293" spans="3:30" x14ac:dyDescent="0.3">
      <c r="C293" s="3"/>
      <c r="D293" s="27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  <c r="T293" s="27"/>
      <c r="U293" s="27"/>
      <c r="AB293" s="27"/>
      <c r="AC293" s="27"/>
      <c r="AD293" s="27"/>
    </row>
    <row r="294" spans="3:30" x14ac:dyDescent="0.3">
      <c r="C294" s="3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AB294" s="27"/>
      <c r="AC294" s="27"/>
      <c r="AD294" s="27"/>
    </row>
    <row r="295" spans="3:30" x14ac:dyDescent="0.3">
      <c r="C295" s="3"/>
      <c r="D295" s="27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/>
      <c r="U295" s="27"/>
      <c r="AB295" s="27"/>
      <c r="AC295" s="27"/>
      <c r="AD295" s="27"/>
    </row>
    <row r="296" spans="3:30" x14ac:dyDescent="0.3">
      <c r="C296" s="3"/>
      <c r="D296" s="27"/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AB296" s="27"/>
      <c r="AC296" s="27"/>
      <c r="AD296" s="27"/>
    </row>
    <row r="297" spans="3:30" x14ac:dyDescent="0.3">
      <c r="C297" s="3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27"/>
      <c r="U297" s="27"/>
      <c r="AB297" s="27"/>
      <c r="AC297" s="27"/>
      <c r="AD297" s="27"/>
    </row>
    <row r="298" spans="3:30" x14ac:dyDescent="0.3">
      <c r="C298" s="3"/>
      <c r="D298" s="27"/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AB298" s="27"/>
      <c r="AC298" s="27"/>
      <c r="AD298" s="27"/>
    </row>
    <row r="299" spans="3:30" x14ac:dyDescent="0.3">
      <c r="C299" s="3"/>
      <c r="D299" s="27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  <c r="T299" s="27"/>
      <c r="U299" s="27"/>
      <c r="AB299" s="27"/>
      <c r="AC299" s="27"/>
      <c r="AD299" s="27"/>
    </row>
    <row r="300" spans="3:30" x14ac:dyDescent="0.3">
      <c r="C300" s="3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AB300" s="27"/>
      <c r="AC300" s="27"/>
      <c r="AD300" s="27"/>
    </row>
    <row r="301" spans="3:30" x14ac:dyDescent="0.3">
      <c r="C301" s="3"/>
      <c r="D301" s="27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  <c r="T301" s="27"/>
      <c r="U301" s="27"/>
      <c r="AB301" s="27"/>
      <c r="AC301" s="27"/>
      <c r="AD301" s="27"/>
    </row>
    <row r="302" spans="3:30" x14ac:dyDescent="0.3">
      <c r="C302" s="3"/>
      <c r="D302" s="27"/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AB302" s="27"/>
      <c r="AC302" s="27"/>
      <c r="AD302" s="27"/>
    </row>
    <row r="303" spans="3:30" x14ac:dyDescent="0.3">
      <c r="C303" s="3"/>
      <c r="D303" s="27"/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  <c r="T303" s="27"/>
      <c r="U303" s="27"/>
      <c r="AB303" s="27"/>
      <c r="AC303" s="27"/>
      <c r="AD303" s="27"/>
    </row>
    <row r="304" spans="3:30" x14ac:dyDescent="0.3">
      <c r="C304" s="3"/>
      <c r="D304" s="27"/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AB304" s="27"/>
      <c r="AC304" s="27"/>
      <c r="AD304" s="27"/>
    </row>
    <row r="305" spans="3:30" x14ac:dyDescent="0.3">
      <c r="C305" s="3"/>
      <c r="D305" s="27"/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P305" s="27"/>
      <c r="Q305" s="27"/>
      <c r="R305" s="27"/>
      <c r="S305" s="27"/>
      <c r="T305" s="27"/>
      <c r="U305" s="27"/>
      <c r="AB305" s="27"/>
      <c r="AC305" s="27"/>
      <c r="AD305" s="27"/>
    </row>
    <row r="306" spans="3:30" x14ac:dyDescent="0.3">
      <c r="C306" s="3"/>
      <c r="D306" s="27"/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AB306" s="27"/>
      <c r="AC306" s="27"/>
      <c r="AD306" s="27"/>
    </row>
    <row r="307" spans="3:30" x14ac:dyDescent="0.3">
      <c r="C307" s="3"/>
      <c r="D307" s="27"/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  <c r="T307" s="27"/>
      <c r="U307" s="27"/>
      <c r="AB307" s="27"/>
      <c r="AC307" s="27"/>
      <c r="AD307" s="27"/>
    </row>
    <row r="308" spans="3:30" x14ac:dyDescent="0.3">
      <c r="C308" s="3"/>
      <c r="D308" s="27"/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AB308" s="27"/>
      <c r="AC308" s="27"/>
      <c r="AD308" s="27"/>
    </row>
    <row r="309" spans="3:30" x14ac:dyDescent="0.3">
      <c r="C309" s="3"/>
      <c r="D309" s="27"/>
      <c r="E309" s="27"/>
      <c r="F309" s="27"/>
      <c r="G309" s="27"/>
      <c r="H309" s="27"/>
      <c r="I309" s="27"/>
      <c r="J309" s="27"/>
      <c r="K309" s="27"/>
      <c r="L309" s="27"/>
      <c r="M309" s="27"/>
      <c r="N309" s="27"/>
      <c r="O309" s="27"/>
      <c r="P309" s="27"/>
      <c r="Q309" s="27"/>
      <c r="R309" s="27"/>
      <c r="S309" s="27"/>
      <c r="T309" s="27"/>
      <c r="U309" s="27"/>
      <c r="AB309" s="27"/>
      <c r="AC309" s="27"/>
      <c r="AD309" s="27"/>
    </row>
    <row r="310" spans="3:30" x14ac:dyDescent="0.3">
      <c r="C310" s="3"/>
      <c r="D310" s="27"/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AB310" s="27"/>
      <c r="AC310" s="27"/>
      <c r="AD310" s="27"/>
    </row>
    <row r="311" spans="3:30" x14ac:dyDescent="0.3">
      <c r="C311" s="3"/>
      <c r="D311" s="27"/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P311" s="27"/>
      <c r="Q311" s="27"/>
      <c r="R311" s="27"/>
      <c r="S311" s="27"/>
      <c r="T311" s="27"/>
      <c r="U311" s="27"/>
      <c r="AB311" s="27"/>
      <c r="AC311" s="27"/>
      <c r="AD311" s="27"/>
    </row>
    <row r="312" spans="3:30" x14ac:dyDescent="0.3">
      <c r="C312" s="3"/>
      <c r="D312" s="27"/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AB312" s="27"/>
      <c r="AC312" s="27"/>
      <c r="AD312" s="27"/>
    </row>
    <row r="313" spans="3:30" x14ac:dyDescent="0.3">
      <c r="C313" s="3"/>
      <c r="D313" s="27"/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P313" s="27"/>
      <c r="Q313" s="27"/>
      <c r="R313" s="27"/>
      <c r="S313" s="27"/>
      <c r="T313" s="27"/>
      <c r="U313" s="27"/>
      <c r="AB313" s="27"/>
      <c r="AC313" s="27"/>
      <c r="AD313" s="27"/>
    </row>
    <row r="314" spans="3:30" x14ac:dyDescent="0.3">
      <c r="C314" s="3"/>
      <c r="D314" s="27"/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AB314" s="27"/>
      <c r="AC314" s="27"/>
      <c r="AD314" s="27"/>
    </row>
    <row r="315" spans="3:30" x14ac:dyDescent="0.3">
      <c r="C315" s="3"/>
      <c r="D315" s="27"/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P315" s="27"/>
      <c r="Q315" s="27"/>
      <c r="R315" s="27"/>
      <c r="S315" s="27"/>
      <c r="T315" s="27"/>
      <c r="U315" s="27"/>
      <c r="AB315" s="27"/>
      <c r="AC315" s="27"/>
      <c r="AD315" s="27"/>
    </row>
    <row r="316" spans="3:30" x14ac:dyDescent="0.3">
      <c r="C316" s="3"/>
      <c r="D316" s="27"/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AB316" s="27"/>
      <c r="AC316" s="27"/>
      <c r="AD316" s="27"/>
    </row>
    <row r="317" spans="3:30" x14ac:dyDescent="0.3">
      <c r="C317" s="3"/>
      <c r="D317" s="27"/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  <c r="T317" s="27"/>
      <c r="U317" s="27"/>
      <c r="AB317" s="27"/>
      <c r="AC317" s="27"/>
      <c r="AD317" s="27"/>
    </row>
    <row r="318" spans="3:30" x14ac:dyDescent="0.3">
      <c r="C318" s="3"/>
      <c r="D318" s="27"/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AB318" s="27"/>
      <c r="AC318" s="27"/>
      <c r="AD318" s="27"/>
    </row>
    <row r="319" spans="3:30" x14ac:dyDescent="0.3">
      <c r="C319" s="3"/>
      <c r="D319" s="27"/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  <c r="T319" s="27"/>
      <c r="U319" s="27"/>
      <c r="AB319" s="27"/>
      <c r="AC319" s="27"/>
      <c r="AD319" s="27"/>
    </row>
    <row r="320" spans="3:30" x14ac:dyDescent="0.3">
      <c r="C320" s="3"/>
      <c r="D320" s="27"/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AB320" s="27"/>
      <c r="AC320" s="27"/>
      <c r="AD320" s="27"/>
    </row>
    <row r="321" spans="3:30" x14ac:dyDescent="0.3">
      <c r="C321" s="3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  <c r="T321" s="27"/>
      <c r="U321" s="27"/>
      <c r="AB321" s="27"/>
      <c r="AC321" s="27"/>
      <c r="AD321" s="27"/>
    </row>
    <row r="322" spans="3:30" x14ac:dyDescent="0.3">
      <c r="C322" s="3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AB322" s="27"/>
      <c r="AC322" s="27"/>
      <c r="AD322" s="27"/>
    </row>
    <row r="323" spans="3:30" x14ac:dyDescent="0.3">
      <c r="C323" s="3"/>
      <c r="D323" s="27"/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P323" s="27"/>
      <c r="Q323" s="27"/>
      <c r="R323" s="27"/>
      <c r="S323" s="27"/>
      <c r="T323" s="27"/>
      <c r="U323" s="27"/>
      <c r="AB323" s="27"/>
      <c r="AC323" s="27"/>
      <c r="AD323" s="27"/>
    </row>
    <row r="324" spans="3:30" x14ac:dyDescent="0.3">
      <c r="C324" s="3"/>
      <c r="D324" s="27"/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AB324" s="27"/>
      <c r="AC324" s="27"/>
      <c r="AD324" s="27"/>
    </row>
    <row r="325" spans="3:30" x14ac:dyDescent="0.3">
      <c r="C325" s="3"/>
      <c r="D325" s="27"/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P325" s="27"/>
      <c r="Q325" s="27"/>
      <c r="R325" s="27"/>
      <c r="S325" s="27"/>
      <c r="T325" s="27"/>
      <c r="U325" s="27"/>
      <c r="AB325" s="27"/>
      <c r="AC325" s="27"/>
      <c r="AD325" s="27"/>
    </row>
    <row r="326" spans="3:30" x14ac:dyDescent="0.3">
      <c r="C326" s="3"/>
      <c r="D326" s="27"/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AB326" s="27"/>
      <c r="AC326" s="27"/>
      <c r="AD326" s="27"/>
    </row>
    <row r="327" spans="3:30" x14ac:dyDescent="0.3">
      <c r="C327" s="3"/>
      <c r="D327" s="27"/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P327" s="27"/>
      <c r="Q327" s="27"/>
      <c r="R327" s="27"/>
      <c r="S327" s="27"/>
      <c r="T327" s="27"/>
      <c r="U327" s="27"/>
      <c r="AB327" s="27"/>
      <c r="AC327" s="27"/>
      <c r="AD327" s="27"/>
    </row>
    <row r="328" spans="3:30" x14ac:dyDescent="0.3">
      <c r="C328" s="3"/>
      <c r="D328" s="27"/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AB328" s="27"/>
      <c r="AC328" s="27"/>
      <c r="AD328" s="27"/>
    </row>
    <row r="329" spans="3:30" x14ac:dyDescent="0.3">
      <c r="C329" s="3"/>
      <c r="D329" s="27"/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P329" s="27"/>
      <c r="Q329" s="27"/>
      <c r="R329" s="27"/>
      <c r="S329" s="27"/>
      <c r="T329" s="27"/>
      <c r="U329" s="27"/>
      <c r="AB329" s="27"/>
      <c r="AC329" s="27"/>
      <c r="AD329" s="27"/>
    </row>
    <row r="330" spans="3:30" x14ac:dyDescent="0.3">
      <c r="C330" s="3"/>
      <c r="D330" s="27"/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AB330" s="27"/>
      <c r="AC330" s="27"/>
      <c r="AD330" s="27"/>
    </row>
    <row r="331" spans="3:30" x14ac:dyDescent="0.3">
      <c r="C331" s="3"/>
      <c r="D331" s="27"/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P331" s="27"/>
      <c r="Q331" s="27"/>
      <c r="R331" s="27"/>
      <c r="S331" s="27"/>
      <c r="T331" s="27"/>
      <c r="U331" s="27"/>
      <c r="AB331" s="27"/>
      <c r="AC331" s="27"/>
      <c r="AD331" s="27"/>
    </row>
    <row r="332" spans="3:30" x14ac:dyDescent="0.3">
      <c r="C332" s="3"/>
      <c r="D332" s="27"/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AB332" s="27"/>
      <c r="AC332" s="27"/>
      <c r="AD332" s="27"/>
    </row>
    <row r="333" spans="3:30" x14ac:dyDescent="0.3">
      <c r="C333" s="3"/>
      <c r="D333" s="27"/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P333" s="27"/>
      <c r="Q333" s="27"/>
      <c r="R333" s="27"/>
      <c r="S333" s="27"/>
      <c r="T333" s="27"/>
      <c r="U333" s="27"/>
      <c r="AB333" s="27"/>
      <c r="AC333" s="27"/>
      <c r="AD333" s="27"/>
    </row>
    <row r="334" spans="3:30" x14ac:dyDescent="0.3">
      <c r="C334" s="3"/>
      <c r="D334" s="27"/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AB334" s="27"/>
      <c r="AC334" s="27"/>
      <c r="AD334" s="27"/>
    </row>
    <row r="335" spans="3:30" x14ac:dyDescent="0.3">
      <c r="C335" s="3"/>
      <c r="D335" s="27"/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P335" s="27"/>
      <c r="Q335" s="27"/>
      <c r="R335" s="27"/>
      <c r="S335" s="27"/>
      <c r="T335" s="27"/>
      <c r="U335" s="27"/>
      <c r="AB335" s="27"/>
      <c r="AC335" s="27"/>
      <c r="AD335" s="27"/>
    </row>
    <row r="336" spans="3:30" x14ac:dyDescent="0.3">
      <c r="C336" s="3"/>
      <c r="D336" s="27"/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AB336" s="27"/>
      <c r="AC336" s="27"/>
      <c r="AD336" s="27"/>
    </row>
    <row r="337" spans="3:30" x14ac:dyDescent="0.3">
      <c r="C337" s="3"/>
      <c r="D337" s="27"/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P337" s="27"/>
      <c r="Q337" s="27"/>
      <c r="R337" s="27"/>
      <c r="S337" s="27"/>
      <c r="T337" s="27"/>
      <c r="U337" s="27"/>
      <c r="AB337" s="27"/>
      <c r="AC337" s="27"/>
      <c r="AD337" s="27"/>
    </row>
    <row r="338" spans="3:30" x14ac:dyDescent="0.3">
      <c r="C338" s="3"/>
      <c r="D338" s="27"/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AB338" s="27"/>
      <c r="AC338" s="27"/>
      <c r="AD338" s="27"/>
    </row>
    <row r="339" spans="3:30" x14ac:dyDescent="0.3">
      <c r="C339" s="3"/>
      <c r="D339" s="27"/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P339" s="27"/>
      <c r="Q339" s="27"/>
      <c r="R339" s="27"/>
      <c r="S339" s="27"/>
      <c r="T339" s="27"/>
      <c r="U339" s="27"/>
      <c r="AB339" s="27"/>
      <c r="AC339" s="27"/>
      <c r="AD339" s="27"/>
    </row>
    <row r="340" spans="3:30" x14ac:dyDescent="0.3">
      <c r="C340" s="3"/>
      <c r="D340" s="27"/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AB340" s="27"/>
      <c r="AC340" s="27"/>
      <c r="AD340" s="27"/>
    </row>
    <row r="341" spans="3:30" x14ac:dyDescent="0.3">
      <c r="C341" s="3"/>
      <c r="D341" s="27"/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P341" s="27"/>
      <c r="Q341" s="27"/>
      <c r="R341" s="27"/>
      <c r="S341" s="27"/>
      <c r="T341" s="27"/>
      <c r="U341" s="27"/>
      <c r="AB341" s="27"/>
      <c r="AC341" s="27"/>
      <c r="AD341" s="27"/>
    </row>
    <row r="342" spans="3:30" x14ac:dyDescent="0.3">
      <c r="C342" s="3"/>
      <c r="D342" s="27"/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AB342" s="27"/>
      <c r="AC342" s="27"/>
      <c r="AD342" s="27"/>
    </row>
    <row r="343" spans="3:30" x14ac:dyDescent="0.3">
      <c r="C343" s="3"/>
      <c r="D343" s="27"/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P343" s="27"/>
      <c r="Q343" s="27"/>
      <c r="R343" s="27"/>
      <c r="S343" s="27"/>
      <c r="T343" s="27"/>
      <c r="U343" s="27"/>
      <c r="AB343" s="27"/>
      <c r="AC343" s="27"/>
      <c r="AD343" s="27"/>
    </row>
    <row r="344" spans="3:30" x14ac:dyDescent="0.3">
      <c r="C344" s="3"/>
      <c r="D344" s="27"/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AB344" s="27"/>
      <c r="AC344" s="27"/>
      <c r="AD344" s="27"/>
    </row>
    <row r="345" spans="3:30" x14ac:dyDescent="0.3">
      <c r="C345" s="3"/>
      <c r="D345" s="27"/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P345" s="27"/>
      <c r="Q345" s="27"/>
      <c r="R345" s="27"/>
      <c r="S345" s="27"/>
      <c r="T345" s="27"/>
      <c r="U345" s="27"/>
      <c r="AB345" s="27"/>
      <c r="AC345" s="27"/>
      <c r="AD345" s="27"/>
    </row>
    <row r="346" spans="3:30" x14ac:dyDescent="0.3">
      <c r="C346" s="3"/>
      <c r="D346" s="27"/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AB346" s="27"/>
      <c r="AC346" s="27"/>
      <c r="AD346" s="27"/>
    </row>
    <row r="347" spans="3:30" x14ac:dyDescent="0.3">
      <c r="C347" s="3"/>
      <c r="D347" s="27"/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P347" s="27"/>
      <c r="Q347" s="27"/>
      <c r="R347" s="27"/>
      <c r="S347" s="27"/>
      <c r="T347" s="27"/>
      <c r="U347" s="27"/>
      <c r="AB347" s="27"/>
      <c r="AC347" s="27"/>
      <c r="AD347" s="27"/>
    </row>
    <row r="348" spans="3:30" x14ac:dyDescent="0.3">
      <c r="C348" s="3"/>
      <c r="D348" s="27"/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AB348" s="27"/>
      <c r="AC348" s="27"/>
      <c r="AD348" s="27"/>
    </row>
    <row r="349" spans="3:30" x14ac:dyDescent="0.3">
      <c r="C349" s="3"/>
      <c r="D349" s="27"/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P349" s="27"/>
      <c r="Q349" s="27"/>
      <c r="R349" s="27"/>
      <c r="S349" s="27"/>
      <c r="T349" s="27"/>
      <c r="U349" s="27"/>
      <c r="AB349" s="27"/>
      <c r="AC349" s="27"/>
      <c r="AD349" s="27"/>
    </row>
    <row r="350" spans="3:30" x14ac:dyDescent="0.3">
      <c r="C350" s="3"/>
      <c r="D350" s="27"/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AB350" s="27"/>
      <c r="AC350" s="27"/>
      <c r="AD350" s="27"/>
    </row>
    <row r="351" spans="3:30" x14ac:dyDescent="0.3">
      <c r="C351" s="3"/>
      <c r="D351" s="27"/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P351" s="27"/>
      <c r="Q351" s="27"/>
      <c r="R351" s="27"/>
      <c r="S351" s="27"/>
      <c r="T351" s="27"/>
      <c r="U351" s="27"/>
      <c r="AB351" s="27"/>
      <c r="AC351" s="27"/>
      <c r="AD351" s="27"/>
    </row>
    <row r="352" spans="3:30" x14ac:dyDescent="0.3">
      <c r="C352" s="3"/>
      <c r="D352" s="27"/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AB352" s="27"/>
      <c r="AC352" s="27"/>
      <c r="AD352" s="27"/>
    </row>
    <row r="353" spans="3:30" x14ac:dyDescent="0.3">
      <c r="C353" s="3"/>
      <c r="D353" s="27"/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P353" s="27"/>
      <c r="Q353" s="27"/>
      <c r="R353" s="27"/>
      <c r="S353" s="27"/>
      <c r="T353" s="27"/>
      <c r="U353" s="27"/>
      <c r="AB353" s="27"/>
      <c r="AC353" s="27"/>
      <c r="AD353" s="27"/>
    </row>
    <row r="354" spans="3:30" x14ac:dyDescent="0.3">
      <c r="C354" s="3"/>
      <c r="D354" s="27"/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AB354" s="27"/>
      <c r="AC354" s="27"/>
      <c r="AD354" s="27"/>
    </row>
    <row r="355" spans="3:30" x14ac:dyDescent="0.3">
      <c r="C355" s="3"/>
      <c r="D355" s="27"/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P355" s="27"/>
      <c r="Q355" s="27"/>
      <c r="R355" s="27"/>
      <c r="S355" s="27"/>
      <c r="T355" s="27"/>
      <c r="U355" s="27"/>
      <c r="AB355" s="27"/>
      <c r="AC355" s="27"/>
      <c r="AD355" s="27"/>
    </row>
    <row r="356" spans="3:30" x14ac:dyDescent="0.3">
      <c r="C356" s="3"/>
      <c r="D356" s="27"/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AB356" s="27"/>
      <c r="AC356" s="27"/>
      <c r="AD356" s="27"/>
    </row>
    <row r="357" spans="3:30" x14ac:dyDescent="0.3">
      <c r="C357" s="3"/>
      <c r="D357" s="27"/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P357" s="27"/>
      <c r="Q357" s="27"/>
      <c r="R357" s="27"/>
      <c r="S357" s="27"/>
      <c r="T357" s="27"/>
      <c r="U357" s="27"/>
      <c r="AB357" s="27"/>
      <c r="AC357" s="27"/>
      <c r="AD357" s="27"/>
    </row>
    <row r="358" spans="3:30" x14ac:dyDescent="0.3">
      <c r="C358" s="3"/>
      <c r="D358" s="27"/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AB358" s="27"/>
      <c r="AC358" s="27"/>
      <c r="AD358" s="27"/>
    </row>
    <row r="359" spans="3:30" x14ac:dyDescent="0.3">
      <c r="C359" s="3"/>
      <c r="D359" s="27"/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P359" s="27"/>
      <c r="Q359" s="27"/>
      <c r="R359" s="27"/>
      <c r="S359" s="27"/>
      <c r="T359" s="27"/>
      <c r="U359" s="27"/>
      <c r="AB359" s="27"/>
      <c r="AC359" s="27"/>
      <c r="AD359" s="27"/>
    </row>
    <row r="360" spans="3:30" x14ac:dyDescent="0.3">
      <c r="C360" s="3"/>
      <c r="D360" s="27"/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AB360" s="27"/>
      <c r="AC360" s="27"/>
      <c r="AD360" s="27"/>
    </row>
    <row r="361" spans="3:30" x14ac:dyDescent="0.3">
      <c r="C361" s="3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P361" s="27"/>
      <c r="Q361" s="27"/>
      <c r="R361" s="27"/>
      <c r="S361" s="27"/>
      <c r="T361" s="27"/>
      <c r="U361" s="27"/>
      <c r="AB361" s="27"/>
      <c r="AC361" s="27"/>
      <c r="AD361" s="27"/>
    </row>
    <row r="362" spans="3:30" x14ac:dyDescent="0.3">
      <c r="C362" s="3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AB362" s="27"/>
      <c r="AC362" s="27"/>
      <c r="AD362" s="27"/>
    </row>
    <row r="363" spans="3:30" x14ac:dyDescent="0.3">
      <c r="C363" s="3"/>
      <c r="D363" s="27"/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P363" s="27"/>
      <c r="Q363" s="27"/>
      <c r="R363" s="27"/>
      <c r="S363" s="27"/>
      <c r="T363" s="27"/>
      <c r="U363" s="27"/>
      <c r="AB363" s="27"/>
      <c r="AC363" s="27"/>
      <c r="AD363" s="27"/>
    </row>
    <row r="364" spans="3:30" x14ac:dyDescent="0.3">
      <c r="C364" s="3"/>
      <c r="D364" s="27"/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AB364" s="27"/>
      <c r="AC364" s="27"/>
      <c r="AD364" s="27"/>
    </row>
    <row r="365" spans="3:30" x14ac:dyDescent="0.3">
      <c r="C365" s="3"/>
      <c r="D365" s="27"/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P365" s="27"/>
      <c r="Q365" s="27"/>
      <c r="R365" s="27"/>
      <c r="S365" s="27"/>
      <c r="T365" s="27"/>
      <c r="U365" s="27"/>
      <c r="AB365" s="27"/>
      <c r="AC365" s="27"/>
      <c r="AD365" s="27"/>
    </row>
    <row r="366" spans="3:30" x14ac:dyDescent="0.3">
      <c r="C366" s="3"/>
      <c r="D366" s="27"/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AB366" s="27"/>
      <c r="AC366" s="27"/>
      <c r="AD366" s="27"/>
    </row>
    <row r="367" spans="3:30" x14ac:dyDescent="0.3">
      <c r="C367" s="3"/>
      <c r="D367" s="27"/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P367" s="27"/>
      <c r="Q367" s="27"/>
      <c r="R367" s="27"/>
      <c r="S367" s="27"/>
      <c r="T367" s="27"/>
      <c r="U367" s="27"/>
      <c r="AB367" s="27"/>
      <c r="AC367" s="27"/>
      <c r="AD367" s="27"/>
    </row>
    <row r="368" spans="3:30" x14ac:dyDescent="0.3">
      <c r="C368" s="3"/>
      <c r="D368" s="27"/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AB368" s="27"/>
      <c r="AC368" s="27"/>
      <c r="AD368" s="27"/>
    </row>
    <row r="369" spans="3:30" x14ac:dyDescent="0.3">
      <c r="C369" s="3"/>
      <c r="D369" s="27"/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P369" s="27"/>
      <c r="Q369" s="27"/>
      <c r="R369" s="27"/>
      <c r="S369" s="27"/>
      <c r="T369" s="27"/>
      <c r="U369" s="27"/>
      <c r="AB369" s="27"/>
      <c r="AC369" s="27"/>
      <c r="AD369" s="27"/>
    </row>
    <row r="370" spans="3:30" x14ac:dyDescent="0.3">
      <c r="C370" s="3"/>
      <c r="D370" s="27"/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AB370" s="27"/>
      <c r="AC370" s="27"/>
      <c r="AD370" s="27"/>
    </row>
    <row r="371" spans="3:30" x14ac:dyDescent="0.3">
      <c r="C371" s="3"/>
      <c r="D371" s="27"/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P371" s="27"/>
      <c r="Q371" s="27"/>
      <c r="R371" s="27"/>
      <c r="S371" s="27"/>
      <c r="T371" s="27"/>
      <c r="U371" s="27"/>
      <c r="AB371" s="27"/>
      <c r="AC371" s="27"/>
      <c r="AD371" s="27"/>
    </row>
    <row r="372" spans="3:30" x14ac:dyDescent="0.3">
      <c r="C372" s="3"/>
      <c r="D372" s="27"/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AB372" s="27"/>
      <c r="AC372" s="27"/>
      <c r="AD372" s="27"/>
    </row>
    <row r="373" spans="3:30" x14ac:dyDescent="0.3">
      <c r="C373" s="3"/>
      <c r="D373" s="27"/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P373" s="27"/>
      <c r="Q373" s="27"/>
      <c r="R373" s="27"/>
      <c r="S373" s="27"/>
      <c r="T373" s="27"/>
      <c r="U373" s="27"/>
      <c r="AB373" s="27"/>
      <c r="AC373" s="27"/>
      <c r="AD373" s="27"/>
    </row>
    <row r="374" spans="3:30" x14ac:dyDescent="0.3">
      <c r="C374" s="3"/>
      <c r="D374" s="27"/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AB374" s="27"/>
      <c r="AC374" s="27"/>
      <c r="AD374" s="27"/>
    </row>
    <row r="375" spans="3:30" x14ac:dyDescent="0.3">
      <c r="C375" s="3"/>
      <c r="D375" s="27"/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P375" s="27"/>
      <c r="Q375" s="27"/>
      <c r="R375" s="27"/>
      <c r="S375" s="27"/>
      <c r="T375" s="27"/>
      <c r="U375" s="27"/>
      <c r="AB375" s="27"/>
      <c r="AC375" s="27"/>
      <c r="AD375" s="27"/>
    </row>
    <row r="376" spans="3:30" x14ac:dyDescent="0.3">
      <c r="C376" s="3"/>
      <c r="D376" s="27"/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AB376" s="27"/>
      <c r="AC376" s="27"/>
      <c r="AD376" s="27"/>
    </row>
    <row r="377" spans="3:30" x14ac:dyDescent="0.3">
      <c r="C377" s="3"/>
      <c r="D377" s="27"/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P377" s="27"/>
      <c r="Q377" s="27"/>
      <c r="R377" s="27"/>
      <c r="S377" s="27"/>
      <c r="T377" s="27"/>
      <c r="U377" s="27"/>
      <c r="AB377" s="27"/>
      <c r="AC377" s="27"/>
      <c r="AD377" s="27"/>
    </row>
    <row r="378" spans="3:30" x14ac:dyDescent="0.3">
      <c r="C378" s="3"/>
      <c r="D378" s="27"/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AB378" s="27"/>
      <c r="AC378" s="27"/>
      <c r="AD378" s="27"/>
    </row>
    <row r="379" spans="3:30" x14ac:dyDescent="0.3">
      <c r="C379" s="3"/>
      <c r="D379" s="27"/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P379" s="27"/>
      <c r="Q379" s="27"/>
      <c r="R379" s="27"/>
      <c r="S379" s="27"/>
      <c r="T379" s="27"/>
      <c r="U379" s="27"/>
      <c r="AB379" s="27"/>
      <c r="AC379" s="27"/>
      <c r="AD379" s="27"/>
    </row>
    <row r="380" spans="3:30" x14ac:dyDescent="0.3">
      <c r="C380" s="3"/>
      <c r="D380" s="27"/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AB380" s="27"/>
      <c r="AC380" s="27"/>
      <c r="AD380" s="27"/>
    </row>
    <row r="381" spans="3:30" x14ac:dyDescent="0.3">
      <c r="C381" s="3"/>
      <c r="D381" s="27"/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P381" s="27"/>
      <c r="Q381" s="27"/>
      <c r="R381" s="27"/>
      <c r="S381" s="27"/>
      <c r="T381" s="27"/>
      <c r="U381" s="27"/>
      <c r="AB381" s="27"/>
      <c r="AC381" s="27"/>
      <c r="AD381" s="27"/>
    </row>
    <row r="382" spans="3:30" x14ac:dyDescent="0.3">
      <c r="C382" s="3"/>
      <c r="D382" s="27"/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AB382" s="27"/>
      <c r="AC382" s="27"/>
      <c r="AD382" s="27"/>
    </row>
    <row r="383" spans="3:30" x14ac:dyDescent="0.3">
      <c r="C383" s="3"/>
      <c r="D383" s="27"/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P383" s="27"/>
      <c r="Q383" s="27"/>
      <c r="R383" s="27"/>
      <c r="S383" s="27"/>
      <c r="T383" s="27"/>
      <c r="U383" s="27"/>
      <c r="AB383" s="27"/>
      <c r="AC383" s="27"/>
      <c r="AD383" s="27"/>
    </row>
    <row r="384" spans="3:30" x14ac:dyDescent="0.3">
      <c r="C384" s="3"/>
      <c r="D384" s="27"/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AB384" s="27"/>
      <c r="AC384" s="27"/>
      <c r="AD384" s="27"/>
    </row>
    <row r="385" spans="3:30" x14ac:dyDescent="0.3">
      <c r="C385" s="3"/>
      <c r="D385" s="27"/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P385" s="27"/>
      <c r="Q385" s="27"/>
      <c r="R385" s="27"/>
      <c r="S385" s="27"/>
      <c r="T385" s="27"/>
      <c r="U385" s="27"/>
      <c r="AB385" s="27"/>
      <c r="AC385" s="27"/>
      <c r="AD385" s="27"/>
    </row>
    <row r="386" spans="3:30" x14ac:dyDescent="0.3">
      <c r="C386" s="3"/>
      <c r="D386" s="27"/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AB386" s="27"/>
      <c r="AC386" s="27"/>
      <c r="AD386" s="27"/>
    </row>
    <row r="387" spans="3:30" x14ac:dyDescent="0.3">
      <c r="C387" s="3"/>
      <c r="D387" s="27"/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P387" s="27"/>
      <c r="Q387" s="27"/>
      <c r="R387" s="27"/>
      <c r="S387" s="27"/>
      <c r="T387" s="27"/>
      <c r="U387" s="27"/>
      <c r="AB387" s="27"/>
      <c r="AC387" s="27"/>
      <c r="AD387" s="27"/>
    </row>
    <row r="388" spans="3:30" x14ac:dyDescent="0.3">
      <c r="C388" s="3"/>
      <c r="D388" s="27"/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AB388" s="27"/>
      <c r="AC388" s="27"/>
      <c r="AD388" s="27"/>
    </row>
    <row r="389" spans="3:30" x14ac:dyDescent="0.3">
      <c r="C389" s="3"/>
      <c r="D389" s="27"/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  <c r="P389" s="27"/>
      <c r="Q389" s="27"/>
      <c r="R389" s="27"/>
      <c r="S389" s="27"/>
      <c r="T389" s="27"/>
      <c r="U389" s="27"/>
      <c r="AB389" s="27"/>
      <c r="AC389" s="27"/>
      <c r="AD389" s="27"/>
    </row>
    <row r="390" spans="3:30" x14ac:dyDescent="0.3">
      <c r="C390" s="3"/>
      <c r="D390" s="27"/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AB390" s="27"/>
      <c r="AC390" s="27"/>
      <c r="AD390" s="27"/>
    </row>
    <row r="391" spans="3:30" x14ac:dyDescent="0.3">
      <c r="C391" s="3"/>
      <c r="D391" s="27"/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P391" s="27"/>
      <c r="Q391" s="27"/>
      <c r="R391" s="27"/>
      <c r="S391" s="27"/>
      <c r="T391" s="27"/>
      <c r="U391" s="27"/>
      <c r="AB391" s="27"/>
      <c r="AC391" s="27"/>
      <c r="AD391" s="27"/>
    </row>
    <row r="392" spans="3:30" x14ac:dyDescent="0.3">
      <c r="C392" s="3"/>
      <c r="D392" s="27"/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AB392" s="27"/>
      <c r="AC392" s="27"/>
      <c r="AD392" s="27"/>
    </row>
    <row r="393" spans="3:30" x14ac:dyDescent="0.3">
      <c r="C393" s="3"/>
      <c r="D393" s="27"/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P393" s="27"/>
      <c r="Q393" s="27"/>
      <c r="R393" s="27"/>
      <c r="S393" s="27"/>
      <c r="T393" s="27"/>
      <c r="U393" s="27"/>
      <c r="AB393" s="27"/>
      <c r="AC393" s="27"/>
      <c r="AD393" s="27"/>
    </row>
    <row r="394" spans="3:30" x14ac:dyDescent="0.3">
      <c r="C394" s="3"/>
      <c r="D394" s="27"/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AB394" s="27"/>
      <c r="AC394" s="27"/>
      <c r="AD394" s="27"/>
    </row>
    <row r="395" spans="3:30" x14ac:dyDescent="0.3">
      <c r="C395" s="3"/>
      <c r="D395" s="27"/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27"/>
      <c r="T395" s="27"/>
      <c r="U395" s="27"/>
      <c r="AB395" s="27"/>
      <c r="AC395" s="27"/>
      <c r="AD395" s="27"/>
    </row>
    <row r="396" spans="3:30" x14ac:dyDescent="0.3">
      <c r="C396" s="3"/>
      <c r="D396" s="27"/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AB396" s="27"/>
      <c r="AC396" s="27"/>
      <c r="AD396" s="27"/>
    </row>
    <row r="397" spans="3:30" x14ac:dyDescent="0.3">
      <c r="C397" s="3"/>
      <c r="D397" s="27"/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P397" s="27"/>
      <c r="Q397" s="27"/>
      <c r="R397" s="27"/>
      <c r="S397" s="27"/>
      <c r="T397" s="27"/>
      <c r="U397" s="27"/>
      <c r="AB397" s="27"/>
      <c r="AC397" s="27"/>
      <c r="AD397" s="27"/>
    </row>
    <row r="398" spans="3:30" x14ac:dyDescent="0.3">
      <c r="C398" s="3"/>
      <c r="D398" s="27"/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AB398" s="27"/>
      <c r="AC398" s="27"/>
      <c r="AD398" s="27"/>
    </row>
    <row r="399" spans="3:30" x14ac:dyDescent="0.3">
      <c r="C399" s="3"/>
      <c r="D399" s="27"/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P399" s="27"/>
      <c r="Q399" s="27"/>
      <c r="R399" s="27"/>
      <c r="S399" s="27"/>
      <c r="T399" s="27"/>
      <c r="U399" s="27"/>
      <c r="AB399" s="27"/>
      <c r="AC399" s="27"/>
      <c r="AD399" s="27"/>
    </row>
    <row r="400" spans="3:30" x14ac:dyDescent="0.3">
      <c r="C400" s="3"/>
      <c r="D400" s="27"/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AB400" s="27"/>
      <c r="AC400" s="27"/>
      <c r="AD400" s="27"/>
    </row>
    <row r="401" spans="3:30" x14ac:dyDescent="0.3">
      <c r="C401" s="3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P401" s="27"/>
      <c r="Q401" s="27"/>
      <c r="R401" s="27"/>
      <c r="S401" s="27"/>
      <c r="T401" s="27"/>
      <c r="U401" s="27"/>
      <c r="AB401" s="27"/>
      <c r="AC401" s="27"/>
      <c r="AD401" s="27"/>
    </row>
    <row r="402" spans="3:30" x14ac:dyDescent="0.3">
      <c r="C402" s="3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AB402" s="27"/>
      <c r="AC402" s="27"/>
      <c r="AD402" s="27"/>
    </row>
    <row r="403" spans="3:30" x14ac:dyDescent="0.3">
      <c r="C403" s="3"/>
      <c r="D403" s="27"/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P403" s="27"/>
      <c r="Q403" s="27"/>
      <c r="R403" s="27"/>
      <c r="S403" s="27"/>
      <c r="T403" s="27"/>
      <c r="U403" s="27"/>
      <c r="AB403" s="27"/>
      <c r="AC403" s="27"/>
      <c r="AD403" s="27"/>
    </row>
    <row r="404" spans="3:30" x14ac:dyDescent="0.3">
      <c r="C404" s="3"/>
      <c r="D404" s="27"/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AB404" s="27"/>
      <c r="AC404" s="27"/>
      <c r="AD404" s="27"/>
    </row>
    <row r="405" spans="3:30" x14ac:dyDescent="0.3">
      <c r="C405" s="3"/>
      <c r="D405" s="27"/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P405" s="27"/>
      <c r="Q405" s="27"/>
      <c r="R405" s="27"/>
      <c r="S405" s="27"/>
      <c r="T405" s="27"/>
      <c r="U405" s="27"/>
      <c r="AB405" s="27"/>
      <c r="AC405" s="27"/>
      <c r="AD405" s="27"/>
    </row>
    <row r="406" spans="3:30" x14ac:dyDescent="0.3">
      <c r="C406" s="3"/>
      <c r="D406" s="27"/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AB406" s="27"/>
      <c r="AC406" s="27"/>
      <c r="AD406" s="27"/>
    </row>
    <row r="407" spans="3:30" x14ac:dyDescent="0.3">
      <c r="C407" s="3"/>
      <c r="D407" s="27"/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P407" s="27"/>
      <c r="Q407" s="27"/>
      <c r="R407" s="27"/>
      <c r="S407" s="27"/>
      <c r="T407" s="27"/>
      <c r="U407" s="27"/>
      <c r="AB407" s="27"/>
      <c r="AC407" s="27"/>
      <c r="AD407" s="27"/>
    </row>
    <row r="408" spans="3:30" x14ac:dyDescent="0.3">
      <c r="C408" s="3"/>
      <c r="D408" s="27"/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AB408" s="27"/>
      <c r="AC408" s="27"/>
      <c r="AD408" s="27"/>
    </row>
    <row r="409" spans="3:30" x14ac:dyDescent="0.3">
      <c r="C409" s="3"/>
      <c r="D409" s="27"/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P409" s="27"/>
      <c r="Q409" s="27"/>
      <c r="R409" s="27"/>
      <c r="S409" s="27"/>
      <c r="T409" s="27"/>
      <c r="U409" s="27"/>
      <c r="AB409" s="27"/>
      <c r="AC409" s="27"/>
      <c r="AD409" s="27"/>
    </row>
    <row r="410" spans="3:30" x14ac:dyDescent="0.3">
      <c r="C410" s="3"/>
      <c r="D410" s="27"/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AB410" s="27"/>
      <c r="AC410" s="27"/>
      <c r="AD410" s="27"/>
    </row>
    <row r="411" spans="3:30" x14ac:dyDescent="0.3">
      <c r="C411" s="3"/>
      <c r="D411" s="27"/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P411" s="27"/>
      <c r="Q411" s="27"/>
      <c r="R411" s="27"/>
      <c r="S411" s="27"/>
      <c r="T411" s="27"/>
      <c r="U411" s="27"/>
      <c r="AB411" s="27"/>
      <c r="AC411" s="27"/>
      <c r="AD411" s="27"/>
    </row>
    <row r="412" spans="3:30" x14ac:dyDescent="0.3">
      <c r="C412" s="3"/>
      <c r="D412" s="27"/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AB412" s="27"/>
      <c r="AC412" s="27"/>
      <c r="AD412" s="27"/>
    </row>
    <row r="413" spans="3:30" x14ac:dyDescent="0.3">
      <c r="C413" s="3"/>
      <c r="D413" s="27"/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P413" s="27"/>
      <c r="Q413" s="27"/>
      <c r="R413" s="27"/>
      <c r="S413" s="27"/>
      <c r="T413" s="27"/>
      <c r="U413" s="27"/>
      <c r="AB413" s="27"/>
      <c r="AC413" s="27"/>
      <c r="AD413" s="27"/>
    </row>
    <row r="414" spans="3:30" x14ac:dyDescent="0.3">
      <c r="C414" s="3"/>
      <c r="D414" s="27"/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AB414" s="27"/>
      <c r="AC414" s="27"/>
      <c r="AD414" s="27"/>
    </row>
    <row r="415" spans="3:30" x14ac:dyDescent="0.3">
      <c r="C415" s="3"/>
      <c r="D415" s="27"/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P415" s="27"/>
      <c r="Q415" s="27"/>
      <c r="R415" s="27"/>
      <c r="S415" s="27"/>
      <c r="T415" s="27"/>
      <c r="U415" s="27"/>
      <c r="AB415" s="27"/>
      <c r="AC415" s="27"/>
      <c r="AD415" s="27"/>
    </row>
    <row r="416" spans="3:30" x14ac:dyDescent="0.3">
      <c r="C416" s="3"/>
      <c r="D416" s="27"/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AB416" s="27"/>
      <c r="AC416" s="27"/>
      <c r="AD416" s="27"/>
    </row>
    <row r="417" spans="3:30" x14ac:dyDescent="0.3">
      <c r="C417" s="3"/>
      <c r="D417" s="27"/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P417" s="27"/>
      <c r="Q417" s="27"/>
      <c r="R417" s="27"/>
      <c r="S417" s="27"/>
      <c r="T417" s="27"/>
      <c r="U417" s="27"/>
      <c r="AB417" s="27"/>
      <c r="AC417" s="27"/>
      <c r="AD417" s="27"/>
    </row>
    <row r="418" spans="3:30" x14ac:dyDescent="0.3">
      <c r="C418" s="3"/>
      <c r="D418" s="27"/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AB418" s="27"/>
      <c r="AC418" s="27"/>
      <c r="AD418" s="27"/>
    </row>
    <row r="419" spans="3:30" x14ac:dyDescent="0.3">
      <c r="C419" s="3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27"/>
      <c r="R419" s="27"/>
      <c r="S419" s="27"/>
      <c r="T419" s="27"/>
      <c r="U419" s="27"/>
      <c r="AB419" s="27"/>
      <c r="AC419" s="27"/>
      <c r="AD419" s="27"/>
    </row>
    <row r="420" spans="3:30" x14ac:dyDescent="0.3">
      <c r="C420" s="3"/>
      <c r="D420" s="27"/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AB420" s="27"/>
      <c r="AC420" s="27"/>
      <c r="AD420" s="27"/>
    </row>
    <row r="421" spans="3:30" x14ac:dyDescent="0.3">
      <c r="C421" s="3"/>
      <c r="D421" s="27"/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P421" s="27"/>
      <c r="Q421" s="27"/>
      <c r="R421" s="27"/>
      <c r="S421" s="27"/>
      <c r="T421" s="27"/>
      <c r="U421" s="27"/>
      <c r="AB421" s="27"/>
      <c r="AC421" s="27"/>
      <c r="AD421" s="27"/>
    </row>
    <row r="422" spans="3:30" x14ac:dyDescent="0.3">
      <c r="C422" s="3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AB422" s="27"/>
      <c r="AC422" s="27"/>
      <c r="AD422" s="27"/>
    </row>
    <row r="423" spans="3:30" x14ac:dyDescent="0.3">
      <c r="C423" s="3"/>
      <c r="D423" s="27"/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P423" s="27"/>
      <c r="Q423" s="27"/>
      <c r="R423" s="27"/>
      <c r="S423" s="27"/>
      <c r="T423" s="27"/>
      <c r="U423" s="27"/>
      <c r="AB423" s="27"/>
      <c r="AC423" s="27"/>
      <c r="AD423" s="27"/>
    </row>
    <row r="424" spans="3:30" x14ac:dyDescent="0.3">
      <c r="C424" s="3"/>
      <c r="D424" s="27"/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AB424" s="27"/>
      <c r="AC424" s="27"/>
      <c r="AD424" s="27"/>
    </row>
    <row r="425" spans="3:30" x14ac:dyDescent="0.3">
      <c r="C425" s="3"/>
      <c r="D425" s="27"/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P425" s="27"/>
      <c r="Q425" s="27"/>
      <c r="R425" s="27"/>
      <c r="S425" s="27"/>
      <c r="T425" s="27"/>
      <c r="U425" s="27"/>
      <c r="AB425" s="27"/>
      <c r="AC425" s="27"/>
      <c r="AD425" s="27"/>
    </row>
    <row r="426" spans="3:30" x14ac:dyDescent="0.3">
      <c r="C426" s="3"/>
      <c r="D426" s="27"/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AB426" s="27"/>
      <c r="AC426" s="27"/>
      <c r="AD426" s="27"/>
    </row>
    <row r="427" spans="3:30" x14ac:dyDescent="0.3">
      <c r="C427" s="3"/>
      <c r="D427" s="27"/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P427" s="27"/>
      <c r="Q427" s="27"/>
      <c r="R427" s="27"/>
      <c r="S427" s="27"/>
      <c r="T427" s="27"/>
      <c r="U427" s="27"/>
      <c r="AB427" s="27"/>
      <c r="AC427" s="27"/>
      <c r="AD427" s="27"/>
    </row>
    <row r="428" spans="3:30" x14ac:dyDescent="0.3">
      <c r="C428" s="3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AB428" s="27"/>
      <c r="AC428" s="27"/>
      <c r="AD428" s="27"/>
    </row>
    <row r="429" spans="3:30" x14ac:dyDescent="0.3">
      <c r="C429" s="3"/>
      <c r="D429" s="27"/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27"/>
      <c r="R429" s="27"/>
      <c r="S429" s="27"/>
      <c r="T429" s="27"/>
      <c r="U429" s="27"/>
      <c r="AB429" s="27"/>
      <c r="AC429" s="27"/>
      <c r="AD429" s="27"/>
    </row>
    <row r="430" spans="3:30" x14ac:dyDescent="0.3">
      <c r="C430" s="3"/>
      <c r="D430" s="27"/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AB430" s="27"/>
      <c r="AC430" s="27"/>
      <c r="AD430" s="27"/>
    </row>
    <row r="431" spans="3:30" x14ac:dyDescent="0.3">
      <c r="C431" s="3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27"/>
      <c r="R431" s="27"/>
      <c r="S431" s="27"/>
      <c r="T431" s="27"/>
      <c r="U431" s="27"/>
      <c r="AB431" s="27"/>
      <c r="AC431" s="27"/>
      <c r="AD431" s="27"/>
    </row>
    <row r="432" spans="3:30" x14ac:dyDescent="0.3">
      <c r="C432" s="3"/>
      <c r="D432" s="27"/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AB432" s="27"/>
      <c r="AC432" s="27"/>
      <c r="AD432" s="27"/>
    </row>
    <row r="433" spans="3:30" x14ac:dyDescent="0.3">
      <c r="C433" s="3"/>
      <c r="D433" s="27"/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27"/>
      <c r="R433" s="27"/>
      <c r="S433" s="27"/>
      <c r="T433" s="27"/>
      <c r="U433" s="27"/>
      <c r="AB433" s="27"/>
      <c r="AC433" s="27"/>
      <c r="AD433" s="27"/>
    </row>
    <row r="434" spans="3:30" x14ac:dyDescent="0.3">
      <c r="C434" s="3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AB434" s="27"/>
      <c r="AC434" s="27"/>
      <c r="AD434" s="27"/>
    </row>
    <row r="435" spans="3:30" x14ac:dyDescent="0.3">
      <c r="C435" s="3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/>
      <c r="AB435" s="27"/>
      <c r="AC435" s="27"/>
      <c r="AD435" s="27"/>
    </row>
    <row r="436" spans="3:30" x14ac:dyDescent="0.3">
      <c r="C436" s="3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AB436" s="27"/>
      <c r="AC436" s="27"/>
      <c r="AD436" s="27"/>
    </row>
    <row r="437" spans="3:30" x14ac:dyDescent="0.3">
      <c r="C437" s="3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/>
      <c r="U437" s="27"/>
      <c r="AB437" s="27"/>
      <c r="AC437" s="27"/>
      <c r="AD437" s="27"/>
    </row>
    <row r="438" spans="3:30" x14ac:dyDescent="0.3">
      <c r="C438" s="3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AB438" s="27"/>
      <c r="AC438" s="27"/>
      <c r="AD438" s="27"/>
    </row>
    <row r="439" spans="3:30" x14ac:dyDescent="0.3">
      <c r="C439" s="3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/>
      <c r="U439" s="27"/>
      <c r="AB439" s="27"/>
      <c r="AC439" s="27"/>
      <c r="AD439" s="27"/>
    </row>
    <row r="440" spans="3:30" x14ac:dyDescent="0.3">
      <c r="C440" s="3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AB440" s="27"/>
      <c r="AC440" s="27"/>
      <c r="AD440" s="27"/>
    </row>
    <row r="441" spans="3:30" x14ac:dyDescent="0.3">
      <c r="C441" s="3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/>
      <c r="U441" s="27"/>
      <c r="AB441" s="27"/>
      <c r="AC441" s="27"/>
      <c r="AD441" s="27"/>
    </row>
    <row r="442" spans="3:30" x14ac:dyDescent="0.3">
      <c r="C442" s="3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AB442" s="27"/>
      <c r="AC442" s="27"/>
      <c r="AD442" s="27"/>
    </row>
    <row r="443" spans="3:30" x14ac:dyDescent="0.3">
      <c r="C443" s="3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/>
      <c r="U443" s="27"/>
      <c r="AB443" s="27"/>
      <c r="AC443" s="27"/>
      <c r="AD443" s="27"/>
    </row>
    <row r="444" spans="3:30" x14ac:dyDescent="0.3">
      <c r="C444" s="3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AB444" s="27"/>
      <c r="AC444" s="27"/>
      <c r="AD444" s="27"/>
    </row>
    <row r="445" spans="3:30" x14ac:dyDescent="0.3">
      <c r="C445" s="3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/>
      <c r="U445" s="27"/>
      <c r="AB445" s="27"/>
      <c r="AC445" s="27"/>
      <c r="AD445" s="27"/>
    </row>
    <row r="446" spans="3:30" x14ac:dyDescent="0.3">
      <c r="C446" s="3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P446" s="27"/>
      <c r="Q446" s="27"/>
      <c r="R446" s="27"/>
      <c r="S446" s="27"/>
      <c r="T446" s="27"/>
      <c r="U446" s="27"/>
      <c r="AB446" s="27"/>
      <c r="AC446" s="27"/>
      <c r="AD446" s="27"/>
    </row>
    <row r="447" spans="3:30" x14ac:dyDescent="0.3">
      <c r="C447" s="3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  <c r="T447" s="27"/>
      <c r="U447" s="27"/>
      <c r="AB447" s="27"/>
      <c r="AC447" s="27"/>
      <c r="AD447" s="27"/>
    </row>
    <row r="448" spans="3:30" x14ac:dyDescent="0.3">
      <c r="C448" s="3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P448" s="27"/>
      <c r="Q448" s="27"/>
      <c r="R448" s="27"/>
      <c r="S448" s="27"/>
      <c r="T448" s="27"/>
      <c r="U448" s="27"/>
      <c r="AB448" s="27"/>
      <c r="AC448" s="27"/>
      <c r="AD448" s="27"/>
    </row>
    <row r="449" spans="3:30" x14ac:dyDescent="0.3">
      <c r="C449" s="3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  <c r="T449" s="27"/>
      <c r="U449" s="27"/>
      <c r="AB449" s="27"/>
      <c r="AC449" s="27"/>
      <c r="AD449" s="27"/>
    </row>
    <row r="450" spans="3:30" x14ac:dyDescent="0.3">
      <c r="C450" s="3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P450" s="27"/>
      <c r="Q450" s="27"/>
      <c r="R450" s="27"/>
      <c r="S450" s="27"/>
      <c r="T450" s="27"/>
      <c r="U450" s="27"/>
      <c r="AB450" s="27"/>
      <c r="AC450" s="27"/>
      <c r="AD450" s="27"/>
    </row>
    <row r="451" spans="3:30" x14ac:dyDescent="0.3">
      <c r="C451" s="3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  <c r="T451" s="27"/>
      <c r="U451" s="27"/>
      <c r="AB451" s="27"/>
      <c r="AC451" s="27"/>
      <c r="AD451" s="27"/>
    </row>
    <row r="452" spans="3:30" x14ac:dyDescent="0.3">
      <c r="C452" s="3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P452" s="27"/>
      <c r="Q452" s="27"/>
      <c r="R452" s="27"/>
      <c r="S452" s="27"/>
      <c r="T452" s="27"/>
      <c r="U452" s="27"/>
      <c r="AB452" s="27"/>
      <c r="AC452" s="27"/>
      <c r="AD452" s="27"/>
    </row>
    <row r="453" spans="3:30" x14ac:dyDescent="0.3">
      <c r="C453" s="3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  <c r="T453" s="27"/>
      <c r="U453" s="27"/>
      <c r="AB453" s="27"/>
      <c r="AC453" s="27"/>
      <c r="AD453" s="27"/>
    </row>
    <row r="454" spans="3:30" x14ac:dyDescent="0.3">
      <c r="C454" s="3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P454" s="27"/>
      <c r="Q454" s="27"/>
      <c r="R454" s="27"/>
      <c r="S454" s="27"/>
      <c r="T454" s="27"/>
      <c r="U454" s="27"/>
      <c r="AB454" s="27"/>
      <c r="AC454" s="27"/>
      <c r="AD454" s="27"/>
    </row>
    <row r="455" spans="3:30" x14ac:dyDescent="0.3">
      <c r="C455" s="3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  <c r="T455" s="27"/>
      <c r="U455" s="27"/>
      <c r="AB455" s="27"/>
      <c r="AC455" s="27"/>
      <c r="AD455" s="27"/>
    </row>
    <row r="456" spans="3:30" x14ac:dyDescent="0.3">
      <c r="C456" s="3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P456" s="27"/>
      <c r="Q456" s="27"/>
      <c r="R456" s="27"/>
      <c r="S456" s="27"/>
      <c r="T456" s="27"/>
      <c r="U456" s="27"/>
      <c r="AB456" s="27"/>
      <c r="AC456" s="27"/>
      <c r="AD456" s="27"/>
    </row>
    <row r="457" spans="3:30" x14ac:dyDescent="0.3">
      <c r="C457" s="3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P457" s="27"/>
      <c r="Q457" s="27"/>
      <c r="R457" s="27"/>
      <c r="S457" s="27"/>
      <c r="T457" s="27"/>
      <c r="U457" s="27"/>
      <c r="AB457" s="27"/>
      <c r="AC457" s="27"/>
      <c r="AD457" s="27"/>
    </row>
    <row r="458" spans="3:30" x14ac:dyDescent="0.3">
      <c r="C458" s="3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P458" s="27"/>
      <c r="Q458" s="27"/>
      <c r="R458" s="27"/>
      <c r="S458" s="27"/>
      <c r="T458" s="27"/>
      <c r="U458" s="27"/>
      <c r="AB458" s="27"/>
      <c r="AC458" s="27"/>
      <c r="AD458" s="27"/>
    </row>
    <row r="459" spans="3:30" x14ac:dyDescent="0.3">
      <c r="C459" s="3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  <c r="T459" s="27"/>
      <c r="U459" s="27"/>
      <c r="AB459" s="27"/>
      <c r="AC459" s="27"/>
      <c r="AD459" s="27"/>
    </row>
    <row r="460" spans="3:30" x14ac:dyDescent="0.3">
      <c r="C460" s="3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P460" s="27"/>
      <c r="Q460" s="27"/>
      <c r="R460" s="27"/>
      <c r="S460" s="27"/>
      <c r="T460" s="27"/>
      <c r="U460" s="27"/>
      <c r="AB460" s="27"/>
      <c r="AC460" s="27"/>
      <c r="AD460" s="27"/>
    </row>
    <row r="461" spans="3:30" x14ac:dyDescent="0.3">
      <c r="C461" s="3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P461" s="27"/>
      <c r="Q461" s="27"/>
      <c r="R461" s="27"/>
      <c r="S461" s="27"/>
      <c r="T461" s="27"/>
      <c r="U461" s="27"/>
      <c r="AB461" s="27"/>
      <c r="AC461" s="27"/>
      <c r="AD461" s="27"/>
    </row>
    <row r="462" spans="3:30" x14ac:dyDescent="0.3">
      <c r="C462" s="3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P462" s="27"/>
      <c r="Q462" s="27"/>
      <c r="R462" s="27"/>
      <c r="S462" s="27"/>
      <c r="T462" s="27"/>
      <c r="U462" s="27"/>
      <c r="AB462" s="27"/>
      <c r="AC462" s="27"/>
      <c r="AD462" s="27"/>
    </row>
    <row r="463" spans="3:30" x14ac:dyDescent="0.3">
      <c r="C463" s="3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  <c r="T463" s="27"/>
      <c r="U463" s="27"/>
      <c r="AB463" s="27"/>
      <c r="AC463" s="27"/>
      <c r="AD463" s="27"/>
    </row>
    <row r="464" spans="3:30" x14ac:dyDescent="0.3">
      <c r="C464" s="3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P464" s="27"/>
      <c r="Q464" s="27"/>
      <c r="R464" s="27"/>
      <c r="S464" s="27"/>
      <c r="T464" s="27"/>
      <c r="U464" s="27"/>
      <c r="AB464" s="27"/>
      <c r="AC464" s="27"/>
      <c r="AD464" s="27"/>
    </row>
    <row r="465" spans="3:30" x14ac:dyDescent="0.3">
      <c r="C465" s="3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P465" s="27"/>
      <c r="Q465" s="27"/>
      <c r="R465" s="27"/>
      <c r="S465" s="27"/>
      <c r="T465" s="27"/>
      <c r="U465" s="27"/>
      <c r="AB465" s="27"/>
      <c r="AC465" s="27"/>
      <c r="AD465" s="27"/>
    </row>
    <row r="466" spans="3:30" x14ac:dyDescent="0.3">
      <c r="C466" s="3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P466" s="27"/>
      <c r="Q466" s="27"/>
      <c r="R466" s="27"/>
      <c r="S466" s="27"/>
      <c r="T466" s="27"/>
      <c r="U466" s="27"/>
      <c r="AB466" s="27"/>
      <c r="AC466" s="27"/>
      <c r="AD466" s="27"/>
    </row>
    <row r="467" spans="3:30" x14ac:dyDescent="0.3">
      <c r="C467" s="3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  <c r="T467" s="27"/>
      <c r="U467" s="27"/>
      <c r="AB467" s="27"/>
      <c r="AC467" s="27"/>
      <c r="AD467" s="27"/>
    </row>
    <row r="468" spans="3:30" x14ac:dyDescent="0.3">
      <c r="C468" s="3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P468" s="27"/>
      <c r="Q468" s="27"/>
      <c r="R468" s="27"/>
      <c r="S468" s="27"/>
      <c r="T468" s="27"/>
      <c r="U468" s="27"/>
      <c r="AB468" s="27"/>
      <c r="AC468" s="27"/>
      <c r="AD468" s="27"/>
    </row>
    <row r="469" spans="3:30" x14ac:dyDescent="0.3">
      <c r="C469" s="3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27"/>
      <c r="T469" s="27"/>
      <c r="U469" s="27"/>
      <c r="AB469" s="27"/>
      <c r="AC469" s="27"/>
      <c r="AD469" s="27"/>
    </row>
    <row r="470" spans="3:30" x14ac:dyDescent="0.3">
      <c r="C470" s="3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P470" s="27"/>
      <c r="Q470" s="27"/>
      <c r="R470" s="27"/>
      <c r="S470" s="27"/>
      <c r="T470" s="27"/>
      <c r="U470" s="27"/>
      <c r="AB470" s="27"/>
      <c r="AC470" s="27"/>
      <c r="AD470" s="27"/>
    </row>
    <row r="471" spans="3:30" x14ac:dyDescent="0.3">
      <c r="C471" s="3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  <c r="T471" s="27"/>
      <c r="U471" s="27"/>
      <c r="AB471" s="27"/>
      <c r="AC471" s="27"/>
      <c r="AD471" s="27"/>
    </row>
    <row r="472" spans="3:30" x14ac:dyDescent="0.3">
      <c r="C472" s="3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P472" s="27"/>
      <c r="Q472" s="27"/>
      <c r="R472" s="27"/>
      <c r="S472" s="27"/>
      <c r="T472" s="27"/>
      <c r="U472" s="27"/>
      <c r="AB472" s="27"/>
      <c r="AC472" s="27"/>
      <c r="AD472" s="27"/>
    </row>
    <row r="473" spans="3:30" x14ac:dyDescent="0.3">
      <c r="C473" s="3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P473" s="27"/>
      <c r="Q473" s="27"/>
      <c r="R473" s="27"/>
      <c r="S473" s="27"/>
      <c r="T473" s="27"/>
      <c r="U473" s="27"/>
      <c r="AB473" s="27"/>
      <c r="AC473" s="27"/>
      <c r="AD473" s="27"/>
    </row>
    <row r="474" spans="3:30" x14ac:dyDescent="0.3">
      <c r="C474" s="3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P474" s="27"/>
      <c r="Q474" s="27"/>
      <c r="R474" s="27"/>
      <c r="S474" s="27"/>
      <c r="T474" s="27"/>
      <c r="U474" s="27"/>
      <c r="AB474" s="27"/>
      <c r="AC474" s="27"/>
      <c r="AD474" s="27"/>
    </row>
    <row r="475" spans="3:30" x14ac:dyDescent="0.3">
      <c r="C475" s="3"/>
      <c r="D475" s="27"/>
      <c r="E475" s="27"/>
      <c r="F475" s="27"/>
      <c r="G475" s="27"/>
      <c r="H475" s="27"/>
      <c r="I475" s="27"/>
      <c r="J475" s="27"/>
      <c r="K475" s="27"/>
      <c r="L475" s="27"/>
      <c r="M475" s="27"/>
      <c r="N475" s="27"/>
      <c r="O475" s="27"/>
      <c r="P475" s="27"/>
      <c r="Q475" s="27"/>
      <c r="R475" s="27"/>
      <c r="S475" s="27"/>
      <c r="T475" s="27"/>
      <c r="U475" s="27"/>
      <c r="AB475" s="27"/>
      <c r="AC475" s="27"/>
      <c r="AD475" s="27"/>
    </row>
    <row r="476" spans="3:30" x14ac:dyDescent="0.3">
      <c r="C476" s="3"/>
      <c r="D476" s="27"/>
      <c r="E476" s="27"/>
      <c r="F476" s="27"/>
      <c r="G476" s="27"/>
      <c r="H476" s="27"/>
      <c r="I476" s="27"/>
      <c r="J476" s="27"/>
      <c r="K476" s="27"/>
      <c r="L476" s="27"/>
      <c r="M476" s="27"/>
      <c r="N476" s="27"/>
      <c r="O476" s="27"/>
      <c r="P476" s="27"/>
      <c r="Q476" s="27"/>
      <c r="R476" s="27"/>
      <c r="S476" s="27"/>
      <c r="T476" s="27"/>
      <c r="U476" s="27"/>
      <c r="AB476" s="27"/>
      <c r="AC476" s="27"/>
      <c r="AD476" s="27"/>
    </row>
    <row r="477" spans="3:30" x14ac:dyDescent="0.3">
      <c r="C477" s="3"/>
      <c r="D477" s="27"/>
      <c r="E477" s="27"/>
      <c r="F477" s="27"/>
      <c r="G477" s="27"/>
      <c r="H477" s="27"/>
      <c r="I477" s="27"/>
      <c r="J477" s="27"/>
      <c r="K477" s="27"/>
      <c r="L477" s="27"/>
      <c r="M477" s="27"/>
      <c r="N477" s="27"/>
      <c r="O477" s="27"/>
      <c r="P477" s="27"/>
      <c r="Q477" s="27"/>
      <c r="R477" s="27"/>
      <c r="S477" s="27"/>
      <c r="T477" s="27"/>
      <c r="U477" s="27"/>
      <c r="AB477" s="27"/>
      <c r="AC477" s="27"/>
      <c r="AD477" s="27"/>
    </row>
    <row r="478" spans="3:30" x14ac:dyDescent="0.3">
      <c r="C478" s="3"/>
      <c r="D478" s="27"/>
      <c r="E478" s="27"/>
      <c r="F478" s="27"/>
      <c r="G478" s="27"/>
      <c r="H478" s="27"/>
      <c r="I478" s="27"/>
      <c r="J478" s="27"/>
      <c r="K478" s="27"/>
      <c r="L478" s="27"/>
      <c r="M478" s="27"/>
      <c r="N478" s="27"/>
      <c r="O478" s="27"/>
      <c r="P478" s="27"/>
      <c r="Q478" s="27"/>
      <c r="R478" s="27"/>
      <c r="S478" s="27"/>
      <c r="T478" s="27"/>
      <c r="U478" s="27"/>
      <c r="AB478" s="27"/>
      <c r="AC478" s="27"/>
      <c r="AD478" s="27"/>
    </row>
    <row r="479" spans="3:30" x14ac:dyDescent="0.3">
      <c r="C479" s="3"/>
      <c r="D479" s="27"/>
      <c r="E479" s="27"/>
      <c r="F479" s="27"/>
      <c r="G479" s="27"/>
      <c r="H479" s="27"/>
      <c r="I479" s="27"/>
      <c r="J479" s="27"/>
      <c r="K479" s="27"/>
      <c r="L479" s="27"/>
      <c r="M479" s="27"/>
      <c r="N479" s="27"/>
      <c r="O479" s="27"/>
      <c r="P479" s="27"/>
      <c r="Q479" s="27"/>
      <c r="R479" s="27"/>
      <c r="S479" s="27"/>
      <c r="T479" s="27"/>
      <c r="U479" s="27"/>
      <c r="AB479" s="27"/>
      <c r="AC479" s="27"/>
      <c r="AD479" s="27"/>
    </row>
    <row r="480" spans="3:30" x14ac:dyDescent="0.3">
      <c r="C480" s="3"/>
      <c r="D480" s="27"/>
      <c r="E480" s="27"/>
      <c r="F480" s="27"/>
      <c r="G480" s="27"/>
      <c r="H480" s="27"/>
      <c r="I480" s="27"/>
      <c r="J480" s="27"/>
      <c r="K480" s="27"/>
      <c r="L480" s="27"/>
      <c r="M480" s="27"/>
      <c r="N480" s="27"/>
      <c r="O480" s="27"/>
      <c r="P480" s="27"/>
      <c r="Q480" s="27"/>
      <c r="R480" s="27"/>
      <c r="S480" s="27"/>
      <c r="T480" s="27"/>
      <c r="U480" s="27"/>
      <c r="AB480" s="27"/>
      <c r="AC480" s="27"/>
      <c r="AD480" s="27"/>
    </row>
    <row r="481" spans="3:30" x14ac:dyDescent="0.3">
      <c r="C481" s="3"/>
      <c r="D481" s="27"/>
      <c r="E481" s="27"/>
      <c r="F481" s="27"/>
      <c r="G481" s="27"/>
      <c r="H481" s="27"/>
      <c r="I481" s="27"/>
      <c r="J481" s="27"/>
      <c r="K481" s="27"/>
      <c r="L481" s="27"/>
      <c r="M481" s="27"/>
      <c r="N481" s="27"/>
      <c r="O481" s="27"/>
      <c r="P481" s="27"/>
      <c r="Q481" s="27"/>
      <c r="R481" s="27"/>
      <c r="S481" s="27"/>
      <c r="T481" s="27"/>
      <c r="U481" s="27"/>
      <c r="AB481" s="27"/>
      <c r="AC481" s="27"/>
      <c r="AD481" s="27"/>
    </row>
    <row r="482" spans="3:30" x14ac:dyDescent="0.3">
      <c r="C482" s="3"/>
      <c r="D482" s="27"/>
      <c r="E482" s="27"/>
      <c r="F482" s="27"/>
      <c r="G482" s="27"/>
      <c r="H482" s="27"/>
      <c r="I482" s="27"/>
      <c r="J482" s="27"/>
      <c r="K482" s="27"/>
      <c r="L482" s="27"/>
      <c r="M482" s="27"/>
      <c r="N482" s="27"/>
      <c r="O482" s="27"/>
      <c r="P482" s="27"/>
      <c r="Q482" s="27"/>
      <c r="R482" s="27"/>
      <c r="S482" s="27"/>
      <c r="T482" s="27"/>
      <c r="U482" s="27"/>
      <c r="AB482" s="27"/>
      <c r="AC482" s="27"/>
      <c r="AD482" s="27"/>
    </row>
    <row r="483" spans="3:30" x14ac:dyDescent="0.3">
      <c r="C483" s="3"/>
      <c r="D483" s="27"/>
      <c r="E483" s="27"/>
      <c r="F483" s="27"/>
      <c r="G483" s="27"/>
      <c r="H483" s="27"/>
      <c r="I483" s="27"/>
      <c r="J483" s="27"/>
      <c r="K483" s="27"/>
      <c r="L483" s="27"/>
      <c r="M483" s="27"/>
      <c r="N483" s="27"/>
      <c r="O483" s="27"/>
      <c r="P483" s="27"/>
      <c r="Q483" s="27"/>
      <c r="R483" s="27"/>
      <c r="S483" s="27"/>
      <c r="T483" s="27"/>
      <c r="U483" s="27"/>
      <c r="AB483" s="27"/>
      <c r="AC483" s="27"/>
      <c r="AD483" s="27"/>
    </row>
    <row r="484" spans="3:30" x14ac:dyDescent="0.3">
      <c r="C484" s="3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N484" s="27"/>
      <c r="O484" s="27"/>
      <c r="P484" s="27"/>
      <c r="Q484" s="27"/>
      <c r="R484" s="27"/>
      <c r="S484" s="27"/>
      <c r="T484" s="27"/>
      <c r="U484" s="27"/>
      <c r="AB484" s="27"/>
      <c r="AC484" s="27"/>
      <c r="AD484" s="27"/>
    </row>
    <row r="485" spans="3:30" x14ac:dyDescent="0.3">
      <c r="C485" s="3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N485" s="27"/>
      <c r="O485" s="27"/>
      <c r="P485" s="27"/>
      <c r="Q485" s="27"/>
      <c r="R485" s="27"/>
      <c r="S485" s="27"/>
      <c r="T485" s="27"/>
      <c r="U485" s="27"/>
      <c r="AB485" s="27"/>
      <c r="AC485" s="27"/>
      <c r="AD485" s="27"/>
    </row>
    <row r="486" spans="3:30" x14ac:dyDescent="0.3">
      <c r="C486" s="3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N486" s="27"/>
      <c r="O486" s="27"/>
      <c r="P486" s="27"/>
      <c r="Q486" s="27"/>
      <c r="R486" s="27"/>
      <c r="S486" s="27"/>
      <c r="T486" s="27"/>
      <c r="U486" s="27"/>
      <c r="AB486" s="27"/>
      <c r="AC486" s="27"/>
      <c r="AD486" s="27"/>
    </row>
    <row r="487" spans="3:30" x14ac:dyDescent="0.3">
      <c r="C487" s="3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N487" s="27"/>
      <c r="O487" s="27"/>
      <c r="P487" s="27"/>
      <c r="Q487" s="27"/>
      <c r="R487" s="27"/>
      <c r="S487" s="27"/>
      <c r="T487" s="27"/>
      <c r="U487" s="27"/>
      <c r="AB487" s="27"/>
      <c r="AC487" s="27"/>
      <c r="AD487" s="27"/>
    </row>
    <row r="488" spans="3:30" x14ac:dyDescent="0.3">
      <c r="C488" s="3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N488" s="27"/>
      <c r="O488" s="27"/>
      <c r="P488" s="27"/>
      <c r="Q488" s="27"/>
      <c r="R488" s="27"/>
      <c r="S488" s="27"/>
      <c r="T488" s="27"/>
      <c r="U488" s="27"/>
      <c r="AB488" s="27"/>
      <c r="AC488" s="27"/>
      <c r="AD488" s="27"/>
    </row>
    <row r="489" spans="3:30" x14ac:dyDescent="0.3">
      <c r="C489" s="3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N489" s="27"/>
      <c r="O489" s="27"/>
      <c r="P489" s="27"/>
      <c r="Q489" s="27"/>
      <c r="R489" s="27"/>
      <c r="S489" s="27"/>
      <c r="T489" s="27"/>
      <c r="U489" s="27"/>
      <c r="AB489" s="27"/>
      <c r="AC489" s="27"/>
      <c r="AD489" s="27"/>
    </row>
    <row r="490" spans="3:30" x14ac:dyDescent="0.3">
      <c r="C490" s="3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N490" s="27"/>
      <c r="O490" s="27"/>
      <c r="P490" s="27"/>
      <c r="Q490" s="27"/>
      <c r="R490" s="27"/>
      <c r="S490" s="27"/>
      <c r="T490" s="27"/>
      <c r="U490" s="27"/>
      <c r="AB490" s="27"/>
      <c r="AC490" s="27"/>
      <c r="AD490" s="27"/>
    </row>
    <row r="491" spans="3:30" x14ac:dyDescent="0.3">
      <c r="C491" s="3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N491" s="27"/>
      <c r="O491" s="27"/>
      <c r="P491" s="27"/>
      <c r="Q491" s="27"/>
      <c r="R491" s="27"/>
      <c r="S491" s="27"/>
      <c r="T491" s="27"/>
      <c r="U491" s="27"/>
      <c r="AB491" s="27"/>
      <c r="AC491" s="27"/>
      <c r="AD491" s="27"/>
    </row>
    <row r="492" spans="3:30" x14ac:dyDescent="0.3">
      <c r="C492" s="3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N492" s="27"/>
      <c r="O492" s="27"/>
      <c r="P492" s="27"/>
      <c r="Q492" s="27"/>
      <c r="R492" s="27"/>
      <c r="S492" s="27"/>
      <c r="T492" s="27"/>
      <c r="U492" s="27"/>
      <c r="AB492" s="27"/>
      <c r="AC492" s="27"/>
      <c r="AD492" s="27"/>
    </row>
    <row r="493" spans="3:30" x14ac:dyDescent="0.3">
      <c r="C493" s="3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N493" s="27"/>
      <c r="O493" s="27"/>
      <c r="P493" s="27"/>
      <c r="Q493" s="27"/>
      <c r="R493" s="27"/>
      <c r="S493" s="27"/>
      <c r="T493" s="27"/>
      <c r="U493" s="27"/>
      <c r="AB493" s="27"/>
      <c r="AC493" s="27"/>
      <c r="AD493" s="27"/>
    </row>
    <row r="494" spans="3:30" x14ac:dyDescent="0.3">
      <c r="C494" s="3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N494" s="27"/>
      <c r="O494" s="27"/>
      <c r="P494" s="27"/>
      <c r="Q494" s="27"/>
      <c r="R494" s="27"/>
      <c r="S494" s="27"/>
      <c r="T494" s="27"/>
      <c r="U494" s="27"/>
      <c r="AB494" s="27"/>
      <c r="AC494" s="27"/>
      <c r="AD494" s="27"/>
    </row>
    <row r="495" spans="3:30" x14ac:dyDescent="0.3">
      <c r="C495" s="3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N495" s="27"/>
      <c r="O495" s="27"/>
      <c r="P495" s="27"/>
      <c r="Q495" s="27"/>
      <c r="R495" s="27"/>
      <c r="S495" s="27"/>
      <c r="T495" s="27"/>
      <c r="U495" s="27"/>
      <c r="AB495" s="27"/>
      <c r="AC495" s="27"/>
      <c r="AD495" s="27"/>
    </row>
    <row r="496" spans="3:30" x14ac:dyDescent="0.3">
      <c r="C496" s="3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N496" s="27"/>
      <c r="O496" s="27"/>
      <c r="P496" s="27"/>
      <c r="Q496" s="27"/>
      <c r="R496" s="27"/>
      <c r="S496" s="27"/>
      <c r="T496" s="27"/>
      <c r="U496" s="27"/>
      <c r="AB496" s="27"/>
      <c r="AC496" s="27"/>
      <c r="AD496" s="27"/>
    </row>
    <row r="497" spans="3:30" x14ac:dyDescent="0.3">
      <c r="C497" s="3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N497" s="27"/>
      <c r="O497" s="27"/>
      <c r="P497" s="27"/>
      <c r="Q497" s="27"/>
      <c r="R497" s="27"/>
      <c r="S497" s="27"/>
      <c r="T497" s="27"/>
      <c r="U497" s="27"/>
      <c r="AB497" s="27"/>
      <c r="AC497" s="27"/>
      <c r="AD497" s="27"/>
    </row>
    <row r="498" spans="3:30" x14ac:dyDescent="0.3">
      <c r="C498" s="3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N498" s="27"/>
      <c r="O498" s="27"/>
      <c r="P498" s="27"/>
      <c r="Q498" s="27"/>
      <c r="R498" s="27"/>
      <c r="S498" s="27"/>
      <c r="T498" s="27"/>
      <c r="U498" s="27"/>
      <c r="AB498" s="27"/>
      <c r="AC498" s="27"/>
      <c r="AD498" s="27"/>
    </row>
    <row r="499" spans="3:30" x14ac:dyDescent="0.3">
      <c r="C499" s="3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N499" s="27"/>
      <c r="O499" s="27"/>
      <c r="P499" s="27"/>
      <c r="Q499" s="27"/>
      <c r="R499" s="27"/>
      <c r="S499" s="27"/>
      <c r="T499" s="27"/>
      <c r="U499" s="27"/>
      <c r="AB499" s="27"/>
      <c r="AC499" s="27"/>
      <c r="AD499" s="27"/>
    </row>
    <row r="500" spans="3:30" x14ac:dyDescent="0.3">
      <c r="C500" s="3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N500" s="27"/>
      <c r="O500" s="27"/>
      <c r="P500" s="27"/>
      <c r="Q500" s="27"/>
      <c r="R500" s="27"/>
      <c r="S500" s="27"/>
      <c r="T500" s="27"/>
      <c r="U500" s="27"/>
      <c r="AB500" s="27"/>
      <c r="AC500" s="27"/>
      <c r="AD500" s="27"/>
    </row>
    <row r="501" spans="3:30" x14ac:dyDescent="0.3">
      <c r="C501" s="3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N501" s="27"/>
      <c r="O501" s="27"/>
      <c r="P501" s="27"/>
      <c r="Q501" s="27"/>
      <c r="R501" s="27"/>
      <c r="S501" s="27"/>
      <c r="T501" s="27"/>
      <c r="U501" s="27"/>
      <c r="AB501" s="27"/>
      <c r="AC501" s="27"/>
      <c r="AD501" s="27"/>
    </row>
    <row r="502" spans="3:30" x14ac:dyDescent="0.3">
      <c r="C502" s="3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N502" s="27"/>
      <c r="O502" s="27"/>
      <c r="P502" s="27"/>
      <c r="Q502" s="27"/>
      <c r="R502" s="27"/>
      <c r="S502" s="27"/>
      <c r="T502" s="27"/>
      <c r="U502" s="27"/>
      <c r="AB502" s="27"/>
      <c r="AC502" s="27"/>
      <c r="AD502" s="27"/>
    </row>
    <row r="503" spans="3:30" x14ac:dyDescent="0.3">
      <c r="C503" s="3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N503" s="27"/>
      <c r="O503" s="27"/>
      <c r="P503" s="27"/>
      <c r="Q503" s="27"/>
      <c r="R503" s="27"/>
      <c r="S503" s="27"/>
      <c r="T503" s="27"/>
      <c r="U503" s="27"/>
      <c r="AB503" s="27"/>
      <c r="AC503" s="27"/>
      <c r="AD503" s="27"/>
    </row>
    <row r="504" spans="3:30" x14ac:dyDescent="0.3">
      <c r="C504" s="3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N504" s="27"/>
      <c r="O504" s="27"/>
      <c r="P504" s="27"/>
      <c r="Q504" s="27"/>
      <c r="R504" s="27"/>
      <c r="S504" s="27"/>
      <c r="T504" s="27"/>
      <c r="U504" s="27"/>
      <c r="AB504" s="27"/>
      <c r="AC504" s="27"/>
      <c r="AD504" s="27"/>
    </row>
    <row r="505" spans="3:30" x14ac:dyDescent="0.3">
      <c r="C505" s="3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N505" s="27"/>
      <c r="O505" s="27"/>
      <c r="P505" s="27"/>
      <c r="Q505" s="27"/>
      <c r="R505" s="27"/>
      <c r="S505" s="27"/>
      <c r="T505" s="27"/>
      <c r="U505" s="27"/>
      <c r="AB505" s="27"/>
      <c r="AC505" s="27"/>
      <c r="AD505" s="27"/>
    </row>
    <row r="506" spans="3:30" x14ac:dyDescent="0.3">
      <c r="C506" s="3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N506" s="27"/>
      <c r="O506" s="27"/>
      <c r="P506" s="27"/>
      <c r="Q506" s="27"/>
      <c r="R506" s="27"/>
      <c r="S506" s="27"/>
      <c r="T506" s="27"/>
      <c r="U506" s="27"/>
      <c r="AB506" s="27"/>
      <c r="AC506" s="27"/>
      <c r="AD506" s="27"/>
    </row>
    <row r="507" spans="3:30" x14ac:dyDescent="0.3">
      <c r="C507" s="3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N507" s="27"/>
      <c r="O507" s="27"/>
      <c r="P507" s="27"/>
      <c r="Q507" s="27"/>
      <c r="R507" s="27"/>
      <c r="S507" s="27"/>
      <c r="T507" s="27"/>
      <c r="U507" s="27"/>
      <c r="AB507" s="27"/>
      <c r="AC507" s="27"/>
      <c r="AD507" s="27"/>
    </row>
    <row r="508" spans="3:30" x14ac:dyDescent="0.3">
      <c r="C508" s="3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N508" s="27"/>
      <c r="O508" s="27"/>
      <c r="P508" s="27"/>
      <c r="Q508" s="27"/>
      <c r="R508" s="27"/>
      <c r="S508" s="27"/>
      <c r="T508" s="27"/>
      <c r="U508" s="27"/>
      <c r="AB508" s="27"/>
      <c r="AC508" s="27"/>
      <c r="AD508" s="27"/>
    </row>
    <row r="509" spans="3:30" x14ac:dyDescent="0.3">
      <c r="C509" s="3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N509" s="27"/>
      <c r="O509" s="27"/>
      <c r="P509" s="27"/>
      <c r="Q509" s="27"/>
      <c r="R509" s="27"/>
      <c r="S509" s="27"/>
      <c r="T509" s="27"/>
      <c r="U509" s="27"/>
      <c r="AB509" s="27"/>
      <c r="AC509" s="27"/>
      <c r="AD509" s="27"/>
    </row>
    <row r="510" spans="3:30" x14ac:dyDescent="0.3">
      <c r="C510" s="3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N510" s="27"/>
      <c r="O510" s="27"/>
      <c r="P510" s="27"/>
      <c r="Q510" s="27"/>
      <c r="R510" s="27"/>
      <c r="S510" s="27"/>
      <c r="T510" s="27"/>
      <c r="U510" s="27"/>
      <c r="AB510" s="27"/>
      <c r="AC510" s="27"/>
      <c r="AD510" s="27"/>
    </row>
    <row r="511" spans="3:30" x14ac:dyDescent="0.3">
      <c r="C511" s="3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N511" s="27"/>
      <c r="O511" s="27"/>
      <c r="P511" s="27"/>
      <c r="Q511" s="27"/>
      <c r="R511" s="27"/>
      <c r="S511" s="27"/>
      <c r="T511" s="27"/>
      <c r="U511" s="27"/>
      <c r="AB511" s="27"/>
      <c r="AC511" s="27"/>
      <c r="AD511" s="27"/>
    </row>
    <row r="512" spans="3:30" x14ac:dyDescent="0.3">
      <c r="C512" s="3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N512" s="27"/>
      <c r="O512" s="27"/>
      <c r="P512" s="27"/>
      <c r="Q512" s="27"/>
      <c r="R512" s="27"/>
      <c r="S512" s="27"/>
      <c r="T512" s="27"/>
      <c r="U512" s="27"/>
      <c r="AB512" s="27"/>
      <c r="AC512" s="27"/>
      <c r="AD512" s="27"/>
    </row>
    <row r="513" spans="3:30" x14ac:dyDescent="0.3">
      <c r="C513" s="3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N513" s="27"/>
      <c r="O513" s="27"/>
      <c r="P513" s="27"/>
      <c r="Q513" s="27"/>
      <c r="R513" s="27"/>
      <c r="S513" s="27"/>
      <c r="T513" s="27"/>
      <c r="U513" s="27"/>
      <c r="AB513" s="27"/>
      <c r="AC513" s="27"/>
      <c r="AD513" s="27"/>
    </row>
    <row r="514" spans="3:30" x14ac:dyDescent="0.3">
      <c r="C514" s="3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N514" s="27"/>
      <c r="O514" s="27"/>
      <c r="P514" s="27"/>
      <c r="Q514" s="27"/>
      <c r="R514" s="27"/>
      <c r="S514" s="27"/>
      <c r="T514" s="27"/>
      <c r="U514" s="27"/>
      <c r="AB514" s="27"/>
      <c r="AC514" s="27"/>
      <c r="AD514" s="27"/>
    </row>
    <row r="515" spans="3:30" x14ac:dyDescent="0.3">
      <c r="C515" s="3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N515" s="27"/>
      <c r="O515" s="27"/>
      <c r="P515" s="27"/>
      <c r="Q515" s="27"/>
      <c r="R515" s="27"/>
      <c r="S515" s="27"/>
      <c r="T515" s="27"/>
      <c r="U515" s="27"/>
      <c r="AB515" s="27"/>
      <c r="AC515" s="27"/>
      <c r="AD515" s="27"/>
    </row>
    <row r="516" spans="3:30" x14ac:dyDescent="0.3">
      <c r="C516" s="3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N516" s="27"/>
      <c r="O516" s="27"/>
      <c r="P516" s="27"/>
      <c r="Q516" s="27"/>
      <c r="R516" s="27"/>
      <c r="S516" s="27"/>
      <c r="T516" s="27"/>
      <c r="U516" s="27"/>
      <c r="AB516" s="27"/>
      <c r="AC516" s="27"/>
      <c r="AD516" s="27"/>
    </row>
    <row r="517" spans="3:30" x14ac:dyDescent="0.3">
      <c r="C517" s="3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N517" s="27"/>
      <c r="O517" s="27"/>
      <c r="P517" s="27"/>
      <c r="Q517" s="27"/>
      <c r="R517" s="27"/>
      <c r="S517" s="27"/>
      <c r="T517" s="27"/>
      <c r="U517" s="27"/>
      <c r="AB517" s="27"/>
      <c r="AC517" s="27"/>
      <c r="AD517" s="27"/>
    </row>
    <row r="518" spans="3:30" x14ac:dyDescent="0.3">
      <c r="C518" s="3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N518" s="27"/>
      <c r="O518" s="27"/>
      <c r="P518" s="27"/>
      <c r="Q518" s="27"/>
      <c r="R518" s="27"/>
      <c r="S518" s="27"/>
      <c r="T518" s="27"/>
      <c r="U518" s="27"/>
      <c r="AB518" s="27"/>
      <c r="AC518" s="27"/>
      <c r="AD518" s="27"/>
    </row>
    <row r="519" spans="3:30" x14ac:dyDescent="0.3">
      <c r="C519" s="3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N519" s="27"/>
      <c r="O519" s="27"/>
      <c r="P519" s="27"/>
      <c r="Q519" s="27"/>
      <c r="R519" s="27"/>
      <c r="S519" s="27"/>
      <c r="T519" s="27"/>
      <c r="U519" s="27"/>
      <c r="AB519" s="27"/>
      <c r="AC519" s="27"/>
      <c r="AD519" s="27"/>
    </row>
    <row r="520" spans="3:30" x14ac:dyDescent="0.3">
      <c r="C520" s="3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N520" s="27"/>
      <c r="O520" s="27"/>
      <c r="P520" s="27"/>
      <c r="Q520" s="27"/>
      <c r="R520" s="27"/>
      <c r="S520" s="27"/>
      <c r="T520" s="27"/>
      <c r="U520" s="27"/>
      <c r="AB520" s="27"/>
      <c r="AC520" s="27"/>
      <c r="AD520" s="27"/>
    </row>
    <row r="521" spans="3:30" x14ac:dyDescent="0.3">
      <c r="C521" s="3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N521" s="27"/>
      <c r="O521" s="27"/>
      <c r="P521" s="27"/>
      <c r="Q521" s="27"/>
      <c r="R521" s="27"/>
      <c r="S521" s="27"/>
      <c r="T521" s="27"/>
      <c r="U521" s="27"/>
      <c r="AB521" s="27"/>
      <c r="AC521" s="27"/>
      <c r="AD521" s="27"/>
    </row>
    <row r="522" spans="3:30" x14ac:dyDescent="0.3">
      <c r="C522" s="3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N522" s="27"/>
      <c r="O522" s="27"/>
      <c r="P522" s="27"/>
      <c r="Q522" s="27"/>
      <c r="R522" s="27"/>
      <c r="S522" s="27"/>
      <c r="T522" s="27"/>
      <c r="U522" s="27"/>
      <c r="AB522" s="27"/>
      <c r="AC522" s="27"/>
      <c r="AD522" s="27"/>
    </row>
    <row r="523" spans="3:30" x14ac:dyDescent="0.3">
      <c r="C523" s="3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N523" s="27"/>
      <c r="O523" s="27"/>
      <c r="P523" s="27"/>
      <c r="Q523" s="27"/>
      <c r="R523" s="27"/>
      <c r="S523" s="27"/>
      <c r="T523" s="27"/>
      <c r="U523" s="27"/>
      <c r="AB523" s="27"/>
      <c r="AC523" s="27"/>
      <c r="AD523" s="27"/>
    </row>
    <row r="524" spans="3:30" x14ac:dyDescent="0.3">
      <c r="C524" s="3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N524" s="27"/>
      <c r="O524" s="27"/>
      <c r="P524" s="27"/>
      <c r="Q524" s="27"/>
      <c r="R524" s="27"/>
      <c r="S524" s="27"/>
      <c r="T524" s="27"/>
      <c r="U524" s="27"/>
      <c r="AB524" s="27"/>
      <c r="AC524" s="27"/>
      <c r="AD524" s="27"/>
    </row>
    <row r="525" spans="3:30" x14ac:dyDescent="0.3">
      <c r="C525" s="3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N525" s="27"/>
      <c r="O525" s="27"/>
      <c r="P525" s="27"/>
      <c r="Q525" s="27"/>
      <c r="R525" s="27"/>
      <c r="S525" s="27"/>
      <c r="T525" s="27"/>
      <c r="U525" s="27"/>
      <c r="AB525" s="27"/>
      <c r="AC525" s="27"/>
      <c r="AD525" s="27"/>
    </row>
    <row r="526" spans="3:30" x14ac:dyDescent="0.3">
      <c r="C526" s="3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N526" s="27"/>
      <c r="O526" s="27"/>
      <c r="P526" s="27"/>
      <c r="Q526" s="27"/>
      <c r="R526" s="27"/>
      <c r="S526" s="27"/>
      <c r="T526" s="27"/>
      <c r="U526" s="27"/>
      <c r="AB526" s="27"/>
      <c r="AC526" s="27"/>
      <c r="AD526" s="27"/>
    </row>
    <row r="527" spans="3:30" x14ac:dyDescent="0.3">
      <c r="C527" s="3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N527" s="27"/>
      <c r="O527" s="27"/>
      <c r="P527" s="27"/>
      <c r="Q527" s="27"/>
      <c r="R527" s="27"/>
      <c r="S527" s="27"/>
      <c r="T527" s="27"/>
      <c r="U527" s="27"/>
      <c r="AB527" s="27"/>
      <c r="AC527" s="27"/>
      <c r="AD527" s="27"/>
    </row>
    <row r="528" spans="3:30" x14ac:dyDescent="0.3">
      <c r="C528" s="3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N528" s="27"/>
      <c r="O528" s="27"/>
      <c r="P528" s="27"/>
      <c r="Q528" s="27"/>
      <c r="R528" s="27"/>
      <c r="S528" s="27"/>
      <c r="T528" s="27"/>
      <c r="U528" s="27"/>
      <c r="AB528" s="27"/>
      <c r="AC528" s="27"/>
      <c r="AD528" s="27"/>
    </row>
    <row r="529" spans="3:30" x14ac:dyDescent="0.3">
      <c r="C529" s="3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N529" s="27"/>
      <c r="O529" s="27"/>
      <c r="P529" s="27"/>
      <c r="Q529" s="27"/>
      <c r="R529" s="27"/>
      <c r="S529" s="27"/>
      <c r="T529" s="27"/>
      <c r="U529" s="27"/>
      <c r="AB529" s="27"/>
      <c r="AC529" s="27"/>
      <c r="AD529" s="27"/>
    </row>
    <row r="530" spans="3:30" x14ac:dyDescent="0.3">
      <c r="C530" s="3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N530" s="27"/>
      <c r="O530" s="27"/>
      <c r="P530" s="27"/>
      <c r="Q530" s="27"/>
      <c r="R530" s="27"/>
      <c r="S530" s="27"/>
      <c r="T530" s="27"/>
      <c r="U530" s="27"/>
      <c r="AB530" s="27"/>
      <c r="AC530" s="27"/>
      <c r="AD530" s="27"/>
    </row>
    <row r="531" spans="3:30" x14ac:dyDescent="0.3">
      <c r="C531" s="3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N531" s="27"/>
      <c r="O531" s="27"/>
      <c r="P531" s="27"/>
      <c r="Q531" s="27"/>
      <c r="R531" s="27"/>
      <c r="S531" s="27"/>
      <c r="T531" s="27"/>
      <c r="U531" s="27"/>
      <c r="AB531" s="27"/>
      <c r="AC531" s="27"/>
      <c r="AD531" s="27"/>
    </row>
    <row r="532" spans="3:30" x14ac:dyDescent="0.3">
      <c r="C532" s="3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N532" s="27"/>
      <c r="O532" s="27"/>
      <c r="P532" s="27"/>
      <c r="Q532" s="27"/>
      <c r="R532" s="27"/>
      <c r="S532" s="27"/>
      <c r="T532" s="27"/>
      <c r="U532" s="27"/>
      <c r="AB532" s="27"/>
      <c r="AC532" s="27"/>
      <c r="AD532" s="27"/>
    </row>
    <row r="533" spans="3:30" x14ac:dyDescent="0.3">
      <c r="C533" s="3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N533" s="27"/>
      <c r="O533" s="27"/>
      <c r="P533" s="27"/>
      <c r="Q533" s="27"/>
      <c r="R533" s="27"/>
      <c r="S533" s="27"/>
      <c r="T533" s="27"/>
      <c r="U533" s="27"/>
      <c r="AB533" s="27"/>
      <c r="AC533" s="27"/>
      <c r="AD533" s="27"/>
    </row>
    <row r="534" spans="3:30" x14ac:dyDescent="0.3">
      <c r="C534" s="3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N534" s="27"/>
      <c r="O534" s="27"/>
      <c r="P534" s="27"/>
      <c r="Q534" s="27"/>
      <c r="R534" s="27"/>
      <c r="S534" s="27"/>
      <c r="T534" s="27"/>
      <c r="U534" s="27"/>
      <c r="AB534" s="27"/>
      <c r="AC534" s="27"/>
      <c r="AD534" s="27"/>
    </row>
    <row r="535" spans="3:30" x14ac:dyDescent="0.3">
      <c r="C535" s="3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N535" s="27"/>
      <c r="O535" s="27"/>
      <c r="P535" s="27"/>
      <c r="Q535" s="27"/>
      <c r="R535" s="27"/>
      <c r="S535" s="27"/>
      <c r="T535" s="27"/>
      <c r="U535" s="27"/>
      <c r="AB535" s="27"/>
      <c r="AC535" s="27"/>
      <c r="AD535" s="27"/>
    </row>
    <row r="536" spans="3:30" x14ac:dyDescent="0.3">
      <c r="C536" s="3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N536" s="27"/>
      <c r="O536" s="27"/>
      <c r="P536" s="27"/>
      <c r="Q536" s="27"/>
      <c r="R536" s="27"/>
      <c r="S536" s="27"/>
      <c r="T536" s="27"/>
      <c r="U536" s="27"/>
      <c r="AB536" s="27"/>
      <c r="AC536" s="27"/>
      <c r="AD536" s="27"/>
    </row>
    <row r="537" spans="3:30" x14ac:dyDescent="0.3">
      <c r="C537" s="3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N537" s="27"/>
      <c r="O537" s="27"/>
      <c r="P537" s="27"/>
      <c r="Q537" s="27"/>
      <c r="R537" s="27"/>
      <c r="S537" s="27"/>
      <c r="T537" s="27"/>
      <c r="U537" s="27"/>
      <c r="AB537" s="27"/>
      <c r="AC537" s="27"/>
      <c r="AD537" s="27"/>
    </row>
    <row r="538" spans="3:30" x14ac:dyDescent="0.3">
      <c r="C538" s="3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N538" s="27"/>
      <c r="O538" s="27"/>
      <c r="P538" s="27"/>
      <c r="Q538" s="27"/>
      <c r="R538" s="27"/>
      <c r="S538" s="27"/>
      <c r="T538" s="27"/>
      <c r="U538" s="27"/>
      <c r="AB538" s="27"/>
      <c r="AC538" s="27"/>
      <c r="AD538" s="27"/>
    </row>
    <row r="539" spans="3:30" x14ac:dyDescent="0.3">
      <c r="C539" s="3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N539" s="27"/>
      <c r="O539" s="27"/>
      <c r="P539" s="27"/>
      <c r="Q539" s="27"/>
      <c r="R539" s="27"/>
      <c r="S539" s="27"/>
      <c r="T539" s="27"/>
      <c r="U539" s="27"/>
      <c r="AB539" s="27"/>
      <c r="AC539" s="27"/>
      <c r="AD539" s="27"/>
    </row>
    <row r="540" spans="3:30" x14ac:dyDescent="0.3">
      <c r="C540" s="3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N540" s="27"/>
      <c r="O540" s="27"/>
      <c r="P540" s="27"/>
      <c r="Q540" s="27"/>
      <c r="R540" s="27"/>
      <c r="S540" s="27"/>
      <c r="T540" s="27"/>
      <c r="U540" s="27"/>
      <c r="AB540" s="27"/>
      <c r="AC540" s="27"/>
      <c r="AD540" s="27"/>
    </row>
    <row r="541" spans="3:30" x14ac:dyDescent="0.3">
      <c r="C541" s="3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N541" s="27"/>
      <c r="O541" s="27"/>
      <c r="P541" s="27"/>
      <c r="Q541" s="27"/>
      <c r="R541" s="27"/>
      <c r="S541" s="27"/>
      <c r="T541" s="27"/>
      <c r="U541" s="27"/>
      <c r="AB541" s="27"/>
      <c r="AC541" s="27"/>
      <c r="AD541" s="27"/>
    </row>
    <row r="542" spans="3:30" x14ac:dyDescent="0.3">
      <c r="C542" s="3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N542" s="27"/>
      <c r="O542" s="27"/>
      <c r="P542" s="27"/>
      <c r="Q542" s="27"/>
      <c r="R542" s="27"/>
      <c r="S542" s="27"/>
      <c r="T542" s="27"/>
      <c r="U542" s="27"/>
      <c r="AB542" s="27"/>
      <c r="AC542" s="27"/>
      <c r="AD542" s="27"/>
    </row>
    <row r="543" spans="3:30" x14ac:dyDescent="0.3">
      <c r="C543" s="3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N543" s="27"/>
      <c r="O543" s="27"/>
      <c r="P543" s="27"/>
      <c r="Q543" s="27"/>
      <c r="R543" s="27"/>
      <c r="S543" s="27"/>
      <c r="T543" s="27"/>
      <c r="U543" s="27"/>
      <c r="AB543" s="27"/>
      <c r="AC543" s="27"/>
      <c r="AD543" s="27"/>
    </row>
    <row r="544" spans="3:30" x14ac:dyDescent="0.3">
      <c r="C544" s="3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N544" s="27"/>
      <c r="O544" s="27"/>
      <c r="P544" s="27"/>
      <c r="Q544" s="27"/>
      <c r="R544" s="27"/>
      <c r="S544" s="27"/>
      <c r="T544" s="27"/>
      <c r="U544" s="27"/>
      <c r="AB544" s="27"/>
      <c r="AC544" s="27"/>
      <c r="AD544" s="27"/>
    </row>
    <row r="545" spans="3:30" x14ac:dyDescent="0.3">
      <c r="C545" s="3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N545" s="27"/>
      <c r="O545" s="27"/>
      <c r="P545" s="27"/>
      <c r="Q545" s="27"/>
      <c r="R545" s="27"/>
      <c r="S545" s="27"/>
      <c r="T545" s="27"/>
      <c r="U545" s="27"/>
      <c r="AB545" s="27"/>
      <c r="AC545" s="27"/>
      <c r="AD545" s="27"/>
    </row>
    <row r="546" spans="3:30" x14ac:dyDescent="0.3">
      <c r="C546" s="3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N546" s="27"/>
      <c r="O546" s="27"/>
      <c r="P546" s="27"/>
      <c r="Q546" s="27"/>
      <c r="R546" s="27"/>
      <c r="S546" s="27"/>
      <c r="T546" s="27"/>
      <c r="U546" s="27"/>
      <c r="AB546" s="27"/>
      <c r="AC546" s="27"/>
      <c r="AD546" s="27"/>
    </row>
    <row r="547" spans="3:30" x14ac:dyDescent="0.3">
      <c r="C547" s="3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N547" s="27"/>
      <c r="O547" s="27"/>
      <c r="P547" s="27"/>
      <c r="Q547" s="27"/>
      <c r="R547" s="27"/>
      <c r="S547" s="27"/>
      <c r="T547" s="27"/>
      <c r="U547" s="27"/>
      <c r="AB547" s="27"/>
      <c r="AC547" s="27"/>
      <c r="AD547" s="27"/>
    </row>
    <row r="548" spans="3:30" x14ac:dyDescent="0.3">
      <c r="C548" s="3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N548" s="27"/>
      <c r="O548" s="27"/>
      <c r="P548" s="27"/>
      <c r="Q548" s="27"/>
      <c r="R548" s="27"/>
      <c r="S548" s="27"/>
      <c r="T548" s="27"/>
      <c r="U548" s="27"/>
      <c r="AB548" s="27"/>
      <c r="AC548" s="27"/>
      <c r="AD548" s="27"/>
    </row>
    <row r="549" spans="3:30" x14ac:dyDescent="0.3">
      <c r="C549" s="3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N549" s="27"/>
      <c r="O549" s="27"/>
      <c r="P549" s="27"/>
      <c r="Q549" s="27"/>
      <c r="R549" s="27"/>
      <c r="S549" s="27"/>
      <c r="T549" s="27"/>
      <c r="U549" s="27"/>
      <c r="AB549" s="27"/>
      <c r="AC549" s="27"/>
      <c r="AD549" s="27"/>
    </row>
    <row r="550" spans="3:30" x14ac:dyDescent="0.3">
      <c r="C550" s="3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N550" s="27"/>
      <c r="O550" s="27"/>
      <c r="P550" s="27"/>
      <c r="Q550" s="27"/>
      <c r="R550" s="27"/>
      <c r="S550" s="27"/>
      <c r="T550" s="27"/>
      <c r="U550" s="27"/>
      <c r="AB550" s="27"/>
      <c r="AC550" s="27"/>
      <c r="AD550" s="27"/>
    </row>
    <row r="551" spans="3:30" x14ac:dyDescent="0.3">
      <c r="C551" s="3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N551" s="27"/>
      <c r="O551" s="27"/>
      <c r="P551" s="27"/>
      <c r="Q551" s="27"/>
      <c r="R551" s="27"/>
      <c r="S551" s="27"/>
      <c r="T551" s="27"/>
      <c r="U551" s="27"/>
      <c r="AB551" s="27"/>
      <c r="AC551" s="27"/>
      <c r="AD551" s="27"/>
    </row>
    <row r="552" spans="3:30" x14ac:dyDescent="0.3">
      <c r="C552" s="3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N552" s="27"/>
      <c r="O552" s="27"/>
      <c r="P552" s="27"/>
      <c r="Q552" s="27"/>
      <c r="R552" s="27"/>
      <c r="S552" s="27"/>
      <c r="T552" s="27"/>
      <c r="U552" s="27"/>
      <c r="AB552" s="27"/>
      <c r="AC552" s="27"/>
      <c r="AD552" s="27"/>
    </row>
    <row r="553" spans="3:30" x14ac:dyDescent="0.3">
      <c r="C553" s="3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N553" s="27"/>
      <c r="O553" s="27"/>
      <c r="P553" s="27"/>
      <c r="Q553" s="27"/>
      <c r="R553" s="27"/>
      <c r="S553" s="27"/>
      <c r="T553" s="27"/>
      <c r="U553" s="27"/>
      <c r="AB553" s="27"/>
      <c r="AC553" s="27"/>
      <c r="AD553" s="27"/>
    </row>
    <row r="554" spans="3:30" x14ac:dyDescent="0.3">
      <c r="C554" s="3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N554" s="27"/>
      <c r="O554" s="27"/>
      <c r="P554" s="27"/>
      <c r="Q554" s="27"/>
      <c r="R554" s="27"/>
      <c r="S554" s="27"/>
      <c r="T554" s="27"/>
      <c r="U554" s="27"/>
      <c r="AB554" s="27"/>
      <c r="AC554" s="27"/>
      <c r="AD554" s="27"/>
    </row>
    <row r="555" spans="3:30" x14ac:dyDescent="0.3">
      <c r="C555" s="3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N555" s="27"/>
      <c r="O555" s="27"/>
      <c r="P555" s="27"/>
      <c r="Q555" s="27"/>
      <c r="R555" s="27"/>
      <c r="S555" s="27"/>
      <c r="T555" s="27"/>
      <c r="U555" s="27"/>
      <c r="AB555" s="27"/>
      <c r="AC555" s="27"/>
      <c r="AD555" s="27"/>
    </row>
    <row r="556" spans="3:30" x14ac:dyDescent="0.3">
      <c r="C556" s="3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N556" s="27"/>
      <c r="O556" s="27"/>
      <c r="P556" s="27"/>
      <c r="Q556" s="27"/>
      <c r="R556" s="27"/>
      <c r="S556" s="27"/>
      <c r="T556" s="27"/>
      <c r="U556" s="27"/>
      <c r="AB556" s="27"/>
      <c r="AC556" s="27"/>
      <c r="AD556" s="27"/>
    </row>
    <row r="557" spans="3:30" x14ac:dyDescent="0.3">
      <c r="C557" s="3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N557" s="27"/>
      <c r="O557" s="27"/>
      <c r="P557" s="27"/>
      <c r="Q557" s="27"/>
      <c r="R557" s="27"/>
      <c r="S557" s="27"/>
      <c r="T557" s="27"/>
      <c r="U557" s="27"/>
      <c r="AB557" s="27"/>
      <c r="AC557" s="27"/>
      <c r="AD557" s="27"/>
    </row>
    <row r="558" spans="3:30" x14ac:dyDescent="0.3">
      <c r="C558" s="3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N558" s="27"/>
      <c r="O558" s="27"/>
      <c r="P558" s="27"/>
      <c r="Q558" s="27"/>
      <c r="R558" s="27"/>
      <c r="S558" s="27"/>
      <c r="T558" s="27"/>
      <c r="U558" s="27"/>
      <c r="AB558" s="27"/>
      <c r="AC558" s="27"/>
      <c r="AD558" s="27"/>
    </row>
    <row r="559" spans="3:30" x14ac:dyDescent="0.3">
      <c r="C559" s="3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N559" s="27"/>
      <c r="O559" s="27"/>
      <c r="P559" s="27"/>
      <c r="Q559" s="27"/>
      <c r="R559" s="27"/>
      <c r="S559" s="27"/>
      <c r="T559" s="27"/>
      <c r="U559" s="27"/>
      <c r="AB559" s="27"/>
      <c r="AC559" s="27"/>
      <c r="AD559" s="27"/>
    </row>
    <row r="560" spans="3:30" x14ac:dyDescent="0.3">
      <c r="C560" s="3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N560" s="27"/>
      <c r="O560" s="27"/>
      <c r="P560" s="27"/>
      <c r="Q560" s="27"/>
      <c r="R560" s="27"/>
      <c r="S560" s="27"/>
      <c r="T560" s="27"/>
      <c r="U560" s="27"/>
      <c r="AB560" s="27"/>
      <c r="AC560" s="27"/>
      <c r="AD560" s="27"/>
    </row>
    <row r="561" spans="3:30" x14ac:dyDescent="0.3">
      <c r="C561" s="3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N561" s="27"/>
      <c r="O561" s="27"/>
      <c r="P561" s="27"/>
      <c r="Q561" s="27"/>
      <c r="R561" s="27"/>
      <c r="S561" s="27"/>
      <c r="T561" s="27"/>
      <c r="U561" s="27"/>
      <c r="AB561" s="27"/>
      <c r="AC561" s="27"/>
      <c r="AD561" s="27"/>
    </row>
    <row r="562" spans="3:30" x14ac:dyDescent="0.3">
      <c r="C562" s="3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N562" s="27"/>
      <c r="O562" s="27"/>
      <c r="P562" s="27"/>
      <c r="Q562" s="27"/>
      <c r="R562" s="27"/>
      <c r="S562" s="27"/>
      <c r="T562" s="27"/>
      <c r="U562" s="27"/>
      <c r="AB562" s="27"/>
      <c r="AC562" s="27"/>
      <c r="AD562" s="27"/>
    </row>
    <row r="563" spans="3:30" x14ac:dyDescent="0.3">
      <c r="C563" s="3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N563" s="27"/>
      <c r="O563" s="27"/>
      <c r="P563" s="27"/>
      <c r="Q563" s="27"/>
      <c r="R563" s="27"/>
      <c r="S563" s="27"/>
      <c r="T563" s="27"/>
      <c r="U563" s="27"/>
      <c r="AB563" s="27"/>
      <c r="AC563" s="27"/>
      <c r="AD563" s="27"/>
    </row>
    <row r="564" spans="3:30" x14ac:dyDescent="0.3">
      <c r="C564" s="3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N564" s="27"/>
      <c r="O564" s="27"/>
      <c r="P564" s="27"/>
      <c r="Q564" s="27"/>
      <c r="R564" s="27"/>
      <c r="S564" s="27"/>
      <c r="T564" s="27"/>
      <c r="U564" s="27"/>
      <c r="AB564" s="27"/>
      <c r="AC564" s="27"/>
      <c r="AD564" s="27"/>
    </row>
    <row r="565" spans="3:30" x14ac:dyDescent="0.3">
      <c r="C565" s="3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N565" s="27"/>
      <c r="O565" s="27"/>
      <c r="P565" s="27"/>
      <c r="Q565" s="27"/>
      <c r="R565" s="27"/>
      <c r="S565" s="27"/>
      <c r="T565" s="27"/>
      <c r="U565" s="27"/>
      <c r="AB565" s="27"/>
      <c r="AC565" s="27"/>
      <c r="AD565" s="27"/>
    </row>
    <row r="566" spans="3:30" x14ac:dyDescent="0.3">
      <c r="C566" s="3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N566" s="27"/>
      <c r="O566" s="27"/>
      <c r="P566" s="27"/>
      <c r="Q566" s="27"/>
      <c r="R566" s="27"/>
      <c r="S566" s="27"/>
      <c r="T566" s="27"/>
      <c r="U566" s="27"/>
      <c r="AB566" s="27"/>
      <c r="AC566" s="27"/>
      <c r="AD566" s="27"/>
    </row>
    <row r="567" spans="3:30" x14ac:dyDescent="0.3">
      <c r="C567" s="3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N567" s="27"/>
      <c r="O567" s="27"/>
      <c r="P567" s="27"/>
      <c r="Q567" s="27"/>
      <c r="R567" s="27"/>
      <c r="S567" s="27"/>
      <c r="T567" s="27"/>
      <c r="U567" s="27"/>
      <c r="AB567" s="27"/>
      <c r="AC567" s="27"/>
      <c r="AD567" s="27"/>
    </row>
    <row r="568" spans="3:30" x14ac:dyDescent="0.3">
      <c r="C568" s="3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N568" s="27"/>
      <c r="O568" s="27"/>
      <c r="P568" s="27"/>
      <c r="Q568" s="27"/>
      <c r="R568" s="27"/>
      <c r="S568" s="27"/>
      <c r="T568" s="27"/>
      <c r="U568" s="27"/>
      <c r="AB568" s="27"/>
      <c r="AC568" s="27"/>
      <c r="AD568" s="27"/>
    </row>
    <row r="569" spans="3:30" x14ac:dyDescent="0.3">
      <c r="C569" s="3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N569" s="27"/>
      <c r="O569" s="27"/>
      <c r="P569" s="27"/>
      <c r="Q569" s="27"/>
      <c r="R569" s="27"/>
      <c r="S569" s="27"/>
      <c r="T569" s="27"/>
      <c r="U569" s="27"/>
      <c r="AB569" s="27"/>
      <c r="AC569" s="27"/>
      <c r="AD569" s="27"/>
    </row>
    <row r="570" spans="3:30" x14ac:dyDescent="0.3">
      <c r="C570" s="3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N570" s="27"/>
      <c r="O570" s="27"/>
      <c r="P570" s="27"/>
      <c r="Q570" s="27"/>
      <c r="R570" s="27"/>
      <c r="S570" s="27"/>
      <c r="T570" s="27"/>
      <c r="U570" s="27"/>
      <c r="AB570" s="27"/>
      <c r="AC570" s="27"/>
      <c r="AD570" s="27"/>
    </row>
    <row r="571" spans="3:30" x14ac:dyDescent="0.3">
      <c r="C571" s="3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N571" s="27"/>
      <c r="O571" s="27"/>
      <c r="P571" s="27"/>
      <c r="Q571" s="27"/>
      <c r="R571" s="27"/>
      <c r="S571" s="27"/>
      <c r="T571" s="27"/>
      <c r="U571" s="27"/>
      <c r="AB571" s="27"/>
      <c r="AC571" s="27"/>
      <c r="AD571" s="27"/>
    </row>
    <row r="572" spans="3:30" x14ac:dyDescent="0.3">
      <c r="C572" s="3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N572" s="27"/>
      <c r="O572" s="27"/>
      <c r="P572" s="27"/>
      <c r="Q572" s="27"/>
      <c r="R572" s="27"/>
      <c r="S572" s="27"/>
      <c r="T572" s="27"/>
      <c r="U572" s="27"/>
      <c r="AB572" s="27"/>
      <c r="AC572" s="27"/>
      <c r="AD572" s="27"/>
    </row>
    <row r="573" spans="3:30" x14ac:dyDescent="0.3">
      <c r="C573" s="3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N573" s="27"/>
      <c r="O573" s="27"/>
      <c r="P573" s="27"/>
      <c r="Q573" s="27"/>
      <c r="R573" s="27"/>
      <c r="S573" s="27"/>
      <c r="T573" s="27"/>
      <c r="U573" s="27"/>
      <c r="AB573" s="27"/>
      <c r="AC573" s="27"/>
      <c r="AD573" s="27"/>
    </row>
    <row r="574" spans="3:30" x14ac:dyDescent="0.3">
      <c r="C574" s="3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N574" s="27"/>
      <c r="O574" s="27"/>
      <c r="P574" s="27"/>
      <c r="Q574" s="27"/>
      <c r="R574" s="27"/>
      <c r="S574" s="27"/>
      <c r="T574" s="27"/>
      <c r="U574" s="27"/>
      <c r="AB574" s="27"/>
      <c r="AC574" s="27"/>
      <c r="AD574" s="27"/>
    </row>
    <row r="575" spans="3:30" x14ac:dyDescent="0.3">
      <c r="C575" s="3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N575" s="27"/>
      <c r="O575" s="27"/>
      <c r="P575" s="27"/>
      <c r="Q575" s="27"/>
      <c r="R575" s="27"/>
      <c r="S575" s="27"/>
      <c r="T575" s="27"/>
      <c r="U575" s="27"/>
      <c r="AB575" s="27"/>
      <c r="AC575" s="27"/>
      <c r="AD575" s="27"/>
    </row>
    <row r="576" spans="3:30" x14ac:dyDescent="0.3">
      <c r="C576" s="3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N576" s="27"/>
      <c r="O576" s="27"/>
      <c r="P576" s="27"/>
      <c r="Q576" s="27"/>
      <c r="R576" s="27"/>
      <c r="S576" s="27"/>
      <c r="T576" s="27"/>
      <c r="U576" s="27"/>
      <c r="AB576" s="27"/>
      <c r="AC576" s="27"/>
      <c r="AD576" s="27"/>
    </row>
    <row r="577" spans="3:30" x14ac:dyDescent="0.3">
      <c r="C577" s="3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N577" s="27"/>
      <c r="O577" s="27"/>
      <c r="P577" s="27"/>
      <c r="Q577" s="27"/>
      <c r="R577" s="27"/>
      <c r="S577" s="27"/>
      <c r="T577" s="27"/>
      <c r="U577" s="27"/>
      <c r="AB577" s="27"/>
      <c r="AC577" s="27"/>
      <c r="AD577" s="27"/>
    </row>
    <row r="578" spans="3:30" x14ac:dyDescent="0.3">
      <c r="C578" s="3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N578" s="27"/>
      <c r="O578" s="27"/>
      <c r="P578" s="27"/>
      <c r="Q578" s="27"/>
      <c r="R578" s="27"/>
      <c r="S578" s="27"/>
      <c r="T578" s="27"/>
      <c r="U578" s="27"/>
      <c r="AB578" s="27"/>
      <c r="AC578" s="27"/>
      <c r="AD578" s="27"/>
    </row>
    <row r="579" spans="3:30" x14ac:dyDescent="0.3">
      <c r="C579" s="3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N579" s="27"/>
      <c r="O579" s="27"/>
      <c r="P579" s="27"/>
      <c r="Q579" s="27"/>
      <c r="R579" s="27"/>
      <c r="S579" s="27"/>
      <c r="T579" s="27"/>
      <c r="U579" s="27"/>
      <c r="AB579" s="27"/>
      <c r="AC579" s="27"/>
      <c r="AD579" s="27"/>
    </row>
    <row r="580" spans="3:30" x14ac:dyDescent="0.3">
      <c r="C580" s="3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N580" s="27"/>
      <c r="O580" s="27"/>
      <c r="P580" s="27"/>
      <c r="Q580" s="27"/>
      <c r="R580" s="27"/>
      <c r="S580" s="27"/>
      <c r="T580" s="27"/>
      <c r="U580" s="27"/>
      <c r="AB580" s="27"/>
      <c r="AC580" s="27"/>
      <c r="AD580" s="27"/>
    </row>
    <row r="581" spans="3:30" x14ac:dyDescent="0.3">
      <c r="C581" s="3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N581" s="27"/>
      <c r="O581" s="27"/>
      <c r="P581" s="27"/>
      <c r="Q581" s="27"/>
      <c r="R581" s="27"/>
      <c r="S581" s="27"/>
      <c r="T581" s="27"/>
      <c r="U581" s="27"/>
      <c r="AB581" s="27"/>
      <c r="AC581" s="27"/>
      <c r="AD581" s="27"/>
    </row>
    <row r="582" spans="3:30" x14ac:dyDescent="0.3">
      <c r="C582" s="3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N582" s="27"/>
      <c r="O582" s="27"/>
      <c r="P582" s="27"/>
      <c r="Q582" s="27"/>
      <c r="R582" s="27"/>
      <c r="S582" s="27"/>
      <c r="T582" s="27"/>
      <c r="U582" s="27"/>
      <c r="AB582" s="27"/>
      <c r="AC582" s="27"/>
      <c r="AD582" s="27"/>
    </row>
    <row r="583" spans="3:30" x14ac:dyDescent="0.3">
      <c r="C583" s="3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N583" s="27"/>
      <c r="O583" s="27"/>
      <c r="P583" s="27"/>
      <c r="Q583" s="27"/>
      <c r="R583" s="27"/>
      <c r="S583" s="27"/>
      <c r="T583" s="27"/>
      <c r="U583" s="27"/>
      <c r="AB583" s="27"/>
      <c r="AC583" s="27"/>
      <c r="AD583" s="27"/>
    </row>
    <row r="584" spans="3:30" x14ac:dyDescent="0.3">
      <c r="C584" s="3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N584" s="27"/>
      <c r="O584" s="27"/>
      <c r="P584" s="27"/>
      <c r="Q584" s="27"/>
      <c r="R584" s="27"/>
      <c r="S584" s="27"/>
      <c r="T584" s="27"/>
      <c r="U584" s="27"/>
      <c r="AB584" s="27"/>
      <c r="AC584" s="27"/>
      <c r="AD584" s="27"/>
    </row>
    <row r="585" spans="3:30" x14ac:dyDescent="0.3">
      <c r="C585" s="3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N585" s="27"/>
      <c r="O585" s="27"/>
      <c r="P585" s="27"/>
      <c r="Q585" s="27"/>
      <c r="R585" s="27"/>
      <c r="S585" s="27"/>
      <c r="T585" s="27"/>
      <c r="U585" s="27"/>
      <c r="AB585" s="27"/>
      <c r="AC585" s="27"/>
      <c r="AD585" s="27"/>
    </row>
    <row r="586" spans="3:30" x14ac:dyDescent="0.3">
      <c r="C586" s="3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N586" s="27"/>
      <c r="O586" s="27"/>
      <c r="P586" s="27"/>
      <c r="Q586" s="27"/>
      <c r="R586" s="27"/>
      <c r="S586" s="27"/>
      <c r="T586" s="27"/>
      <c r="U586" s="27"/>
      <c r="AB586" s="27"/>
      <c r="AC586" s="27"/>
      <c r="AD586" s="27"/>
    </row>
    <row r="587" spans="3:30" x14ac:dyDescent="0.3">
      <c r="C587" s="3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N587" s="27"/>
      <c r="O587" s="27"/>
      <c r="P587" s="27"/>
      <c r="Q587" s="27"/>
      <c r="R587" s="27"/>
      <c r="S587" s="27"/>
      <c r="T587" s="27"/>
      <c r="U587" s="27"/>
      <c r="AB587" s="27"/>
      <c r="AC587" s="27"/>
      <c r="AD587" s="27"/>
    </row>
    <row r="588" spans="3:30" x14ac:dyDescent="0.3">
      <c r="C588" s="3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N588" s="27"/>
      <c r="O588" s="27"/>
      <c r="P588" s="27"/>
      <c r="Q588" s="27"/>
      <c r="R588" s="27"/>
      <c r="S588" s="27"/>
      <c r="T588" s="27"/>
      <c r="U588" s="27"/>
      <c r="AB588" s="27"/>
      <c r="AC588" s="27"/>
      <c r="AD588" s="27"/>
    </row>
    <row r="589" spans="3:30" x14ac:dyDescent="0.3">
      <c r="C589" s="3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N589" s="27"/>
      <c r="O589" s="27"/>
      <c r="P589" s="27"/>
      <c r="Q589" s="27"/>
      <c r="R589" s="27"/>
      <c r="S589" s="27"/>
      <c r="T589" s="27"/>
      <c r="U589" s="27"/>
      <c r="AB589" s="27"/>
      <c r="AC589" s="27"/>
      <c r="AD589" s="27"/>
    </row>
    <row r="590" spans="3:30" x14ac:dyDescent="0.3">
      <c r="C590" s="3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N590" s="27"/>
      <c r="O590" s="27"/>
      <c r="P590" s="27"/>
      <c r="Q590" s="27"/>
      <c r="R590" s="27"/>
      <c r="S590" s="27"/>
      <c r="T590" s="27"/>
      <c r="U590" s="27"/>
      <c r="AB590" s="27"/>
      <c r="AC590" s="27"/>
      <c r="AD590" s="27"/>
    </row>
    <row r="591" spans="3:30" x14ac:dyDescent="0.3">
      <c r="C591" s="3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N591" s="27"/>
      <c r="O591" s="27"/>
      <c r="P591" s="27"/>
      <c r="Q591" s="27"/>
      <c r="R591" s="27"/>
      <c r="S591" s="27"/>
      <c r="T591" s="27"/>
      <c r="U591" s="27"/>
      <c r="AB591" s="27"/>
      <c r="AC591" s="27"/>
      <c r="AD591" s="27"/>
    </row>
    <row r="592" spans="3:30" x14ac:dyDescent="0.3">
      <c r="C592" s="3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N592" s="27"/>
      <c r="O592" s="27"/>
      <c r="P592" s="27"/>
      <c r="Q592" s="27"/>
      <c r="R592" s="27"/>
      <c r="S592" s="27"/>
      <c r="T592" s="27"/>
      <c r="U592" s="27"/>
      <c r="AB592" s="27"/>
      <c r="AC592" s="27"/>
      <c r="AD592" s="27"/>
    </row>
    <row r="593" spans="3:30" x14ac:dyDescent="0.3">
      <c r="C593" s="3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N593" s="27"/>
      <c r="O593" s="27"/>
      <c r="P593" s="27"/>
      <c r="Q593" s="27"/>
      <c r="R593" s="27"/>
      <c r="S593" s="27"/>
      <c r="T593" s="27"/>
      <c r="U593" s="27"/>
      <c r="AB593" s="27"/>
      <c r="AC593" s="27"/>
      <c r="AD593" s="27"/>
    </row>
    <row r="594" spans="3:30" x14ac:dyDescent="0.3">
      <c r="C594" s="3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N594" s="27"/>
      <c r="O594" s="27"/>
      <c r="P594" s="27"/>
      <c r="Q594" s="27"/>
      <c r="R594" s="27"/>
      <c r="S594" s="27"/>
      <c r="T594" s="27"/>
      <c r="U594" s="27"/>
      <c r="AB594" s="27"/>
      <c r="AC594" s="27"/>
      <c r="AD594" s="27"/>
    </row>
    <row r="595" spans="3:30" x14ac:dyDescent="0.3">
      <c r="C595" s="3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N595" s="27"/>
      <c r="O595" s="27"/>
      <c r="P595" s="27"/>
      <c r="Q595" s="27"/>
      <c r="R595" s="27"/>
      <c r="S595" s="27"/>
      <c r="T595" s="27"/>
      <c r="U595" s="27"/>
      <c r="AB595" s="27"/>
      <c r="AC595" s="27"/>
      <c r="AD595" s="27"/>
    </row>
    <row r="596" spans="3:30" x14ac:dyDescent="0.3">
      <c r="C596" s="3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N596" s="27"/>
      <c r="O596" s="27"/>
      <c r="P596" s="27"/>
      <c r="Q596" s="27"/>
      <c r="R596" s="27"/>
      <c r="S596" s="27"/>
      <c r="T596" s="27"/>
      <c r="U596" s="27"/>
      <c r="AB596" s="27"/>
      <c r="AC596" s="27"/>
      <c r="AD596" s="27"/>
    </row>
    <row r="597" spans="3:30" x14ac:dyDescent="0.3">
      <c r="C597" s="3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N597" s="27"/>
      <c r="O597" s="27"/>
      <c r="P597" s="27"/>
      <c r="Q597" s="27"/>
      <c r="R597" s="27"/>
      <c r="S597" s="27"/>
      <c r="T597" s="27"/>
      <c r="U597" s="27"/>
      <c r="AB597" s="27"/>
      <c r="AC597" s="27"/>
      <c r="AD597" s="27"/>
    </row>
    <row r="598" spans="3:30" x14ac:dyDescent="0.3">
      <c r="C598" s="3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N598" s="27"/>
      <c r="O598" s="27"/>
      <c r="P598" s="27"/>
      <c r="Q598" s="27"/>
      <c r="R598" s="27"/>
      <c r="S598" s="27"/>
      <c r="T598" s="27"/>
      <c r="U598" s="27"/>
      <c r="AB598" s="27"/>
      <c r="AC598" s="27"/>
      <c r="AD598" s="27"/>
    </row>
    <row r="599" spans="3:30" x14ac:dyDescent="0.3">
      <c r="C599" s="3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N599" s="27"/>
      <c r="O599" s="27"/>
      <c r="P599" s="27"/>
      <c r="Q599" s="27"/>
      <c r="R599" s="27"/>
      <c r="S599" s="27"/>
      <c r="T599" s="27"/>
      <c r="U599" s="27"/>
      <c r="AB599" s="27"/>
      <c r="AC599" s="27"/>
      <c r="AD599" s="27"/>
    </row>
    <row r="600" spans="3:30" x14ac:dyDescent="0.3">
      <c r="C600" s="3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N600" s="27"/>
      <c r="O600" s="27"/>
      <c r="P600" s="27"/>
      <c r="Q600" s="27"/>
      <c r="R600" s="27"/>
      <c r="S600" s="27"/>
      <c r="T600" s="27"/>
      <c r="U600" s="27"/>
      <c r="AB600" s="27"/>
      <c r="AC600" s="27"/>
      <c r="AD600" s="27"/>
    </row>
    <row r="601" spans="3:30" x14ac:dyDescent="0.3">
      <c r="C601" s="3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N601" s="27"/>
      <c r="O601" s="27"/>
      <c r="P601" s="27"/>
      <c r="Q601" s="27"/>
      <c r="R601" s="27"/>
      <c r="S601" s="27"/>
      <c r="T601" s="27"/>
      <c r="U601" s="27"/>
      <c r="AB601" s="27"/>
      <c r="AC601" s="27"/>
      <c r="AD601" s="27"/>
    </row>
    <row r="602" spans="3:30" x14ac:dyDescent="0.3">
      <c r="C602" s="3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N602" s="27"/>
      <c r="O602" s="27"/>
      <c r="P602" s="27"/>
      <c r="Q602" s="27"/>
      <c r="R602" s="27"/>
      <c r="S602" s="27"/>
      <c r="T602" s="27"/>
      <c r="U602" s="27"/>
      <c r="AB602" s="27"/>
      <c r="AC602" s="27"/>
      <c r="AD602" s="27"/>
    </row>
    <row r="603" spans="3:30" x14ac:dyDescent="0.3">
      <c r="C603" s="3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N603" s="27"/>
      <c r="O603" s="27"/>
      <c r="P603" s="27"/>
      <c r="Q603" s="27"/>
      <c r="R603" s="27"/>
      <c r="S603" s="27"/>
      <c r="T603" s="27"/>
      <c r="U603" s="27"/>
      <c r="AB603" s="27"/>
      <c r="AC603" s="27"/>
      <c r="AD603" s="27"/>
    </row>
    <row r="604" spans="3:30" x14ac:dyDescent="0.3">
      <c r="C604" s="3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N604" s="27"/>
      <c r="O604" s="27"/>
      <c r="P604" s="27"/>
      <c r="Q604" s="27"/>
      <c r="R604" s="27"/>
      <c r="S604" s="27"/>
      <c r="T604" s="27"/>
      <c r="U604" s="27"/>
      <c r="AB604" s="27"/>
      <c r="AC604" s="27"/>
      <c r="AD604" s="27"/>
    </row>
    <row r="605" spans="3:30" x14ac:dyDescent="0.3">
      <c r="C605" s="3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N605" s="27"/>
      <c r="O605" s="27"/>
      <c r="P605" s="27"/>
      <c r="Q605" s="27"/>
      <c r="R605" s="27"/>
      <c r="S605" s="27"/>
      <c r="T605" s="27"/>
      <c r="U605" s="27"/>
      <c r="AB605" s="27"/>
      <c r="AC605" s="27"/>
      <c r="AD605" s="27"/>
    </row>
    <row r="606" spans="3:30" x14ac:dyDescent="0.3">
      <c r="C606" s="3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N606" s="27"/>
      <c r="O606" s="27"/>
      <c r="P606" s="27"/>
      <c r="Q606" s="27"/>
      <c r="R606" s="27"/>
      <c r="S606" s="27"/>
      <c r="T606" s="27"/>
      <c r="U606" s="27"/>
      <c r="AB606" s="27"/>
      <c r="AC606" s="27"/>
      <c r="AD606" s="27"/>
    </row>
    <row r="607" spans="3:30" x14ac:dyDescent="0.3">
      <c r="C607" s="3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N607" s="27"/>
      <c r="O607" s="27"/>
      <c r="P607" s="27"/>
      <c r="Q607" s="27"/>
      <c r="R607" s="27"/>
      <c r="S607" s="27"/>
      <c r="T607" s="27"/>
      <c r="U607" s="27"/>
      <c r="AB607" s="27"/>
      <c r="AC607" s="27"/>
      <c r="AD607" s="27"/>
    </row>
    <row r="608" spans="3:30" x14ac:dyDescent="0.3">
      <c r="C608" s="3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N608" s="27"/>
      <c r="O608" s="27"/>
      <c r="P608" s="27"/>
      <c r="Q608" s="27"/>
      <c r="R608" s="27"/>
      <c r="S608" s="27"/>
      <c r="T608" s="27"/>
      <c r="U608" s="27"/>
      <c r="AB608" s="27"/>
      <c r="AC608" s="27"/>
      <c r="AD608" s="27"/>
    </row>
    <row r="609" spans="3:30" x14ac:dyDescent="0.3">
      <c r="C609" s="3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N609" s="27"/>
      <c r="O609" s="27"/>
      <c r="P609" s="27"/>
      <c r="Q609" s="27"/>
      <c r="R609" s="27"/>
      <c r="S609" s="27"/>
      <c r="T609" s="27"/>
      <c r="U609" s="27"/>
      <c r="AB609" s="27"/>
      <c r="AC609" s="27"/>
      <c r="AD609" s="27"/>
    </row>
    <row r="610" spans="3:30" x14ac:dyDescent="0.3">
      <c r="C610" s="3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N610" s="27"/>
      <c r="O610" s="27"/>
      <c r="P610" s="27"/>
      <c r="Q610" s="27"/>
      <c r="R610" s="27"/>
      <c r="S610" s="27"/>
      <c r="T610" s="27"/>
      <c r="U610" s="27"/>
      <c r="AB610" s="27"/>
      <c r="AC610" s="27"/>
      <c r="AD610" s="27"/>
    </row>
    <row r="611" spans="3:30" x14ac:dyDescent="0.3">
      <c r="C611" s="3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N611" s="27"/>
      <c r="O611" s="27"/>
      <c r="P611" s="27"/>
      <c r="Q611" s="27"/>
      <c r="R611" s="27"/>
      <c r="S611" s="27"/>
      <c r="T611" s="27"/>
      <c r="U611" s="27"/>
      <c r="AB611" s="27"/>
      <c r="AC611" s="27"/>
      <c r="AD611" s="27"/>
    </row>
    <row r="612" spans="3:30" x14ac:dyDescent="0.3">
      <c r="C612" s="3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N612" s="27"/>
      <c r="O612" s="27"/>
      <c r="P612" s="27"/>
      <c r="Q612" s="27"/>
      <c r="R612" s="27"/>
      <c r="S612" s="27"/>
      <c r="T612" s="27"/>
      <c r="U612" s="27"/>
      <c r="AB612" s="27"/>
      <c r="AC612" s="27"/>
      <c r="AD612" s="27"/>
    </row>
    <row r="613" spans="3:30" x14ac:dyDescent="0.3">
      <c r="C613" s="3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N613" s="27"/>
      <c r="O613" s="27"/>
      <c r="P613" s="27"/>
      <c r="Q613" s="27"/>
      <c r="R613" s="27"/>
      <c r="S613" s="27"/>
      <c r="T613" s="27"/>
      <c r="U613" s="27"/>
      <c r="AB613" s="27"/>
      <c r="AC613" s="27"/>
      <c r="AD613" s="27"/>
    </row>
    <row r="614" spans="3:30" x14ac:dyDescent="0.3">
      <c r="C614" s="3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N614" s="27"/>
      <c r="O614" s="27"/>
      <c r="P614" s="27"/>
      <c r="Q614" s="27"/>
      <c r="R614" s="27"/>
      <c r="S614" s="27"/>
      <c r="T614" s="27"/>
      <c r="U614" s="27"/>
      <c r="AB614" s="27"/>
      <c r="AC614" s="27"/>
      <c r="AD614" s="27"/>
    </row>
    <row r="615" spans="3:30" x14ac:dyDescent="0.3">
      <c r="C615" s="3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N615" s="27"/>
      <c r="O615" s="27"/>
      <c r="P615" s="27"/>
      <c r="Q615" s="27"/>
      <c r="R615" s="27"/>
      <c r="S615" s="27"/>
      <c r="T615" s="27"/>
      <c r="U615" s="27"/>
      <c r="AB615" s="27"/>
      <c r="AC615" s="27"/>
      <c r="AD615" s="27"/>
    </row>
    <row r="616" spans="3:30" x14ac:dyDescent="0.3">
      <c r="C616" s="3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N616" s="27"/>
      <c r="O616" s="27"/>
      <c r="P616" s="27"/>
      <c r="Q616" s="27"/>
      <c r="R616" s="27"/>
      <c r="S616" s="27"/>
      <c r="T616" s="27"/>
      <c r="U616" s="27"/>
      <c r="AB616" s="27"/>
      <c r="AC616" s="27"/>
      <c r="AD616" s="27"/>
    </row>
    <row r="617" spans="3:30" x14ac:dyDescent="0.3">
      <c r="C617" s="3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N617" s="27"/>
      <c r="O617" s="27"/>
      <c r="P617" s="27"/>
      <c r="Q617" s="27"/>
      <c r="R617" s="27"/>
      <c r="S617" s="27"/>
      <c r="T617" s="27"/>
      <c r="U617" s="27"/>
      <c r="AB617" s="27"/>
      <c r="AC617" s="27"/>
      <c r="AD617" s="27"/>
    </row>
    <row r="618" spans="3:30" x14ac:dyDescent="0.3">
      <c r="C618" s="3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N618" s="27"/>
      <c r="O618" s="27"/>
      <c r="P618" s="27"/>
      <c r="Q618" s="27"/>
      <c r="R618" s="27"/>
      <c r="S618" s="27"/>
      <c r="T618" s="27"/>
      <c r="U618" s="27"/>
      <c r="AB618" s="27"/>
      <c r="AC618" s="27"/>
      <c r="AD618" s="27"/>
    </row>
    <row r="619" spans="3:30" x14ac:dyDescent="0.3">
      <c r="C619" s="3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N619" s="27"/>
      <c r="O619" s="27"/>
      <c r="P619" s="27"/>
      <c r="Q619" s="27"/>
      <c r="R619" s="27"/>
      <c r="S619" s="27"/>
      <c r="T619" s="27"/>
      <c r="U619" s="27"/>
      <c r="AB619" s="27"/>
      <c r="AC619" s="27"/>
      <c r="AD619" s="27"/>
    </row>
    <row r="620" spans="3:30" x14ac:dyDescent="0.3">
      <c r="C620" s="3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N620" s="27"/>
      <c r="O620" s="27"/>
      <c r="P620" s="27"/>
      <c r="Q620" s="27"/>
      <c r="R620" s="27"/>
      <c r="S620" s="27"/>
      <c r="T620" s="27"/>
      <c r="U620" s="27"/>
      <c r="AB620" s="27"/>
      <c r="AC620" s="27"/>
      <c r="AD620" s="27"/>
    </row>
    <row r="621" spans="3:30" x14ac:dyDescent="0.3">
      <c r="C621" s="3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N621" s="27"/>
      <c r="O621" s="27"/>
      <c r="P621" s="27"/>
      <c r="Q621" s="27"/>
      <c r="R621" s="27"/>
      <c r="S621" s="27"/>
      <c r="T621" s="27"/>
      <c r="U621" s="27"/>
      <c r="AB621" s="27"/>
      <c r="AC621" s="27"/>
      <c r="AD621" s="27"/>
    </row>
    <row r="622" spans="3:30" x14ac:dyDescent="0.3">
      <c r="C622" s="3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N622" s="27"/>
      <c r="O622" s="27"/>
      <c r="P622" s="27"/>
      <c r="Q622" s="27"/>
      <c r="R622" s="27"/>
      <c r="S622" s="27"/>
      <c r="T622" s="27"/>
      <c r="U622" s="27"/>
      <c r="AB622" s="27"/>
      <c r="AC622" s="27"/>
      <c r="AD622" s="27"/>
    </row>
    <row r="623" spans="3:30" x14ac:dyDescent="0.3">
      <c r="C623" s="3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N623" s="27"/>
      <c r="O623" s="27"/>
      <c r="P623" s="27"/>
      <c r="Q623" s="27"/>
      <c r="R623" s="27"/>
      <c r="S623" s="27"/>
      <c r="T623" s="27"/>
      <c r="U623" s="27"/>
      <c r="AB623" s="27"/>
      <c r="AC623" s="27"/>
      <c r="AD623" s="27"/>
    </row>
    <row r="624" spans="3:30" x14ac:dyDescent="0.3">
      <c r="C624" s="3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N624" s="27"/>
      <c r="O624" s="27"/>
      <c r="P624" s="27"/>
      <c r="Q624" s="27"/>
      <c r="R624" s="27"/>
      <c r="S624" s="27"/>
      <c r="T624" s="27"/>
      <c r="U624" s="27"/>
      <c r="AB624" s="27"/>
      <c r="AC624" s="27"/>
      <c r="AD624" s="27"/>
    </row>
    <row r="625" spans="3:30" x14ac:dyDescent="0.3">
      <c r="C625" s="3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N625" s="27"/>
      <c r="O625" s="27"/>
      <c r="P625" s="27"/>
      <c r="Q625" s="27"/>
      <c r="R625" s="27"/>
      <c r="S625" s="27"/>
      <c r="T625" s="27"/>
      <c r="U625" s="27"/>
      <c r="AB625" s="27"/>
      <c r="AC625" s="27"/>
      <c r="AD625" s="27"/>
    </row>
    <row r="626" spans="3:30" x14ac:dyDescent="0.3">
      <c r="C626" s="3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N626" s="27"/>
      <c r="O626" s="27"/>
      <c r="P626" s="27"/>
      <c r="Q626" s="27"/>
      <c r="R626" s="27"/>
      <c r="S626" s="27"/>
      <c r="T626" s="27"/>
      <c r="U626" s="27"/>
      <c r="AB626" s="27"/>
      <c r="AC626" s="27"/>
      <c r="AD626" s="27"/>
    </row>
    <row r="627" spans="3:30" x14ac:dyDescent="0.3">
      <c r="C627" s="3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N627" s="27"/>
      <c r="O627" s="27"/>
      <c r="P627" s="27"/>
      <c r="Q627" s="27"/>
      <c r="R627" s="27"/>
      <c r="S627" s="27"/>
      <c r="T627" s="27"/>
      <c r="U627" s="27"/>
      <c r="AB627" s="27"/>
      <c r="AC627" s="27"/>
      <c r="AD627" s="27"/>
    </row>
    <row r="628" spans="3:30" x14ac:dyDescent="0.3">
      <c r="C628" s="3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N628" s="27"/>
      <c r="O628" s="27"/>
      <c r="P628" s="27"/>
      <c r="Q628" s="27"/>
      <c r="R628" s="27"/>
      <c r="S628" s="27"/>
      <c r="T628" s="27"/>
      <c r="U628" s="27"/>
      <c r="AB628" s="27"/>
      <c r="AC628" s="27"/>
      <c r="AD628" s="27"/>
    </row>
    <row r="629" spans="3:30" x14ac:dyDescent="0.3">
      <c r="C629" s="3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N629" s="27"/>
      <c r="O629" s="27"/>
      <c r="P629" s="27"/>
      <c r="Q629" s="27"/>
      <c r="R629" s="27"/>
      <c r="S629" s="27"/>
      <c r="T629" s="27"/>
      <c r="U629" s="27"/>
      <c r="AB629" s="27"/>
      <c r="AC629" s="27"/>
      <c r="AD629" s="27"/>
    </row>
    <row r="630" spans="3:30" x14ac:dyDescent="0.3">
      <c r="C630" s="3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N630" s="27"/>
      <c r="O630" s="27"/>
      <c r="P630" s="27"/>
      <c r="Q630" s="27"/>
      <c r="R630" s="27"/>
      <c r="S630" s="27"/>
      <c r="T630" s="27"/>
      <c r="U630" s="27"/>
      <c r="AB630" s="27"/>
      <c r="AC630" s="27"/>
      <c r="AD630" s="27"/>
    </row>
    <row r="631" spans="3:30" x14ac:dyDescent="0.3">
      <c r="C631" s="3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N631" s="27"/>
      <c r="O631" s="27"/>
      <c r="P631" s="27"/>
      <c r="Q631" s="27"/>
      <c r="R631" s="27"/>
      <c r="S631" s="27"/>
      <c r="T631" s="27"/>
      <c r="U631" s="27"/>
      <c r="AB631" s="27"/>
      <c r="AC631" s="27"/>
      <c r="AD631" s="27"/>
    </row>
    <row r="632" spans="3:30" x14ac:dyDescent="0.3">
      <c r="C632" s="3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N632" s="27"/>
      <c r="O632" s="27"/>
      <c r="P632" s="27"/>
      <c r="Q632" s="27"/>
      <c r="R632" s="27"/>
      <c r="S632" s="27"/>
      <c r="T632" s="27"/>
      <c r="U632" s="27"/>
      <c r="AB632" s="27"/>
      <c r="AC632" s="27"/>
      <c r="AD632" s="27"/>
    </row>
    <row r="633" spans="3:30" x14ac:dyDescent="0.3">
      <c r="C633" s="3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N633" s="27"/>
      <c r="O633" s="27"/>
      <c r="P633" s="27"/>
      <c r="Q633" s="27"/>
      <c r="R633" s="27"/>
      <c r="S633" s="27"/>
      <c r="T633" s="27"/>
      <c r="U633" s="27"/>
      <c r="AB633" s="27"/>
      <c r="AC633" s="27"/>
      <c r="AD633" s="27"/>
    </row>
    <row r="634" spans="3:30" x14ac:dyDescent="0.3">
      <c r="C634" s="3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N634" s="27"/>
      <c r="O634" s="27"/>
      <c r="P634" s="27"/>
      <c r="Q634" s="27"/>
      <c r="R634" s="27"/>
      <c r="S634" s="27"/>
      <c r="T634" s="27"/>
      <c r="U634" s="27"/>
      <c r="AB634" s="27"/>
      <c r="AC634" s="27"/>
      <c r="AD634" s="27"/>
    </row>
    <row r="635" spans="3:30" x14ac:dyDescent="0.3">
      <c r="C635" s="3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N635" s="27"/>
      <c r="O635" s="27"/>
      <c r="P635" s="27"/>
      <c r="Q635" s="27"/>
      <c r="R635" s="27"/>
      <c r="S635" s="27"/>
      <c r="T635" s="27"/>
      <c r="U635" s="27"/>
      <c r="AB635" s="27"/>
      <c r="AC635" s="27"/>
      <c r="AD635" s="27"/>
    </row>
    <row r="636" spans="3:30" x14ac:dyDescent="0.3">
      <c r="C636" s="3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N636" s="27"/>
      <c r="O636" s="27"/>
      <c r="P636" s="27"/>
      <c r="Q636" s="27"/>
      <c r="R636" s="27"/>
      <c r="S636" s="27"/>
      <c r="T636" s="27"/>
      <c r="U636" s="27"/>
      <c r="AB636" s="27"/>
      <c r="AC636" s="27"/>
      <c r="AD636" s="27"/>
    </row>
    <row r="637" spans="3:30" x14ac:dyDescent="0.3">
      <c r="C637" s="3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N637" s="27"/>
      <c r="O637" s="27"/>
      <c r="P637" s="27"/>
      <c r="Q637" s="27"/>
      <c r="R637" s="27"/>
      <c r="S637" s="27"/>
      <c r="T637" s="27"/>
      <c r="U637" s="27"/>
      <c r="AB637" s="27"/>
      <c r="AC637" s="27"/>
      <c r="AD637" s="27"/>
    </row>
    <row r="638" spans="3:30" x14ac:dyDescent="0.3">
      <c r="C638" s="3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N638" s="27"/>
      <c r="O638" s="27"/>
      <c r="P638" s="27"/>
      <c r="Q638" s="27"/>
      <c r="R638" s="27"/>
      <c r="S638" s="27"/>
      <c r="T638" s="27"/>
      <c r="U638" s="27"/>
      <c r="AB638" s="27"/>
      <c r="AC638" s="27"/>
      <c r="AD638" s="27"/>
    </row>
    <row r="639" spans="3:30" x14ac:dyDescent="0.3">
      <c r="C639" s="3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N639" s="27"/>
      <c r="O639" s="27"/>
      <c r="P639" s="27"/>
      <c r="Q639" s="27"/>
      <c r="R639" s="27"/>
      <c r="S639" s="27"/>
      <c r="T639" s="27"/>
      <c r="U639" s="27"/>
      <c r="AB639" s="27"/>
      <c r="AC639" s="27"/>
      <c r="AD639" s="27"/>
    </row>
    <row r="640" spans="3:30" x14ac:dyDescent="0.3">
      <c r="C640" s="3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N640" s="27"/>
      <c r="O640" s="27"/>
      <c r="P640" s="27"/>
      <c r="Q640" s="27"/>
      <c r="R640" s="27"/>
      <c r="S640" s="27"/>
      <c r="T640" s="27"/>
      <c r="U640" s="27"/>
      <c r="AB640" s="27"/>
      <c r="AC640" s="27"/>
      <c r="AD640" s="27"/>
    </row>
    <row r="641" spans="3:30" x14ac:dyDescent="0.3">
      <c r="C641" s="3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N641" s="27"/>
      <c r="O641" s="27"/>
      <c r="P641" s="27"/>
      <c r="Q641" s="27"/>
      <c r="R641" s="27"/>
      <c r="S641" s="27"/>
      <c r="T641" s="27"/>
      <c r="U641" s="27"/>
      <c r="AB641" s="27"/>
      <c r="AC641" s="27"/>
      <c r="AD641" s="27"/>
    </row>
    <row r="642" spans="3:30" x14ac:dyDescent="0.3">
      <c r="C642" s="3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N642" s="27"/>
      <c r="O642" s="27"/>
      <c r="P642" s="27"/>
      <c r="Q642" s="27"/>
      <c r="R642" s="27"/>
      <c r="S642" s="27"/>
      <c r="T642" s="27"/>
      <c r="U642" s="27"/>
      <c r="AB642" s="27"/>
      <c r="AC642" s="27"/>
      <c r="AD642" s="27"/>
    </row>
    <row r="643" spans="3:30" x14ac:dyDescent="0.3">
      <c r="C643" s="3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N643" s="27"/>
      <c r="O643" s="27"/>
      <c r="P643" s="27"/>
      <c r="Q643" s="27"/>
      <c r="R643" s="27"/>
      <c r="S643" s="27"/>
      <c r="T643" s="27"/>
      <c r="U643" s="27"/>
      <c r="AB643" s="27"/>
      <c r="AC643" s="27"/>
      <c r="AD643" s="27"/>
    </row>
    <row r="644" spans="3:30" x14ac:dyDescent="0.3">
      <c r="C644" s="3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N644" s="27"/>
      <c r="O644" s="27"/>
      <c r="P644" s="27"/>
      <c r="Q644" s="27"/>
      <c r="R644" s="27"/>
      <c r="S644" s="27"/>
      <c r="T644" s="27"/>
      <c r="U644" s="27"/>
      <c r="AB644" s="27"/>
      <c r="AC644" s="27"/>
      <c r="AD644" s="27"/>
    </row>
    <row r="645" spans="3:30" x14ac:dyDescent="0.3">
      <c r="C645" s="3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N645" s="27"/>
      <c r="O645" s="27"/>
      <c r="P645" s="27"/>
      <c r="Q645" s="27"/>
      <c r="R645" s="27"/>
      <c r="S645" s="27"/>
      <c r="T645" s="27"/>
      <c r="U645" s="27"/>
      <c r="AB645" s="27"/>
      <c r="AC645" s="27"/>
      <c r="AD645" s="27"/>
    </row>
    <row r="646" spans="3:30" x14ac:dyDescent="0.3">
      <c r="C646" s="3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N646" s="27"/>
      <c r="O646" s="27"/>
      <c r="P646" s="27"/>
      <c r="Q646" s="27"/>
      <c r="R646" s="27"/>
      <c r="S646" s="27"/>
      <c r="T646" s="27"/>
      <c r="U646" s="27"/>
      <c r="AB646" s="27"/>
      <c r="AC646" s="27"/>
      <c r="AD646" s="27"/>
    </row>
    <row r="647" spans="3:30" x14ac:dyDescent="0.3">
      <c r="C647" s="3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N647" s="27"/>
      <c r="O647" s="27"/>
      <c r="P647" s="27"/>
      <c r="Q647" s="27"/>
      <c r="R647" s="27"/>
      <c r="S647" s="27"/>
      <c r="T647" s="27"/>
      <c r="U647" s="27"/>
      <c r="AB647" s="27"/>
      <c r="AC647" s="27"/>
      <c r="AD647" s="27"/>
    </row>
    <row r="648" spans="3:30" x14ac:dyDescent="0.3">
      <c r="C648" s="3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N648" s="27"/>
      <c r="O648" s="27"/>
      <c r="P648" s="27"/>
      <c r="Q648" s="27"/>
      <c r="R648" s="27"/>
      <c r="S648" s="27"/>
      <c r="T648" s="27"/>
      <c r="U648" s="27"/>
      <c r="AB648" s="27"/>
      <c r="AC648" s="27"/>
      <c r="AD648" s="27"/>
    </row>
    <row r="649" spans="3:30" x14ac:dyDescent="0.3">
      <c r="C649" s="3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N649" s="27"/>
      <c r="O649" s="27"/>
      <c r="P649" s="27"/>
      <c r="Q649" s="27"/>
      <c r="R649" s="27"/>
      <c r="S649" s="27"/>
      <c r="T649" s="27"/>
      <c r="U649" s="27"/>
      <c r="AB649" s="27"/>
      <c r="AC649" s="27"/>
      <c r="AD649" s="27"/>
    </row>
    <row r="650" spans="3:30" x14ac:dyDescent="0.3">
      <c r="C650" s="3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N650" s="27"/>
      <c r="O650" s="27"/>
      <c r="P650" s="27"/>
      <c r="Q650" s="27"/>
      <c r="R650" s="27"/>
      <c r="S650" s="27"/>
      <c r="T650" s="27"/>
      <c r="U650" s="27"/>
      <c r="AB650" s="27"/>
      <c r="AC650" s="27"/>
      <c r="AD650" s="27"/>
    </row>
    <row r="651" spans="3:30" x14ac:dyDescent="0.3">
      <c r="C651" s="3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N651" s="27"/>
      <c r="O651" s="27"/>
      <c r="P651" s="27"/>
      <c r="Q651" s="27"/>
      <c r="R651" s="27"/>
      <c r="S651" s="27"/>
      <c r="T651" s="27"/>
      <c r="U651" s="27"/>
      <c r="AB651" s="27"/>
      <c r="AC651" s="27"/>
      <c r="AD651" s="27"/>
    </row>
    <row r="652" spans="3:30" x14ac:dyDescent="0.3">
      <c r="C652" s="3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N652" s="27"/>
      <c r="O652" s="27"/>
      <c r="P652" s="27"/>
      <c r="Q652" s="27"/>
      <c r="R652" s="27"/>
      <c r="S652" s="27"/>
      <c r="T652" s="27"/>
      <c r="U652" s="27"/>
      <c r="AB652" s="27"/>
      <c r="AC652" s="27"/>
      <c r="AD652" s="27"/>
    </row>
    <row r="653" spans="3:30" x14ac:dyDescent="0.3">
      <c r="C653" s="3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N653" s="27"/>
      <c r="O653" s="27"/>
      <c r="P653" s="27"/>
      <c r="Q653" s="27"/>
      <c r="R653" s="27"/>
      <c r="S653" s="27"/>
      <c r="T653" s="27"/>
      <c r="U653" s="27"/>
      <c r="AB653" s="27"/>
      <c r="AC653" s="27"/>
      <c r="AD653" s="27"/>
    </row>
    <row r="654" spans="3:30" x14ac:dyDescent="0.3">
      <c r="C654" s="3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N654" s="27"/>
      <c r="O654" s="27"/>
      <c r="P654" s="27"/>
      <c r="Q654" s="27"/>
      <c r="R654" s="27"/>
      <c r="S654" s="27"/>
      <c r="T654" s="27"/>
      <c r="U654" s="27"/>
      <c r="AB654" s="27"/>
      <c r="AC654" s="27"/>
      <c r="AD654" s="27"/>
    </row>
    <row r="655" spans="3:30" x14ac:dyDescent="0.3">
      <c r="C655" s="3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N655" s="27"/>
      <c r="O655" s="27"/>
      <c r="P655" s="27"/>
      <c r="Q655" s="27"/>
      <c r="R655" s="27"/>
      <c r="S655" s="27"/>
      <c r="T655" s="27"/>
      <c r="U655" s="27"/>
      <c r="AB655" s="27"/>
      <c r="AC655" s="27"/>
      <c r="AD655" s="27"/>
    </row>
    <row r="656" spans="3:30" x14ac:dyDescent="0.3">
      <c r="C656" s="3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N656" s="27"/>
      <c r="O656" s="27"/>
      <c r="P656" s="27"/>
      <c r="Q656" s="27"/>
      <c r="R656" s="27"/>
      <c r="S656" s="27"/>
      <c r="T656" s="27"/>
      <c r="U656" s="27"/>
      <c r="AB656" s="27"/>
      <c r="AC656" s="27"/>
      <c r="AD656" s="27"/>
    </row>
    <row r="657" spans="3:30" x14ac:dyDescent="0.3">
      <c r="C657" s="3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N657" s="27"/>
      <c r="O657" s="27"/>
      <c r="P657" s="27"/>
      <c r="Q657" s="27"/>
      <c r="R657" s="27"/>
      <c r="S657" s="27"/>
      <c r="T657" s="27"/>
      <c r="U657" s="27"/>
      <c r="AB657" s="27"/>
      <c r="AC657" s="27"/>
      <c r="AD657" s="27"/>
    </row>
    <row r="658" spans="3:30" x14ac:dyDescent="0.3">
      <c r="C658" s="3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N658" s="27"/>
      <c r="O658" s="27"/>
      <c r="P658" s="27"/>
      <c r="Q658" s="27"/>
      <c r="R658" s="27"/>
      <c r="S658" s="27"/>
      <c r="T658" s="27"/>
      <c r="U658" s="27"/>
      <c r="AB658" s="27"/>
      <c r="AC658" s="27"/>
      <c r="AD658" s="27"/>
    </row>
    <row r="659" spans="3:30" x14ac:dyDescent="0.3">
      <c r="C659" s="3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N659" s="27"/>
      <c r="O659" s="27"/>
      <c r="P659" s="27"/>
      <c r="Q659" s="27"/>
      <c r="R659" s="27"/>
      <c r="S659" s="27"/>
      <c r="T659" s="27"/>
      <c r="U659" s="27"/>
      <c r="AB659" s="27"/>
      <c r="AC659" s="27"/>
      <c r="AD659" s="27"/>
    </row>
    <row r="660" spans="3:30" x14ac:dyDescent="0.3">
      <c r="C660" s="3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N660" s="27"/>
      <c r="O660" s="27"/>
      <c r="P660" s="27"/>
      <c r="Q660" s="27"/>
      <c r="R660" s="27"/>
      <c r="S660" s="27"/>
      <c r="T660" s="27"/>
      <c r="U660" s="27"/>
      <c r="AB660" s="27"/>
      <c r="AC660" s="27"/>
      <c r="AD660" s="27"/>
    </row>
    <row r="661" spans="3:30" x14ac:dyDescent="0.3">
      <c r="C661" s="3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N661" s="27"/>
      <c r="O661" s="27"/>
      <c r="P661" s="27"/>
      <c r="Q661" s="27"/>
      <c r="R661" s="27"/>
      <c r="S661" s="27"/>
      <c r="T661" s="27"/>
      <c r="U661" s="27"/>
      <c r="AB661" s="27"/>
      <c r="AC661" s="27"/>
      <c r="AD661" s="27"/>
    </row>
    <row r="662" spans="3:30" x14ac:dyDescent="0.3">
      <c r="C662" s="3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N662" s="27"/>
      <c r="O662" s="27"/>
      <c r="P662" s="27"/>
      <c r="Q662" s="27"/>
      <c r="R662" s="27"/>
      <c r="S662" s="27"/>
      <c r="T662" s="27"/>
      <c r="U662" s="27"/>
      <c r="AB662" s="27"/>
      <c r="AC662" s="27"/>
      <c r="AD662" s="27"/>
    </row>
    <row r="663" spans="3:30" x14ac:dyDescent="0.3">
      <c r="C663" s="3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N663" s="27"/>
      <c r="O663" s="27"/>
      <c r="P663" s="27"/>
      <c r="Q663" s="27"/>
      <c r="R663" s="27"/>
      <c r="S663" s="27"/>
      <c r="T663" s="27"/>
      <c r="U663" s="27"/>
      <c r="AB663" s="27"/>
      <c r="AC663" s="27"/>
      <c r="AD663" s="27"/>
    </row>
    <row r="664" spans="3:30" x14ac:dyDescent="0.3">
      <c r="C664" s="3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N664" s="27"/>
      <c r="O664" s="27"/>
      <c r="P664" s="27"/>
      <c r="Q664" s="27"/>
      <c r="R664" s="27"/>
      <c r="S664" s="27"/>
      <c r="T664" s="27"/>
      <c r="U664" s="27"/>
      <c r="AB664" s="27"/>
      <c r="AC664" s="27"/>
      <c r="AD664" s="27"/>
    </row>
    <row r="665" spans="3:30" x14ac:dyDescent="0.3">
      <c r="C665" s="3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N665" s="27"/>
      <c r="O665" s="27"/>
      <c r="P665" s="27"/>
      <c r="Q665" s="27"/>
      <c r="R665" s="27"/>
      <c r="S665" s="27"/>
      <c r="T665" s="27"/>
      <c r="U665" s="27"/>
      <c r="AB665" s="27"/>
      <c r="AC665" s="27"/>
      <c r="AD665" s="27"/>
    </row>
    <row r="666" spans="3:30" x14ac:dyDescent="0.3">
      <c r="C666" s="3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N666" s="27"/>
      <c r="O666" s="27"/>
      <c r="P666" s="27"/>
      <c r="Q666" s="27"/>
      <c r="R666" s="27"/>
      <c r="S666" s="27"/>
      <c r="T666" s="27"/>
      <c r="U666" s="27"/>
      <c r="AB666" s="27"/>
      <c r="AC666" s="27"/>
      <c r="AD666" s="27"/>
    </row>
    <row r="667" spans="3:30" x14ac:dyDescent="0.3">
      <c r="C667" s="3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N667" s="27"/>
      <c r="O667" s="27"/>
      <c r="P667" s="27"/>
      <c r="Q667" s="27"/>
      <c r="R667" s="27"/>
      <c r="S667" s="27"/>
      <c r="T667" s="27"/>
      <c r="U667" s="27"/>
      <c r="AB667" s="27"/>
      <c r="AC667" s="27"/>
      <c r="AD667" s="27"/>
    </row>
    <row r="668" spans="3:30" x14ac:dyDescent="0.3">
      <c r="C668" s="3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N668" s="27"/>
      <c r="O668" s="27"/>
      <c r="P668" s="27"/>
      <c r="Q668" s="27"/>
      <c r="R668" s="27"/>
      <c r="S668" s="27"/>
      <c r="T668" s="27"/>
      <c r="U668" s="27"/>
      <c r="AB668" s="27"/>
      <c r="AC668" s="27"/>
      <c r="AD668" s="27"/>
    </row>
    <row r="669" spans="3:30" x14ac:dyDescent="0.3">
      <c r="C669" s="3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N669" s="27"/>
      <c r="O669" s="27"/>
      <c r="P669" s="27"/>
      <c r="Q669" s="27"/>
      <c r="R669" s="27"/>
      <c r="S669" s="27"/>
      <c r="T669" s="27"/>
      <c r="U669" s="27"/>
      <c r="AB669" s="27"/>
      <c r="AC669" s="27"/>
      <c r="AD669" s="27"/>
    </row>
    <row r="670" spans="3:30" x14ac:dyDescent="0.3">
      <c r="C670" s="3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N670" s="27"/>
      <c r="O670" s="27"/>
      <c r="P670" s="27"/>
      <c r="Q670" s="27"/>
      <c r="R670" s="27"/>
      <c r="S670" s="27"/>
      <c r="T670" s="27"/>
      <c r="U670" s="27"/>
      <c r="AB670" s="27"/>
      <c r="AC670" s="27"/>
      <c r="AD670" s="27"/>
    </row>
    <row r="671" spans="3:30" x14ac:dyDescent="0.3">
      <c r="C671" s="3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N671" s="27"/>
      <c r="O671" s="27"/>
      <c r="P671" s="27"/>
      <c r="Q671" s="27"/>
      <c r="R671" s="27"/>
      <c r="S671" s="27"/>
      <c r="T671" s="27"/>
      <c r="U671" s="27"/>
      <c r="AB671" s="27"/>
      <c r="AC671" s="27"/>
      <c r="AD671" s="27"/>
    </row>
    <row r="672" spans="3:30" x14ac:dyDescent="0.3">
      <c r="C672" s="3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N672" s="27"/>
      <c r="O672" s="27"/>
      <c r="P672" s="27"/>
      <c r="Q672" s="27"/>
      <c r="R672" s="27"/>
      <c r="S672" s="27"/>
      <c r="T672" s="27"/>
      <c r="U672" s="27"/>
      <c r="AB672" s="27"/>
      <c r="AC672" s="27"/>
      <c r="AD672" s="27"/>
    </row>
    <row r="673" spans="3:30" x14ac:dyDescent="0.3">
      <c r="C673" s="3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N673" s="27"/>
      <c r="O673" s="27"/>
      <c r="P673" s="27"/>
      <c r="Q673" s="27"/>
      <c r="R673" s="27"/>
      <c r="S673" s="27"/>
      <c r="T673" s="27"/>
      <c r="U673" s="27"/>
      <c r="AB673" s="27"/>
      <c r="AC673" s="27"/>
      <c r="AD673" s="27"/>
    </row>
    <row r="674" spans="3:30" x14ac:dyDescent="0.3">
      <c r="C674" s="3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N674" s="27"/>
      <c r="O674" s="27"/>
      <c r="P674" s="27"/>
      <c r="Q674" s="27"/>
      <c r="R674" s="27"/>
      <c r="S674" s="27"/>
      <c r="T674" s="27"/>
      <c r="U674" s="27"/>
      <c r="AB674" s="27"/>
      <c r="AC674" s="27"/>
      <c r="AD674" s="27"/>
    </row>
    <row r="675" spans="3:30" x14ac:dyDescent="0.3">
      <c r="C675" s="3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N675" s="27"/>
      <c r="O675" s="27"/>
      <c r="P675" s="27"/>
      <c r="Q675" s="27"/>
      <c r="R675" s="27"/>
      <c r="S675" s="27"/>
      <c r="T675" s="27"/>
      <c r="U675" s="27"/>
      <c r="AB675" s="27"/>
      <c r="AC675" s="27"/>
      <c r="AD675" s="27"/>
    </row>
    <row r="676" spans="3:30" x14ac:dyDescent="0.3">
      <c r="C676" s="3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N676" s="27"/>
      <c r="O676" s="27"/>
      <c r="P676" s="27"/>
      <c r="Q676" s="27"/>
      <c r="R676" s="27"/>
      <c r="S676" s="27"/>
      <c r="T676" s="27"/>
      <c r="U676" s="27"/>
      <c r="AB676" s="27"/>
      <c r="AC676" s="27"/>
      <c r="AD676" s="27"/>
    </row>
    <row r="677" spans="3:30" x14ac:dyDescent="0.3">
      <c r="C677" s="3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N677" s="27"/>
      <c r="O677" s="27"/>
      <c r="P677" s="27"/>
      <c r="Q677" s="27"/>
      <c r="R677" s="27"/>
      <c r="S677" s="27"/>
      <c r="T677" s="27"/>
      <c r="U677" s="27"/>
      <c r="AB677" s="27"/>
      <c r="AC677" s="27"/>
      <c r="AD677" s="27"/>
    </row>
    <row r="678" spans="3:30" x14ac:dyDescent="0.3">
      <c r="C678" s="3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N678" s="27"/>
      <c r="O678" s="27"/>
      <c r="P678" s="27"/>
      <c r="Q678" s="27"/>
      <c r="R678" s="27"/>
      <c r="S678" s="27"/>
      <c r="T678" s="27"/>
      <c r="U678" s="27"/>
      <c r="AB678" s="27"/>
      <c r="AC678" s="27"/>
      <c r="AD678" s="27"/>
    </row>
    <row r="679" spans="3:30" x14ac:dyDescent="0.3">
      <c r="C679" s="3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N679" s="27"/>
      <c r="O679" s="27"/>
      <c r="P679" s="27"/>
      <c r="Q679" s="27"/>
      <c r="R679" s="27"/>
      <c r="S679" s="27"/>
      <c r="T679" s="27"/>
      <c r="U679" s="27"/>
      <c r="AB679" s="27"/>
      <c r="AC679" s="27"/>
      <c r="AD679" s="27"/>
    </row>
    <row r="680" spans="3:30" x14ac:dyDescent="0.3">
      <c r="C680" s="3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N680" s="27"/>
      <c r="O680" s="27"/>
      <c r="P680" s="27"/>
      <c r="Q680" s="27"/>
      <c r="R680" s="27"/>
      <c r="S680" s="27"/>
      <c r="T680" s="27"/>
      <c r="U680" s="27"/>
      <c r="AB680" s="27"/>
      <c r="AC680" s="27"/>
      <c r="AD680" s="27"/>
    </row>
    <row r="681" spans="3:30" x14ac:dyDescent="0.3">
      <c r="C681" s="3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N681" s="27"/>
      <c r="O681" s="27"/>
      <c r="P681" s="27"/>
      <c r="Q681" s="27"/>
      <c r="R681" s="27"/>
      <c r="S681" s="27"/>
      <c r="T681" s="27"/>
      <c r="U681" s="27"/>
      <c r="AB681" s="27"/>
      <c r="AC681" s="27"/>
      <c r="AD681" s="27"/>
    </row>
    <row r="682" spans="3:30" x14ac:dyDescent="0.3">
      <c r="C682" s="3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N682" s="27"/>
      <c r="O682" s="27"/>
      <c r="P682" s="27"/>
      <c r="Q682" s="27"/>
      <c r="R682" s="27"/>
      <c r="S682" s="27"/>
      <c r="T682" s="27"/>
      <c r="U682" s="27"/>
      <c r="AB682" s="27"/>
      <c r="AC682" s="27"/>
      <c r="AD682" s="27"/>
    </row>
    <row r="683" spans="3:30" x14ac:dyDescent="0.3">
      <c r="C683" s="3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N683" s="27"/>
      <c r="O683" s="27"/>
      <c r="P683" s="27"/>
      <c r="Q683" s="27"/>
      <c r="R683" s="27"/>
      <c r="S683" s="27"/>
      <c r="T683" s="27"/>
      <c r="U683" s="27"/>
      <c r="AB683" s="27"/>
      <c r="AC683" s="27"/>
      <c r="AD683" s="27"/>
    </row>
    <row r="684" spans="3:30" x14ac:dyDescent="0.3">
      <c r="C684" s="3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N684" s="27"/>
      <c r="O684" s="27"/>
      <c r="P684" s="27"/>
      <c r="Q684" s="27"/>
      <c r="R684" s="27"/>
      <c r="S684" s="27"/>
      <c r="T684" s="27"/>
      <c r="U684" s="27"/>
      <c r="AB684" s="27"/>
      <c r="AC684" s="27"/>
      <c r="AD684" s="27"/>
    </row>
    <row r="685" spans="3:30" x14ac:dyDescent="0.3">
      <c r="C685" s="3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N685" s="27"/>
      <c r="O685" s="27"/>
      <c r="P685" s="27"/>
      <c r="Q685" s="27"/>
      <c r="R685" s="27"/>
      <c r="S685" s="27"/>
      <c r="T685" s="27"/>
      <c r="U685" s="27"/>
      <c r="AB685" s="27"/>
      <c r="AC685" s="27"/>
      <c r="AD685" s="27"/>
    </row>
    <row r="686" spans="3:30" x14ac:dyDescent="0.3">
      <c r="C686" s="3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N686" s="27"/>
      <c r="O686" s="27"/>
      <c r="P686" s="27"/>
      <c r="Q686" s="27"/>
      <c r="R686" s="27"/>
      <c r="S686" s="27"/>
      <c r="T686" s="27"/>
      <c r="U686" s="27"/>
      <c r="AB686" s="27"/>
      <c r="AC686" s="27"/>
      <c r="AD686" s="27"/>
    </row>
    <row r="687" spans="3:30" x14ac:dyDescent="0.3">
      <c r="C687" s="3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N687" s="27"/>
      <c r="O687" s="27"/>
      <c r="P687" s="27"/>
      <c r="Q687" s="27"/>
      <c r="R687" s="27"/>
      <c r="S687" s="27"/>
      <c r="T687" s="27"/>
      <c r="U687" s="27"/>
      <c r="AB687" s="27"/>
      <c r="AC687" s="27"/>
      <c r="AD687" s="27"/>
    </row>
    <row r="688" spans="3:30" x14ac:dyDescent="0.3">
      <c r="C688" s="3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N688" s="27"/>
      <c r="O688" s="27"/>
      <c r="P688" s="27"/>
      <c r="Q688" s="27"/>
      <c r="R688" s="27"/>
      <c r="S688" s="27"/>
      <c r="T688" s="27"/>
      <c r="U688" s="27"/>
      <c r="AB688" s="27"/>
      <c r="AC688" s="27"/>
      <c r="AD688" s="27"/>
    </row>
    <row r="689" spans="3:30" x14ac:dyDescent="0.3">
      <c r="C689" s="3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N689" s="27"/>
      <c r="O689" s="27"/>
      <c r="P689" s="27"/>
      <c r="Q689" s="27"/>
      <c r="R689" s="27"/>
      <c r="S689" s="27"/>
      <c r="T689" s="27"/>
      <c r="U689" s="27"/>
      <c r="AB689" s="27"/>
      <c r="AC689" s="27"/>
      <c r="AD689" s="27"/>
    </row>
    <row r="690" spans="3:30" x14ac:dyDescent="0.3">
      <c r="C690" s="3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N690" s="27"/>
      <c r="O690" s="27"/>
      <c r="P690" s="27"/>
      <c r="Q690" s="27"/>
      <c r="R690" s="27"/>
      <c r="S690" s="27"/>
      <c r="T690" s="27"/>
      <c r="U690" s="27"/>
      <c r="AB690" s="27"/>
      <c r="AC690" s="27"/>
      <c r="AD690" s="27"/>
    </row>
    <row r="691" spans="3:30" x14ac:dyDescent="0.3">
      <c r="C691" s="3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N691" s="27"/>
      <c r="O691" s="27"/>
      <c r="P691" s="27"/>
      <c r="Q691" s="27"/>
      <c r="R691" s="27"/>
      <c r="S691" s="27"/>
      <c r="T691" s="27"/>
      <c r="U691" s="27"/>
      <c r="AB691" s="27"/>
      <c r="AC691" s="27"/>
      <c r="AD691" s="27"/>
    </row>
    <row r="692" spans="3:30" x14ac:dyDescent="0.3">
      <c r="C692" s="3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N692" s="27"/>
      <c r="O692" s="27"/>
      <c r="P692" s="27"/>
      <c r="Q692" s="27"/>
      <c r="R692" s="27"/>
      <c r="S692" s="27"/>
      <c r="T692" s="27"/>
      <c r="U692" s="27"/>
      <c r="AB692" s="27"/>
      <c r="AC692" s="27"/>
      <c r="AD692" s="27"/>
    </row>
    <row r="693" spans="3:30" x14ac:dyDescent="0.3">
      <c r="C693" s="3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N693" s="27"/>
      <c r="O693" s="27"/>
      <c r="P693" s="27"/>
      <c r="Q693" s="27"/>
      <c r="R693" s="27"/>
      <c r="S693" s="27"/>
      <c r="T693" s="27"/>
      <c r="U693" s="27"/>
      <c r="AB693" s="27"/>
      <c r="AC693" s="27"/>
      <c r="AD693" s="27"/>
    </row>
    <row r="694" spans="3:30" x14ac:dyDescent="0.3">
      <c r="C694" s="3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N694" s="27"/>
      <c r="O694" s="27"/>
      <c r="P694" s="27"/>
      <c r="Q694" s="27"/>
      <c r="R694" s="27"/>
      <c r="S694" s="27"/>
      <c r="T694" s="27"/>
      <c r="U694" s="27"/>
      <c r="AB694" s="27"/>
      <c r="AC694" s="27"/>
      <c r="AD694" s="27"/>
    </row>
    <row r="695" spans="3:30" x14ac:dyDescent="0.3">
      <c r="C695" s="3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N695" s="27"/>
      <c r="O695" s="27"/>
      <c r="P695" s="27"/>
      <c r="Q695" s="27"/>
      <c r="R695" s="27"/>
      <c r="S695" s="27"/>
      <c r="T695" s="27"/>
      <c r="U695" s="27"/>
      <c r="AB695" s="27"/>
      <c r="AC695" s="27"/>
      <c r="AD695" s="27"/>
    </row>
    <row r="696" spans="3:30" x14ac:dyDescent="0.3">
      <c r="C696" s="3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N696" s="27"/>
      <c r="O696" s="27"/>
      <c r="P696" s="27"/>
      <c r="Q696" s="27"/>
      <c r="R696" s="27"/>
      <c r="S696" s="27"/>
      <c r="T696" s="27"/>
      <c r="U696" s="27"/>
      <c r="AB696" s="27"/>
      <c r="AC696" s="27"/>
      <c r="AD696" s="27"/>
    </row>
    <row r="697" spans="3:30" x14ac:dyDescent="0.3">
      <c r="C697" s="3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N697" s="27"/>
      <c r="O697" s="27"/>
      <c r="P697" s="27"/>
      <c r="Q697" s="27"/>
      <c r="R697" s="27"/>
      <c r="S697" s="27"/>
      <c r="T697" s="27"/>
      <c r="U697" s="27"/>
      <c r="AB697" s="27"/>
      <c r="AC697" s="27"/>
      <c r="AD697" s="27"/>
    </row>
    <row r="698" spans="3:30" x14ac:dyDescent="0.3">
      <c r="C698" s="3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N698" s="27"/>
      <c r="O698" s="27"/>
      <c r="P698" s="27"/>
      <c r="Q698" s="27"/>
      <c r="R698" s="27"/>
      <c r="S698" s="27"/>
      <c r="T698" s="27"/>
      <c r="U698" s="27"/>
      <c r="AB698" s="27"/>
      <c r="AC698" s="27"/>
      <c r="AD698" s="27"/>
    </row>
    <row r="699" spans="3:30" x14ac:dyDescent="0.3">
      <c r="C699" s="3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N699" s="27"/>
      <c r="O699" s="27"/>
      <c r="P699" s="27"/>
      <c r="Q699" s="27"/>
      <c r="R699" s="27"/>
      <c r="S699" s="27"/>
      <c r="T699" s="27"/>
      <c r="U699" s="27"/>
      <c r="AB699" s="27"/>
      <c r="AC699" s="27"/>
      <c r="AD699" s="27"/>
    </row>
    <row r="700" spans="3:30" x14ac:dyDescent="0.3">
      <c r="C700" s="3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N700" s="27"/>
      <c r="O700" s="27"/>
      <c r="P700" s="27"/>
      <c r="Q700" s="27"/>
      <c r="R700" s="27"/>
      <c r="S700" s="27"/>
      <c r="T700" s="27"/>
      <c r="U700" s="27"/>
      <c r="AB700" s="27"/>
      <c r="AC700" s="27"/>
      <c r="AD700" s="27"/>
    </row>
    <row r="701" spans="3:30" x14ac:dyDescent="0.3">
      <c r="C701" s="3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N701" s="27"/>
      <c r="O701" s="27"/>
      <c r="P701" s="27"/>
      <c r="Q701" s="27"/>
      <c r="R701" s="27"/>
      <c r="S701" s="27"/>
      <c r="T701" s="27"/>
      <c r="U701" s="27"/>
      <c r="AB701" s="27"/>
      <c r="AC701" s="27"/>
      <c r="AD701" s="27"/>
    </row>
    <row r="702" spans="3:30" x14ac:dyDescent="0.3">
      <c r="C702" s="3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N702" s="27"/>
      <c r="O702" s="27"/>
      <c r="P702" s="27"/>
      <c r="Q702" s="27"/>
      <c r="R702" s="27"/>
      <c r="S702" s="27"/>
      <c r="T702" s="27"/>
      <c r="U702" s="27"/>
      <c r="AB702" s="27"/>
      <c r="AC702" s="27"/>
      <c r="AD702" s="27"/>
    </row>
    <row r="703" spans="3:30" x14ac:dyDescent="0.3">
      <c r="C703" s="3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N703" s="27"/>
      <c r="O703" s="27"/>
      <c r="P703" s="27"/>
      <c r="Q703" s="27"/>
      <c r="R703" s="27"/>
      <c r="S703" s="27"/>
      <c r="T703" s="27"/>
      <c r="U703" s="27"/>
      <c r="AB703" s="27"/>
      <c r="AC703" s="27"/>
      <c r="AD703" s="27"/>
    </row>
    <row r="704" spans="3:30" x14ac:dyDescent="0.3">
      <c r="C704" s="3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N704" s="27"/>
      <c r="O704" s="27"/>
      <c r="P704" s="27"/>
      <c r="Q704" s="27"/>
      <c r="R704" s="27"/>
      <c r="S704" s="27"/>
      <c r="T704" s="27"/>
      <c r="U704" s="27"/>
      <c r="AB704" s="27"/>
      <c r="AC704" s="27"/>
      <c r="AD704" s="27"/>
    </row>
    <row r="705" spans="3:30" x14ac:dyDescent="0.3">
      <c r="C705" s="3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N705" s="27"/>
      <c r="O705" s="27"/>
      <c r="P705" s="27"/>
      <c r="Q705" s="27"/>
      <c r="R705" s="27"/>
      <c r="S705" s="27"/>
      <c r="T705" s="27"/>
      <c r="U705" s="27"/>
      <c r="AB705" s="27"/>
      <c r="AC705" s="27"/>
      <c r="AD705" s="27"/>
    </row>
    <row r="706" spans="3:30" x14ac:dyDescent="0.3">
      <c r="C706" s="3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N706" s="27"/>
      <c r="O706" s="27"/>
      <c r="P706" s="27"/>
      <c r="Q706" s="27"/>
      <c r="R706" s="27"/>
      <c r="S706" s="27"/>
      <c r="T706" s="27"/>
      <c r="U706" s="27"/>
      <c r="AB706" s="27"/>
      <c r="AC706" s="27"/>
      <c r="AD706" s="27"/>
    </row>
    <row r="707" spans="3:30" x14ac:dyDescent="0.3">
      <c r="C707" s="3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N707" s="27"/>
      <c r="O707" s="27"/>
      <c r="P707" s="27"/>
      <c r="Q707" s="27"/>
      <c r="R707" s="27"/>
      <c r="S707" s="27"/>
      <c r="T707" s="27"/>
      <c r="U707" s="27"/>
      <c r="AB707" s="27"/>
      <c r="AC707" s="27"/>
      <c r="AD707" s="27"/>
    </row>
    <row r="708" spans="3:30" x14ac:dyDescent="0.3">
      <c r="C708" s="3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N708" s="27"/>
      <c r="O708" s="27"/>
      <c r="P708" s="27"/>
      <c r="Q708" s="27"/>
      <c r="R708" s="27"/>
      <c r="S708" s="27"/>
      <c r="T708" s="27"/>
      <c r="U708" s="27"/>
      <c r="AB708" s="27"/>
      <c r="AC708" s="27"/>
      <c r="AD708" s="27"/>
    </row>
    <row r="709" spans="3:30" x14ac:dyDescent="0.3">
      <c r="C709" s="3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N709" s="27"/>
      <c r="O709" s="27"/>
      <c r="P709" s="27"/>
      <c r="Q709" s="27"/>
      <c r="R709" s="27"/>
      <c r="S709" s="27"/>
      <c r="T709" s="27"/>
      <c r="U709" s="27"/>
      <c r="AB709" s="27"/>
      <c r="AC709" s="27"/>
      <c r="AD709" s="27"/>
    </row>
    <row r="710" spans="3:30" x14ac:dyDescent="0.3">
      <c r="C710" s="3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N710" s="27"/>
      <c r="O710" s="27"/>
      <c r="P710" s="27"/>
      <c r="Q710" s="27"/>
      <c r="R710" s="27"/>
      <c r="S710" s="27"/>
      <c r="T710" s="27"/>
      <c r="U710" s="27"/>
      <c r="AB710" s="27"/>
      <c r="AC710" s="27"/>
      <c r="AD710" s="27"/>
    </row>
    <row r="711" spans="3:30" x14ac:dyDescent="0.3">
      <c r="C711" s="3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N711" s="27"/>
      <c r="O711" s="27"/>
      <c r="P711" s="27"/>
      <c r="Q711" s="27"/>
      <c r="R711" s="27"/>
      <c r="S711" s="27"/>
      <c r="T711" s="27"/>
      <c r="U711" s="27"/>
      <c r="AB711" s="27"/>
      <c r="AC711" s="27"/>
      <c r="AD711" s="27"/>
    </row>
    <row r="712" spans="3:30" x14ac:dyDescent="0.3">
      <c r="C712" s="3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N712" s="27"/>
      <c r="O712" s="27"/>
      <c r="P712" s="27"/>
      <c r="Q712" s="27"/>
      <c r="R712" s="27"/>
      <c r="S712" s="27"/>
      <c r="T712" s="27"/>
      <c r="U712" s="27"/>
      <c r="AB712" s="27"/>
      <c r="AC712" s="27"/>
      <c r="AD712" s="27"/>
    </row>
    <row r="713" spans="3:30" x14ac:dyDescent="0.3">
      <c r="C713" s="3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N713" s="27"/>
      <c r="O713" s="27"/>
      <c r="P713" s="27"/>
      <c r="Q713" s="27"/>
      <c r="R713" s="27"/>
      <c r="S713" s="27"/>
      <c r="T713" s="27"/>
      <c r="U713" s="27"/>
      <c r="AB713" s="27"/>
      <c r="AC713" s="27"/>
      <c r="AD713" s="27"/>
    </row>
    <row r="714" spans="3:30" x14ac:dyDescent="0.3">
      <c r="C714" s="3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N714" s="27"/>
      <c r="O714" s="27"/>
      <c r="P714" s="27"/>
      <c r="Q714" s="27"/>
      <c r="R714" s="27"/>
      <c r="S714" s="27"/>
      <c r="T714" s="27"/>
      <c r="U714" s="27"/>
      <c r="AB714" s="27"/>
      <c r="AC714" s="27"/>
      <c r="AD714" s="27"/>
    </row>
    <row r="715" spans="3:30" x14ac:dyDescent="0.3">
      <c r="C715" s="3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N715" s="27"/>
      <c r="O715" s="27"/>
      <c r="P715" s="27"/>
      <c r="Q715" s="27"/>
      <c r="R715" s="27"/>
      <c r="S715" s="27"/>
      <c r="T715" s="27"/>
      <c r="U715" s="27"/>
      <c r="AB715" s="27"/>
      <c r="AC715" s="27"/>
      <c r="AD715" s="27"/>
    </row>
    <row r="716" spans="3:30" x14ac:dyDescent="0.3">
      <c r="C716" s="3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N716" s="27"/>
      <c r="O716" s="27"/>
      <c r="P716" s="27"/>
      <c r="Q716" s="27"/>
      <c r="R716" s="27"/>
      <c r="S716" s="27"/>
      <c r="T716" s="27"/>
      <c r="U716" s="27"/>
      <c r="AB716" s="27"/>
      <c r="AC716" s="27"/>
      <c r="AD716" s="27"/>
    </row>
    <row r="717" spans="3:30" x14ac:dyDescent="0.3">
      <c r="C717" s="3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N717" s="27"/>
      <c r="O717" s="27"/>
      <c r="P717" s="27"/>
      <c r="Q717" s="27"/>
      <c r="R717" s="27"/>
      <c r="S717" s="27"/>
      <c r="T717" s="27"/>
      <c r="U717" s="27"/>
      <c r="AB717" s="27"/>
      <c r="AC717" s="27"/>
      <c r="AD717" s="27"/>
    </row>
    <row r="718" spans="3:30" x14ac:dyDescent="0.3">
      <c r="C718" s="3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N718" s="27"/>
      <c r="O718" s="27"/>
      <c r="P718" s="27"/>
      <c r="Q718" s="27"/>
      <c r="R718" s="27"/>
      <c r="S718" s="27"/>
      <c r="T718" s="27"/>
      <c r="U718" s="27"/>
      <c r="AB718" s="27"/>
      <c r="AC718" s="27"/>
      <c r="AD718" s="27"/>
    </row>
    <row r="719" spans="3:30" x14ac:dyDescent="0.3">
      <c r="C719" s="3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N719" s="27"/>
      <c r="O719" s="27"/>
      <c r="P719" s="27"/>
      <c r="Q719" s="27"/>
      <c r="R719" s="27"/>
      <c r="S719" s="27"/>
      <c r="T719" s="27"/>
      <c r="U719" s="27"/>
      <c r="AB719" s="27"/>
      <c r="AC719" s="27"/>
      <c r="AD719" s="27"/>
    </row>
    <row r="720" spans="3:30" x14ac:dyDescent="0.3">
      <c r="C720" s="3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N720" s="27"/>
      <c r="O720" s="27"/>
      <c r="P720" s="27"/>
      <c r="Q720" s="27"/>
      <c r="R720" s="27"/>
      <c r="S720" s="27"/>
      <c r="T720" s="27"/>
      <c r="U720" s="27"/>
      <c r="AB720" s="27"/>
      <c r="AC720" s="27"/>
      <c r="AD720" s="27"/>
    </row>
    <row r="721" spans="3:30" x14ac:dyDescent="0.3">
      <c r="C721" s="3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N721" s="27"/>
      <c r="O721" s="27"/>
      <c r="P721" s="27"/>
      <c r="Q721" s="27"/>
      <c r="R721" s="27"/>
      <c r="S721" s="27"/>
      <c r="T721" s="27"/>
      <c r="U721" s="27"/>
      <c r="AB721" s="27"/>
      <c r="AC721" s="27"/>
      <c r="AD721" s="27"/>
    </row>
    <row r="722" spans="3:30" x14ac:dyDescent="0.3">
      <c r="C722" s="3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N722" s="27"/>
      <c r="O722" s="27"/>
      <c r="P722" s="27"/>
      <c r="Q722" s="27"/>
      <c r="R722" s="27"/>
      <c r="S722" s="27"/>
      <c r="T722" s="27"/>
      <c r="U722" s="27"/>
      <c r="AB722" s="27"/>
      <c r="AC722" s="27"/>
      <c r="AD722" s="27"/>
    </row>
    <row r="723" spans="3:30" x14ac:dyDescent="0.3">
      <c r="C723" s="3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N723" s="27"/>
      <c r="O723" s="27"/>
      <c r="P723" s="27"/>
      <c r="Q723" s="27"/>
      <c r="R723" s="27"/>
      <c r="S723" s="27"/>
      <c r="T723" s="27"/>
      <c r="U723" s="27"/>
      <c r="AB723" s="27"/>
      <c r="AC723" s="27"/>
      <c r="AD723" s="27"/>
    </row>
    <row r="724" spans="3:30" x14ac:dyDescent="0.3">
      <c r="C724" s="3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N724" s="27"/>
      <c r="O724" s="27"/>
      <c r="P724" s="27"/>
      <c r="Q724" s="27"/>
      <c r="R724" s="27"/>
      <c r="S724" s="27"/>
      <c r="T724" s="27"/>
      <c r="U724" s="27"/>
      <c r="AB724" s="27"/>
      <c r="AC724" s="27"/>
      <c r="AD724" s="27"/>
    </row>
    <row r="725" spans="3:30" x14ac:dyDescent="0.3">
      <c r="C725" s="3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N725" s="27"/>
      <c r="O725" s="27"/>
      <c r="P725" s="27"/>
      <c r="Q725" s="27"/>
      <c r="R725" s="27"/>
      <c r="S725" s="27"/>
      <c r="T725" s="27"/>
      <c r="U725" s="27"/>
      <c r="AB725" s="27"/>
      <c r="AC725" s="27"/>
      <c r="AD725" s="27"/>
    </row>
    <row r="726" spans="3:30" x14ac:dyDescent="0.3">
      <c r="C726" s="3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N726" s="27"/>
      <c r="O726" s="27"/>
      <c r="P726" s="27"/>
      <c r="Q726" s="27"/>
      <c r="R726" s="27"/>
      <c r="S726" s="27"/>
      <c r="T726" s="27"/>
      <c r="U726" s="27"/>
      <c r="AB726" s="27"/>
      <c r="AC726" s="27"/>
      <c r="AD726" s="27"/>
    </row>
    <row r="727" spans="3:30" x14ac:dyDescent="0.3">
      <c r="C727" s="3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N727" s="27"/>
      <c r="O727" s="27"/>
      <c r="P727" s="27"/>
      <c r="Q727" s="27"/>
      <c r="R727" s="27"/>
      <c r="S727" s="27"/>
      <c r="T727" s="27"/>
      <c r="U727" s="27"/>
      <c r="AB727" s="27"/>
      <c r="AC727" s="27"/>
      <c r="AD727" s="27"/>
    </row>
    <row r="728" spans="3:30" x14ac:dyDescent="0.3">
      <c r="C728" s="3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N728" s="27"/>
      <c r="O728" s="27"/>
      <c r="P728" s="27"/>
      <c r="Q728" s="27"/>
      <c r="R728" s="27"/>
      <c r="S728" s="27"/>
      <c r="T728" s="27"/>
      <c r="U728" s="27"/>
      <c r="AB728" s="27"/>
      <c r="AC728" s="27"/>
      <c r="AD728" s="27"/>
    </row>
    <row r="729" spans="3:30" x14ac:dyDescent="0.3">
      <c r="C729" s="3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N729" s="27"/>
      <c r="O729" s="27"/>
      <c r="P729" s="27"/>
      <c r="Q729" s="27"/>
      <c r="R729" s="27"/>
      <c r="S729" s="27"/>
      <c r="T729" s="27"/>
      <c r="U729" s="27"/>
      <c r="AB729" s="27"/>
      <c r="AC729" s="27"/>
      <c r="AD729" s="27"/>
    </row>
    <row r="730" spans="3:30" x14ac:dyDescent="0.3">
      <c r="C730" s="3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N730" s="27"/>
      <c r="O730" s="27"/>
      <c r="P730" s="27"/>
      <c r="Q730" s="27"/>
      <c r="R730" s="27"/>
      <c r="S730" s="27"/>
      <c r="T730" s="27"/>
      <c r="U730" s="27"/>
      <c r="AB730" s="27"/>
      <c r="AC730" s="27"/>
      <c r="AD730" s="27"/>
    </row>
    <row r="731" spans="3:30" x14ac:dyDescent="0.3">
      <c r="C731" s="3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N731" s="27"/>
      <c r="O731" s="27"/>
      <c r="P731" s="27"/>
      <c r="Q731" s="27"/>
      <c r="R731" s="27"/>
      <c r="S731" s="27"/>
      <c r="T731" s="27"/>
      <c r="U731" s="27"/>
      <c r="AB731" s="27"/>
      <c r="AC731" s="27"/>
      <c r="AD731" s="27"/>
    </row>
    <row r="732" spans="3:30" x14ac:dyDescent="0.3">
      <c r="C732" s="3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N732" s="27"/>
      <c r="O732" s="27"/>
      <c r="P732" s="27"/>
      <c r="Q732" s="27"/>
      <c r="R732" s="27"/>
      <c r="S732" s="27"/>
      <c r="T732" s="27"/>
      <c r="U732" s="27"/>
      <c r="AB732" s="27"/>
      <c r="AC732" s="27"/>
      <c r="AD732" s="27"/>
    </row>
    <row r="733" spans="3:30" x14ac:dyDescent="0.3">
      <c r="C733" s="3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N733" s="27"/>
      <c r="O733" s="27"/>
      <c r="P733" s="27"/>
      <c r="Q733" s="27"/>
      <c r="R733" s="27"/>
      <c r="S733" s="27"/>
      <c r="T733" s="27"/>
      <c r="U733" s="27"/>
      <c r="AB733" s="27"/>
      <c r="AC733" s="27"/>
      <c r="AD733" s="27"/>
    </row>
    <row r="734" spans="3:30" x14ac:dyDescent="0.3">
      <c r="C734" s="3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N734" s="27"/>
      <c r="O734" s="27"/>
      <c r="P734" s="27"/>
      <c r="Q734" s="27"/>
      <c r="R734" s="27"/>
      <c r="S734" s="27"/>
      <c r="T734" s="27"/>
      <c r="U734" s="27"/>
      <c r="AB734" s="27"/>
      <c r="AC734" s="27"/>
      <c r="AD734" s="27"/>
    </row>
    <row r="735" spans="3:30" x14ac:dyDescent="0.3">
      <c r="C735" s="3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N735" s="27"/>
      <c r="O735" s="27"/>
      <c r="P735" s="27"/>
      <c r="Q735" s="27"/>
      <c r="R735" s="27"/>
      <c r="S735" s="27"/>
      <c r="T735" s="27"/>
      <c r="U735" s="27"/>
      <c r="AB735" s="27"/>
      <c r="AC735" s="27"/>
      <c r="AD735" s="27"/>
    </row>
    <row r="736" spans="3:30" x14ac:dyDescent="0.3">
      <c r="C736" s="3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N736" s="27"/>
      <c r="O736" s="27"/>
      <c r="P736" s="27"/>
      <c r="Q736" s="27"/>
      <c r="R736" s="27"/>
      <c r="S736" s="27"/>
      <c r="T736" s="27"/>
      <c r="U736" s="27"/>
      <c r="AB736" s="27"/>
      <c r="AC736" s="27"/>
      <c r="AD736" s="27"/>
    </row>
    <row r="737" spans="3:30" x14ac:dyDescent="0.3">
      <c r="C737" s="3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N737" s="27"/>
      <c r="O737" s="27"/>
      <c r="P737" s="27"/>
      <c r="Q737" s="27"/>
      <c r="R737" s="27"/>
      <c r="S737" s="27"/>
      <c r="T737" s="27"/>
      <c r="U737" s="27"/>
      <c r="AB737" s="27"/>
      <c r="AC737" s="27"/>
      <c r="AD737" s="27"/>
    </row>
    <row r="738" spans="3:30" x14ac:dyDescent="0.3">
      <c r="C738" s="3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N738" s="27"/>
      <c r="O738" s="27"/>
      <c r="P738" s="27"/>
      <c r="Q738" s="27"/>
      <c r="R738" s="27"/>
      <c r="S738" s="27"/>
      <c r="T738" s="27"/>
      <c r="U738" s="27"/>
      <c r="AB738" s="27"/>
      <c r="AC738" s="27"/>
      <c r="AD738" s="27"/>
    </row>
    <row r="739" spans="3:30" x14ac:dyDescent="0.3">
      <c r="C739" s="3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N739" s="27"/>
      <c r="O739" s="27"/>
      <c r="P739" s="27"/>
      <c r="Q739" s="27"/>
      <c r="R739" s="27"/>
      <c r="S739" s="27"/>
      <c r="T739" s="27"/>
      <c r="U739" s="27"/>
      <c r="AB739" s="27"/>
      <c r="AC739" s="27"/>
      <c r="AD739" s="27"/>
    </row>
    <row r="740" spans="3:30" x14ac:dyDescent="0.3">
      <c r="C740" s="3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N740" s="27"/>
      <c r="O740" s="27"/>
      <c r="P740" s="27"/>
      <c r="Q740" s="27"/>
      <c r="R740" s="27"/>
      <c r="S740" s="27"/>
      <c r="T740" s="27"/>
      <c r="U740" s="27"/>
      <c r="AB740" s="27"/>
      <c r="AC740" s="27"/>
      <c r="AD740" s="27"/>
    </row>
    <row r="741" spans="3:30" x14ac:dyDescent="0.3">
      <c r="C741" s="3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N741" s="27"/>
      <c r="O741" s="27"/>
      <c r="P741" s="27"/>
      <c r="Q741" s="27"/>
      <c r="R741" s="27"/>
      <c r="S741" s="27"/>
      <c r="T741" s="27"/>
      <c r="U741" s="27"/>
      <c r="AB741" s="27"/>
      <c r="AC741" s="27"/>
      <c r="AD741" s="27"/>
    </row>
    <row r="742" spans="3:30" x14ac:dyDescent="0.3">
      <c r="C742" s="3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N742" s="27"/>
      <c r="O742" s="27"/>
      <c r="P742" s="27"/>
      <c r="Q742" s="27"/>
      <c r="R742" s="27"/>
      <c r="S742" s="27"/>
      <c r="T742" s="27"/>
      <c r="U742" s="27"/>
      <c r="AB742" s="27"/>
      <c r="AC742" s="27"/>
      <c r="AD742" s="27"/>
    </row>
    <row r="743" spans="3:30" x14ac:dyDescent="0.3">
      <c r="C743" s="3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N743" s="27"/>
      <c r="O743" s="27"/>
      <c r="P743" s="27"/>
      <c r="Q743" s="27"/>
      <c r="R743" s="27"/>
      <c r="S743" s="27"/>
      <c r="T743" s="27"/>
      <c r="U743" s="27"/>
      <c r="AB743" s="27"/>
      <c r="AC743" s="27"/>
      <c r="AD743" s="27"/>
    </row>
    <row r="744" spans="3:30" x14ac:dyDescent="0.3">
      <c r="C744" s="3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N744" s="27"/>
      <c r="O744" s="27"/>
      <c r="P744" s="27"/>
      <c r="Q744" s="27"/>
      <c r="R744" s="27"/>
      <c r="S744" s="27"/>
      <c r="T744" s="27"/>
      <c r="U744" s="27"/>
      <c r="AB744" s="27"/>
      <c r="AC744" s="27"/>
      <c r="AD744" s="27"/>
    </row>
    <row r="745" spans="3:30" x14ac:dyDescent="0.3">
      <c r="C745" s="3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N745" s="27"/>
      <c r="O745" s="27"/>
      <c r="P745" s="27"/>
      <c r="Q745" s="27"/>
      <c r="R745" s="27"/>
      <c r="S745" s="27"/>
      <c r="T745" s="27"/>
      <c r="U745" s="27"/>
      <c r="AB745" s="27"/>
      <c r="AC745" s="27"/>
      <c r="AD745" s="27"/>
    </row>
    <row r="746" spans="3:30" x14ac:dyDescent="0.3">
      <c r="C746" s="3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N746" s="27"/>
      <c r="O746" s="27"/>
      <c r="P746" s="27"/>
      <c r="Q746" s="27"/>
      <c r="R746" s="27"/>
      <c r="S746" s="27"/>
      <c r="T746" s="27"/>
      <c r="U746" s="27"/>
      <c r="AB746" s="27"/>
      <c r="AC746" s="27"/>
      <c r="AD746" s="27"/>
    </row>
    <row r="747" spans="3:30" x14ac:dyDescent="0.3">
      <c r="C747" s="3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N747" s="27"/>
      <c r="O747" s="27"/>
      <c r="P747" s="27"/>
      <c r="Q747" s="27"/>
      <c r="R747" s="27"/>
      <c r="S747" s="27"/>
      <c r="T747" s="27"/>
      <c r="U747" s="27"/>
      <c r="AB747" s="27"/>
      <c r="AC747" s="27"/>
      <c r="AD747" s="27"/>
    </row>
    <row r="748" spans="3:30" x14ac:dyDescent="0.3">
      <c r="C748" s="3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N748" s="27"/>
      <c r="O748" s="27"/>
      <c r="P748" s="27"/>
      <c r="Q748" s="27"/>
      <c r="R748" s="27"/>
      <c r="S748" s="27"/>
      <c r="T748" s="27"/>
      <c r="U748" s="27"/>
      <c r="AB748" s="27"/>
      <c r="AC748" s="27"/>
      <c r="AD748" s="27"/>
    </row>
    <row r="749" spans="3:30" x14ac:dyDescent="0.3">
      <c r="C749" s="3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N749" s="27"/>
      <c r="O749" s="27"/>
      <c r="P749" s="27"/>
      <c r="Q749" s="27"/>
      <c r="R749" s="27"/>
      <c r="S749" s="27"/>
      <c r="T749" s="27"/>
      <c r="U749" s="27"/>
      <c r="AB749" s="27"/>
      <c r="AC749" s="27"/>
      <c r="AD749" s="27"/>
    </row>
    <row r="750" spans="3:30" x14ac:dyDescent="0.3">
      <c r="C750" s="3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N750" s="27"/>
      <c r="O750" s="27"/>
      <c r="P750" s="27"/>
      <c r="Q750" s="27"/>
      <c r="R750" s="27"/>
      <c r="S750" s="27"/>
      <c r="T750" s="27"/>
      <c r="U750" s="27"/>
      <c r="AB750" s="27"/>
      <c r="AC750" s="27"/>
      <c r="AD750" s="27"/>
    </row>
    <row r="751" spans="3:30" x14ac:dyDescent="0.3">
      <c r="C751" s="3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N751" s="27"/>
      <c r="O751" s="27"/>
      <c r="P751" s="27"/>
      <c r="Q751" s="27"/>
      <c r="R751" s="27"/>
      <c r="S751" s="27"/>
      <c r="T751" s="27"/>
      <c r="U751" s="27"/>
      <c r="AB751" s="27"/>
      <c r="AC751" s="27"/>
      <c r="AD751" s="27"/>
    </row>
    <row r="752" spans="3:30" x14ac:dyDescent="0.3">
      <c r="C752" s="3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N752" s="27"/>
      <c r="O752" s="27"/>
      <c r="P752" s="27"/>
      <c r="Q752" s="27"/>
      <c r="R752" s="27"/>
      <c r="S752" s="27"/>
      <c r="T752" s="27"/>
      <c r="U752" s="27"/>
      <c r="AB752" s="27"/>
      <c r="AC752" s="27"/>
      <c r="AD752" s="27"/>
    </row>
    <row r="753" spans="3:30" x14ac:dyDescent="0.3">
      <c r="C753" s="3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N753" s="27"/>
      <c r="O753" s="27"/>
      <c r="P753" s="27"/>
      <c r="Q753" s="27"/>
      <c r="R753" s="27"/>
      <c r="S753" s="27"/>
      <c r="T753" s="27"/>
      <c r="U753" s="27"/>
      <c r="AB753" s="27"/>
      <c r="AC753" s="27"/>
      <c r="AD753" s="27"/>
    </row>
    <row r="754" spans="3:30" x14ac:dyDescent="0.3">
      <c r="C754" s="3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N754" s="27"/>
      <c r="O754" s="27"/>
      <c r="P754" s="27"/>
      <c r="Q754" s="27"/>
      <c r="R754" s="27"/>
      <c r="S754" s="27"/>
      <c r="T754" s="27"/>
      <c r="U754" s="27"/>
      <c r="AB754" s="27"/>
      <c r="AC754" s="27"/>
      <c r="AD754" s="27"/>
    </row>
    <row r="755" spans="3:30" x14ac:dyDescent="0.3">
      <c r="C755" s="3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N755" s="27"/>
      <c r="O755" s="27"/>
      <c r="P755" s="27"/>
      <c r="Q755" s="27"/>
      <c r="R755" s="27"/>
      <c r="S755" s="27"/>
      <c r="T755" s="27"/>
      <c r="U755" s="27"/>
      <c r="AB755" s="27"/>
      <c r="AC755" s="27"/>
      <c r="AD755" s="27"/>
    </row>
    <row r="756" spans="3:30" x14ac:dyDescent="0.3">
      <c r="C756" s="3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N756" s="27"/>
      <c r="O756" s="27"/>
      <c r="P756" s="27"/>
      <c r="Q756" s="27"/>
      <c r="R756" s="27"/>
      <c r="S756" s="27"/>
      <c r="T756" s="27"/>
      <c r="U756" s="27"/>
      <c r="AB756" s="27"/>
      <c r="AC756" s="27"/>
      <c r="AD756" s="27"/>
    </row>
    <row r="757" spans="3:30" x14ac:dyDescent="0.3">
      <c r="C757" s="3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N757" s="27"/>
      <c r="O757" s="27"/>
      <c r="P757" s="27"/>
      <c r="Q757" s="27"/>
      <c r="R757" s="27"/>
      <c r="S757" s="27"/>
      <c r="T757" s="27"/>
      <c r="U757" s="27"/>
      <c r="AB757" s="27"/>
      <c r="AC757" s="27"/>
      <c r="AD757" s="27"/>
    </row>
    <row r="758" spans="3:30" x14ac:dyDescent="0.3">
      <c r="C758" s="3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N758" s="27"/>
      <c r="O758" s="27"/>
      <c r="P758" s="27"/>
      <c r="Q758" s="27"/>
      <c r="R758" s="27"/>
      <c r="S758" s="27"/>
      <c r="T758" s="27"/>
      <c r="U758" s="27"/>
      <c r="AB758" s="27"/>
      <c r="AC758" s="27"/>
      <c r="AD758" s="27"/>
    </row>
    <row r="759" spans="3:30" x14ac:dyDescent="0.3">
      <c r="C759" s="3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N759" s="27"/>
      <c r="O759" s="27"/>
      <c r="P759" s="27"/>
      <c r="Q759" s="27"/>
      <c r="R759" s="27"/>
      <c r="S759" s="27"/>
      <c r="T759" s="27"/>
      <c r="U759" s="27"/>
      <c r="AB759" s="27"/>
      <c r="AC759" s="27"/>
      <c r="AD759" s="27"/>
    </row>
    <row r="760" spans="3:30" x14ac:dyDescent="0.3">
      <c r="C760" s="3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N760" s="27"/>
      <c r="O760" s="27"/>
      <c r="P760" s="27"/>
      <c r="Q760" s="27"/>
      <c r="R760" s="27"/>
      <c r="S760" s="27"/>
      <c r="T760" s="27"/>
      <c r="U760" s="27"/>
      <c r="AB760" s="27"/>
      <c r="AC760" s="27"/>
      <c r="AD760" s="27"/>
    </row>
    <row r="761" spans="3:30" x14ac:dyDescent="0.3">
      <c r="C761" s="3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N761" s="27"/>
      <c r="O761" s="27"/>
      <c r="P761" s="27"/>
      <c r="Q761" s="27"/>
      <c r="R761" s="27"/>
      <c r="S761" s="27"/>
      <c r="T761" s="27"/>
      <c r="U761" s="27"/>
      <c r="AB761" s="27"/>
      <c r="AC761" s="27"/>
      <c r="AD761" s="27"/>
    </row>
    <row r="762" spans="3:30" x14ac:dyDescent="0.3">
      <c r="C762" s="3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N762" s="27"/>
      <c r="O762" s="27"/>
      <c r="P762" s="27"/>
      <c r="Q762" s="27"/>
      <c r="R762" s="27"/>
      <c r="S762" s="27"/>
      <c r="T762" s="27"/>
      <c r="U762" s="27"/>
      <c r="AB762" s="27"/>
      <c r="AC762" s="27"/>
      <c r="AD762" s="27"/>
    </row>
    <row r="763" spans="3:30" x14ac:dyDescent="0.3">
      <c r="C763" s="3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N763" s="27"/>
      <c r="O763" s="27"/>
      <c r="P763" s="27"/>
      <c r="Q763" s="27"/>
      <c r="R763" s="27"/>
      <c r="S763" s="27"/>
      <c r="T763" s="27"/>
      <c r="U763" s="27"/>
      <c r="AB763" s="27"/>
      <c r="AC763" s="27"/>
      <c r="AD763" s="27"/>
    </row>
    <row r="764" spans="3:30" x14ac:dyDescent="0.3">
      <c r="C764" s="3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N764" s="27"/>
      <c r="O764" s="27"/>
      <c r="P764" s="27"/>
      <c r="Q764" s="27"/>
      <c r="R764" s="27"/>
      <c r="S764" s="27"/>
      <c r="T764" s="27"/>
      <c r="U764" s="27"/>
      <c r="AB764" s="27"/>
      <c r="AC764" s="27"/>
      <c r="AD764" s="27"/>
    </row>
    <row r="765" spans="3:30" x14ac:dyDescent="0.3">
      <c r="C765" s="3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N765" s="27"/>
      <c r="O765" s="27"/>
      <c r="P765" s="27"/>
      <c r="Q765" s="27"/>
      <c r="R765" s="27"/>
      <c r="S765" s="27"/>
      <c r="T765" s="27"/>
      <c r="U765" s="27"/>
      <c r="AB765" s="27"/>
      <c r="AC765" s="27"/>
      <c r="AD765" s="27"/>
    </row>
    <row r="766" spans="3:30" x14ac:dyDescent="0.3">
      <c r="C766" s="3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N766" s="27"/>
      <c r="O766" s="27"/>
      <c r="P766" s="27"/>
      <c r="Q766" s="27"/>
      <c r="R766" s="27"/>
      <c r="S766" s="27"/>
      <c r="T766" s="27"/>
      <c r="U766" s="27"/>
      <c r="AB766" s="27"/>
      <c r="AC766" s="27"/>
      <c r="AD766" s="27"/>
    </row>
    <row r="767" spans="3:30" x14ac:dyDescent="0.3">
      <c r="C767" s="3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N767" s="27"/>
      <c r="O767" s="27"/>
      <c r="P767" s="27"/>
      <c r="Q767" s="27"/>
      <c r="R767" s="27"/>
      <c r="S767" s="27"/>
      <c r="T767" s="27"/>
      <c r="U767" s="27"/>
      <c r="AB767" s="27"/>
      <c r="AC767" s="27"/>
      <c r="AD767" s="27"/>
    </row>
    <row r="768" spans="3:30" x14ac:dyDescent="0.3">
      <c r="C768" s="3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N768" s="27"/>
      <c r="O768" s="27"/>
      <c r="P768" s="27"/>
      <c r="Q768" s="27"/>
      <c r="R768" s="27"/>
      <c r="S768" s="27"/>
      <c r="T768" s="27"/>
      <c r="U768" s="27"/>
      <c r="AB768" s="27"/>
      <c r="AC768" s="27"/>
      <c r="AD768" s="27"/>
    </row>
    <row r="769" spans="3:30" x14ac:dyDescent="0.3">
      <c r="C769" s="3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N769" s="27"/>
      <c r="O769" s="27"/>
      <c r="P769" s="27"/>
      <c r="Q769" s="27"/>
      <c r="R769" s="27"/>
      <c r="S769" s="27"/>
      <c r="T769" s="27"/>
      <c r="U769" s="27"/>
      <c r="AB769" s="27"/>
      <c r="AC769" s="27"/>
      <c r="AD769" s="27"/>
    </row>
    <row r="770" spans="3:30" x14ac:dyDescent="0.3">
      <c r="C770" s="3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N770" s="27"/>
      <c r="O770" s="27"/>
      <c r="P770" s="27"/>
      <c r="Q770" s="27"/>
      <c r="R770" s="27"/>
      <c r="S770" s="27"/>
      <c r="T770" s="27"/>
      <c r="U770" s="27"/>
      <c r="AB770" s="27"/>
      <c r="AC770" s="27"/>
      <c r="AD770" s="27"/>
    </row>
    <row r="771" spans="3:30" x14ac:dyDescent="0.3">
      <c r="C771" s="3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N771" s="27"/>
      <c r="O771" s="27"/>
      <c r="P771" s="27"/>
      <c r="Q771" s="27"/>
      <c r="R771" s="27"/>
      <c r="S771" s="27"/>
      <c r="T771" s="27"/>
      <c r="U771" s="27"/>
      <c r="AB771" s="27"/>
      <c r="AC771" s="27"/>
      <c r="AD771" s="27"/>
    </row>
    <row r="772" spans="3:30" x14ac:dyDescent="0.3">
      <c r="C772" s="3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N772" s="27"/>
      <c r="O772" s="27"/>
      <c r="P772" s="27"/>
      <c r="Q772" s="27"/>
      <c r="R772" s="27"/>
      <c r="S772" s="27"/>
      <c r="T772" s="27"/>
      <c r="U772" s="27"/>
      <c r="AB772" s="27"/>
      <c r="AC772" s="27"/>
      <c r="AD772" s="27"/>
    </row>
    <row r="773" spans="3:30" x14ac:dyDescent="0.3">
      <c r="C773" s="3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N773" s="27"/>
      <c r="O773" s="27"/>
      <c r="P773" s="27"/>
      <c r="Q773" s="27"/>
      <c r="R773" s="27"/>
      <c r="S773" s="27"/>
      <c r="T773" s="27"/>
      <c r="U773" s="27"/>
      <c r="AB773" s="27"/>
      <c r="AC773" s="27"/>
      <c r="AD773" s="27"/>
    </row>
    <row r="774" spans="3:30" x14ac:dyDescent="0.3">
      <c r="C774" s="3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N774" s="27"/>
      <c r="O774" s="27"/>
      <c r="P774" s="27"/>
      <c r="Q774" s="27"/>
      <c r="R774" s="27"/>
      <c r="S774" s="27"/>
      <c r="T774" s="27"/>
      <c r="U774" s="27"/>
      <c r="AB774" s="27"/>
      <c r="AC774" s="27"/>
      <c r="AD774" s="27"/>
    </row>
    <row r="775" spans="3:30" x14ac:dyDescent="0.3">
      <c r="C775" s="3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N775" s="27"/>
      <c r="O775" s="27"/>
      <c r="P775" s="27"/>
      <c r="Q775" s="27"/>
      <c r="R775" s="27"/>
      <c r="S775" s="27"/>
      <c r="T775" s="27"/>
      <c r="U775" s="27"/>
      <c r="AB775" s="27"/>
      <c r="AC775" s="27"/>
      <c r="AD775" s="27"/>
    </row>
    <row r="776" spans="3:30" x14ac:dyDescent="0.3">
      <c r="C776" s="3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N776" s="27"/>
      <c r="O776" s="27"/>
      <c r="P776" s="27"/>
      <c r="Q776" s="27"/>
      <c r="R776" s="27"/>
      <c r="S776" s="27"/>
      <c r="T776" s="27"/>
      <c r="U776" s="27"/>
      <c r="AB776" s="27"/>
      <c r="AC776" s="27"/>
      <c r="AD776" s="27"/>
    </row>
    <row r="777" spans="3:30" x14ac:dyDescent="0.3">
      <c r="C777" s="3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N777" s="27"/>
      <c r="O777" s="27"/>
      <c r="P777" s="27"/>
      <c r="Q777" s="27"/>
      <c r="R777" s="27"/>
      <c r="S777" s="27"/>
      <c r="T777" s="27"/>
      <c r="U777" s="27"/>
      <c r="AB777" s="27"/>
      <c r="AC777" s="27"/>
      <c r="AD777" s="27"/>
    </row>
    <row r="778" spans="3:30" x14ac:dyDescent="0.3">
      <c r="C778" s="3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N778" s="27"/>
      <c r="O778" s="27"/>
      <c r="P778" s="27"/>
      <c r="Q778" s="27"/>
      <c r="R778" s="27"/>
      <c r="S778" s="27"/>
      <c r="T778" s="27"/>
      <c r="U778" s="27"/>
      <c r="AB778" s="27"/>
      <c r="AC778" s="27"/>
      <c r="AD778" s="27"/>
    </row>
    <row r="779" spans="3:30" x14ac:dyDescent="0.3">
      <c r="C779" s="3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N779" s="27"/>
      <c r="O779" s="27"/>
      <c r="P779" s="27"/>
      <c r="Q779" s="27"/>
      <c r="R779" s="27"/>
      <c r="S779" s="27"/>
      <c r="T779" s="27"/>
      <c r="U779" s="27"/>
      <c r="AB779" s="27"/>
      <c r="AC779" s="27"/>
      <c r="AD779" s="27"/>
    </row>
    <row r="780" spans="3:30" x14ac:dyDescent="0.3">
      <c r="C780" s="3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N780" s="27"/>
      <c r="O780" s="27"/>
      <c r="P780" s="27"/>
      <c r="Q780" s="27"/>
      <c r="R780" s="27"/>
      <c r="S780" s="27"/>
      <c r="T780" s="27"/>
      <c r="U780" s="27"/>
      <c r="AB780" s="27"/>
      <c r="AC780" s="27"/>
      <c r="AD780" s="27"/>
    </row>
    <row r="781" spans="3:30" x14ac:dyDescent="0.3">
      <c r="C781" s="3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N781" s="27"/>
      <c r="O781" s="27"/>
      <c r="P781" s="27"/>
      <c r="Q781" s="27"/>
      <c r="R781" s="27"/>
      <c r="S781" s="27"/>
      <c r="T781" s="27"/>
      <c r="U781" s="27"/>
      <c r="AB781" s="27"/>
      <c r="AC781" s="27"/>
      <c r="AD781" s="27"/>
    </row>
    <row r="782" spans="3:30" x14ac:dyDescent="0.3">
      <c r="C782" s="3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N782" s="27"/>
      <c r="O782" s="27"/>
      <c r="P782" s="27"/>
      <c r="Q782" s="27"/>
      <c r="R782" s="27"/>
      <c r="S782" s="27"/>
      <c r="T782" s="27"/>
      <c r="U782" s="27"/>
      <c r="AB782" s="27"/>
      <c r="AC782" s="27"/>
      <c r="AD782" s="27"/>
    </row>
    <row r="783" spans="3:30" x14ac:dyDescent="0.3">
      <c r="C783" s="3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N783" s="27"/>
      <c r="O783" s="27"/>
      <c r="P783" s="27"/>
      <c r="Q783" s="27"/>
      <c r="R783" s="27"/>
      <c r="S783" s="27"/>
      <c r="T783" s="27"/>
      <c r="U783" s="27"/>
      <c r="AB783" s="27"/>
      <c r="AC783" s="27"/>
      <c r="AD783" s="27"/>
    </row>
    <row r="784" spans="3:30" x14ac:dyDescent="0.3">
      <c r="C784" s="3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N784" s="27"/>
      <c r="O784" s="27"/>
      <c r="P784" s="27"/>
      <c r="Q784" s="27"/>
      <c r="R784" s="27"/>
      <c r="S784" s="27"/>
      <c r="T784" s="27"/>
      <c r="U784" s="27"/>
      <c r="AB784" s="27"/>
      <c r="AC784" s="27"/>
      <c r="AD784" s="27"/>
    </row>
    <row r="785" spans="3:30" x14ac:dyDescent="0.3">
      <c r="C785" s="3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N785" s="27"/>
      <c r="O785" s="27"/>
      <c r="P785" s="27"/>
      <c r="Q785" s="27"/>
      <c r="R785" s="27"/>
      <c r="S785" s="27"/>
      <c r="T785" s="27"/>
      <c r="U785" s="27"/>
      <c r="AB785" s="27"/>
      <c r="AC785" s="27"/>
      <c r="AD785" s="27"/>
    </row>
    <row r="786" spans="3:30" x14ac:dyDescent="0.3">
      <c r="C786" s="3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N786" s="27"/>
      <c r="O786" s="27"/>
      <c r="P786" s="27"/>
      <c r="Q786" s="27"/>
      <c r="R786" s="27"/>
      <c r="S786" s="27"/>
      <c r="T786" s="27"/>
      <c r="U786" s="27"/>
      <c r="AB786" s="27"/>
      <c r="AC786" s="27"/>
      <c r="AD786" s="27"/>
    </row>
    <row r="787" spans="3:30" x14ac:dyDescent="0.3">
      <c r="C787" s="3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N787" s="27"/>
      <c r="O787" s="27"/>
      <c r="P787" s="27"/>
      <c r="Q787" s="27"/>
      <c r="R787" s="27"/>
      <c r="S787" s="27"/>
      <c r="T787" s="27"/>
      <c r="U787" s="27"/>
      <c r="AB787" s="27"/>
      <c r="AC787" s="27"/>
      <c r="AD787" s="27"/>
    </row>
    <row r="788" spans="3:30" x14ac:dyDescent="0.3">
      <c r="C788" s="3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N788" s="27"/>
      <c r="O788" s="27"/>
      <c r="P788" s="27"/>
      <c r="Q788" s="27"/>
      <c r="R788" s="27"/>
      <c r="S788" s="27"/>
      <c r="T788" s="27"/>
      <c r="U788" s="27"/>
      <c r="AB788" s="27"/>
      <c r="AC788" s="27"/>
      <c r="AD788" s="27"/>
    </row>
    <row r="789" spans="3:30" x14ac:dyDescent="0.3">
      <c r="C789" s="3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N789" s="27"/>
      <c r="O789" s="27"/>
      <c r="P789" s="27"/>
      <c r="Q789" s="27"/>
      <c r="R789" s="27"/>
      <c r="S789" s="27"/>
      <c r="T789" s="27"/>
      <c r="U789" s="27"/>
      <c r="AB789" s="27"/>
      <c r="AC789" s="27"/>
      <c r="AD789" s="27"/>
    </row>
    <row r="790" spans="3:30" x14ac:dyDescent="0.3">
      <c r="C790" s="3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N790" s="27"/>
      <c r="O790" s="27"/>
      <c r="P790" s="27"/>
      <c r="Q790" s="27"/>
      <c r="R790" s="27"/>
      <c r="S790" s="27"/>
      <c r="T790" s="27"/>
      <c r="U790" s="27"/>
      <c r="AB790" s="27"/>
      <c r="AC790" s="27"/>
      <c r="AD790" s="27"/>
    </row>
    <row r="791" spans="3:30" x14ac:dyDescent="0.3">
      <c r="C791" s="3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N791" s="27"/>
      <c r="O791" s="27"/>
      <c r="P791" s="27"/>
      <c r="Q791" s="27"/>
      <c r="R791" s="27"/>
      <c r="S791" s="27"/>
      <c r="T791" s="27"/>
      <c r="U791" s="27"/>
      <c r="AB791" s="27"/>
      <c r="AC791" s="27"/>
      <c r="AD791" s="27"/>
    </row>
    <row r="792" spans="3:30" x14ac:dyDescent="0.3">
      <c r="C792" s="3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N792" s="27"/>
      <c r="O792" s="27"/>
      <c r="P792" s="27"/>
      <c r="Q792" s="27"/>
      <c r="R792" s="27"/>
      <c r="S792" s="27"/>
      <c r="T792" s="27"/>
      <c r="U792" s="27"/>
      <c r="AB792" s="27"/>
      <c r="AC792" s="27"/>
      <c r="AD792" s="27"/>
    </row>
    <row r="793" spans="3:30" x14ac:dyDescent="0.3">
      <c r="C793" s="3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N793" s="27"/>
      <c r="O793" s="27"/>
      <c r="P793" s="27"/>
      <c r="Q793" s="27"/>
      <c r="R793" s="27"/>
      <c r="S793" s="27"/>
      <c r="T793" s="27"/>
      <c r="U793" s="27"/>
      <c r="AB793" s="27"/>
      <c r="AC793" s="27"/>
      <c r="AD793" s="27"/>
    </row>
    <row r="794" spans="3:30" x14ac:dyDescent="0.3">
      <c r="C794" s="3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N794" s="27"/>
      <c r="O794" s="27"/>
      <c r="P794" s="27"/>
      <c r="Q794" s="27"/>
      <c r="R794" s="27"/>
      <c r="S794" s="27"/>
      <c r="T794" s="27"/>
      <c r="U794" s="27"/>
      <c r="AB794" s="27"/>
      <c r="AC794" s="27"/>
      <c r="AD794" s="27"/>
    </row>
    <row r="795" spans="3:30" x14ac:dyDescent="0.3">
      <c r="C795" s="3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N795" s="27"/>
      <c r="O795" s="27"/>
      <c r="P795" s="27"/>
      <c r="Q795" s="27"/>
      <c r="R795" s="27"/>
      <c r="S795" s="27"/>
      <c r="T795" s="27"/>
      <c r="U795" s="27"/>
      <c r="AB795" s="27"/>
      <c r="AC795" s="27"/>
      <c r="AD795" s="27"/>
    </row>
    <row r="796" spans="3:30" x14ac:dyDescent="0.3">
      <c r="C796" s="3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N796" s="27"/>
      <c r="O796" s="27"/>
      <c r="P796" s="27"/>
      <c r="Q796" s="27"/>
      <c r="R796" s="27"/>
      <c r="S796" s="27"/>
      <c r="T796" s="27"/>
      <c r="U796" s="27"/>
      <c r="AB796" s="27"/>
      <c r="AC796" s="27"/>
      <c r="AD796" s="27"/>
    </row>
    <row r="797" spans="3:30" x14ac:dyDescent="0.3">
      <c r="C797" s="3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N797" s="27"/>
      <c r="O797" s="27"/>
      <c r="P797" s="27"/>
      <c r="Q797" s="27"/>
      <c r="R797" s="27"/>
      <c r="S797" s="27"/>
      <c r="T797" s="27"/>
      <c r="U797" s="27"/>
      <c r="AB797" s="27"/>
      <c r="AC797" s="27"/>
      <c r="AD797" s="27"/>
    </row>
    <row r="798" spans="3:30" x14ac:dyDescent="0.3">
      <c r="C798" s="3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N798" s="27"/>
      <c r="O798" s="27"/>
      <c r="P798" s="27"/>
      <c r="Q798" s="27"/>
      <c r="R798" s="27"/>
      <c r="S798" s="27"/>
      <c r="T798" s="27"/>
      <c r="U798" s="27"/>
      <c r="AB798" s="27"/>
      <c r="AC798" s="27"/>
      <c r="AD798" s="27"/>
    </row>
    <row r="799" spans="3:30" x14ac:dyDescent="0.3">
      <c r="C799" s="3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N799" s="27"/>
      <c r="O799" s="27"/>
      <c r="P799" s="27"/>
      <c r="Q799" s="27"/>
      <c r="R799" s="27"/>
      <c r="S799" s="27"/>
      <c r="T799" s="27"/>
      <c r="U799" s="27"/>
      <c r="AB799" s="27"/>
      <c r="AC799" s="27"/>
      <c r="AD799" s="27"/>
    </row>
    <row r="800" spans="3:30" x14ac:dyDescent="0.3">
      <c r="C800" s="3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N800" s="27"/>
      <c r="O800" s="27"/>
      <c r="P800" s="27"/>
      <c r="Q800" s="27"/>
      <c r="R800" s="27"/>
      <c r="S800" s="27"/>
      <c r="T800" s="27"/>
      <c r="U800" s="27"/>
      <c r="AB800" s="27"/>
      <c r="AC800" s="27"/>
      <c r="AD800" s="27"/>
    </row>
    <row r="801" spans="3:30" x14ac:dyDescent="0.3">
      <c r="C801" s="3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N801" s="27"/>
      <c r="O801" s="27"/>
      <c r="P801" s="27"/>
      <c r="Q801" s="27"/>
      <c r="R801" s="27"/>
      <c r="S801" s="27"/>
      <c r="T801" s="27"/>
      <c r="U801" s="27"/>
      <c r="AB801" s="27"/>
      <c r="AC801" s="27"/>
      <c r="AD801" s="27"/>
    </row>
    <row r="802" spans="3:30" x14ac:dyDescent="0.3">
      <c r="C802" s="3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N802" s="27"/>
      <c r="O802" s="27"/>
      <c r="P802" s="27"/>
      <c r="Q802" s="27"/>
      <c r="R802" s="27"/>
      <c r="S802" s="27"/>
      <c r="T802" s="27"/>
      <c r="U802" s="27"/>
      <c r="AB802" s="27"/>
      <c r="AC802" s="27"/>
      <c r="AD802" s="27"/>
    </row>
    <row r="803" spans="3:30" x14ac:dyDescent="0.3">
      <c r="C803" s="3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N803" s="27"/>
      <c r="O803" s="27"/>
      <c r="P803" s="27"/>
      <c r="Q803" s="27"/>
      <c r="R803" s="27"/>
      <c r="S803" s="27"/>
      <c r="T803" s="27"/>
      <c r="U803" s="27"/>
      <c r="AB803" s="27"/>
      <c r="AC803" s="27"/>
      <c r="AD803" s="27"/>
    </row>
    <row r="804" spans="3:30" x14ac:dyDescent="0.3">
      <c r="C804" s="3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N804" s="27"/>
      <c r="O804" s="27"/>
      <c r="P804" s="27"/>
      <c r="Q804" s="27"/>
      <c r="R804" s="27"/>
      <c r="S804" s="27"/>
      <c r="T804" s="27"/>
      <c r="U804" s="27"/>
      <c r="AB804" s="27"/>
      <c r="AC804" s="27"/>
      <c r="AD804" s="27"/>
    </row>
    <row r="805" spans="3:30" x14ac:dyDescent="0.3">
      <c r="C805" s="3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N805" s="27"/>
      <c r="O805" s="27"/>
      <c r="P805" s="27"/>
      <c r="Q805" s="27"/>
      <c r="R805" s="27"/>
      <c r="S805" s="27"/>
      <c r="T805" s="27"/>
      <c r="U805" s="27"/>
      <c r="AB805" s="27"/>
      <c r="AC805" s="27"/>
      <c r="AD805" s="27"/>
    </row>
    <row r="806" spans="3:30" x14ac:dyDescent="0.3">
      <c r="C806" s="3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N806" s="27"/>
      <c r="O806" s="27"/>
      <c r="P806" s="27"/>
      <c r="Q806" s="27"/>
      <c r="R806" s="27"/>
      <c r="S806" s="27"/>
      <c r="T806" s="27"/>
      <c r="U806" s="27"/>
      <c r="AB806" s="27"/>
      <c r="AC806" s="27"/>
      <c r="AD806" s="27"/>
    </row>
    <row r="807" spans="3:30" x14ac:dyDescent="0.3">
      <c r="C807" s="3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N807" s="27"/>
      <c r="O807" s="27"/>
      <c r="P807" s="27"/>
      <c r="Q807" s="27"/>
      <c r="R807" s="27"/>
      <c r="S807" s="27"/>
      <c r="T807" s="27"/>
      <c r="U807" s="27"/>
      <c r="AB807" s="27"/>
      <c r="AC807" s="27"/>
      <c r="AD807" s="27"/>
    </row>
    <row r="808" spans="3:30" x14ac:dyDescent="0.3">
      <c r="C808" s="3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N808" s="27"/>
      <c r="O808" s="27"/>
      <c r="P808" s="27"/>
      <c r="Q808" s="27"/>
      <c r="R808" s="27"/>
      <c r="S808" s="27"/>
      <c r="T808" s="27"/>
      <c r="U808" s="27"/>
      <c r="AB808" s="27"/>
      <c r="AC808" s="27"/>
      <c r="AD808" s="27"/>
    </row>
    <row r="809" spans="3:30" x14ac:dyDescent="0.3">
      <c r="C809" s="3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N809" s="27"/>
      <c r="O809" s="27"/>
      <c r="P809" s="27"/>
      <c r="Q809" s="27"/>
      <c r="R809" s="27"/>
      <c r="S809" s="27"/>
      <c r="T809" s="27"/>
      <c r="U809" s="27"/>
      <c r="AB809" s="27"/>
      <c r="AC809" s="27"/>
      <c r="AD809" s="27"/>
    </row>
    <row r="810" spans="3:30" x14ac:dyDescent="0.3">
      <c r="C810" s="3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N810" s="27"/>
      <c r="O810" s="27"/>
      <c r="P810" s="27"/>
      <c r="Q810" s="27"/>
      <c r="R810" s="27"/>
      <c r="S810" s="27"/>
      <c r="T810" s="27"/>
      <c r="U810" s="27"/>
      <c r="AB810" s="27"/>
      <c r="AC810" s="27"/>
      <c r="AD810" s="27"/>
    </row>
    <row r="811" spans="3:30" x14ac:dyDescent="0.3">
      <c r="C811" s="3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N811" s="27"/>
      <c r="O811" s="27"/>
      <c r="P811" s="27"/>
      <c r="Q811" s="27"/>
      <c r="R811" s="27"/>
      <c r="S811" s="27"/>
      <c r="T811" s="27"/>
      <c r="U811" s="27"/>
      <c r="AB811" s="27"/>
      <c r="AC811" s="27"/>
      <c r="AD811" s="27"/>
    </row>
    <row r="812" spans="3:30" x14ac:dyDescent="0.3">
      <c r="C812" s="3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N812" s="27"/>
      <c r="O812" s="27"/>
      <c r="P812" s="27"/>
      <c r="Q812" s="27"/>
      <c r="R812" s="27"/>
      <c r="S812" s="27"/>
      <c r="T812" s="27"/>
      <c r="U812" s="27"/>
      <c r="AB812" s="27"/>
      <c r="AC812" s="27"/>
      <c r="AD812" s="27"/>
    </row>
    <row r="813" spans="3:30" x14ac:dyDescent="0.3">
      <c r="C813" s="3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N813" s="27"/>
      <c r="O813" s="27"/>
      <c r="P813" s="27"/>
      <c r="Q813" s="27"/>
      <c r="R813" s="27"/>
      <c r="S813" s="27"/>
      <c r="T813" s="27"/>
      <c r="U813" s="27"/>
      <c r="AB813" s="27"/>
      <c r="AC813" s="27"/>
      <c r="AD813" s="27"/>
    </row>
    <row r="814" spans="3:30" x14ac:dyDescent="0.3">
      <c r="C814" s="3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N814" s="27"/>
      <c r="O814" s="27"/>
      <c r="P814" s="27"/>
      <c r="Q814" s="27"/>
      <c r="R814" s="27"/>
      <c r="S814" s="27"/>
      <c r="T814" s="27"/>
      <c r="U814" s="27"/>
      <c r="AB814" s="27"/>
      <c r="AC814" s="27"/>
      <c r="AD814" s="27"/>
    </row>
    <row r="815" spans="3:30" x14ac:dyDescent="0.3">
      <c r="C815" s="3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N815" s="27"/>
      <c r="O815" s="27"/>
      <c r="P815" s="27"/>
      <c r="Q815" s="27"/>
      <c r="R815" s="27"/>
      <c r="S815" s="27"/>
      <c r="T815" s="27"/>
      <c r="U815" s="27"/>
      <c r="AB815" s="27"/>
      <c r="AC815" s="27"/>
      <c r="AD815" s="27"/>
    </row>
    <row r="816" spans="3:30" x14ac:dyDescent="0.3">
      <c r="C816" s="3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N816" s="27"/>
      <c r="O816" s="27"/>
      <c r="P816" s="27"/>
      <c r="Q816" s="27"/>
      <c r="R816" s="27"/>
      <c r="S816" s="27"/>
      <c r="T816" s="27"/>
      <c r="U816" s="27"/>
      <c r="AB816" s="27"/>
      <c r="AC816" s="27"/>
      <c r="AD816" s="27"/>
    </row>
    <row r="817" spans="3:30" x14ac:dyDescent="0.3">
      <c r="C817" s="3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N817" s="27"/>
      <c r="O817" s="27"/>
      <c r="P817" s="27"/>
      <c r="Q817" s="27"/>
      <c r="R817" s="27"/>
      <c r="S817" s="27"/>
      <c r="T817" s="27"/>
      <c r="U817" s="27"/>
      <c r="AB817" s="27"/>
      <c r="AC817" s="27"/>
      <c r="AD817" s="27"/>
    </row>
    <row r="818" spans="3:30" x14ac:dyDescent="0.3">
      <c r="C818" s="3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N818" s="27"/>
      <c r="O818" s="27"/>
      <c r="P818" s="27"/>
      <c r="Q818" s="27"/>
      <c r="R818" s="27"/>
      <c r="S818" s="27"/>
      <c r="T818" s="27"/>
      <c r="U818" s="27"/>
      <c r="AB818" s="27"/>
      <c r="AC818" s="27"/>
      <c r="AD818" s="27"/>
    </row>
    <row r="819" spans="3:30" x14ac:dyDescent="0.3">
      <c r="C819" s="3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N819" s="27"/>
      <c r="O819" s="27"/>
      <c r="P819" s="27"/>
      <c r="Q819" s="27"/>
      <c r="R819" s="27"/>
      <c r="S819" s="27"/>
      <c r="T819" s="27"/>
      <c r="U819" s="27"/>
      <c r="AB819" s="27"/>
      <c r="AC819" s="27"/>
      <c r="AD819" s="27"/>
    </row>
    <row r="820" spans="3:30" x14ac:dyDescent="0.3">
      <c r="C820" s="3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N820" s="27"/>
      <c r="O820" s="27"/>
      <c r="P820" s="27"/>
      <c r="Q820" s="27"/>
      <c r="R820" s="27"/>
      <c r="S820" s="27"/>
      <c r="T820" s="27"/>
      <c r="U820" s="27"/>
      <c r="AB820" s="27"/>
      <c r="AC820" s="27"/>
      <c r="AD820" s="27"/>
    </row>
    <row r="821" spans="3:30" x14ac:dyDescent="0.3">
      <c r="C821" s="3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N821" s="27"/>
      <c r="O821" s="27"/>
      <c r="P821" s="27"/>
      <c r="Q821" s="27"/>
      <c r="R821" s="27"/>
      <c r="S821" s="27"/>
      <c r="T821" s="27"/>
      <c r="U821" s="27"/>
      <c r="AB821" s="27"/>
      <c r="AC821" s="27"/>
      <c r="AD821" s="27"/>
    </row>
    <row r="822" spans="3:30" x14ac:dyDescent="0.3">
      <c r="C822" s="3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N822" s="27"/>
      <c r="O822" s="27"/>
      <c r="P822" s="27"/>
      <c r="Q822" s="27"/>
      <c r="R822" s="27"/>
      <c r="S822" s="27"/>
      <c r="T822" s="27"/>
      <c r="U822" s="27"/>
      <c r="AB822" s="27"/>
      <c r="AC822" s="27"/>
      <c r="AD822" s="27"/>
    </row>
    <row r="823" spans="3:30" x14ac:dyDescent="0.3">
      <c r="C823" s="3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N823" s="27"/>
      <c r="O823" s="27"/>
      <c r="P823" s="27"/>
      <c r="Q823" s="27"/>
      <c r="R823" s="27"/>
      <c r="S823" s="27"/>
      <c r="T823" s="27"/>
      <c r="U823" s="27"/>
      <c r="AB823" s="27"/>
      <c r="AC823" s="27"/>
      <c r="AD823" s="27"/>
    </row>
    <row r="824" spans="3:30" x14ac:dyDescent="0.3">
      <c r="C824" s="3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N824" s="27"/>
      <c r="O824" s="27"/>
      <c r="P824" s="27"/>
      <c r="Q824" s="27"/>
      <c r="R824" s="27"/>
      <c r="S824" s="27"/>
      <c r="T824" s="27"/>
      <c r="U824" s="27"/>
      <c r="AB824" s="27"/>
      <c r="AC824" s="27"/>
      <c r="AD824" s="27"/>
    </row>
    <row r="825" spans="3:30" x14ac:dyDescent="0.3">
      <c r="C825" s="3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N825" s="27"/>
      <c r="O825" s="27"/>
      <c r="P825" s="27"/>
      <c r="Q825" s="27"/>
      <c r="R825" s="27"/>
      <c r="S825" s="27"/>
      <c r="T825" s="27"/>
      <c r="U825" s="27"/>
      <c r="AB825" s="27"/>
      <c r="AC825" s="27"/>
      <c r="AD825" s="27"/>
    </row>
    <row r="826" spans="3:30" x14ac:dyDescent="0.3">
      <c r="C826" s="3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N826" s="27"/>
      <c r="O826" s="27"/>
      <c r="P826" s="27"/>
      <c r="Q826" s="27"/>
      <c r="R826" s="27"/>
      <c r="S826" s="27"/>
      <c r="T826" s="27"/>
      <c r="U826" s="27"/>
      <c r="AB826" s="27"/>
      <c r="AC826" s="27"/>
      <c r="AD826" s="27"/>
    </row>
    <row r="827" spans="3:30" x14ac:dyDescent="0.3">
      <c r="C827" s="3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N827" s="27"/>
      <c r="O827" s="27"/>
      <c r="P827" s="27"/>
      <c r="Q827" s="27"/>
      <c r="R827" s="27"/>
      <c r="S827" s="27"/>
      <c r="T827" s="27"/>
      <c r="U827" s="27"/>
      <c r="AB827" s="27"/>
      <c r="AC827" s="27"/>
      <c r="AD827" s="27"/>
    </row>
    <row r="828" spans="3:30" x14ac:dyDescent="0.3">
      <c r="C828" s="3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N828" s="27"/>
      <c r="O828" s="27"/>
      <c r="P828" s="27"/>
      <c r="Q828" s="27"/>
      <c r="R828" s="27"/>
      <c r="S828" s="27"/>
      <c r="T828" s="27"/>
      <c r="U828" s="27"/>
      <c r="AB828" s="27"/>
      <c r="AC828" s="27"/>
      <c r="AD828" s="27"/>
    </row>
    <row r="829" spans="3:30" x14ac:dyDescent="0.3">
      <c r="C829" s="3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N829" s="27"/>
      <c r="O829" s="27"/>
      <c r="P829" s="27"/>
      <c r="Q829" s="27"/>
      <c r="R829" s="27"/>
      <c r="S829" s="27"/>
      <c r="T829" s="27"/>
      <c r="U829" s="27"/>
      <c r="AB829" s="27"/>
      <c r="AC829" s="27"/>
      <c r="AD829" s="27"/>
    </row>
    <row r="830" spans="3:30" x14ac:dyDescent="0.3">
      <c r="C830" s="3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N830" s="27"/>
      <c r="O830" s="27"/>
      <c r="P830" s="27"/>
      <c r="Q830" s="27"/>
      <c r="R830" s="27"/>
      <c r="S830" s="27"/>
      <c r="T830" s="27"/>
      <c r="U830" s="27"/>
      <c r="AB830" s="27"/>
      <c r="AC830" s="27"/>
      <c r="AD830" s="27"/>
    </row>
    <row r="831" spans="3:30" x14ac:dyDescent="0.3">
      <c r="C831" s="3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N831" s="27"/>
      <c r="O831" s="27"/>
      <c r="P831" s="27"/>
      <c r="Q831" s="27"/>
      <c r="R831" s="27"/>
      <c r="S831" s="27"/>
      <c r="T831" s="27"/>
      <c r="U831" s="27"/>
      <c r="AB831" s="27"/>
      <c r="AC831" s="27"/>
      <c r="AD831" s="27"/>
    </row>
    <row r="832" spans="3:30" x14ac:dyDescent="0.3">
      <c r="C832" s="3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N832" s="27"/>
      <c r="O832" s="27"/>
      <c r="P832" s="27"/>
      <c r="Q832" s="27"/>
      <c r="R832" s="27"/>
      <c r="S832" s="27"/>
      <c r="T832" s="27"/>
      <c r="U832" s="27"/>
      <c r="AB832" s="27"/>
      <c r="AC832" s="27"/>
      <c r="AD832" s="27"/>
    </row>
    <row r="833" spans="3:30" x14ac:dyDescent="0.3">
      <c r="C833" s="3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N833" s="27"/>
      <c r="O833" s="27"/>
      <c r="P833" s="27"/>
      <c r="Q833" s="27"/>
      <c r="R833" s="27"/>
      <c r="S833" s="27"/>
      <c r="T833" s="27"/>
      <c r="U833" s="27"/>
      <c r="AB833" s="27"/>
      <c r="AC833" s="27"/>
      <c r="AD833" s="27"/>
    </row>
    <row r="834" spans="3:30" x14ac:dyDescent="0.3">
      <c r="C834" s="3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N834" s="27"/>
      <c r="O834" s="27"/>
      <c r="P834" s="27"/>
      <c r="Q834" s="27"/>
      <c r="R834" s="27"/>
      <c r="S834" s="27"/>
      <c r="T834" s="27"/>
      <c r="U834" s="27"/>
      <c r="AB834" s="27"/>
      <c r="AC834" s="27"/>
      <c r="AD834" s="27"/>
    </row>
    <row r="835" spans="3:30" x14ac:dyDescent="0.3">
      <c r="C835" s="3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N835" s="27"/>
      <c r="O835" s="27"/>
      <c r="P835" s="27"/>
      <c r="Q835" s="27"/>
      <c r="R835" s="27"/>
      <c r="S835" s="27"/>
      <c r="T835" s="27"/>
      <c r="U835" s="27"/>
      <c r="AB835" s="27"/>
      <c r="AC835" s="27"/>
      <c r="AD835" s="27"/>
    </row>
    <row r="836" spans="3:30" x14ac:dyDescent="0.3">
      <c r="C836" s="3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N836" s="27"/>
      <c r="O836" s="27"/>
      <c r="P836" s="27"/>
      <c r="Q836" s="27"/>
      <c r="R836" s="27"/>
      <c r="S836" s="27"/>
      <c r="T836" s="27"/>
      <c r="U836" s="27"/>
      <c r="AB836" s="27"/>
      <c r="AC836" s="27"/>
      <c r="AD836" s="27"/>
    </row>
    <row r="837" spans="3:30" x14ac:dyDescent="0.3">
      <c r="C837" s="3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N837" s="27"/>
      <c r="O837" s="27"/>
      <c r="P837" s="27"/>
      <c r="Q837" s="27"/>
      <c r="R837" s="27"/>
      <c r="S837" s="27"/>
      <c r="T837" s="27"/>
      <c r="U837" s="27"/>
      <c r="AB837" s="27"/>
      <c r="AC837" s="27"/>
      <c r="AD837" s="27"/>
    </row>
    <row r="838" spans="3:30" x14ac:dyDescent="0.3">
      <c r="C838" s="3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N838" s="27"/>
      <c r="O838" s="27"/>
      <c r="P838" s="27"/>
      <c r="Q838" s="27"/>
      <c r="R838" s="27"/>
      <c r="S838" s="27"/>
      <c r="T838" s="27"/>
      <c r="U838" s="27"/>
      <c r="AB838" s="27"/>
      <c r="AC838" s="27"/>
      <c r="AD838" s="27"/>
    </row>
    <row r="839" spans="3:30" x14ac:dyDescent="0.3">
      <c r="C839" s="3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N839" s="27"/>
      <c r="O839" s="27"/>
      <c r="P839" s="27"/>
      <c r="Q839" s="27"/>
      <c r="R839" s="27"/>
      <c r="S839" s="27"/>
      <c r="T839" s="27"/>
      <c r="U839" s="27"/>
      <c r="AB839" s="27"/>
      <c r="AC839" s="27"/>
      <c r="AD839" s="27"/>
    </row>
    <row r="840" spans="3:30" x14ac:dyDescent="0.3">
      <c r="C840" s="3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N840" s="27"/>
      <c r="O840" s="27"/>
      <c r="P840" s="27"/>
      <c r="Q840" s="27"/>
      <c r="R840" s="27"/>
      <c r="S840" s="27"/>
      <c r="T840" s="27"/>
      <c r="U840" s="27"/>
      <c r="AB840" s="27"/>
      <c r="AC840" s="27"/>
      <c r="AD840" s="27"/>
    </row>
    <row r="841" spans="3:30" x14ac:dyDescent="0.3">
      <c r="C841" s="3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N841" s="27"/>
      <c r="O841" s="27"/>
      <c r="P841" s="27"/>
      <c r="Q841" s="27"/>
      <c r="R841" s="27"/>
      <c r="S841" s="27"/>
      <c r="T841" s="27"/>
      <c r="U841" s="27"/>
      <c r="AB841" s="27"/>
      <c r="AC841" s="27"/>
      <c r="AD841" s="27"/>
    </row>
    <row r="842" spans="3:30" x14ac:dyDescent="0.3">
      <c r="C842" s="3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N842" s="27"/>
      <c r="O842" s="27"/>
      <c r="P842" s="27"/>
      <c r="Q842" s="27"/>
      <c r="R842" s="27"/>
      <c r="S842" s="27"/>
      <c r="T842" s="27"/>
      <c r="U842" s="27"/>
      <c r="AB842" s="27"/>
      <c r="AC842" s="27"/>
      <c r="AD842" s="27"/>
    </row>
    <row r="843" spans="3:30" x14ac:dyDescent="0.3">
      <c r="C843" s="3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N843" s="27"/>
      <c r="O843" s="27"/>
      <c r="P843" s="27"/>
      <c r="Q843" s="27"/>
      <c r="R843" s="27"/>
      <c r="S843" s="27"/>
      <c r="T843" s="27"/>
      <c r="U843" s="27"/>
      <c r="AB843" s="27"/>
      <c r="AC843" s="27"/>
      <c r="AD843" s="27"/>
    </row>
    <row r="844" spans="3:30" x14ac:dyDescent="0.3">
      <c r="C844" s="3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N844" s="27"/>
      <c r="O844" s="27"/>
      <c r="P844" s="27"/>
      <c r="Q844" s="27"/>
      <c r="R844" s="27"/>
      <c r="S844" s="27"/>
      <c r="T844" s="27"/>
      <c r="U844" s="27"/>
      <c r="AB844" s="27"/>
      <c r="AC844" s="27"/>
      <c r="AD844" s="27"/>
    </row>
    <row r="845" spans="3:30" x14ac:dyDescent="0.3">
      <c r="C845" s="3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N845" s="27"/>
      <c r="O845" s="27"/>
      <c r="P845" s="27"/>
      <c r="Q845" s="27"/>
      <c r="R845" s="27"/>
      <c r="S845" s="27"/>
      <c r="T845" s="27"/>
      <c r="U845" s="27"/>
      <c r="AB845" s="27"/>
      <c r="AC845" s="27"/>
      <c r="AD845" s="27"/>
    </row>
    <row r="846" spans="3:30" x14ac:dyDescent="0.3">
      <c r="C846" s="3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N846" s="27"/>
      <c r="O846" s="27"/>
      <c r="P846" s="27"/>
      <c r="Q846" s="27"/>
      <c r="R846" s="27"/>
      <c r="S846" s="27"/>
      <c r="T846" s="27"/>
      <c r="U846" s="27"/>
      <c r="AB846" s="27"/>
      <c r="AC846" s="27"/>
      <c r="AD846" s="27"/>
    </row>
    <row r="847" spans="3:30" x14ac:dyDescent="0.3">
      <c r="C847" s="3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N847" s="27"/>
      <c r="O847" s="27"/>
      <c r="P847" s="27"/>
      <c r="Q847" s="27"/>
      <c r="R847" s="27"/>
      <c r="S847" s="27"/>
      <c r="T847" s="27"/>
      <c r="U847" s="27"/>
      <c r="AB847" s="27"/>
      <c r="AC847" s="27"/>
      <c r="AD847" s="27"/>
    </row>
    <row r="848" spans="3:30" x14ac:dyDescent="0.3">
      <c r="C848" s="3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N848" s="27"/>
      <c r="O848" s="27"/>
      <c r="P848" s="27"/>
      <c r="Q848" s="27"/>
      <c r="R848" s="27"/>
      <c r="S848" s="27"/>
      <c r="T848" s="27"/>
      <c r="U848" s="27"/>
      <c r="AB848" s="27"/>
      <c r="AC848" s="27"/>
      <c r="AD848" s="27"/>
    </row>
    <row r="849" spans="3:30" x14ac:dyDescent="0.3">
      <c r="C849" s="3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N849" s="27"/>
      <c r="O849" s="27"/>
      <c r="P849" s="27"/>
      <c r="Q849" s="27"/>
      <c r="R849" s="27"/>
      <c r="S849" s="27"/>
      <c r="T849" s="27"/>
      <c r="U849" s="27"/>
      <c r="AB849" s="27"/>
      <c r="AC849" s="27"/>
      <c r="AD849" s="27"/>
    </row>
    <row r="850" spans="3:30" x14ac:dyDescent="0.3">
      <c r="C850" s="3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N850" s="27"/>
      <c r="O850" s="27"/>
      <c r="P850" s="27"/>
      <c r="Q850" s="27"/>
      <c r="R850" s="27"/>
      <c r="S850" s="27"/>
      <c r="T850" s="27"/>
      <c r="U850" s="27"/>
      <c r="AB850" s="27"/>
      <c r="AC850" s="27"/>
      <c r="AD850" s="27"/>
    </row>
    <row r="851" spans="3:30" x14ac:dyDescent="0.3">
      <c r="C851" s="3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N851" s="27"/>
      <c r="O851" s="27"/>
      <c r="P851" s="27"/>
      <c r="Q851" s="27"/>
      <c r="R851" s="27"/>
      <c r="S851" s="27"/>
      <c r="T851" s="27"/>
      <c r="U851" s="27"/>
      <c r="AB851" s="27"/>
      <c r="AC851" s="27"/>
      <c r="AD851" s="27"/>
    </row>
    <row r="852" spans="3:30" x14ac:dyDescent="0.3">
      <c r="C852" s="3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N852" s="27"/>
      <c r="O852" s="27"/>
      <c r="P852" s="27"/>
      <c r="Q852" s="27"/>
      <c r="R852" s="27"/>
      <c r="S852" s="27"/>
      <c r="T852" s="27"/>
      <c r="U852" s="27"/>
      <c r="AB852" s="27"/>
      <c r="AC852" s="27"/>
      <c r="AD852" s="27"/>
    </row>
    <row r="853" spans="3:30" x14ac:dyDescent="0.3">
      <c r="C853" s="3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N853" s="27"/>
      <c r="O853" s="27"/>
      <c r="P853" s="27"/>
      <c r="Q853" s="27"/>
      <c r="R853" s="27"/>
      <c r="S853" s="27"/>
      <c r="T853" s="27"/>
      <c r="U853" s="27"/>
      <c r="AB853" s="27"/>
      <c r="AC853" s="27"/>
      <c r="AD853" s="27"/>
    </row>
    <row r="854" spans="3:30" x14ac:dyDescent="0.3">
      <c r="C854" s="3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N854" s="27"/>
      <c r="O854" s="27"/>
      <c r="P854" s="27"/>
      <c r="Q854" s="27"/>
      <c r="R854" s="27"/>
      <c r="S854" s="27"/>
      <c r="T854" s="27"/>
      <c r="U854" s="27"/>
      <c r="AB854" s="27"/>
      <c r="AC854" s="27"/>
      <c r="AD854" s="27"/>
    </row>
    <row r="855" spans="3:30" x14ac:dyDescent="0.3">
      <c r="C855" s="3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N855" s="27"/>
      <c r="O855" s="27"/>
      <c r="P855" s="27"/>
      <c r="Q855" s="27"/>
      <c r="R855" s="27"/>
      <c r="S855" s="27"/>
      <c r="T855" s="27"/>
      <c r="U855" s="27"/>
      <c r="AB855" s="27"/>
      <c r="AC855" s="27"/>
      <c r="AD855" s="27"/>
    </row>
    <row r="856" spans="3:30" x14ac:dyDescent="0.3">
      <c r="C856" s="3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N856" s="27"/>
      <c r="O856" s="27"/>
      <c r="P856" s="27"/>
      <c r="Q856" s="27"/>
      <c r="R856" s="27"/>
      <c r="S856" s="27"/>
      <c r="T856" s="27"/>
      <c r="U856" s="27"/>
      <c r="AB856" s="27"/>
      <c r="AC856" s="27"/>
      <c r="AD856" s="27"/>
    </row>
    <row r="857" spans="3:30" x14ac:dyDescent="0.3">
      <c r="C857" s="3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N857" s="27"/>
      <c r="O857" s="27"/>
      <c r="P857" s="27"/>
      <c r="Q857" s="27"/>
      <c r="R857" s="27"/>
      <c r="S857" s="27"/>
      <c r="T857" s="27"/>
      <c r="U857" s="27"/>
      <c r="AB857" s="27"/>
      <c r="AC857" s="27"/>
      <c r="AD857" s="27"/>
    </row>
    <row r="858" spans="3:30" x14ac:dyDescent="0.3">
      <c r="C858" s="3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N858" s="27"/>
      <c r="O858" s="27"/>
      <c r="P858" s="27"/>
      <c r="Q858" s="27"/>
      <c r="R858" s="27"/>
      <c r="S858" s="27"/>
      <c r="T858" s="27"/>
      <c r="U858" s="27"/>
      <c r="AB858" s="27"/>
      <c r="AC858" s="27"/>
      <c r="AD858" s="27"/>
    </row>
    <row r="859" spans="3:30" x14ac:dyDescent="0.3">
      <c r="C859" s="3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N859" s="27"/>
      <c r="O859" s="27"/>
      <c r="P859" s="27"/>
      <c r="Q859" s="27"/>
      <c r="R859" s="27"/>
      <c r="S859" s="27"/>
      <c r="T859" s="27"/>
      <c r="U859" s="27"/>
      <c r="AB859" s="27"/>
      <c r="AC859" s="27"/>
      <c r="AD859" s="27"/>
    </row>
    <row r="860" spans="3:30" x14ac:dyDescent="0.3">
      <c r="C860" s="3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N860" s="27"/>
      <c r="O860" s="27"/>
      <c r="P860" s="27"/>
      <c r="Q860" s="27"/>
      <c r="R860" s="27"/>
      <c r="S860" s="27"/>
      <c r="T860" s="27"/>
      <c r="U860" s="27"/>
      <c r="AB860" s="27"/>
      <c r="AC860" s="27"/>
      <c r="AD860" s="27"/>
    </row>
    <row r="861" spans="3:30" x14ac:dyDescent="0.3">
      <c r="C861" s="3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N861" s="27"/>
      <c r="O861" s="27"/>
      <c r="P861" s="27"/>
      <c r="Q861" s="27"/>
      <c r="R861" s="27"/>
      <c r="S861" s="27"/>
      <c r="T861" s="27"/>
      <c r="U861" s="27"/>
      <c r="AB861" s="27"/>
      <c r="AC861" s="27"/>
      <c r="AD861" s="27"/>
    </row>
    <row r="862" spans="3:30" x14ac:dyDescent="0.3">
      <c r="C862" s="3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N862" s="27"/>
      <c r="O862" s="27"/>
      <c r="P862" s="27"/>
      <c r="Q862" s="27"/>
      <c r="R862" s="27"/>
      <c r="S862" s="27"/>
      <c r="T862" s="27"/>
      <c r="U862" s="27"/>
      <c r="AB862" s="27"/>
      <c r="AC862" s="27"/>
      <c r="AD862" s="27"/>
    </row>
    <row r="863" spans="3:30" x14ac:dyDescent="0.3">
      <c r="C863" s="3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N863" s="27"/>
      <c r="O863" s="27"/>
      <c r="P863" s="27"/>
      <c r="Q863" s="27"/>
      <c r="R863" s="27"/>
      <c r="S863" s="27"/>
      <c r="T863" s="27"/>
      <c r="U863" s="27"/>
      <c r="AB863" s="27"/>
      <c r="AC863" s="27"/>
      <c r="AD863" s="27"/>
    </row>
    <row r="864" spans="3:30" x14ac:dyDescent="0.3">
      <c r="C864" s="3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N864" s="27"/>
      <c r="O864" s="27"/>
      <c r="P864" s="27"/>
      <c r="Q864" s="27"/>
      <c r="R864" s="27"/>
      <c r="S864" s="27"/>
      <c r="T864" s="27"/>
      <c r="U864" s="27"/>
      <c r="AB864" s="27"/>
      <c r="AC864" s="27"/>
      <c r="AD864" s="27"/>
    </row>
    <row r="865" spans="3:30" x14ac:dyDescent="0.3">
      <c r="C865" s="3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N865" s="27"/>
      <c r="O865" s="27"/>
      <c r="P865" s="27"/>
      <c r="Q865" s="27"/>
      <c r="R865" s="27"/>
      <c r="S865" s="27"/>
      <c r="T865" s="27"/>
      <c r="U865" s="27"/>
      <c r="AB865" s="27"/>
      <c r="AC865" s="27"/>
      <c r="AD865" s="27"/>
    </row>
    <row r="866" spans="3:30" x14ac:dyDescent="0.3">
      <c r="C866" s="3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N866" s="27"/>
      <c r="O866" s="27"/>
      <c r="P866" s="27"/>
      <c r="Q866" s="27"/>
      <c r="R866" s="27"/>
      <c r="S866" s="27"/>
      <c r="T866" s="27"/>
      <c r="U866" s="27"/>
      <c r="AB866" s="27"/>
      <c r="AC866" s="27"/>
      <c r="AD866" s="27"/>
    </row>
    <row r="867" spans="3:30" x14ac:dyDescent="0.3">
      <c r="C867" s="3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N867" s="27"/>
      <c r="O867" s="27"/>
      <c r="P867" s="27"/>
      <c r="Q867" s="27"/>
      <c r="R867" s="27"/>
      <c r="S867" s="27"/>
      <c r="T867" s="27"/>
      <c r="U867" s="27"/>
      <c r="AB867" s="27"/>
      <c r="AC867" s="27"/>
      <c r="AD867" s="27"/>
    </row>
    <row r="868" spans="3:30" x14ac:dyDescent="0.3">
      <c r="C868" s="3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N868" s="27"/>
      <c r="O868" s="27"/>
      <c r="P868" s="27"/>
      <c r="Q868" s="27"/>
      <c r="R868" s="27"/>
      <c r="S868" s="27"/>
      <c r="T868" s="27"/>
      <c r="U868" s="27"/>
      <c r="AB868" s="27"/>
      <c r="AC868" s="27"/>
      <c r="AD868" s="27"/>
    </row>
    <row r="869" spans="3:30" x14ac:dyDescent="0.3">
      <c r="C869" s="3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N869" s="27"/>
      <c r="O869" s="27"/>
      <c r="P869" s="27"/>
      <c r="Q869" s="27"/>
      <c r="R869" s="27"/>
      <c r="S869" s="27"/>
      <c r="T869" s="27"/>
      <c r="U869" s="27"/>
      <c r="AB869" s="27"/>
      <c r="AC869" s="27"/>
      <c r="AD869" s="27"/>
    </row>
    <row r="870" spans="3:30" x14ac:dyDescent="0.3">
      <c r="C870" s="3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N870" s="27"/>
      <c r="O870" s="27"/>
      <c r="P870" s="27"/>
      <c r="Q870" s="27"/>
      <c r="R870" s="27"/>
      <c r="S870" s="27"/>
      <c r="T870" s="27"/>
      <c r="U870" s="27"/>
      <c r="AB870" s="27"/>
      <c r="AC870" s="27"/>
      <c r="AD870" s="27"/>
    </row>
    <row r="871" spans="3:30" x14ac:dyDescent="0.3">
      <c r="C871" s="3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N871" s="27"/>
      <c r="O871" s="27"/>
      <c r="P871" s="27"/>
      <c r="Q871" s="27"/>
      <c r="R871" s="27"/>
      <c r="S871" s="27"/>
      <c r="T871" s="27"/>
      <c r="U871" s="27"/>
      <c r="AB871" s="27"/>
      <c r="AC871" s="27"/>
      <c r="AD871" s="27"/>
    </row>
    <row r="872" spans="3:30" x14ac:dyDescent="0.3">
      <c r="C872" s="3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N872" s="27"/>
      <c r="O872" s="27"/>
      <c r="P872" s="27"/>
      <c r="Q872" s="27"/>
      <c r="R872" s="27"/>
      <c r="S872" s="27"/>
      <c r="T872" s="27"/>
      <c r="U872" s="27"/>
      <c r="AB872" s="27"/>
      <c r="AC872" s="27"/>
      <c r="AD872" s="27"/>
    </row>
    <row r="873" spans="3:30" x14ac:dyDescent="0.3">
      <c r="C873" s="3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N873" s="27"/>
      <c r="O873" s="27"/>
      <c r="P873" s="27"/>
      <c r="Q873" s="27"/>
      <c r="R873" s="27"/>
      <c r="S873" s="27"/>
      <c r="T873" s="27"/>
      <c r="U873" s="27"/>
      <c r="AB873" s="27"/>
      <c r="AC873" s="27"/>
      <c r="AD873" s="27"/>
    </row>
    <row r="874" spans="3:30" x14ac:dyDescent="0.3">
      <c r="C874" s="3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N874" s="27"/>
      <c r="O874" s="27"/>
      <c r="P874" s="27"/>
      <c r="Q874" s="27"/>
      <c r="R874" s="27"/>
      <c r="S874" s="27"/>
      <c r="T874" s="27"/>
      <c r="U874" s="27"/>
      <c r="AB874" s="27"/>
      <c r="AC874" s="27"/>
      <c r="AD874" s="27"/>
    </row>
    <row r="875" spans="3:30" x14ac:dyDescent="0.3">
      <c r="C875" s="3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N875" s="27"/>
      <c r="O875" s="27"/>
      <c r="P875" s="27"/>
      <c r="Q875" s="27"/>
      <c r="R875" s="27"/>
      <c r="S875" s="27"/>
      <c r="T875" s="27"/>
      <c r="U875" s="27"/>
      <c r="AB875" s="27"/>
      <c r="AC875" s="27"/>
      <c r="AD875" s="27"/>
    </row>
    <row r="876" spans="3:30" x14ac:dyDescent="0.3">
      <c r="C876" s="3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N876" s="27"/>
      <c r="O876" s="27"/>
      <c r="P876" s="27"/>
      <c r="Q876" s="27"/>
      <c r="R876" s="27"/>
      <c r="S876" s="27"/>
      <c r="T876" s="27"/>
      <c r="U876" s="27"/>
      <c r="AB876" s="27"/>
      <c r="AC876" s="27"/>
      <c r="AD876" s="27"/>
    </row>
    <row r="877" spans="3:30" x14ac:dyDescent="0.3">
      <c r="C877" s="3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N877" s="27"/>
      <c r="O877" s="27"/>
      <c r="P877" s="27"/>
      <c r="Q877" s="27"/>
      <c r="R877" s="27"/>
      <c r="S877" s="27"/>
      <c r="T877" s="27"/>
      <c r="U877" s="27"/>
      <c r="AB877" s="27"/>
      <c r="AC877" s="27"/>
      <c r="AD877" s="27"/>
    </row>
    <row r="878" spans="3:30" x14ac:dyDescent="0.3">
      <c r="C878" s="3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N878" s="27"/>
      <c r="O878" s="27"/>
      <c r="P878" s="27"/>
      <c r="Q878" s="27"/>
      <c r="R878" s="27"/>
      <c r="S878" s="27"/>
      <c r="T878" s="27"/>
      <c r="U878" s="27"/>
      <c r="AB878" s="27"/>
      <c r="AC878" s="27"/>
      <c r="AD878" s="27"/>
    </row>
    <row r="879" spans="3:30" x14ac:dyDescent="0.3">
      <c r="C879" s="3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N879" s="27"/>
      <c r="O879" s="27"/>
      <c r="P879" s="27"/>
      <c r="Q879" s="27"/>
      <c r="R879" s="27"/>
      <c r="S879" s="27"/>
      <c r="T879" s="27"/>
      <c r="U879" s="27"/>
      <c r="AB879" s="27"/>
      <c r="AC879" s="27"/>
      <c r="AD879" s="27"/>
    </row>
    <row r="880" spans="3:30" x14ac:dyDescent="0.3">
      <c r="C880" s="3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N880" s="27"/>
      <c r="O880" s="27"/>
      <c r="P880" s="27"/>
      <c r="Q880" s="27"/>
      <c r="R880" s="27"/>
      <c r="S880" s="27"/>
      <c r="T880" s="27"/>
      <c r="U880" s="27"/>
      <c r="AB880" s="27"/>
      <c r="AC880" s="27"/>
      <c r="AD880" s="27"/>
    </row>
    <row r="881" spans="3:30" x14ac:dyDescent="0.3">
      <c r="C881" s="3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N881" s="27"/>
      <c r="O881" s="27"/>
      <c r="P881" s="27"/>
      <c r="Q881" s="27"/>
      <c r="R881" s="27"/>
      <c r="S881" s="27"/>
      <c r="T881" s="27"/>
      <c r="U881" s="27"/>
      <c r="AB881" s="27"/>
      <c r="AC881" s="27"/>
      <c r="AD881" s="27"/>
    </row>
    <row r="882" spans="3:30" x14ac:dyDescent="0.3">
      <c r="C882" s="3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N882" s="27"/>
      <c r="O882" s="27"/>
      <c r="P882" s="27"/>
      <c r="Q882" s="27"/>
      <c r="R882" s="27"/>
      <c r="S882" s="27"/>
      <c r="T882" s="27"/>
      <c r="U882" s="27"/>
      <c r="AB882" s="27"/>
      <c r="AC882" s="27"/>
      <c r="AD882" s="27"/>
    </row>
    <row r="883" spans="3:30" x14ac:dyDescent="0.3">
      <c r="C883" s="3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N883" s="27"/>
      <c r="O883" s="27"/>
      <c r="P883" s="27"/>
      <c r="Q883" s="27"/>
      <c r="R883" s="27"/>
      <c r="S883" s="27"/>
      <c r="T883" s="27"/>
      <c r="U883" s="27"/>
      <c r="AB883" s="27"/>
      <c r="AC883" s="27"/>
      <c r="AD883" s="27"/>
    </row>
    <row r="884" spans="3:30" x14ac:dyDescent="0.3">
      <c r="C884" s="3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N884" s="27"/>
      <c r="O884" s="27"/>
      <c r="P884" s="27"/>
      <c r="Q884" s="27"/>
      <c r="R884" s="27"/>
      <c r="S884" s="27"/>
      <c r="T884" s="27"/>
      <c r="U884" s="27"/>
      <c r="AB884" s="27"/>
      <c r="AC884" s="27"/>
      <c r="AD884" s="27"/>
    </row>
    <row r="885" spans="3:30" x14ac:dyDescent="0.3">
      <c r="C885" s="3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N885" s="27"/>
      <c r="O885" s="27"/>
      <c r="P885" s="27"/>
      <c r="Q885" s="27"/>
      <c r="R885" s="27"/>
      <c r="S885" s="27"/>
      <c r="T885" s="27"/>
      <c r="U885" s="27"/>
      <c r="AB885" s="27"/>
      <c r="AC885" s="27"/>
      <c r="AD885" s="27"/>
    </row>
    <row r="886" spans="3:30" x14ac:dyDescent="0.3">
      <c r="C886" s="3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N886" s="27"/>
      <c r="O886" s="27"/>
      <c r="P886" s="27"/>
      <c r="Q886" s="27"/>
      <c r="R886" s="27"/>
      <c r="S886" s="27"/>
      <c r="T886" s="27"/>
      <c r="U886" s="27"/>
      <c r="AB886" s="27"/>
      <c r="AC886" s="27"/>
      <c r="AD886" s="27"/>
    </row>
    <row r="887" spans="3:30" x14ac:dyDescent="0.3">
      <c r="C887" s="3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N887" s="27"/>
      <c r="O887" s="27"/>
      <c r="P887" s="27"/>
      <c r="Q887" s="27"/>
      <c r="R887" s="27"/>
      <c r="S887" s="27"/>
      <c r="T887" s="27"/>
      <c r="U887" s="27"/>
      <c r="AB887" s="27"/>
      <c r="AC887" s="27"/>
      <c r="AD887" s="27"/>
    </row>
    <row r="888" spans="3:30" x14ac:dyDescent="0.3">
      <c r="C888" s="3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N888" s="27"/>
      <c r="O888" s="27"/>
      <c r="P888" s="27"/>
      <c r="Q888" s="27"/>
      <c r="R888" s="27"/>
      <c r="S888" s="27"/>
      <c r="T888" s="27"/>
      <c r="U888" s="27"/>
      <c r="AB888" s="27"/>
      <c r="AC888" s="27"/>
      <c r="AD888" s="27"/>
    </row>
    <row r="889" spans="3:30" x14ac:dyDescent="0.3">
      <c r="C889" s="3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N889" s="27"/>
      <c r="O889" s="27"/>
      <c r="P889" s="27"/>
      <c r="Q889" s="27"/>
      <c r="R889" s="27"/>
      <c r="S889" s="27"/>
      <c r="T889" s="27"/>
      <c r="U889" s="27"/>
      <c r="AB889" s="27"/>
      <c r="AC889" s="27"/>
      <c r="AD889" s="27"/>
    </row>
    <row r="890" spans="3:30" x14ac:dyDescent="0.3">
      <c r="C890" s="3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N890" s="27"/>
      <c r="O890" s="27"/>
      <c r="P890" s="27"/>
      <c r="Q890" s="27"/>
      <c r="R890" s="27"/>
      <c r="S890" s="27"/>
      <c r="T890" s="27"/>
      <c r="U890" s="27"/>
      <c r="AB890" s="27"/>
      <c r="AC890" s="27"/>
      <c r="AD890" s="27"/>
    </row>
    <row r="891" spans="3:30" x14ac:dyDescent="0.3">
      <c r="C891" s="3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N891" s="27"/>
      <c r="O891" s="27"/>
      <c r="P891" s="27"/>
      <c r="Q891" s="27"/>
      <c r="R891" s="27"/>
      <c r="S891" s="27"/>
      <c r="T891" s="27"/>
      <c r="U891" s="27"/>
      <c r="AB891" s="27"/>
      <c r="AC891" s="27"/>
      <c r="AD891" s="27"/>
    </row>
    <row r="892" spans="3:30" x14ac:dyDescent="0.3">
      <c r="C892" s="3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N892" s="27"/>
      <c r="O892" s="27"/>
      <c r="P892" s="27"/>
      <c r="Q892" s="27"/>
      <c r="R892" s="27"/>
      <c r="S892" s="27"/>
      <c r="T892" s="27"/>
      <c r="U892" s="27"/>
      <c r="AB892" s="27"/>
      <c r="AC892" s="27"/>
      <c r="AD892" s="27"/>
    </row>
    <row r="893" spans="3:30" x14ac:dyDescent="0.3">
      <c r="C893" s="3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N893" s="27"/>
      <c r="O893" s="27"/>
      <c r="P893" s="27"/>
      <c r="Q893" s="27"/>
      <c r="R893" s="27"/>
      <c r="S893" s="27"/>
      <c r="T893" s="27"/>
      <c r="U893" s="27"/>
      <c r="AB893" s="27"/>
      <c r="AC893" s="27"/>
      <c r="AD893" s="27"/>
    </row>
    <row r="894" spans="3:30" x14ac:dyDescent="0.3">
      <c r="C894" s="3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N894" s="27"/>
      <c r="O894" s="27"/>
      <c r="P894" s="27"/>
      <c r="Q894" s="27"/>
      <c r="R894" s="27"/>
      <c r="S894" s="27"/>
      <c r="T894" s="27"/>
      <c r="U894" s="27"/>
      <c r="AB894" s="27"/>
      <c r="AC894" s="27"/>
      <c r="AD894" s="27"/>
    </row>
    <row r="895" spans="3:30" x14ac:dyDescent="0.3">
      <c r="C895" s="3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N895" s="27"/>
      <c r="O895" s="27"/>
      <c r="P895" s="27"/>
      <c r="Q895" s="27"/>
      <c r="R895" s="27"/>
      <c r="S895" s="27"/>
      <c r="T895" s="27"/>
      <c r="U895" s="27"/>
      <c r="AB895" s="27"/>
      <c r="AC895" s="27"/>
      <c r="AD895" s="27"/>
    </row>
    <row r="896" spans="3:30" x14ac:dyDescent="0.3">
      <c r="C896" s="3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N896" s="27"/>
      <c r="O896" s="27"/>
      <c r="P896" s="27"/>
      <c r="Q896" s="27"/>
      <c r="R896" s="27"/>
      <c r="S896" s="27"/>
      <c r="T896" s="27"/>
      <c r="U896" s="27"/>
      <c r="AB896" s="27"/>
      <c r="AC896" s="27"/>
      <c r="AD896" s="27"/>
    </row>
    <row r="897" spans="3:30" x14ac:dyDescent="0.3">
      <c r="C897" s="3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N897" s="27"/>
      <c r="O897" s="27"/>
      <c r="P897" s="27"/>
      <c r="Q897" s="27"/>
      <c r="R897" s="27"/>
      <c r="S897" s="27"/>
      <c r="T897" s="27"/>
      <c r="U897" s="27"/>
      <c r="AB897" s="27"/>
      <c r="AC897" s="27"/>
      <c r="AD897" s="27"/>
    </row>
    <row r="898" spans="3:30" x14ac:dyDescent="0.3">
      <c r="C898" s="3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N898" s="27"/>
      <c r="O898" s="27"/>
      <c r="P898" s="27"/>
      <c r="Q898" s="27"/>
      <c r="R898" s="27"/>
      <c r="S898" s="27"/>
      <c r="T898" s="27"/>
      <c r="U898" s="27"/>
      <c r="AB898" s="27"/>
      <c r="AC898" s="27"/>
      <c r="AD898" s="27"/>
    </row>
    <row r="899" spans="3:30" x14ac:dyDescent="0.3">
      <c r="C899" s="3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N899" s="27"/>
      <c r="O899" s="27"/>
      <c r="P899" s="27"/>
      <c r="Q899" s="27"/>
      <c r="R899" s="27"/>
      <c r="S899" s="27"/>
      <c r="T899" s="27"/>
      <c r="U899" s="27"/>
      <c r="AB899" s="27"/>
      <c r="AC899" s="27"/>
      <c r="AD899" s="27"/>
    </row>
    <row r="900" spans="3:30" x14ac:dyDescent="0.3">
      <c r="C900" s="3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N900" s="27"/>
      <c r="O900" s="27"/>
      <c r="P900" s="27"/>
      <c r="Q900" s="27"/>
      <c r="R900" s="27"/>
      <c r="S900" s="27"/>
      <c r="T900" s="27"/>
      <c r="U900" s="27"/>
      <c r="AB900" s="27"/>
      <c r="AC900" s="27"/>
      <c r="AD900" s="27"/>
    </row>
    <row r="901" spans="3:30" x14ac:dyDescent="0.3">
      <c r="C901" s="3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N901" s="27"/>
      <c r="O901" s="27"/>
      <c r="P901" s="27"/>
      <c r="Q901" s="27"/>
      <c r="R901" s="27"/>
      <c r="S901" s="27"/>
      <c r="T901" s="27"/>
      <c r="U901" s="27"/>
      <c r="AB901" s="27"/>
      <c r="AC901" s="27"/>
      <c r="AD901" s="27"/>
    </row>
    <row r="902" spans="3:30" x14ac:dyDescent="0.3">
      <c r="C902" s="3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N902" s="27"/>
      <c r="O902" s="27"/>
      <c r="P902" s="27"/>
      <c r="Q902" s="27"/>
      <c r="R902" s="27"/>
      <c r="S902" s="27"/>
      <c r="T902" s="27"/>
      <c r="U902" s="27"/>
      <c r="AB902" s="27"/>
      <c r="AC902" s="27"/>
      <c r="AD902" s="27"/>
    </row>
    <row r="903" spans="3:30" x14ac:dyDescent="0.3">
      <c r="C903" s="3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N903" s="27"/>
      <c r="O903" s="27"/>
      <c r="P903" s="27"/>
      <c r="Q903" s="27"/>
      <c r="R903" s="27"/>
      <c r="S903" s="27"/>
      <c r="T903" s="27"/>
      <c r="U903" s="27"/>
      <c r="AB903" s="27"/>
      <c r="AC903" s="27"/>
      <c r="AD903" s="27"/>
    </row>
    <row r="904" spans="3:30" x14ac:dyDescent="0.3">
      <c r="C904" s="3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N904" s="27"/>
      <c r="O904" s="27"/>
      <c r="P904" s="27"/>
      <c r="Q904" s="27"/>
      <c r="R904" s="27"/>
      <c r="S904" s="27"/>
      <c r="T904" s="27"/>
      <c r="U904" s="27"/>
      <c r="AB904" s="27"/>
      <c r="AC904" s="27"/>
      <c r="AD904" s="27"/>
    </row>
    <row r="905" spans="3:30" x14ac:dyDescent="0.3">
      <c r="C905" s="3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N905" s="27"/>
      <c r="O905" s="27"/>
      <c r="P905" s="27"/>
      <c r="Q905" s="27"/>
      <c r="R905" s="27"/>
      <c r="S905" s="27"/>
      <c r="T905" s="27"/>
      <c r="U905" s="27"/>
      <c r="AB905" s="27"/>
      <c r="AC905" s="27"/>
      <c r="AD905" s="27"/>
    </row>
    <row r="906" spans="3:30" x14ac:dyDescent="0.3">
      <c r="C906" s="3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N906" s="27"/>
      <c r="O906" s="27"/>
      <c r="P906" s="27"/>
      <c r="Q906" s="27"/>
      <c r="R906" s="27"/>
      <c r="S906" s="27"/>
      <c r="T906" s="27"/>
      <c r="U906" s="27"/>
      <c r="AB906" s="27"/>
      <c r="AC906" s="27"/>
      <c r="AD906" s="27"/>
    </row>
    <row r="907" spans="3:30" x14ac:dyDescent="0.3">
      <c r="C907" s="3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N907" s="27"/>
      <c r="O907" s="27"/>
      <c r="P907" s="27"/>
      <c r="Q907" s="27"/>
      <c r="R907" s="27"/>
      <c r="S907" s="27"/>
      <c r="T907" s="27"/>
      <c r="U907" s="27"/>
      <c r="AB907" s="27"/>
      <c r="AC907" s="27"/>
      <c r="AD907" s="27"/>
    </row>
    <row r="908" spans="3:30" x14ac:dyDescent="0.3">
      <c r="C908" s="3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N908" s="27"/>
      <c r="O908" s="27"/>
      <c r="P908" s="27"/>
      <c r="Q908" s="27"/>
      <c r="R908" s="27"/>
      <c r="S908" s="27"/>
      <c r="T908" s="27"/>
      <c r="U908" s="27"/>
      <c r="AB908" s="27"/>
      <c r="AC908" s="27"/>
      <c r="AD908" s="27"/>
    </row>
    <row r="909" spans="3:30" x14ac:dyDescent="0.3">
      <c r="C909" s="3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N909" s="27"/>
      <c r="O909" s="27"/>
      <c r="P909" s="27"/>
      <c r="Q909" s="27"/>
      <c r="R909" s="27"/>
      <c r="S909" s="27"/>
      <c r="T909" s="27"/>
      <c r="U909" s="27"/>
      <c r="AB909" s="27"/>
      <c r="AC909" s="27"/>
      <c r="AD909" s="27"/>
    </row>
    <row r="910" spans="3:30" x14ac:dyDescent="0.3">
      <c r="C910" s="3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N910" s="27"/>
      <c r="O910" s="27"/>
      <c r="P910" s="27"/>
      <c r="Q910" s="27"/>
      <c r="R910" s="27"/>
      <c r="S910" s="27"/>
      <c r="T910" s="27"/>
      <c r="U910" s="27"/>
      <c r="AB910" s="27"/>
      <c r="AC910" s="27"/>
      <c r="AD910" s="27"/>
    </row>
    <row r="911" spans="3:30" x14ac:dyDescent="0.3">
      <c r="C911" s="3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N911" s="27"/>
      <c r="O911" s="27"/>
      <c r="P911" s="27"/>
      <c r="Q911" s="27"/>
      <c r="R911" s="27"/>
      <c r="S911" s="27"/>
      <c r="T911" s="27"/>
      <c r="U911" s="27"/>
      <c r="AB911" s="27"/>
      <c r="AC911" s="27"/>
      <c r="AD911" s="27"/>
    </row>
    <row r="912" spans="3:30" x14ac:dyDescent="0.3">
      <c r="C912" s="3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N912" s="27"/>
      <c r="O912" s="27"/>
      <c r="P912" s="27"/>
      <c r="Q912" s="27"/>
      <c r="R912" s="27"/>
      <c r="S912" s="27"/>
      <c r="T912" s="27"/>
      <c r="U912" s="27"/>
      <c r="AB912" s="27"/>
      <c r="AC912" s="27"/>
      <c r="AD912" s="27"/>
    </row>
    <row r="913" spans="3:30" x14ac:dyDescent="0.3">
      <c r="C913" s="3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N913" s="27"/>
      <c r="O913" s="27"/>
      <c r="P913" s="27"/>
      <c r="Q913" s="27"/>
      <c r="R913" s="27"/>
      <c r="S913" s="27"/>
      <c r="T913" s="27"/>
      <c r="U913" s="27"/>
      <c r="AB913" s="27"/>
      <c r="AC913" s="27"/>
      <c r="AD913" s="27"/>
    </row>
    <row r="914" spans="3:30" x14ac:dyDescent="0.3">
      <c r="C914" s="3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N914" s="27"/>
      <c r="O914" s="27"/>
      <c r="P914" s="27"/>
      <c r="Q914" s="27"/>
      <c r="R914" s="27"/>
      <c r="S914" s="27"/>
      <c r="T914" s="27"/>
      <c r="U914" s="27"/>
      <c r="AB914" s="27"/>
      <c r="AC914" s="27"/>
      <c r="AD914" s="27"/>
    </row>
    <row r="915" spans="3:30" x14ac:dyDescent="0.3">
      <c r="C915" s="3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N915" s="27"/>
      <c r="O915" s="27"/>
      <c r="P915" s="27"/>
      <c r="Q915" s="27"/>
      <c r="R915" s="27"/>
      <c r="S915" s="27"/>
      <c r="T915" s="27"/>
      <c r="U915" s="27"/>
      <c r="AB915" s="27"/>
      <c r="AC915" s="27"/>
      <c r="AD915" s="27"/>
    </row>
    <row r="916" spans="3:30" x14ac:dyDescent="0.3"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N916" s="27"/>
      <c r="O916" s="27"/>
      <c r="P916" s="27"/>
      <c r="Q916" s="27"/>
      <c r="R916" s="27"/>
      <c r="S916" s="27"/>
      <c r="T916" s="27"/>
      <c r="U916" s="27"/>
      <c r="AB916" s="27"/>
      <c r="AC916" s="27"/>
      <c r="AD916" s="27"/>
    </row>
    <row r="917" spans="3:30" x14ac:dyDescent="0.3"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N917" s="27"/>
      <c r="O917" s="27"/>
      <c r="P917" s="27"/>
      <c r="Q917" s="27"/>
      <c r="R917" s="27"/>
      <c r="S917" s="27"/>
      <c r="T917" s="27"/>
      <c r="U917" s="27"/>
      <c r="AB917" s="27"/>
      <c r="AC917" s="27"/>
      <c r="AD917" s="27"/>
    </row>
    <row r="918" spans="3:30" x14ac:dyDescent="0.3"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N918" s="27"/>
      <c r="O918" s="27"/>
      <c r="P918" s="27"/>
      <c r="Q918" s="27"/>
      <c r="R918" s="27"/>
      <c r="S918" s="27"/>
      <c r="T918" s="27"/>
      <c r="U918" s="27"/>
      <c r="AB918" s="27"/>
      <c r="AC918" s="27"/>
      <c r="AD918" s="27"/>
    </row>
    <row r="919" spans="3:30" x14ac:dyDescent="0.3"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N919" s="27"/>
      <c r="O919" s="27"/>
      <c r="P919" s="27"/>
      <c r="Q919" s="27"/>
      <c r="R919" s="27"/>
      <c r="S919" s="27"/>
      <c r="T919" s="27"/>
      <c r="U919" s="27"/>
      <c r="AB919" s="27"/>
      <c r="AC919" s="27"/>
      <c r="AD919" s="27"/>
    </row>
    <row r="920" spans="3:30" x14ac:dyDescent="0.3"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N920" s="27"/>
      <c r="O920" s="27"/>
      <c r="P920" s="27"/>
      <c r="Q920" s="27"/>
      <c r="R920" s="27"/>
      <c r="S920" s="27"/>
      <c r="T920" s="27"/>
      <c r="U920" s="27"/>
      <c r="AB920" s="27"/>
      <c r="AC920" s="27"/>
      <c r="AD920" s="27"/>
    </row>
    <row r="921" spans="3:30" x14ac:dyDescent="0.3"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N921" s="27"/>
      <c r="O921" s="27"/>
      <c r="P921" s="27"/>
      <c r="Q921" s="27"/>
      <c r="R921" s="27"/>
      <c r="S921" s="27"/>
      <c r="T921" s="27"/>
      <c r="U921" s="27"/>
      <c r="AB921" s="27"/>
      <c r="AC921" s="27"/>
      <c r="AD921" s="27"/>
    </row>
    <row r="922" spans="3:30" x14ac:dyDescent="0.3"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N922" s="27"/>
      <c r="O922" s="27"/>
      <c r="P922" s="27"/>
      <c r="Q922" s="27"/>
      <c r="R922" s="27"/>
      <c r="S922" s="27"/>
      <c r="T922" s="27"/>
      <c r="U922" s="27"/>
      <c r="AB922" s="27"/>
      <c r="AC922" s="27"/>
      <c r="AD922" s="27"/>
    </row>
    <row r="923" spans="3:30" x14ac:dyDescent="0.3"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N923" s="27"/>
      <c r="O923" s="27"/>
      <c r="P923" s="27"/>
      <c r="Q923" s="27"/>
      <c r="R923" s="27"/>
      <c r="S923" s="27"/>
      <c r="T923" s="27"/>
      <c r="U923" s="27"/>
      <c r="AB923" s="27"/>
      <c r="AC923" s="27"/>
      <c r="AD923" s="27"/>
    </row>
    <row r="924" spans="3:30" x14ac:dyDescent="0.3"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N924" s="27"/>
      <c r="O924" s="27"/>
      <c r="P924" s="27"/>
      <c r="Q924" s="27"/>
      <c r="R924" s="27"/>
      <c r="S924" s="27"/>
      <c r="T924" s="27"/>
      <c r="U924" s="27"/>
      <c r="AB924" s="27"/>
      <c r="AC924" s="27"/>
      <c r="AD924" s="27"/>
    </row>
    <row r="925" spans="3:30" x14ac:dyDescent="0.3"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N925" s="27"/>
      <c r="O925" s="27"/>
      <c r="P925" s="27"/>
      <c r="Q925" s="27"/>
      <c r="R925" s="27"/>
      <c r="S925" s="27"/>
      <c r="T925" s="27"/>
      <c r="U925" s="27"/>
      <c r="AB925" s="27"/>
      <c r="AC925" s="27"/>
      <c r="AD925" s="27"/>
    </row>
    <row r="926" spans="3:30" x14ac:dyDescent="0.3"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N926" s="27"/>
      <c r="O926" s="27"/>
      <c r="P926" s="27"/>
      <c r="Q926" s="27"/>
      <c r="R926" s="27"/>
      <c r="S926" s="27"/>
      <c r="T926" s="27"/>
      <c r="U926" s="27"/>
      <c r="AB926" s="27"/>
      <c r="AC926" s="27"/>
      <c r="AD926" s="27"/>
    </row>
    <row r="927" spans="3:30" x14ac:dyDescent="0.3"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N927" s="27"/>
      <c r="O927" s="27"/>
      <c r="P927" s="27"/>
      <c r="Q927" s="27"/>
      <c r="R927" s="27"/>
      <c r="S927" s="27"/>
      <c r="T927" s="27"/>
      <c r="U927" s="27"/>
      <c r="AB927" s="27"/>
      <c r="AC927" s="27"/>
      <c r="AD927" s="27"/>
    </row>
    <row r="928" spans="3:30" x14ac:dyDescent="0.3"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N928" s="27"/>
      <c r="O928" s="27"/>
      <c r="P928" s="27"/>
      <c r="Q928" s="27"/>
      <c r="R928" s="27"/>
      <c r="S928" s="27"/>
      <c r="T928" s="27"/>
      <c r="U928" s="27"/>
      <c r="AB928" s="27"/>
      <c r="AC928" s="27"/>
      <c r="AD928" s="27"/>
    </row>
    <row r="929" spans="4:30" x14ac:dyDescent="0.3"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N929" s="27"/>
      <c r="O929" s="27"/>
      <c r="P929" s="27"/>
      <c r="Q929" s="27"/>
      <c r="R929" s="27"/>
      <c r="S929" s="27"/>
      <c r="T929" s="27"/>
      <c r="U929" s="27"/>
      <c r="AB929" s="27"/>
      <c r="AC929" s="27"/>
      <c r="AD929" s="27"/>
    </row>
    <row r="930" spans="4:30" x14ac:dyDescent="0.3"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N930" s="27"/>
      <c r="O930" s="27"/>
      <c r="P930" s="27"/>
      <c r="Q930" s="27"/>
      <c r="R930" s="27"/>
      <c r="S930" s="27"/>
      <c r="T930" s="27"/>
      <c r="U930" s="27"/>
      <c r="AB930" s="27"/>
      <c r="AC930" s="27"/>
      <c r="AD930" s="27"/>
    </row>
    <row r="931" spans="4:30" x14ac:dyDescent="0.3"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N931" s="27"/>
      <c r="O931" s="27"/>
      <c r="P931" s="27"/>
      <c r="Q931" s="27"/>
      <c r="R931" s="27"/>
      <c r="S931" s="27"/>
      <c r="T931" s="27"/>
      <c r="U931" s="27"/>
      <c r="AB931" s="27"/>
      <c r="AC931" s="27"/>
      <c r="AD931" s="27"/>
    </row>
    <row r="932" spans="4:30" x14ac:dyDescent="0.3"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N932" s="27"/>
      <c r="O932" s="27"/>
      <c r="P932" s="27"/>
      <c r="Q932" s="27"/>
      <c r="R932" s="27"/>
      <c r="S932" s="27"/>
      <c r="T932" s="27"/>
      <c r="U932" s="27"/>
      <c r="AB932" s="27"/>
      <c r="AC932" s="27"/>
      <c r="AD932" s="27"/>
    </row>
    <row r="933" spans="4:30" x14ac:dyDescent="0.3"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N933" s="27"/>
      <c r="O933" s="27"/>
      <c r="P933" s="27"/>
      <c r="Q933" s="27"/>
      <c r="R933" s="27"/>
      <c r="S933" s="27"/>
      <c r="T933" s="27"/>
      <c r="U933" s="27"/>
      <c r="AB933" s="27"/>
      <c r="AC933" s="27"/>
      <c r="AD933" s="27"/>
    </row>
    <row r="934" spans="4:30" x14ac:dyDescent="0.3"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N934" s="27"/>
      <c r="O934" s="27"/>
      <c r="P934" s="27"/>
      <c r="Q934" s="27"/>
      <c r="R934" s="27"/>
      <c r="S934" s="27"/>
      <c r="T934" s="27"/>
      <c r="U934" s="27"/>
      <c r="AB934" s="27"/>
      <c r="AC934" s="27"/>
      <c r="AD934" s="27"/>
    </row>
    <row r="935" spans="4:30" x14ac:dyDescent="0.3"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N935" s="27"/>
      <c r="O935" s="27"/>
      <c r="P935" s="27"/>
      <c r="Q935" s="27"/>
      <c r="R935" s="27"/>
      <c r="S935" s="27"/>
      <c r="T935" s="27"/>
      <c r="U935" s="27"/>
      <c r="AB935" s="27"/>
      <c r="AC935" s="27"/>
      <c r="AD935" s="27"/>
    </row>
    <row r="936" spans="4:30" x14ac:dyDescent="0.3"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N936" s="27"/>
      <c r="O936" s="27"/>
      <c r="P936" s="27"/>
      <c r="Q936" s="27"/>
      <c r="R936" s="27"/>
      <c r="S936" s="27"/>
      <c r="T936" s="27"/>
      <c r="U936" s="27"/>
      <c r="AB936" s="27"/>
      <c r="AC936" s="27"/>
      <c r="AD936" s="27"/>
    </row>
    <row r="937" spans="4:30" x14ac:dyDescent="0.3"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N937" s="27"/>
      <c r="O937" s="27"/>
      <c r="P937" s="27"/>
      <c r="Q937" s="27"/>
      <c r="R937" s="27"/>
      <c r="S937" s="27"/>
      <c r="T937" s="27"/>
      <c r="U937" s="27"/>
      <c r="AB937" s="27"/>
      <c r="AC937" s="27"/>
      <c r="AD937" s="27"/>
    </row>
    <row r="938" spans="4:30" x14ac:dyDescent="0.3"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N938" s="27"/>
      <c r="O938" s="27"/>
      <c r="P938" s="27"/>
      <c r="Q938" s="27"/>
      <c r="R938" s="27"/>
      <c r="S938" s="27"/>
      <c r="T938" s="27"/>
      <c r="U938" s="27"/>
      <c r="AB938" s="27"/>
      <c r="AC938" s="27"/>
      <c r="AD938" s="27"/>
    </row>
    <row r="939" spans="4:30" x14ac:dyDescent="0.3"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N939" s="27"/>
      <c r="O939" s="27"/>
      <c r="P939" s="27"/>
      <c r="Q939" s="27"/>
      <c r="R939" s="27"/>
      <c r="S939" s="27"/>
      <c r="T939" s="27"/>
      <c r="U939" s="27"/>
      <c r="AB939" s="27"/>
      <c r="AC939" s="27"/>
      <c r="AD939" s="27"/>
    </row>
    <row r="940" spans="4:30" x14ac:dyDescent="0.3"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N940" s="27"/>
      <c r="O940" s="27"/>
      <c r="P940" s="27"/>
      <c r="Q940" s="27"/>
      <c r="R940" s="27"/>
      <c r="S940" s="27"/>
      <c r="T940" s="27"/>
      <c r="U940" s="27"/>
      <c r="AB940" s="27"/>
      <c r="AC940" s="27"/>
      <c r="AD940" s="27"/>
    </row>
    <row r="941" spans="4:30" x14ac:dyDescent="0.3"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N941" s="27"/>
      <c r="O941" s="27"/>
      <c r="P941" s="27"/>
      <c r="Q941" s="27"/>
      <c r="R941" s="27"/>
      <c r="S941" s="27"/>
      <c r="T941" s="27"/>
      <c r="U941" s="27"/>
      <c r="AB941" s="27"/>
      <c r="AC941" s="27"/>
      <c r="AD941" s="27"/>
    </row>
  </sheetData>
  <mergeCells count="3">
    <mergeCell ref="B4:C4"/>
    <mergeCell ref="B2:C2"/>
    <mergeCell ref="D2:G2"/>
  </mergeCells>
  <dataValidations count="1">
    <dataValidation type="list" allowBlank="1" showInputMessage="1" showErrorMessage="1" sqref="D2" xr:uid="{00000000-0002-0000-0100-000000000000}">
      <formula1>Nombre</formula1>
    </dataValidation>
  </dataValidations>
  <pageMargins left="0.7" right="0.7" top="0.75" bottom="0.75" header="0" footer="0"/>
  <pageSetup scale="2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Filas_profesor">
                <anchor moveWithCells="1" sizeWithCells="1">
                  <from>
                    <xdr:col>7</xdr:col>
                    <xdr:colOff>457200</xdr:colOff>
                    <xdr:row>0</xdr:row>
                    <xdr:rowOff>152400</xdr:rowOff>
                  </from>
                  <to>
                    <xdr:col>9</xdr:col>
                    <xdr:colOff>1828800</xdr:colOff>
                    <xdr:row>1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>
    <pageSetUpPr fitToPage="1"/>
  </sheetPr>
  <dimension ref="A1:AV941"/>
  <sheetViews>
    <sheetView zoomScale="70" zoomScaleNormal="70" workbookViewId="0">
      <selection activeCell="J5" sqref="J5"/>
    </sheetView>
  </sheetViews>
  <sheetFormatPr baseColWidth="10" defaultColWidth="14.453125" defaultRowHeight="13" x14ac:dyDescent="0.3"/>
  <cols>
    <col min="1" max="1" width="5" style="1" customWidth="1"/>
    <col min="2" max="3" width="7.453125" style="2" customWidth="1"/>
    <col min="4" max="4" width="32.453125" style="1" customWidth="1"/>
    <col min="5" max="5" width="8" style="1" customWidth="1"/>
    <col min="6" max="6" width="11.453125" style="1" customWidth="1"/>
    <col min="7" max="7" width="32.453125" style="1" customWidth="1"/>
    <col min="8" max="8" width="10.453125" style="1" customWidth="1"/>
    <col min="9" max="9" width="13.1796875" style="1" customWidth="1"/>
    <col min="10" max="10" width="32.453125" style="1" customWidth="1"/>
    <col min="11" max="11" width="8" style="1" customWidth="1"/>
    <col min="12" max="12" width="13.453125" style="1" customWidth="1"/>
    <col min="13" max="13" width="32.453125" style="1" customWidth="1"/>
    <col min="14" max="14" width="8" style="1" customWidth="1"/>
    <col min="15" max="15" width="11.81640625" style="1" customWidth="1"/>
    <col min="16" max="16" width="32.453125" style="1" customWidth="1"/>
    <col min="17" max="17" width="8" style="1" customWidth="1"/>
    <col min="18" max="18" width="13.81640625" style="1" bestFit="1" customWidth="1"/>
    <col min="19" max="19" width="10.1796875" style="1" bestFit="1" customWidth="1"/>
    <col min="20" max="20" width="8" style="1" hidden="1" customWidth="1"/>
    <col min="21" max="21" width="11.36328125" style="1" hidden="1" customWidth="1"/>
    <col min="22" max="22" width="10.6328125" style="1" customWidth="1"/>
    <col min="23" max="23" width="45.1796875" style="1" customWidth="1"/>
    <col min="24" max="24" width="14.1796875" style="1" bestFit="1" customWidth="1"/>
    <col min="25" max="27" width="10.6328125" style="1" customWidth="1"/>
    <col min="28" max="48" width="14.453125" style="1" customWidth="1"/>
    <col min="49" max="16384" width="14.453125" style="1"/>
  </cols>
  <sheetData>
    <row r="1" spans="1:48" x14ac:dyDescent="0.3">
      <c r="A1" s="34" t="s">
        <v>11</v>
      </c>
    </row>
    <row r="2" spans="1:48" ht="17" x14ac:dyDescent="0.35">
      <c r="A2" s="26"/>
      <c r="B2" s="263" t="s">
        <v>12</v>
      </c>
      <c r="C2" s="264"/>
      <c r="D2" s="94" t="s">
        <v>27</v>
      </c>
      <c r="E2" s="263" t="s">
        <v>14</v>
      </c>
      <c r="F2" s="264"/>
      <c r="G2" s="90">
        <v>2</v>
      </c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95">
        <f>Semestre</f>
        <v>2</v>
      </c>
      <c r="Y2" s="26"/>
      <c r="Z2" s="26"/>
      <c r="AA2" s="26"/>
      <c r="AB2" s="26"/>
      <c r="AC2" s="26"/>
    </row>
    <row r="4" spans="1:48" ht="14.5" x14ac:dyDescent="0.35">
      <c r="B4" s="261" t="s">
        <v>2</v>
      </c>
      <c r="C4" s="262"/>
      <c r="D4" s="89" t="s">
        <v>3</v>
      </c>
      <c r="E4" s="89" t="s">
        <v>4</v>
      </c>
      <c r="F4" s="89" t="s">
        <v>5</v>
      </c>
      <c r="G4" s="91" t="s">
        <v>6</v>
      </c>
      <c r="H4" s="89" t="s">
        <v>4</v>
      </c>
      <c r="I4" s="89" t="s">
        <v>5</v>
      </c>
      <c r="J4" s="91" t="s">
        <v>7</v>
      </c>
      <c r="K4" s="89" t="s">
        <v>4</v>
      </c>
      <c r="L4" s="89" t="s">
        <v>5</v>
      </c>
      <c r="M4" s="91" t="s">
        <v>8</v>
      </c>
      <c r="N4" s="89" t="s">
        <v>4</v>
      </c>
      <c r="O4" s="89" t="s">
        <v>5</v>
      </c>
      <c r="P4" s="91" t="s">
        <v>9</v>
      </c>
      <c r="Q4" s="89" t="s">
        <v>4</v>
      </c>
      <c r="R4" s="89" t="s">
        <v>5</v>
      </c>
      <c r="S4" s="91" t="s">
        <v>15</v>
      </c>
      <c r="T4" s="89" t="s">
        <v>4</v>
      </c>
      <c r="U4" s="89" t="s">
        <v>5</v>
      </c>
      <c r="V4" s="27"/>
      <c r="W4" s="91" t="s">
        <v>16</v>
      </c>
      <c r="X4" s="91" t="s">
        <v>17</v>
      </c>
      <c r="Y4" s="27"/>
      <c r="Z4" s="27"/>
      <c r="AA4" s="27"/>
    </row>
    <row r="5" spans="1:48" ht="143" x14ac:dyDescent="0.35">
      <c r="B5" s="92">
        <v>0.29166666666666669</v>
      </c>
      <c r="C5" s="93">
        <v>0.3125</v>
      </c>
      <c r="D5" s="28" t="str" cm="1">
        <f t="array" aca="1" ref="D5" ca="1">_xlfn.TEXTJOIN(CHAR(10),TRUE,IF(Semestre=INDIRECT("base_de_datos["&amp;Carrera&amp;"]"),IF("x"=base_de_datos[Lunes],IF(base_de_datos[Hora inicio]&lt;=$B5,IF(base_de_datos[Hora fin]&gt;=$C5,base_de_datos[Materia]&amp;" "&amp;base_de_datos[[Número de grupo ]]&amp;" "&amp;base_de_datos[Profesor],""),""),""),""),"")</f>
        <v>Programación orientada a objetos 2 Celia Marisa Rodríguez Rubio
Programación orientada a objetos 3 David Alejandro Montoya  Murillo
Programación orientada a objetos 1 Fátima del Rosario Árambula Coronado</v>
      </c>
      <c r="E5" s="28" t="str" cm="1">
        <f t="array" aca="1" ref="E5" ca="1">_xlfn.TEXTJOIN(CHAR(10),TRUE,IF(Semestre=INDIRECT("base_de_datos["&amp;Carrera&amp;"]"),IF("x"=base_de_datos[Lunes],IF(base_de_datos[Hora inicio]&lt;=$B5,IF(base_de_datos[Hora fin]&gt;=$C5,base_de_datos[Aula]&amp;" "&amp;base_de_datos[Examen],""),""),""),""),"")</f>
        <v xml:space="preserve">Turing 
CC011 
CC010 </v>
      </c>
      <c r="F5" s="28" t="str" cm="1">
        <f t="array" aca="1" ref="F5" ca="1">_xlfn.TEXTJOIN(CHAR(10),TRUE,IF(Semestre=INDIRECT("base_de_datos["&amp;Carrera&amp;"]"),IF("x"=base_de_datos[Lunes],IF(base_de_datos[Hora inicio]&lt;=$B5,IF(base_de_datos[Hora fin]&gt;=$C5,base_de_datos[No clase],""),""),""),""),"")</f>
        <v>2079/81, 2083, 2086
2080/81, 2084, 2087
2078/81, 2082, 2085</v>
      </c>
      <c r="G5" s="28" t="str" cm="1">
        <f t="array" aca="1" ref="G5" ca="1">_xlfn.TEXTJOIN(CHAR(10),TRUE,IF(Semestre=INDIRECT("base_de_datos["&amp;Carrera&amp;"]"),IF("x"=base_de_datos[Martes],IF(base_de_datos[Hora inicio]&lt;=$B5,IF(base_de_datos[Hora fin]&gt;=$C5,base_de_datos[Materia]&amp;" "&amp;base_de_datos[[Número de grupo ]]&amp;" "&amp;base_de_datos[Profesor],""),""),""),""),"")</f>
        <v>Álgebra lineal 2 Ana Elena González Contreras 
Álgebra lineal 1 Briceyda Berenice Delgado López
Álgebra lineal 4 Jesús Adrián Cerda Rodríguez
Álgebra lineal 2 Luis Alonso Romo Mercado
Diseño asistido por computadora 1 Ana Carolina García Meyemberg</v>
      </c>
      <c r="H5" s="28" t="str" cm="1">
        <f t="array" aca="1" ref="H5" ca="1">_xlfn.TEXTJOIN(CHAR(10),TRUE,IF(Semestre=INDIRECT("base_de_datos["&amp;Carrera&amp;"]"),IF("x"=base_de_datos[Martes],IF(base_de_datos[Hora inicio]&lt;=$B5,IF(base_de_datos[Hora fin]&gt;=$C5,base_de_datos[Aula]&amp;" "&amp;base_de_datos[Examen],""),""),""),""),"")</f>
        <v xml:space="preserve">C-03 
C-02 
C-15 
D-01 
CC010 </v>
      </c>
      <c r="I5" s="28" t="str" cm="1">
        <f t="array" aca="1" ref="I5" ca="1">_xlfn.TEXTJOIN(CHAR(10),TRUE,IF(Semestre=INDIRECT("base_de_datos["&amp;Carrera&amp;"]"),IF("x"=base_de_datos[Martes],IF(base_de_datos[Hora inicio]&lt;=$B5,IF(base_de_datos[Hora fin]&gt;=$C5,base_de_datos[No clase],""),""),""),""),"")</f>
        <v>1673, 1681, 1677
1672, 1680, 1676
1675, 1683, 1679
1674, 1682, 1678
1881 , 1918/20, 1921(2do. IID)</v>
      </c>
      <c r="J5" s="28" t="str" cm="1">
        <f t="array" aca="1" ref="J5" ca="1">_xlfn.TEXTJOIN(CHAR(10),TRUE,IF(Semestre=INDIRECT("base_de_datos["&amp;Carrera&amp;"]"),IF("x"=base_de_datos[Miércoles],IF(base_de_datos[Hora inicio]&lt;=$B5,IF(base_de_datos[Hora fin]&gt;=$C5,base_de_datos[Materia]&amp;" "&amp;base_de_datos[[Número de grupo ]]&amp;" "&amp;base_de_datos[Profesor],""),""),""),""),"")</f>
        <v>Programación orientada a objetos 2 Celia Marisa Rodríguez Rubio
Programación orientada a objetos 3 David Alejandro Montoya  Murillo
Programación orientada a objetos 1 Fátima del Rosario Árambula Coronado</v>
      </c>
      <c r="K5" s="28" t="str" cm="1">
        <f t="array" aca="1" ref="K5" ca="1">_xlfn.TEXTJOIN(CHAR(10),TRUE,IF(Semestre=INDIRECT("base_de_datos["&amp;Carrera&amp;"]"),IF("x"=base_de_datos[Miércoles],IF(base_de_datos[Hora inicio]&lt;=$B5,IF(base_de_datos[Hora fin]&gt;=$C5,base_de_datos[Aula]&amp;" "&amp;base_de_datos[Examen],""),""),""),""),"")</f>
        <v xml:space="preserve">Turing 
CC011 
CC010 </v>
      </c>
      <c r="L5" s="28" t="str" cm="1">
        <f t="array" aca="1" ref="L5" ca="1">_xlfn.TEXTJOIN(CHAR(10),TRUE,IF(Semestre=INDIRECT("base_de_datos["&amp;Carrera&amp;"]"),IF("x"=base_de_datos[Miércoles],IF(base_de_datos[Hora inicio]&lt;=$B5,IF(base_de_datos[Hora fin]&gt;=$C5,base_de_datos[No clase],""),""),""),""),"")</f>
        <v>2079/81, 2083, 2086
2080/81, 2084, 2087
2078/81, 2082, 2085</v>
      </c>
      <c r="M5" s="28" t="str" cm="1">
        <f t="array" aca="1" ref="M5" ca="1">_xlfn.TEXTJOIN(CHAR(10),TRUE,IF(Semestre=INDIRECT("base_de_datos["&amp;Carrera&amp;"]"),IF("x"=base_de_datos[Jueves],IF(base_de_datos[Hora inicio]&lt;=$B5,IF(base_de_datos[Hora fin]&gt;=$C5,base_de_datos[Materia]&amp;" "&amp;base_de_datos[[Número de grupo ]]&amp;" "&amp;base_de_datos[Profesor],""),""),""),""),"")</f>
        <v>Álgebra lineal 2 Ana Elena González Contreras 
Álgebra lineal 1 Briceyda Berenice Delgado López
Álgebra lineal 4 Jesús Adrián Cerda Rodríguez
Álgebra lineal 3 Luis Alonso Romo Mercado
Diseño asistido por computadora 1 Ana Carolina García Meyemberg</v>
      </c>
      <c r="N5" s="28" t="str" cm="1">
        <f t="array" aca="1" ref="N5" ca="1">_xlfn.TEXTJOIN(CHAR(10),TRUE,IF(Semestre=INDIRECT("base_de_datos["&amp;Carrera&amp;"]"),IF("x"=base_de_datos[Jueves],IF(base_de_datos[Hora inicio]&lt;=$B5,IF(base_de_datos[Hora fin]&gt;=$C5,base_de_datos[Aula]&amp;" "&amp;base_de_datos[Examen],""),""),""),""),"")</f>
        <v xml:space="preserve">C-03 
C-02 
D-01 
C-04 
CC010 </v>
      </c>
      <c r="O5" s="28" t="str" cm="1">
        <f t="array" aca="1" ref="O5" ca="1">_xlfn.TEXTJOIN(CHAR(10),TRUE,IF(Semestre=INDIRECT("base_de_datos["&amp;Carrera&amp;"]"),IF("x"=base_de_datos[Jueves],IF(base_de_datos[Hora inicio]&lt;=$B5,IF(base_de_datos[Hora fin]&gt;=$C5,base_de_datos[No clase],""),""),""),""),"")</f>
        <v>1673, 1681, 1677
1672, 1680, 1676
1675, 1683, 1679
1674, 1682, 1678
1881 , 1918/20, 1921(2do. IID)</v>
      </c>
      <c r="P5" s="28" t="str" cm="1">
        <f t="array" aca="1" ref="P5" ca="1">_xlfn.TEXTJOIN(CHAR(10),TRUE,IF(Semestre=INDIRECT("base_de_datos["&amp;Carrera&amp;"]"),IF("x"=base_de_datos[Viernes],IF(base_de_datos[Hora inicio]&lt;=$B5,IF(base_de_datos[Hora fin]&gt;=$C5,base_de_datos[Materia]&amp;" "&amp;base_de_datos[[Número de grupo ]]&amp;" "&amp;base_de_datos[Profesor],""),""),""),""),"")</f>
        <v>Diseño asistido por computadora 2 Mauricio Muñoz Zermeño</v>
      </c>
      <c r="Q5" s="28" t="str" cm="1">
        <f t="array" aca="1" ref="Q5" ca="1">_xlfn.TEXTJOIN(CHAR(10),TRUE,IF(Semestre=INDIRECT("base_de_datos["&amp;Carrera&amp;"]"),IF("x"=base_de_datos[Viernes],IF(base_de_datos[Hora inicio]&lt;=$B5,IF(base_de_datos[Hora fin]&gt;=$C5,base_de_datos[Aula]&amp;" "&amp;base_de_datos[Examen],""),""),""),""),"")</f>
        <v xml:space="preserve">CC010 </v>
      </c>
      <c r="R5" s="28" t="str" cm="1">
        <f t="array" aca="1" ref="R5" ca="1">_xlfn.TEXTJOIN(CHAR(10),TRUE,IF(Semestre=INDIRECT("base_de_datos["&amp;Carrera&amp;"]"),IF("x"=base_de_datos[Viernes],IF(base_de_datos[Hora inicio]&lt;=$B5,IF(base_de_datos[Hora fin]&gt;=$C5,base_de_datos[No clase],""),""),""),""),"")</f>
        <v>1917, 1919/20, 1922 (2do. II)</v>
      </c>
      <c r="S5" s="28" t="str" cm="1">
        <f t="array" aca="1" ref="S5" ca="1">_xlfn.TEXTJOIN(CHAR(10),TRUE,IF(Semestre=INDIRECT("base_de_datos["&amp;Carrera&amp;"]"),IF("x"=base_de_datos[Sábado],IF(base_de_datos[Hora inicio]&lt;=$B5,IF(base_de_datos[Hora fin]&gt;=$C5,base_de_datos[Materia]&amp;" "&amp;base_de_datos[[Número de grupo ]]&amp;" "&amp;base_de_datos[Profesor],""),""),""),""),"")</f>
        <v/>
      </c>
      <c r="T5" s="28" t="str" cm="1">
        <f t="array" aca="1" ref="T5" ca="1">_xlfn.TEXTJOIN(CHAR(10),TRUE,IF(Semestre=INDIRECT("base_de_datos["&amp;Carrera&amp;"]"),IF("x"=base_de_datos[Sábado],IF(base_de_datos[Hora inicio]&lt;=$B5,IF(base_de_datos[Hora fin]&gt;=$C5,base_de_datos[Aula]&amp;" "&amp;#REF!,""),""),""),""),"")</f>
        <v/>
      </c>
      <c r="U5" s="28" t="str" cm="1">
        <f t="array" aca="1" ref="U5" ca="1">_xlfn.TEXTJOIN(CHAR(10),TRUE,IF(Semestre=INDIRECT("base_de_datos["&amp;Carrera&amp;"]"),IF("x"=base_de_datos[Sábado],IF(base_de_datos[Hora inicio]&lt;=$B5,IF(base_de_datos[Hora fin]&gt;=$C5,base_de_datos[No clase],""),""),""),""),"")</f>
        <v/>
      </c>
      <c r="V5" s="27"/>
      <c r="W5" s="68" t="str" cm="1">
        <f t="array" aca="1" ref="W5:AU11" ca="1">_xlfn._xlws.SORT(_xlfn._xlws.FILTER(Planes_de_estudio[],(INDIRECT(IF(Carrera="Inteligencia Artificial","Inteligencia_Artificial",IF(Carrera="Tecnologías Energéticas","Tecnologías_Energéticas",IF(Carrera="Civil y Administración","Civil_y_Administración",IF(Carrera="Innovación y Diseño","Innovación_y_Diseño",Carrera)))))=W2)),2,1)</f>
        <v>Programación orientada a objetos</v>
      </c>
      <c r="X5" s="69" t="str">
        <f ca="1"/>
        <v>COM</v>
      </c>
      <c r="Y5" s="30">
        <f ca="1"/>
        <v>2</v>
      </c>
      <c r="Z5" s="30">
        <f ca="1"/>
        <v>2</v>
      </c>
      <c r="AA5" s="30">
        <f ca="1"/>
        <v>0</v>
      </c>
      <c r="AB5" s="50">
        <f ca="1"/>
        <v>2</v>
      </c>
      <c r="AC5" s="50">
        <f ca="1"/>
        <v>2</v>
      </c>
      <c r="AD5" s="50">
        <f ca="1"/>
        <v>0</v>
      </c>
      <c r="AE5" s="50">
        <f ca="1"/>
        <v>2</v>
      </c>
      <c r="AF5" s="50">
        <f ca="1"/>
        <v>64</v>
      </c>
      <c r="AG5" s="50">
        <f ca="1"/>
        <v>0</v>
      </c>
      <c r="AH5" s="50" t="str">
        <f ca="1"/>
        <v>026934</v>
      </c>
      <c r="AI5" s="50" t="str">
        <f ca="1"/>
        <v>026934</v>
      </c>
      <c r="AJ5" s="50">
        <f ca="1"/>
        <v>0</v>
      </c>
      <c r="AK5" s="50" t="str">
        <f ca="1"/>
        <v>028367</v>
      </c>
      <c r="AL5" s="50" t="str">
        <f ca="1"/>
        <v>018543</v>
      </c>
      <c r="AM5" s="50">
        <f ca="1"/>
        <v>0</v>
      </c>
      <c r="AN5" s="50" t="str">
        <f ca="1"/>
        <v>028367</v>
      </c>
      <c r="AO5" s="50">
        <f ca="1"/>
        <v>8</v>
      </c>
      <c r="AP5" s="50">
        <f ca="1"/>
        <v>8</v>
      </c>
      <c r="AQ5" s="50">
        <f ca="1"/>
        <v>0</v>
      </c>
      <c r="AR5" s="50">
        <f ca="1"/>
        <v>8</v>
      </c>
      <c r="AS5" s="50">
        <f ca="1"/>
        <v>6</v>
      </c>
      <c r="AT5" s="50">
        <f ca="1"/>
        <v>0</v>
      </c>
      <c r="AU5" s="50">
        <f ca="1"/>
        <v>8</v>
      </c>
      <c r="AV5" s="50" t="str">
        <f t="shared" ref="AV5:AV17" ca="1" si="0">IF(W5="","",(IFERROR(VLOOKUP(W5,Materia_programada,1,0),0)))</f>
        <v>Programación orientada a objetos</v>
      </c>
    </row>
    <row r="6" spans="1:48" ht="143" x14ac:dyDescent="0.35">
      <c r="B6" s="92">
        <v>0.3125</v>
      </c>
      <c r="C6" s="92">
        <v>0.33333333333333298</v>
      </c>
      <c r="D6" s="28" t="str" cm="1">
        <f t="array" aca="1" ref="D6" ca="1">_xlfn.TEXTJOIN(CHAR(10),TRUE,IF(Semestre=INDIRECT("base_de_datos["&amp;Carrera&amp;"]"),IF("x"=base_de_datos[Lunes],IF(base_de_datos[Hora inicio]&lt;=$B6,IF(base_de_datos[Hora fin]&gt;=$C6,base_de_datos[Materia]&amp;" "&amp;base_de_datos[[Número de grupo ]]&amp;" "&amp;base_de_datos[Profesor],""),""),""),""),"")</f>
        <v>Programación orientada a objetos 2 Celia Marisa Rodríguez Rubio
Programación orientada a objetos 3 David Alejandro Montoya  Murillo
Programación orientada a objetos 1 Fátima del Rosario Árambula Coronado</v>
      </c>
      <c r="E6" s="28" t="str" cm="1">
        <f t="array" aca="1" ref="E6" ca="1">_xlfn.TEXTJOIN(CHAR(10),TRUE,IF(Semestre=INDIRECT("base_de_datos["&amp;Carrera&amp;"]"),IF("x"=base_de_datos[Lunes],IF(base_de_datos[Hora inicio]&lt;=$B6,IF(base_de_datos[Hora fin]&gt;=$C6,base_de_datos[Aula]&amp;" "&amp;base_de_datos[Examen],""),""),""),""),"")</f>
        <v xml:space="preserve">Turing 
CC011 
CC010 </v>
      </c>
      <c r="F6" s="28" t="str" cm="1">
        <f t="array" aca="1" ref="F6" ca="1">_xlfn.TEXTJOIN(CHAR(10),TRUE,IF(Semestre=INDIRECT("base_de_datos["&amp;Carrera&amp;"]"),IF("x"=base_de_datos[Lunes],IF(base_de_datos[Hora inicio]&lt;=$B6,IF(base_de_datos[Hora fin]&gt;=$C6,base_de_datos[No clase],""),""),""),""),"")</f>
        <v>2079/81, 2083, 2086
2080/81, 2084, 2087
2078/81, 2082, 2085</v>
      </c>
      <c r="G6" s="28" t="str" cm="1">
        <f t="array" aca="1" ref="G6" ca="1">_xlfn.TEXTJOIN(CHAR(10),TRUE,IF(Semestre=INDIRECT("base_de_datos["&amp;Carrera&amp;"]"),IF("x"=base_de_datos[Martes],IF(base_de_datos[Hora inicio]&lt;=$B6,IF(base_de_datos[Hora fin]&gt;=$C6,base_de_datos[Materia]&amp;" "&amp;base_de_datos[[Número de grupo ]]&amp;" "&amp;base_de_datos[Profesor],""),""),""),""),"")</f>
        <v>Álgebra lineal 2 Ana Elena González Contreras 
Álgebra lineal 1 Briceyda Berenice Delgado López
Álgebra lineal 4 Jesús Adrián Cerda Rodríguez
Álgebra lineal 2 Luis Alonso Romo Mercado
Diseño asistido por computadora 1 Ana Carolina García Meyemberg</v>
      </c>
      <c r="H6" s="28" t="str" cm="1">
        <f t="array" aca="1" ref="H6" ca="1">_xlfn.TEXTJOIN(CHAR(10),TRUE,IF(Semestre=INDIRECT("base_de_datos["&amp;Carrera&amp;"]"),IF("x"=base_de_datos[Martes],IF(base_de_datos[Hora inicio]&lt;=$B6,IF(base_de_datos[Hora fin]&gt;=$C6,base_de_datos[Aula]&amp;" "&amp;base_de_datos[Examen],""),""),""),""),"")</f>
        <v xml:space="preserve">C-03 
C-02 
C-15 
D-01 
CC010 </v>
      </c>
      <c r="I6" s="28" t="str" cm="1">
        <f t="array" aca="1" ref="I6" ca="1">_xlfn.TEXTJOIN(CHAR(10),TRUE,IF(Semestre=INDIRECT("base_de_datos["&amp;Carrera&amp;"]"),IF("x"=base_de_datos[Martes],IF(base_de_datos[Hora inicio]&lt;=$B6,IF(base_de_datos[Hora fin]&gt;=$C6,base_de_datos[No clase],""),""),""),""),"")</f>
        <v>1673, 1681, 1677
1672, 1680, 1676
1675, 1683, 1679
1674, 1682, 1678
1881 , 1918/20, 1921(2do. IID)</v>
      </c>
      <c r="J6" s="28" t="str" cm="1">
        <f t="array" aca="1" ref="J6" ca="1">_xlfn.TEXTJOIN(CHAR(10),TRUE,IF(Semestre=INDIRECT("base_de_datos["&amp;Carrera&amp;"]"),IF("x"=base_de_datos[Miércoles],IF(base_de_datos[Hora inicio]&lt;=$B6,IF(base_de_datos[Hora fin]&gt;=$C6,base_de_datos[Materia]&amp;" "&amp;base_de_datos[[Número de grupo ]]&amp;" "&amp;base_de_datos[Profesor],""),""),""),""),"")</f>
        <v>Programación orientada a objetos 2 Celia Marisa Rodríguez Rubio
Programación orientada a objetos 3 David Alejandro Montoya  Murillo
Programación orientada a objetos 1 Fátima del Rosario Árambula Coronado</v>
      </c>
      <c r="K6" s="28" t="str" cm="1">
        <f t="array" aca="1" ref="K6" ca="1">_xlfn.TEXTJOIN(CHAR(10),TRUE,IF(Semestre=INDIRECT("base_de_datos["&amp;Carrera&amp;"]"),IF("x"=base_de_datos[Miércoles],IF(base_de_datos[Hora inicio]&lt;=$B6,IF(base_de_datos[Hora fin]&gt;=$C6,base_de_datos[Aula]&amp;" "&amp;base_de_datos[Examen],""),""),""),""),"")</f>
        <v xml:space="preserve">Turing 
CC011 
CC010 </v>
      </c>
      <c r="L6" s="28" t="str" cm="1">
        <f t="array" aca="1" ref="L6" ca="1">_xlfn.TEXTJOIN(CHAR(10),TRUE,IF(Semestre=INDIRECT("base_de_datos["&amp;Carrera&amp;"]"),IF("x"=base_de_datos[Miércoles],IF(base_de_datos[Hora inicio]&lt;=$B6,IF(base_de_datos[Hora fin]&gt;=$C6,base_de_datos[No clase],""),""),""),""),"")</f>
        <v>2079/81, 2083, 2086
2080/81, 2084, 2087
2078/81, 2082, 2085</v>
      </c>
      <c r="M6" s="28" t="str" cm="1">
        <f t="array" aca="1" ref="M6" ca="1">_xlfn.TEXTJOIN(CHAR(10),TRUE,IF(Semestre=INDIRECT("base_de_datos["&amp;Carrera&amp;"]"),IF("x"=base_de_datos[Jueves],IF(base_de_datos[Hora inicio]&lt;=$B6,IF(base_de_datos[Hora fin]&gt;=$C6,base_de_datos[Materia]&amp;" "&amp;base_de_datos[[Número de grupo ]]&amp;" "&amp;base_de_datos[Profesor],""),""),""),""),"")</f>
        <v>Álgebra lineal 2 Ana Elena González Contreras 
Álgebra lineal 1 Briceyda Berenice Delgado López
Álgebra lineal 4 Jesús Adrián Cerda Rodríguez
Álgebra lineal 3 Luis Alonso Romo Mercado
Diseño asistido por computadora 1 Ana Carolina García Meyemberg</v>
      </c>
      <c r="N6" s="28" t="str" cm="1">
        <f t="array" aca="1" ref="N6" ca="1">_xlfn.TEXTJOIN(CHAR(10),TRUE,IF(Semestre=INDIRECT("base_de_datos["&amp;Carrera&amp;"]"),IF("x"=base_de_datos[Jueves],IF(base_de_datos[Hora inicio]&lt;=$B6,IF(base_de_datos[Hora fin]&gt;=$C6,base_de_datos[Aula]&amp;" "&amp;base_de_datos[Examen],""),""),""),""),"")</f>
        <v xml:space="preserve">C-03 
C-02 
D-01 
C-04 
CC010 </v>
      </c>
      <c r="O6" s="28" t="str" cm="1">
        <f t="array" aca="1" ref="O6" ca="1">_xlfn.TEXTJOIN(CHAR(10),TRUE,IF(Semestre=INDIRECT("base_de_datos["&amp;Carrera&amp;"]"),IF("x"=base_de_datos[Jueves],IF(base_de_datos[Hora inicio]&lt;=$B6,IF(base_de_datos[Hora fin]&gt;=$C6,base_de_datos[No clase],""),""),""),""),"")</f>
        <v>1673, 1681, 1677
1672, 1680, 1676
1675, 1683, 1679
1674, 1682, 1678
1881 , 1918/20, 1921(2do. IID)</v>
      </c>
      <c r="P6" s="28" t="str" cm="1">
        <f t="array" aca="1" ref="P6" ca="1">_xlfn.TEXTJOIN(CHAR(10),TRUE,IF(Semestre=INDIRECT("base_de_datos["&amp;Carrera&amp;"]"),IF("x"=base_de_datos[Viernes],IF(base_de_datos[Hora inicio]&lt;=$B6,IF(base_de_datos[Hora fin]&gt;=$C6,base_de_datos[Materia]&amp;" "&amp;base_de_datos[[Número de grupo ]]&amp;" "&amp;base_de_datos[Profesor],""),""),""),""),"")</f>
        <v>Diseño asistido por computadora 2 Mauricio Muñoz Zermeño</v>
      </c>
      <c r="Q6" s="28" t="str" cm="1">
        <f t="array" aca="1" ref="Q6" ca="1">_xlfn.TEXTJOIN(CHAR(10),TRUE,IF(Semestre=INDIRECT("base_de_datos["&amp;Carrera&amp;"]"),IF("x"=base_de_datos[Viernes],IF(base_de_datos[Hora inicio]&lt;=$B6,IF(base_de_datos[Hora fin]&gt;=$C6,base_de_datos[Aula]&amp;" "&amp;base_de_datos[Examen],""),""),""),""),"")</f>
        <v xml:space="preserve">CC010 </v>
      </c>
      <c r="R6" s="28" t="str" cm="1">
        <f t="array" aca="1" ref="R6" ca="1">_xlfn.TEXTJOIN(CHAR(10),TRUE,IF(Semestre=INDIRECT("base_de_datos["&amp;Carrera&amp;"]"),IF("x"=base_de_datos[Viernes],IF(base_de_datos[Hora inicio]&lt;=$B6,IF(base_de_datos[Hora fin]&gt;=$C6,base_de_datos[No clase],""),""),""),""),"")</f>
        <v>1917, 1919/20, 1922 (2do. II)</v>
      </c>
      <c r="S6" s="28" t="str" cm="1">
        <f t="array" aca="1" ref="S6" ca="1">_xlfn.TEXTJOIN(CHAR(10),TRUE,IF(Semestre=INDIRECT("base_de_datos["&amp;Carrera&amp;"]"),IF("x"=base_de_datos[Sábado],IF(base_de_datos[Hora inicio]&lt;=$B6,IF(base_de_datos[Hora fin]&gt;=$C6,base_de_datos[Materia]&amp;" "&amp;base_de_datos[[Número de grupo ]]&amp;" "&amp;base_de_datos[Profesor],""),""),""),""),"")</f>
        <v/>
      </c>
      <c r="T6" s="28" t="str" cm="1">
        <f t="array" aca="1" ref="T6" ca="1">_xlfn.TEXTJOIN(CHAR(10),TRUE,IF(Semestre=INDIRECT("base_de_datos["&amp;Carrera&amp;"]"),IF("x"=base_de_datos[Sábado],IF(base_de_datos[Hora inicio]&lt;=$B6,IF(base_de_datos[Hora fin]&gt;=$C6,base_de_datos[Aula]&amp;" "&amp;#REF!,""),""),""),""),"")</f>
        <v/>
      </c>
      <c r="U6" s="28" t="str" cm="1">
        <f t="array" aca="1" ref="U6" ca="1">_xlfn.TEXTJOIN(CHAR(10),TRUE,IF(Semestre=INDIRECT("base_de_datos["&amp;Carrera&amp;"]"),IF("x"=base_de_datos[Sábado],IF(base_de_datos[Hora inicio]&lt;=$B6,IF(base_de_datos[Hora fin]&gt;=$C6,base_de_datos[No clase],""),""),""),""),"")</f>
        <v/>
      </c>
      <c r="V6" s="27"/>
      <c r="W6" s="69" t="str">
        <f ca="1"/>
        <v>Contabilidad y costos</v>
      </c>
      <c r="X6" s="69" t="str">
        <f ca="1"/>
        <v>EMP</v>
      </c>
      <c r="Y6" s="30">
        <f ca="1"/>
        <v>2</v>
      </c>
      <c r="Z6" s="30">
        <f ca="1"/>
        <v>0</v>
      </c>
      <c r="AA6" s="30">
        <f ca="1"/>
        <v>0</v>
      </c>
      <c r="AB6" s="50">
        <f ca="1"/>
        <v>0</v>
      </c>
      <c r="AC6" s="50">
        <f ca="1"/>
        <v>0</v>
      </c>
      <c r="AD6" s="50">
        <f ca="1"/>
        <v>8</v>
      </c>
      <c r="AE6" s="50">
        <f ca="1"/>
        <v>0</v>
      </c>
      <c r="AF6" s="50">
        <f ca="1"/>
        <v>48</v>
      </c>
      <c r="AG6" s="50">
        <f ca="1"/>
        <v>0</v>
      </c>
      <c r="AH6" s="50" t="str">
        <f ca="1"/>
        <v>027023</v>
      </c>
      <c r="AI6" s="50">
        <f ca="1"/>
        <v>0</v>
      </c>
      <c r="AJ6" s="50">
        <f ca="1"/>
        <v>0</v>
      </c>
      <c r="AK6" s="50">
        <f ca="1"/>
        <v>0</v>
      </c>
      <c r="AL6" s="50">
        <f ca="1"/>
        <v>0</v>
      </c>
      <c r="AM6" s="50" t="str">
        <f ca="1"/>
        <v>027065</v>
      </c>
      <c r="AN6" s="50">
        <f ca="1"/>
        <v>0</v>
      </c>
      <c r="AO6" s="50">
        <f ca="1"/>
        <v>6</v>
      </c>
      <c r="AP6" s="50">
        <f ca="1"/>
        <v>0</v>
      </c>
      <c r="AQ6" s="50">
        <f ca="1"/>
        <v>0</v>
      </c>
      <c r="AR6" s="50">
        <f ca="1"/>
        <v>0</v>
      </c>
      <c r="AS6" s="50">
        <f ca="1"/>
        <v>0</v>
      </c>
      <c r="AT6" s="50">
        <f ca="1"/>
        <v>6</v>
      </c>
      <c r="AU6" s="50">
        <f ca="1"/>
        <v>0</v>
      </c>
      <c r="AV6" s="50" t="str">
        <f t="shared" ca="1" si="0"/>
        <v>Contabilidad y costos</v>
      </c>
    </row>
    <row r="7" spans="1:48" ht="143" x14ac:dyDescent="0.35">
      <c r="B7" s="92">
        <v>0.33333333333333298</v>
      </c>
      <c r="C7" s="92">
        <v>0.35416666666666602</v>
      </c>
      <c r="D7" s="28" t="str" cm="1">
        <f t="array" aca="1" ref="D7" ca="1">_xlfn.TEXTJOIN(CHAR(10),TRUE,IF(Semestre=INDIRECT("base_de_datos["&amp;Carrera&amp;"]"),IF("x"=base_de_datos[Lunes],IF(base_de_datos[Hora inicio]&lt;=$B7,IF(base_de_datos[Hora fin]&gt;=$C7,base_de_datos[Materia]&amp;" "&amp;base_de_datos[[Número de grupo ]]&amp;" "&amp;base_de_datos[Profesor],""),""),""),""),"")</f>
        <v>Programación orientada a objetos 2 Celia Marisa Rodríguez Rubio
Programación orientada a objetos 3 David Alejandro Montoya  Murillo
Programación orientada a objetos 1 Fátima del Rosario Árambula Coronado</v>
      </c>
      <c r="E7" s="28" t="str" cm="1">
        <f t="array" aca="1" ref="E7" ca="1">_xlfn.TEXTJOIN(CHAR(10),TRUE,IF(Semestre=INDIRECT("base_de_datos["&amp;Carrera&amp;"]"),IF("x"=base_de_datos[Lunes],IF(base_de_datos[Hora inicio]&lt;=$B7,IF(base_de_datos[Hora fin]&gt;=$C7,base_de_datos[Aula]&amp;" "&amp;base_de_datos[Examen],""),""),""),""),"")</f>
        <v xml:space="preserve">Turing 
CC011 
CC010 </v>
      </c>
      <c r="F7" s="28" t="str" cm="1">
        <f t="array" aca="1" ref="F7" ca="1">_xlfn.TEXTJOIN(CHAR(10),TRUE,IF(Semestre=INDIRECT("base_de_datos["&amp;Carrera&amp;"]"),IF("x"=base_de_datos[Lunes],IF(base_de_datos[Hora inicio]&lt;=$B7,IF(base_de_datos[Hora fin]&gt;=$C7,base_de_datos[No clase],""),""),""),""),"")</f>
        <v>2079/81, 2083, 2086
2080/81, 2084, 2087
2078/81, 2082, 2085</v>
      </c>
      <c r="G7" s="28" t="str" cm="1">
        <f t="array" aca="1" ref="G7" ca="1">_xlfn.TEXTJOIN(CHAR(10),TRUE,IF(Semestre=INDIRECT("base_de_datos["&amp;Carrera&amp;"]"),IF("x"=base_de_datos[Martes],IF(base_de_datos[Hora inicio]&lt;=$B7,IF(base_de_datos[Hora fin]&gt;=$C7,base_de_datos[Materia]&amp;" "&amp;base_de_datos[[Número de grupo ]]&amp;" "&amp;base_de_datos[Profesor],""),""),""),""),"")</f>
        <v>Álgebra lineal 2 Ana Elena González Contreras 
Álgebra lineal 1 Briceyda Berenice Delgado López
Álgebra lineal 4 Jesús Adrián Cerda Rodríguez
Álgebra lineal 2 Luis Alonso Romo Mercado
Diseño asistido por computadora 1 Ana Carolina García Meyemberg</v>
      </c>
      <c r="H7" s="28" t="str" cm="1">
        <f t="array" aca="1" ref="H7" ca="1">_xlfn.TEXTJOIN(CHAR(10),TRUE,IF(Semestre=INDIRECT("base_de_datos["&amp;Carrera&amp;"]"),IF("x"=base_de_datos[Martes],IF(base_de_datos[Hora inicio]&lt;=$B7,IF(base_de_datos[Hora fin]&gt;=$C7,base_de_datos[Aula]&amp;" "&amp;base_de_datos[Examen],""),""),""),""),"")</f>
        <v xml:space="preserve">C-03 
C-02 
C-15 
D-01 
CC010 </v>
      </c>
      <c r="I7" s="28" t="str" cm="1">
        <f t="array" aca="1" ref="I7" ca="1">_xlfn.TEXTJOIN(CHAR(10),TRUE,IF(Semestre=INDIRECT("base_de_datos["&amp;Carrera&amp;"]"),IF("x"=base_de_datos[Martes],IF(base_de_datos[Hora inicio]&lt;=$B7,IF(base_de_datos[Hora fin]&gt;=$C7,base_de_datos[No clase],""),""),""),""),"")</f>
        <v>1673, 1681, 1677
1672, 1680, 1676
1675, 1683, 1679
1674, 1682, 1678
1881 , 1918/20, 1921(2do. IID)</v>
      </c>
      <c r="J7" s="28" t="str" cm="1">
        <f t="array" aca="1" ref="J7" ca="1">_xlfn.TEXTJOIN(CHAR(10),TRUE,IF(Semestre=INDIRECT("base_de_datos["&amp;Carrera&amp;"]"),IF("x"=base_de_datos[Miércoles],IF(base_de_datos[Hora inicio]&lt;=$B7,IF(base_de_datos[Hora fin]&gt;=$C7,base_de_datos[Materia]&amp;" "&amp;base_de_datos[[Número de grupo ]]&amp;" "&amp;base_de_datos[Profesor],""),""),""),""),"")</f>
        <v>Programación orientada a objetos 2 Celia Marisa Rodríguez Rubio
Programación orientada a objetos 3 David Alejandro Montoya  Murillo
Programación orientada a objetos 1 Fátima del Rosario Árambula Coronado</v>
      </c>
      <c r="K7" s="28" t="str" cm="1">
        <f t="array" aca="1" ref="K7" ca="1">_xlfn.TEXTJOIN(CHAR(10),TRUE,IF(Semestre=INDIRECT("base_de_datos["&amp;Carrera&amp;"]"),IF("x"=base_de_datos[Miércoles],IF(base_de_datos[Hora inicio]&lt;=$B7,IF(base_de_datos[Hora fin]&gt;=$C7,base_de_datos[Aula]&amp;" "&amp;base_de_datos[Examen],""),""),""),""),"")</f>
        <v xml:space="preserve">Turing 
CC011 
CC010 </v>
      </c>
      <c r="L7" s="28" t="str" cm="1">
        <f t="array" aca="1" ref="L7" ca="1">_xlfn.TEXTJOIN(CHAR(10),TRUE,IF(Semestre=INDIRECT("base_de_datos["&amp;Carrera&amp;"]"),IF("x"=base_de_datos[Miércoles],IF(base_de_datos[Hora inicio]&lt;=$B7,IF(base_de_datos[Hora fin]&gt;=$C7,base_de_datos[No clase],""),""),""),""),"")</f>
        <v>2079/81, 2083, 2086
2080/81, 2084, 2087
2078/81, 2082, 2085</v>
      </c>
      <c r="M7" s="28" t="str" cm="1">
        <f t="array" aca="1" ref="M7" ca="1">_xlfn.TEXTJOIN(CHAR(10),TRUE,IF(Semestre=INDIRECT("base_de_datos["&amp;Carrera&amp;"]"),IF("x"=base_de_datos[Jueves],IF(base_de_datos[Hora inicio]&lt;=$B7,IF(base_de_datos[Hora fin]&gt;=$C7,base_de_datos[Materia]&amp;" "&amp;base_de_datos[[Número de grupo ]]&amp;" "&amp;base_de_datos[Profesor],""),""),""),""),"")</f>
        <v>Álgebra lineal 2 Ana Elena González Contreras 
Álgebra lineal 1 Briceyda Berenice Delgado López
Álgebra lineal 4 Jesús Adrián Cerda Rodríguez
Álgebra lineal 3 Luis Alonso Romo Mercado
Diseño asistido por computadora 1 Ana Carolina García Meyemberg</v>
      </c>
      <c r="N7" s="28" t="str" cm="1">
        <f t="array" aca="1" ref="N7" ca="1">_xlfn.TEXTJOIN(CHAR(10),TRUE,IF(Semestre=INDIRECT("base_de_datos["&amp;Carrera&amp;"]"),IF("x"=base_de_datos[Jueves],IF(base_de_datos[Hora inicio]&lt;=$B7,IF(base_de_datos[Hora fin]&gt;=$C7,base_de_datos[Aula]&amp;" "&amp;base_de_datos[Examen],""),""),""),""),"")</f>
        <v xml:space="preserve">C-03 
C-02 
D-01 
C-04 
CC010 </v>
      </c>
      <c r="O7" s="28" t="str" cm="1">
        <f t="array" aca="1" ref="O7" ca="1">_xlfn.TEXTJOIN(CHAR(10),TRUE,IF(Semestre=INDIRECT("base_de_datos["&amp;Carrera&amp;"]"),IF("x"=base_de_datos[Jueves],IF(base_de_datos[Hora inicio]&lt;=$B7,IF(base_de_datos[Hora fin]&gt;=$C7,base_de_datos[No clase],""),""),""),""),"")</f>
        <v>1673, 1681, 1677
1672, 1680, 1676
1675, 1683, 1679
1674, 1682, 1678
1881 , 1918/20, 1921(2do. IID)</v>
      </c>
      <c r="P7" s="28" t="str" cm="1">
        <f t="array" aca="1" ref="P7" ca="1">_xlfn.TEXTJOIN(CHAR(10),TRUE,IF(Semestre=INDIRECT("base_de_datos["&amp;Carrera&amp;"]"),IF("x"=base_de_datos[Viernes],IF(base_de_datos[Hora inicio]&lt;=$B7,IF(base_de_datos[Hora fin]&gt;=$C7,base_de_datos[Materia]&amp;" "&amp;base_de_datos[[Número de grupo ]]&amp;" "&amp;base_de_datos[Profesor],""),""),""),""),"")</f>
        <v>Diseño asistido por computadora 2 Mauricio Muñoz Zermeño</v>
      </c>
      <c r="Q7" s="28" t="str" cm="1">
        <f t="array" aca="1" ref="Q7" ca="1">_xlfn.TEXTJOIN(CHAR(10),TRUE,IF(Semestre=INDIRECT("base_de_datos["&amp;Carrera&amp;"]"),IF("x"=base_de_datos[Viernes],IF(base_de_datos[Hora inicio]&lt;=$B7,IF(base_de_datos[Hora fin]&gt;=$C7,base_de_datos[Aula]&amp;" "&amp;base_de_datos[Examen],""),""),""),""),"")</f>
        <v xml:space="preserve">CC010 </v>
      </c>
      <c r="R7" s="28" t="str" cm="1">
        <f t="array" aca="1" ref="R7" ca="1">_xlfn.TEXTJOIN(CHAR(10),TRUE,IF(Semestre=INDIRECT("base_de_datos["&amp;Carrera&amp;"]"),IF("x"=base_de_datos[Viernes],IF(base_de_datos[Hora inicio]&lt;=$B7,IF(base_de_datos[Hora fin]&gt;=$C7,base_de_datos[No clase],""),""),""),""),"")</f>
        <v>1917, 1919/20, 1922 (2do. II)</v>
      </c>
      <c r="S7" s="28" t="str" cm="1">
        <f t="array" aca="1" ref="S7" ca="1">_xlfn.TEXTJOIN(CHAR(10),TRUE,IF(Semestre=INDIRECT("base_de_datos["&amp;Carrera&amp;"]"),IF("x"=base_de_datos[Sábado],IF(base_de_datos[Hora inicio]&lt;=$B7,IF(base_de_datos[Hora fin]&gt;=$C7,base_de_datos[Materia]&amp;" "&amp;base_de_datos[[Número de grupo ]]&amp;" "&amp;base_de_datos[Profesor],""),""),""),""),"")</f>
        <v/>
      </c>
      <c r="T7" s="28" t="str" cm="1">
        <f t="array" aca="1" ref="T7" ca="1">_xlfn.TEXTJOIN(CHAR(10),TRUE,IF(Semestre=INDIRECT("base_de_datos["&amp;Carrera&amp;"]"),IF("x"=base_de_datos[Sábado],IF(base_de_datos[Hora inicio]&lt;=$B7,IF(base_de_datos[Hora fin]&gt;=$C7,base_de_datos[Aula]&amp;" "&amp;#REF!,""),""),""),""),"")</f>
        <v/>
      </c>
      <c r="U7" s="28" t="str" cm="1">
        <f t="array" aca="1" ref="U7" ca="1">_xlfn.TEXTJOIN(CHAR(10),TRUE,IF(Semestre=INDIRECT("base_de_datos["&amp;Carrera&amp;"]"),IF("x"=base_de_datos[Sábado],IF(base_de_datos[Hora inicio]&lt;=$B7,IF(base_de_datos[Hora fin]&gt;=$C7,base_de_datos[No clase],""),""),""),""),"")</f>
        <v/>
      </c>
      <c r="V7" s="27"/>
      <c r="W7" s="69" t="str">
        <f ca="1"/>
        <v>Persona y sociedad/Antropología Filosófica II</v>
      </c>
      <c r="X7" s="69" t="str">
        <f ca="1"/>
        <v>HUM</v>
      </c>
      <c r="Y7" s="30">
        <f ca="1"/>
        <v>2</v>
      </c>
      <c r="Z7" s="30">
        <f ca="1"/>
        <v>2</v>
      </c>
      <c r="AA7" s="30">
        <f ca="1"/>
        <v>2</v>
      </c>
      <c r="AB7" s="50">
        <f ca="1"/>
        <v>2</v>
      </c>
      <c r="AC7" s="50">
        <f ca="1"/>
        <v>2</v>
      </c>
      <c r="AD7" s="50">
        <f ca="1"/>
        <v>2</v>
      </c>
      <c r="AE7" s="50">
        <f ca="1"/>
        <v>2</v>
      </c>
      <c r="AF7" s="50">
        <f ca="1"/>
        <v>48</v>
      </c>
      <c r="AG7" s="50">
        <f ca="1"/>
        <v>0</v>
      </c>
      <c r="AH7" s="50" t="str">
        <f ca="1"/>
        <v>026898</v>
      </c>
      <c r="AI7" s="50" t="str">
        <f ca="1"/>
        <v>026898</v>
      </c>
      <c r="AJ7" s="50" t="str">
        <f ca="1"/>
        <v>026898</v>
      </c>
      <c r="AK7" s="50" t="str">
        <f ca="1"/>
        <v>028369</v>
      </c>
      <c r="AL7" s="50" t="str">
        <f ca="1"/>
        <v>018512</v>
      </c>
      <c r="AM7" s="50" t="str">
        <f ca="1"/>
        <v>027049</v>
      </c>
      <c r="AN7" s="50" t="str">
        <f ca="1"/>
        <v>028369</v>
      </c>
      <c r="AO7" s="50">
        <f ca="1"/>
        <v>6</v>
      </c>
      <c r="AP7" s="50">
        <f ca="1"/>
        <v>6</v>
      </c>
      <c r="AQ7" s="50">
        <f ca="1"/>
        <v>6</v>
      </c>
      <c r="AR7" s="50">
        <f ca="1"/>
        <v>6</v>
      </c>
      <c r="AS7" s="50">
        <f ca="1"/>
        <v>6</v>
      </c>
      <c r="AT7" s="50">
        <f ca="1"/>
        <v>6</v>
      </c>
      <c r="AU7" s="50">
        <f ca="1"/>
        <v>6</v>
      </c>
      <c r="AV7" s="50" t="str">
        <f t="shared" ca="1" si="0"/>
        <v>Persona y sociedad/Antropología Filosófica II</v>
      </c>
    </row>
    <row r="8" spans="1:48" ht="143" x14ac:dyDescent="0.35">
      <c r="B8" s="92">
        <v>0.35416666666666702</v>
      </c>
      <c r="C8" s="92">
        <v>0.374999999999999</v>
      </c>
      <c r="D8" s="28" t="str" cm="1">
        <f t="array" aca="1" ref="D8" ca="1">_xlfn.TEXTJOIN(CHAR(10),TRUE,IF(Semestre=INDIRECT("base_de_datos["&amp;Carrera&amp;"]"),IF("x"=base_de_datos[Lunes],IF(base_de_datos[Hora inicio]&lt;=$B8,IF(base_de_datos[Hora fin]&gt;=$C8,base_de_datos[Materia]&amp;" "&amp;base_de_datos[[Número de grupo ]]&amp;" "&amp;base_de_datos[Profesor],""),""),""),""),"")</f>
        <v>Programación orientada a objetos 2 Celia Marisa Rodríguez Rubio
Programación orientada a objetos 3 David Alejandro Montoya  Murillo
Programación orientada a objetos 1 Fátima del Rosario Árambula Coronado</v>
      </c>
      <c r="E8" s="28" t="str" cm="1">
        <f t="array" aca="1" ref="E8" ca="1">_xlfn.TEXTJOIN(CHAR(10),TRUE,IF(Semestre=INDIRECT("base_de_datos["&amp;Carrera&amp;"]"),IF("x"=base_de_datos[Lunes],IF(base_de_datos[Hora inicio]&lt;=$B8,IF(base_de_datos[Hora fin]&gt;=$C8,base_de_datos[Aula]&amp;" "&amp;base_de_datos[Examen],""),""),""),""),"")</f>
        <v xml:space="preserve">Turing 
CC011 
CC010 </v>
      </c>
      <c r="F8" s="28" t="str" cm="1">
        <f t="array" aca="1" ref="F8" ca="1">_xlfn.TEXTJOIN(CHAR(10),TRUE,IF(Semestre=INDIRECT("base_de_datos["&amp;Carrera&amp;"]"),IF("x"=base_de_datos[Lunes],IF(base_de_datos[Hora inicio]&lt;=$B8,IF(base_de_datos[Hora fin]&gt;=$C8,base_de_datos[No clase],""),""),""),""),"")</f>
        <v>2079/81, 2083, 2086
2080/81, 2084, 2087
2078/81, 2082, 2085</v>
      </c>
      <c r="G8" s="28" t="str" cm="1">
        <f t="array" aca="1" ref="G8" ca="1">_xlfn.TEXTJOIN(CHAR(10),TRUE,IF(Semestre=INDIRECT("base_de_datos["&amp;Carrera&amp;"]"),IF("x"=base_de_datos[Martes],IF(base_de_datos[Hora inicio]&lt;=$B8,IF(base_de_datos[Hora fin]&gt;=$C8,base_de_datos[Materia]&amp;" "&amp;base_de_datos[[Número de grupo ]]&amp;" "&amp;base_de_datos[Profesor],""),""),""),""),"")</f>
        <v>Álgebra lineal 2 Ana Elena González Contreras 
Álgebra lineal 1 Briceyda Berenice Delgado López
Álgebra lineal 4 Jesús Adrián Cerda Rodríguez
Álgebra lineal 2 Luis Alonso Romo Mercado
Diseño asistido por computadora 1 Ana Carolina García Meyemberg</v>
      </c>
      <c r="H8" s="28" t="str" cm="1">
        <f t="array" aca="1" ref="H8" ca="1">_xlfn.TEXTJOIN(CHAR(10),TRUE,IF(Semestre=INDIRECT("base_de_datos["&amp;Carrera&amp;"]"),IF("x"=base_de_datos[Martes],IF(base_de_datos[Hora inicio]&lt;=$B8,IF(base_de_datos[Hora fin]&gt;=$C8,base_de_datos[Aula]&amp;" "&amp;base_de_datos[Examen],""),""),""),""),"")</f>
        <v xml:space="preserve">C-03 
C-02 
C-15 
D-01 
CC010 </v>
      </c>
      <c r="I8" s="28" t="str" cm="1">
        <f t="array" aca="1" ref="I8" ca="1">_xlfn.TEXTJOIN(CHAR(10),TRUE,IF(Semestre=INDIRECT("base_de_datos["&amp;Carrera&amp;"]"),IF("x"=base_de_datos[Martes],IF(base_de_datos[Hora inicio]&lt;=$B8,IF(base_de_datos[Hora fin]&gt;=$C8,base_de_datos[No clase],""),""),""),""),"")</f>
        <v>1673, 1681, 1677
1672, 1680, 1676
1675, 1683, 1679
1674, 1682, 1678
1881 , 1918/20, 1921(2do. IID)</v>
      </c>
      <c r="J8" s="28" t="str" cm="1">
        <f t="array" aca="1" ref="J8" ca="1">_xlfn.TEXTJOIN(CHAR(10),TRUE,IF(Semestre=INDIRECT("base_de_datos["&amp;Carrera&amp;"]"),IF("x"=base_de_datos[Miércoles],IF(base_de_datos[Hora inicio]&lt;=$B8,IF(base_de_datos[Hora fin]&gt;=$C8,base_de_datos[Materia]&amp;" "&amp;base_de_datos[[Número de grupo ]]&amp;" "&amp;base_de_datos[Profesor],""),""),""),""),"")</f>
        <v>Programación orientada a objetos 2 Celia Marisa Rodríguez Rubio
Programación orientada a objetos 3 David Alejandro Montoya  Murillo
Programación orientada a objetos 1 Fátima del Rosario Árambula Coronado</v>
      </c>
      <c r="K8" s="28" t="str" cm="1">
        <f t="array" aca="1" ref="K8" ca="1">_xlfn.TEXTJOIN(CHAR(10),TRUE,IF(Semestre=INDIRECT("base_de_datos["&amp;Carrera&amp;"]"),IF("x"=base_de_datos[Miércoles],IF(base_de_datos[Hora inicio]&lt;=$B8,IF(base_de_datos[Hora fin]&gt;=$C8,base_de_datos[Aula]&amp;" "&amp;base_de_datos[Examen],""),""),""),""),"")</f>
        <v xml:space="preserve">Turing 
CC011 
CC010 </v>
      </c>
      <c r="L8" s="28" t="str" cm="1">
        <f t="array" aca="1" ref="L8" ca="1">_xlfn.TEXTJOIN(CHAR(10),TRUE,IF(Semestre=INDIRECT("base_de_datos["&amp;Carrera&amp;"]"),IF("x"=base_de_datos[Miércoles],IF(base_de_datos[Hora inicio]&lt;=$B8,IF(base_de_datos[Hora fin]&gt;=$C8,base_de_datos[No clase],""),""),""),""),"")</f>
        <v>2079/81, 2083, 2086
2080/81, 2084, 2087
2078/81, 2082, 2085</v>
      </c>
      <c r="M8" s="28" t="str" cm="1">
        <f t="array" aca="1" ref="M8" ca="1">_xlfn.TEXTJOIN(CHAR(10),TRUE,IF(Semestre=INDIRECT("base_de_datos["&amp;Carrera&amp;"]"),IF("x"=base_de_datos[Jueves],IF(base_de_datos[Hora inicio]&lt;=$B8,IF(base_de_datos[Hora fin]&gt;=$C8,base_de_datos[Materia]&amp;" "&amp;base_de_datos[[Número de grupo ]]&amp;" "&amp;base_de_datos[Profesor],""),""),""),""),"")</f>
        <v>Álgebra lineal 2 Ana Elena González Contreras 
Álgebra lineal 1 Briceyda Berenice Delgado López
Álgebra lineal 4 Jesús Adrián Cerda Rodríguez
Álgebra lineal 3 Luis Alonso Romo Mercado
Diseño asistido por computadora 1 Ana Carolina García Meyemberg</v>
      </c>
      <c r="N8" s="28" t="str" cm="1">
        <f t="array" aca="1" ref="N8" ca="1">_xlfn.TEXTJOIN(CHAR(10),TRUE,IF(Semestre=INDIRECT("base_de_datos["&amp;Carrera&amp;"]"),IF("x"=base_de_datos[Jueves],IF(base_de_datos[Hora inicio]&lt;=$B8,IF(base_de_datos[Hora fin]&gt;=$C8,base_de_datos[Aula]&amp;" "&amp;base_de_datos[Examen],""),""),""),""),"")</f>
        <v xml:space="preserve">C-03 
C-02 
D-01 
C-04 
CC010 </v>
      </c>
      <c r="O8" s="28" t="str" cm="1">
        <f t="array" aca="1" ref="O8" ca="1">_xlfn.TEXTJOIN(CHAR(10),TRUE,IF(Semestre=INDIRECT("base_de_datos["&amp;Carrera&amp;"]"),IF("x"=base_de_datos[Jueves],IF(base_de_datos[Hora inicio]&lt;=$B8,IF(base_de_datos[Hora fin]&gt;=$C8,base_de_datos[No clase],""),""),""),""),"")</f>
        <v>1673, 1681, 1677
1672, 1680, 1676
1675, 1683, 1679
1674, 1682, 1678
1881 , 1918/20, 1921(2do. IID)</v>
      </c>
      <c r="P8" s="28" t="str" cm="1">
        <f t="array" aca="1" ref="P8" ca="1">_xlfn.TEXTJOIN(CHAR(10),TRUE,IF(Semestre=INDIRECT("base_de_datos["&amp;Carrera&amp;"]"),IF("x"=base_de_datos[Viernes],IF(base_de_datos[Hora inicio]&lt;=$B8,IF(base_de_datos[Hora fin]&gt;=$C8,base_de_datos[Materia]&amp;" "&amp;base_de_datos[[Número de grupo ]]&amp;" "&amp;base_de_datos[Profesor],""),""),""),""),"")</f>
        <v>Diseño asistido por computadora 2 Mauricio Muñoz Zermeño</v>
      </c>
      <c r="Q8" s="28" t="str" cm="1">
        <f t="array" aca="1" ref="Q8" ca="1">_xlfn.TEXTJOIN(CHAR(10),TRUE,IF(Semestre=INDIRECT("base_de_datos["&amp;Carrera&amp;"]"),IF("x"=base_de_datos[Viernes],IF(base_de_datos[Hora inicio]&lt;=$B8,IF(base_de_datos[Hora fin]&gt;=$C8,base_de_datos[Aula]&amp;" "&amp;base_de_datos[Examen],""),""),""),""),"")</f>
        <v xml:space="preserve">CC010 </v>
      </c>
      <c r="R8" s="28" t="str" cm="1">
        <f t="array" aca="1" ref="R8" ca="1">_xlfn.TEXTJOIN(CHAR(10),TRUE,IF(Semestre=INDIRECT("base_de_datos["&amp;Carrera&amp;"]"),IF("x"=base_de_datos[Viernes],IF(base_de_datos[Hora inicio]&lt;=$B8,IF(base_de_datos[Hora fin]&gt;=$C8,base_de_datos[No clase],""),""),""),""),"")</f>
        <v>1917, 1919/20, 1922 (2do. II)</v>
      </c>
      <c r="S8" s="28" t="str" cm="1">
        <f t="array" aca="1" ref="S8" ca="1">_xlfn.TEXTJOIN(CHAR(10),TRUE,IF(Semestre=INDIRECT("base_de_datos["&amp;Carrera&amp;"]"),IF("x"=base_de_datos[Sábado],IF(base_de_datos[Hora inicio]&lt;=$B8,IF(base_de_datos[Hora fin]&gt;=$C8,base_de_datos[Materia]&amp;" "&amp;base_de_datos[[Número de grupo ]]&amp;" "&amp;base_de_datos[Profesor],""),""),""),""),"")</f>
        <v/>
      </c>
      <c r="T8" s="28" t="str" cm="1">
        <f t="array" aca="1" ref="T8" ca="1">_xlfn.TEXTJOIN(CHAR(10),TRUE,IF(Semestre=INDIRECT("base_de_datos["&amp;Carrera&amp;"]"),IF("x"=base_de_datos[Sábado],IF(base_de_datos[Hora inicio]&lt;=$B8,IF(base_de_datos[Hora fin]&gt;=$C8,base_de_datos[Aula]&amp;" "&amp;#REF!,""),""),""),""),"")</f>
        <v/>
      </c>
      <c r="U8" s="28" t="str" cm="1">
        <f t="array" aca="1" ref="U8" ca="1">_xlfn.TEXTJOIN(CHAR(10),TRUE,IF(Semestre=INDIRECT("base_de_datos["&amp;Carrera&amp;"]"),IF("x"=base_de_datos[Sábado],IF(base_de_datos[Hora inicio]&lt;=$B8,IF(base_de_datos[Hora fin]&gt;=$C8,base_de_datos[No clase],""),""),""),""),"")</f>
        <v/>
      </c>
      <c r="V8" s="27"/>
      <c r="W8" s="69" t="str">
        <f ca="1"/>
        <v>Álgebra lineal</v>
      </c>
      <c r="X8" s="69" t="str">
        <f ca="1"/>
        <v>MAT</v>
      </c>
      <c r="Y8" s="30">
        <f ca="1"/>
        <v>2</v>
      </c>
      <c r="Z8" s="30">
        <f ca="1"/>
        <v>2</v>
      </c>
      <c r="AA8" s="30">
        <f ca="1"/>
        <v>0</v>
      </c>
      <c r="AB8" s="50">
        <f ca="1"/>
        <v>2</v>
      </c>
      <c r="AC8" s="50">
        <f ca="1"/>
        <v>2</v>
      </c>
      <c r="AD8" s="50">
        <f ca="1"/>
        <v>2</v>
      </c>
      <c r="AE8" s="50">
        <f ca="1"/>
        <v>2</v>
      </c>
      <c r="AF8" s="50">
        <f ca="1"/>
        <v>64</v>
      </c>
      <c r="AG8" s="50">
        <f ca="1"/>
        <v>0</v>
      </c>
      <c r="AH8" s="50" t="str">
        <f ca="1"/>
        <v>026790</v>
      </c>
      <c r="AI8" s="50" t="str">
        <f ca="1"/>
        <v>026790</v>
      </c>
      <c r="AJ8" s="50">
        <f ca="1"/>
        <v>0</v>
      </c>
      <c r="AK8" s="50" t="str">
        <f ca="1"/>
        <v>028365</v>
      </c>
      <c r="AL8" s="50" t="str">
        <f ca="1"/>
        <v>018507</v>
      </c>
      <c r="AM8" s="50" t="str">
        <f ca="1"/>
        <v>026790</v>
      </c>
      <c r="AN8" s="50" t="str">
        <f ca="1"/>
        <v>028365</v>
      </c>
      <c r="AO8" s="50">
        <f ca="1"/>
        <v>8</v>
      </c>
      <c r="AP8" s="50">
        <f ca="1"/>
        <v>8</v>
      </c>
      <c r="AQ8" s="50">
        <f ca="1"/>
        <v>0</v>
      </c>
      <c r="AR8" s="50">
        <f ca="1"/>
        <v>8</v>
      </c>
      <c r="AS8" s="50">
        <f ca="1"/>
        <v>8</v>
      </c>
      <c r="AT8" s="50">
        <f ca="1"/>
        <v>8</v>
      </c>
      <c r="AU8" s="50">
        <f ca="1"/>
        <v>8</v>
      </c>
      <c r="AV8" s="50" t="str">
        <f t="shared" ca="1" si="0"/>
        <v>Álgebra lineal</v>
      </c>
    </row>
    <row r="9" spans="1:48" ht="78" x14ac:dyDescent="0.35">
      <c r="B9" s="92">
        <v>0.375</v>
      </c>
      <c r="C9" s="92">
        <v>0.39583333333333198</v>
      </c>
      <c r="D9" s="28" t="str" cm="1">
        <f t="array" aca="1" ref="D9" ca="1">_xlfn.TEXTJOIN(CHAR(10),TRUE,IF(Semestre=INDIRECT("base_de_datos["&amp;Carrera&amp;"]"),IF("x"=base_de_datos[Lunes],IF(base_de_datos[Hora inicio]&lt;=$B9,IF(base_de_datos[Hora fin]&gt;=$C9,base_de_datos[Materia]&amp;" "&amp;base_de_datos[[Número de grupo ]]&amp;" "&amp;base_de_datos[Profesor],""),""),""),""),"")</f>
        <v/>
      </c>
      <c r="E9" s="28" t="str" cm="1">
        <f t="array" aca="1" ref="E9" ca="1">_xlfn.TEXTJOIN(CHAR(10),TRUE,IF(Semestre=INDIRECT("base_de_datos["&amp;Carrera&amp;"]"),IF("x"=base_de_datos[Lunes],IF(base_de_datos[Hora inicio]&lt;=$B9,IF(base_de_datos[Hora fin]&gt;=$C9,base_de_datos[Aula]&amp;" "&amp;base_de_datos[Examen],""),""),""),""),"")</f>
        <v/>
      </c>
      <c r="F9" s="28" t="str" cm="1">
        <f t="array" aca="1" ref="F9" ca="1">_xlfn.TEXTJOIN(CHAR(10),TRUE,IF(Semestre=INDIRECT("base_de_datos["&amp;Carrera&amp;"]"),IF("x"=base_de_datos[Lunes],IF(base_de_datos[Hora inicio]&lt;=$B9,IF(base_de_datos[Hora fin]&gt;=$C9,base_de_datos[No clase],""),""),""),""),"")</f>
        <v/>
      </c>
      <c r="G9" s="28" t="str" cm="1">
        <f t="array" aca="1" ref="G9" ca="1">_xlfn.TEXTJOIN(CHAR(10),TRUE,IF(Semestre=INDIRECT("base_de_datos["&amp;Carrera&amp;"]"),IF("x"=base_de_datos[Martes],IF(base_de_datos[Hora inicio]&lt;=$B9,IF(base_de_datos[Hora fin]&gt;=$C9,base_de_datos[Materia]&amp;" "&amp;base_de_datos[[Número de grupo ]]&amp;" "&amp;base_de_datos[Profesor],""),""),""),""),"")</f>
        <v>Cálculo integral 3 Eduardo de la Vega Segura
Cálculo integral 1 Fabiola Ayluardo Rivera
Cálculo integral 4 Óscar Dávalos Orozco</v>
      </c>
      <c r="H9" s="28" t="str" cm="1">
        <f t="array" aca="1" ref="H9" ca="1">_xlfn.TEXTJOIN(CHAR(10),TRUE,IF(Semestre=INDIRECT("base_de_datos["&amp;Carrera&amp;"]"),IF("x"=base_de_datos[Martes],IF(base_de_datos[Hora inicio]&lt;=$B9,IF(base_de_datos[Hora fin]&gt;=$C9,base_de_datos[Aula]&amp;" "&amp;base_de_datos[Examen],""),""),""),""),"")</f>
        <v xml:space="preserve">Aula Aguascalientes 
C-01 
C-02 </v>
      </c>
      <c r="I9" s="28" t="str" cm="1">
        <f t="array" aca="1" ref="I9" ca="1">_xlfn.TEXTJOIN(CHAR(10),TRUE,IF(Semestre=INDIRECT("base_de_datos["&amp;Carrera&amp;"]"),IF("x"=base_de_datos[Martes],IF(base_de_datos[Hora inicio]&lt;=$B9,IF(base_de_datos[Hora fin]&gt;=$C9,base_de_datos[No clase],""),""),""),""),"")</f>
        <v>1686, 16292, 1697, 1702/05
1684, 1690, 1695, 1700/05
1687, 1693, 1698, 1703/05</v>
      </c>
      <c r="J9" s="28" t="str" cm="1">
        <f t="array" aca="1" ref="J9" ca="1">_xlfn.TEXTJOIN(CHAR(10),TRUE,IF(Semestre=INDIRECT("base_de_datos["&amp;Carrera&amp;"]"),IF("x"=base_de_datos[Miércoles],IF(base_de_datos[Hora inicio]&lt;=$B9,IF(base_de_datos[Hora fin]&gt;=$C9,base_de_datos[Materia]&amp;" "&amp;base_de_datos[[Número de grupo ]]&amp;" "&amp;base_de_datos[Profesor],""),""),""),""),"")</f>
        <v>Diseño asistido por computadora 2 Mauricio Muñoz Zermeño</v>
      </c>
      <c r="K9" s="28" t="str" cm="1">
        <f t="array" aca="1" ref="K9" ca="1">_xlfn.TEXTJOIN(CHAR(10),TRUE,IF(Semestre=INDIRECT("base_de_datos["&amp;Carrera&amp;"]"),IF("x"=base_de_datos[Miércoles],IF(base_de_datos[Hora inicio]&lt;=$B9,IF(base_de_datos[Hora fin]&gt;=$C9,base_de_datos[Aula]&amp;" "&amp;base_de_datos[Examen],""),""),""),""),"")</f>
        <v xml:space="preserve">CC010 </v>
      </c>
      <c r="L9" s="28" t="str" cm="1">
        <f t="array" aca="1" ref="L9" ca="1">_xlfn.TEXTJOIN(CHAR(10),TRUE,IF(Semestre=INDIRECT("base_de_datos["&amp;Carrera&amp;"]"),IF("x"=base_de_datos[Miércoles],IF(base_de_datos[Hora inicio]&lt;=$B9,IF(base_de_datos[Hora fin]&gt;=$C9,base_de_datos[No clase],""),""),""),""),"")</f>
        <v>1917, 1919/20, 1922 (2do. II)</v>
      </c>
      <c r="M9" s="28" t="str" cm="1">
        <f t="array" aca="1" ref="M9" ca="1">_xlfn.TEXTJOIN(CHAR(10),TRUE,IF(Semestre=INDIRECT("base_de_datos["&amp;Carrera&amp;"]"),IF("x"=base_de_datos[Jueves],IF(base_de_datos[Hora inicio]&lt;=$B9,IF(base_de_datos[Hora fin]&gt;=$C9,base_de_datos[Materia]&amp;" "&amp;base_de_datos[[Número de grupo ]]&amp;" "&amp;base_de_datos[Profesor],""),""),""),""),"")</f>
        <v>Cálculo integral 3 Eduardo de la Vega Segura
Cálculo integral 1 Fabiola Ayluardo Rivera
Cálculo integral 4 Óscar Dávalos Orozco</v>
      </c>
      <c r="N9" s="28" t="str" cm="1">
        <f t="array" aca="1" ref="N9" ca="1">_xlfn.TEXTJOIN(CHAR(10),TRUE,IF(Semestre=INDIRECT("base_de_datos["&amp;Carrera&amp;"]"),IF("x"=base_de_datos[Jueves],IF(base_de_datos[Hora inicio]&lt;=$B9,IF(base_de_datos[Hora fin]&gt;=$C9,base_de_datos[Aula]&amp;" "&amp;base_de_datos[Examen],""),""),""),""),"")</f>
        <v xml:space="preserve">Aula Aguascalientes 
C-01 
C-02 </v>
      </c>
      <c r="O9" s="28" t="str" cm="1">
        <f t="array" aca="1" ref="O9" ca="1">_xlfn.TEXTJOIN(CHAR(10),TRUE,IF(Semestre=INDIRECT("base_de_datos["&amp;Carrera&amp;"]"),IF("x"=base_de_datos[Jueves],IF(base_de_datos[Hora inicio]&lt;=$B9,IF(base_de_datos[Hora fin]&gt;=$C9,base_de_datos[No clase],""),""),""),""),"")</f>
        <v>1686, 16292, 1697, 1702/05
1684, 1690, 1695, 1700/05
1687, 1693, 1698, 1703/05</v>
      </c>
      <c r="P9" s="28" t="str" cm="1">
        <f t="array" aca="1" ref="P9" ca="1">_xlfn.TEXTJOIN(CHAR(10),TRUE,IF(Semestre=INDIRECT("base_de_datos["&amp;Carrera&amp;"]"),IF("x"=base_de_datos[Viernes],IF(base_de_datos[Hora inicio]&lt;=$B9,IF(base_de_datos[Hora fin]&gt;=$C9,base_de_datos[Materia]&amp;" "&amp;base_de_datos[[Número de grupo ]]&amp;" "&amp;base_de_datos[Profesor],""),""),""),""),"")</f>
        <v/>
      </c>
      <c r="Q9" s="28" t="str" cm="1">
        <f t="array" aca="1" ref="Q9" ca="1">_xlfn.TEXTJOIN(CHAR(10),TRUE,IF(Semestre=INDIRECT("base_de_datos["&amp;Carrera&amp;"]"),IF("x"=base_de_datos[Viernes],IF(base_de_datos[Hora inicio]&lt;=$B9,IF(base_de_datos[Hora fin]&gt;=$C9,base_de_datos[Aula]&amp;" "&amp;base_de_datos[Examen],""),""),""),""),"")</f>
        <v/>
      </c>
      <c r="R9" s="28" t="str" cm="1">
        <f t="array" aca="1" ref="R9" ca="1">_xlfn.TEXTJOIN(CHAR(10),TRUE,IF(Semestre=INDIRECT("base_de_datos["&amp;Carrera&amp;"]"),IF("x"=base_de_datos[Viernes],IF(base_de_datos[Hora inicio]&lt;=$B9,IF(base_de_datos[Hora fin]&gt;=$C9,base_de_datos[No clase],""),""),""),""),"")</f>
        <v/>
      </c>
      <c r="S9" s="28" t="str" cm="1">
        <f t="array" aca="1" ref="S9" ca="1">_xlfn.TEXTJOIN(CHAR(10),TRUE,IF(Semestre=INDIRECT("base_de_datos["&amp;Carrera&amp;"]"),IF("x"=base_de_datos[Sábado],IF(base_de_datos[Hora inicio]&lt;=$B9,IF(base_de_datos[Hora fin]&gt;=$C9,base_de_datos[Materia]&amp;" "&amp;base_de_datos[[Número de grupo ]]&amp;" "&amp;base_de_datos[Profesor],""),""),""),""),"")</f>
        <v/>
      </c>
      <c r="T9" s="28" t="str" cm="1">
        <f t="array" aca="1" ref="T9" ca="1">_xlfn.TEXTJOIN(CHAR(10),TRUE,IF(Semestre=INDIRECT("base_de_datos["&amp;Carrera&amp;"]"),IF("x"=base_de_datos[Sábado],IF(base_de_datos[Hora inicio]&lt;=$B9,IF(base_de_datos[Hora fin]&gt;=$C9,base_de_datos[Aula]&amp;" "&amp;#REF!,""),""),""),""),"")</f>
        <v/>
      </c>
      <c r="U9" s="28" t="str" cm="1">
        <f t="array" aca="1" ref="U9" ca="1">_xlfn.TEXTJOIN(CHAR(10),TRUE,IF(Semestre=INDIRECT("base_de_datos["&amp;Carrera&amp;"]"),IF("x"=base_de_datos[Sábado],IF(base_de_datos[Hora inicio]&lt;=$B9,IF(base_de_datos[Hora fin]&gt;=$C9,base_de_datos[No clase],""),""),""),""),"")</f>
        <v/>
      </c>
      <c r="V9" s="27"/>
      <c r="W9" s="69" t="str">
        <f ca="1"/>
        <v>Cálculo integral</v>
      </c>
      <c r="X9" s="69" t="str">
        <f ca="1"/>
        <v>MAT</v>
      </c>
      <c r="Y9" s="30">
        <f ca="1"/>
        <v>2</v>
      </c>
      <c r="Z9" s="30">
        <f ca="1"/>
        <v>2</v>
      </c>
      <c r="AA9" s="30">
        <f ca="1"/>
        <v>4</v>
      </c>
      <c r="AB9" s="50">
        <f ca="1"/>
        <v>2</v>
      </c>
      <c r="AC9" s="50">
        <f ca="1"/>
        <v>2</v>
      </c>
      <c r="AD9" s="50">
        <f ca="1"/>
        <v>2</v>
      </c>
      <c r="AE9" s="50">
        <f ca="1"/>
        <v>2</v>
      </c>
      <c r="AF9" s="50">
        <f ca="1"/>
        <v>64</v>
      </c>
      <c r="AG9" s="50">
        <f ca="1"/>
        <v>0</v>
      </c>
      <c r="AH9" s="50" t="str">
        <f ca="1"/>
        <v>026788</v>
      </c>
      <c r="AI9" s="50" t="str">
        <f ca="1"/>
        <v>026788</v>
      </c>
      <c r="AJ9" s="50" t="str">
        <f ca="1"/>
        <v>026789</v>
      </c>
      <c r="AK9" s="50" t="str">
        <f ca="1"/>
        <v>028362</v>
      </c>
      <c r="AL9" s="50" t="str">
        <f ca="1"/>
        <v>018482</v>
      </c>
      <c r="AM9" s="50" t="str">
        <f ca="1"/>
        <v>026788</v>
      </c>
      <c r="AN9" s="50" t="str">
        <f ca="1"/>
        <v>028362</v>
      </c>
      <c r="AO9" s="50">
        <f ca="1"/>
        <v>8</v>
      </c>
      <c r="AP9" s="50">
        <f ca="1"/>
        <v>0</v>
      </c>
      <c r="AQ9" s="50">
        <f ca="1"/>
        <v>8</v>
      </c>
      <c r="AR9" s="50">
        <f ca="1"/>
        <v>8</v>
      </c>
      <c r="AS9" s="50">
        <f ca="1"/>
        <v>6</v>
      </c>
      <c r="AT9" s="50">
        <f ca="1"/>
        <v>8</v>
      </c>
      <c r="AU9" s="50">
        <f ca="1"/>
        <v>8</v>
      </c>
      <c r="AV9" s="50" t="str">
        <f t="shared" ca="1" si="0"/>
        <v>Cálculo integral</v>
      </c>
    </row>
    <row r="10" spans="1:48" ht="143" x14ac:dyDescent="0.35">
      <c r="B10" s="92">
        <v>0.39583333333333398</v>
      </c>
      <c r="C10" s="92">
        <v>0.41666666666666502</v>
      </c>
      <c r="D10" s="28" t="str" cm="1">
        <f t="array" aca="1" ref="D10" ca="1">_xlfn.TEXTJOIN(CHAR(10),TRUE,IF(Semestre=INDIRECT("base_de_datos["&amp;Carrera&amp;"]"),IF("x"=base_de_datos[Lunes],IF(base_de_datos[Hora inicio]&lt;=$B10,IF(base_de_datos[Hora fin]&gt;=$C10,base_de_datos[Materia]&amp;" "&amp;base_de_datos[[Número de grupo ]]&amp;" "&amp;base_de_datos[Profesor],""),""),""),""),"")</f>
        <v>Persona y sociedad/Antropología Filosófica II 3 Jorge Humberto Mejía Reyes
Persona y sociedad/Antropología Filosófica II 2 Juan José Macías Gutiérrez
Persona y sociedad/Antropología Filosófica II 1 María Teresa Enríquez Gómez
Persona y sociedad/Antropología Filosófica II 4 Gustavo Adolfo Esparza Urzúa</v>
      </c>
      <c r="E10" s="28" t="str" cm="1">
        <f t="array" aca="1" ref="E10" ca="1">_xlfn.TEXTJOIN(CHAR(10),TRUE,IF(Semestre=INDIRECT("base_de_datos["&amp;Carrera&amp;"]"),IF("x"=base_de_datos[Lunes],IF(base_de_datos[Hora inicio]&lt;=$B10,IF(base_de_datos[Hora fin]&gt;=$C10,base_de_datos[Aula]&amp;" "&amp;base_de_datos[Examen],""),""),""),""),"")</f>
        <v xml:space="preserve">D-02 
C-15 
D-01 
D-03 </v>
      </c>
      <c r="F10" s="28" t="str" cm="1">
        <f t="array" aca="1" ref="F10" ca="1">_xlfn.TEXTJOIN(CHAR(10),TRUE,IF(Semestre=INDIRECT("base_de_datos["&amp;Carrera&amp;"]"),IF("x"=base_de_datos[Lunes],IF(base_de_datos[Hora inicio]&lt;=$B10,IF(base_de_datos[Hora fin]&gt;=$C10,base_de_datos[No clase],""),""),""),""),"")</f>
        <v>2771, 2776, 2781
2769, 2774, 2779
2768, 2773, 2778
2772, 2777, 2782</v>
      </c>
      <c r="G10" s="28" t="str" cm="1">
        <f t="array" aca="1" ref="G10" ca="1">_xlfn.TEXTJOIN(CHAR(10),TRUE,IF(Semestre=INDIRECT("base_de_datos["&amp;Carrera&amp;"]"),IF("x"=base_de_datos[Martes],IF(base_de_datos[Hora inicio]&lt;=$B10,IF(base_de_datos[Hora fin]&gt;=$C10,base_de_datos[Materia]&amp;" "&amp;base_de_datos[[Número de grupo ]]&amp;" "&amp;base_de_datos[Profesor],""),""),""),""),"")</f>
        <v>Cálculo integral 3 Eduardo de la Vega Segura
Cálculo integral 1 Fabiola Ayluardo Rivera
Cálculo integral 4 Óscar Dávalos Orozco</v>
      </c>
      <c r="H10" s="28" t="str" cm="1">
        <f t="array" aca="1" ref="H10" ca="1">_xlfn.TEXTJOIN(CHAR(10),TRUE,IF(Semestre=INDIRECT("base_de_datos["&amp;Carrera&amp;"]"),IF("x"=base_de_datos[Martes],IF(base_de_datos[Hora inicio]&lt;=$B10,IF(base_de_datos[Hora fin]&gt;=$C10,base_de_datos[Aula]&amp;" "&amp;base_de_datos[Examen],""),""),""),""),"")</f>
        <v xml:space="preserve">Aula Aguascalientes 
C-01 
C-02 </v>
      </c>
      <c r="I10" s="28" t="str" cm="1">
        <f t="array" aca="1" ref="I10" ca="1">_xlfn.TEXTJOIN(CHAR(10),TRUE,IF(Semestre=INDIRECT("base_de_datos["&amp;Carrera&amp;"]"),IF("x"=base_de_datos[Martes],IF(base_de_datos[Hora inicio]&lt;=$B10,IF(base_de_datos[Hora fin]&gt;=$C10,base_de_datos[No clase],""),""),""),""),"")</f>
        <v>1686, 16292, 1697, 1702/05
1684, 1690, 1695, 1700/05
1687, 1693, 1698, 1703/05</v>
      </c>
      <c r="J10" s="28" t="str" cm="1">
        <f t="array" aca="1" ref="J10" ca="1">_xlfn.TEXTJOIN(CHAR(10),TRUE,IF(Semestre=INDIRECT("base_de_datos["&amp;Carrera&amp;"]"),IF("x"=base_de_datos[Miércoles],IF(base_de_datos[Hora inicio]&lt;=$B10,IF(base_de_datos[Hora fin]&gt;=$C10,base_de_datos[Materia]&amp;" "&amp;base_de_datos[[Número de grupo ]]&amp;" "&amp;base_de_datos[Profesor],""),""),""),""),"")</f>
        <v>Diseño asistido por computadora 2 Mauricio Muñoz Zermeño</v>
      </c>
      <c r="K10" s="28" t="str" cm="1">
        <f t="array" aca="1" ref="K10" ca="1">_xlfn.TEXTJOIN(CHAR(10),TRUE,IF(Semestre=INDIRECT("base_de_datos["&amp;Carrera&amp;"]"),IF("x"=base_de_datos[Miércoles],IF(base_de_datos[Hora inicio]&lt;=$B10,IF(base_de_datos[Hora fin]&gt;=$C10,base_de_datos[Aula]&amp;" "&amp;base_de_datos[Examen],""),""),""),""),"")</f>
        <v xml:space="preserve">CC010 </v>
      </c>
      <c r="L10" s="28" t="str" cm="1">
        <f t="array" aca="1" ref="L10" ca="1">_xlfn.TEXTJOIN(CHAR(10),TRUE,IF(Semestre=INDIRECT("base_de_datos["&amp;Carrera&amp;"]"),IF("x"=base_de_datos[Miércoles],IF(base_de_datos[Hora inicio]&lt;=$B10,IF(base_de_datos[Hora fin]&gt;=$C10,base_de_datos[No clase],""),""),""),""),"")</f>
        <v>1917, 1919/20, 1922 (2do. II)</v>
      </c>
      <c r="M10" s="28" t="str" cm="1">
        <f t="array" aca="1" ref="M10" ca="1">_xlfn.TEXTJOIN(CHAR(10),TRUE,IF(Semestre=INDIRECT("base_de_datos["&amp;Carrera&amp;"]"),IF("x"=base_de_datos[Jueves],IF(base_de_datos[Hora inicio]&lt;=$B10,IF(base_de_datos[Hora fin]&gt;=$C10,base_de_datos[Materia]&amp;" "&amp;base_de_datos[[Número de grupo ]]&amp;" "&amp;base_de_datos[Profesor],""),""),""),""),"")</f>
        <v>Cálculo integral 3 Eduardo de la Vega Segura
Cálculo integral 1 Fabiola Ayluardo Rivera
Cálculo integral 4 Óscar Dávalos Orozco</v>
      </c>
      <c r="N10" s="28" t="str" cm="1">
        <f t="array" aca="1" ref="N10" ca="1">_xlfn.TEXTJOIN(CHAR(10),TRUE,IF(Semestre=INDIRECT("base_de_datos["&amp;Carrera&amp;"]"),IF("x"=base_de_datos[Jueves],IF(base_de_datos[Hora inicio]&lt;=$B10,IF(base_de_datos[Hora fin]&gt;=$C10,base_de_datos[Aula]&amp;" "&amp;base_de_datos[Examen],""),""),""),""),"")</f>
        <v xml:space="preserve">Aula Aguascalientes 
C-01 
C-02 </v>
      </c>
      <c r="O10" s="28" t="str" cm="1">
        <f t="array" aca="1" ref="O10" ca="1">_xlfn.TEXTJOIN(CHAR(10),TRUE,IF(Semestre=INDIRECT("base_de_datos["&amp;Carrera&amp;"]"),IF("x"=base_de_datos[Jueves],IF(base_de_datos[Hora inicio]&lt;=$B10,IF(base_de_datos[Hora fin]&gt;=$C10,base_de_datos[No clase],""),""),""),""),"")</f>
        <v>1686, 16292, 1697, 1702/05
1684, 1690, 1695, 1700/05
1687, 1693, 1698, 1703/05</v>
      </c>
      <c r="P10" s="28" t="str" cm="1">
        <f t="array" aca="1" ref="P10" ca="1">_xlfn.TEXTJOIN(CHAR(10),TRUE,IF(Semestre=INDIRECT("base_de_datos["&amp;Carrera&amp;"]"),IF("x"=base_de_datos[Viernes],IF(base_de_datos[Hora inicio]&lt;=$B10,IF(base_de_datos[Hora fin]&gt;=$C10,base_de_datos[Materia]&amp;" "&amp;base_de_datos[[Número de grupo ]]&amp;" "&amp;base_de_datos[Profesor],""),""),""),""),"")</f>
        <v>Persona y sociedad/Antropología Filosófica II 3 Jorge Humberto Mejía Reyes
Persona y sociedad/Antropología Filosófica II 2 Juan José Macías Gutiérrez
Persona y sociedad/Antropología Filosófica II 1 María Teresa Enríquez Gómez
Persona y sociedad/Antropología Filosófica II 4 Gustavo Adolfo Esparza Urzúa</v>
      </c>
      <c r="Q10" s="28" t="str" cm="1">
        <f t="array" aca="1" ref="Q10" ca="1">_xlfn.TEXTJOIN(CHAR(10),TRUE,IF(Semestre=INDIRECT("base_de_datos["&amp;Carrera&amp;"]"),IF("x"=base_de_datos[Viernes],IF(base_de_datos[Hora inicio]&lt;=$B10,IF(base_de_datos[Hora fin]&gt;=$C10,base_de_datos[Aula]&amp;" "&amp;base_de_datos[Examen],""),""),""),""),"")</f>
        <v xml:space="preserve">C-23 
C-21 
A-25 
C-24 </v>
      </c>
      <c r="R10" s="28" t="str" cm="1">
        <f t="array" aca="1" ref="R10" ca="1">_xlfn.TEXTJOIN(CHAR(10),TRUE,IF(Semestre=INDIRECT("base_de_datos["&amp;Carrera&amp;"]"),IF("x"=base_de_datos[Viernes],IF(base_de_datos[Hora inicio]&lt;=$B10,IF(base_de_datos[Hora fin]&gt;=$C10,base_de_datos[No clase],""),""),""),""),"")</f>
        <v>2771, 2776, 2781
2769, 2774, 2779
2768, 2773, 2778
2772, 2777, 2782</v>
      </c>
      <c r="S10" s="28" t="str" cm="1">
        <f t="array" aca="1" ref="S10" ca="1">_xlfn.TEXTJOIN(CHAR(10),TRUE,IF(Semestre=INDIRECT("base_de_datos["&amp;Carrera&amp;"]"),IF("x"=base_de_datos[Sábado],IF(base_de_datos[Hora inicio]&lt;=$B10,IF(base_de_datos[Hora fin]&gt;=$C10,base_de_datos[Materia]&amp;" "&amp;base_de_datos[[Número de grupo ]]&amp;" "&amp;base_de_datos[Profesor],""),""),""),""),"")</f>
        <v/>
      </c>
      <c r="T10" s="28" t="str" cm="1">
        <f t="array" aca="1" ref="T10" ca="1">_xlfn.TEXTJOIN(CHAR(10),TRUE,IF(Semestre=INDIRECT("base_de_datos["&amp;Carrera&amp;"]"),IF("x"=base_de_datos[Sábado],IF(base_de_datos[Hora inicio]&lt;=$B10,IF(base_de_datos[Hora fin]&gt;=$C10,base_de_datos[Aula]&amp;" "&amp;#REF!,""),""),""),""),"")</f>
        <v/>
      </c>
      <c r="U10" s="28" t="str" cm="1">
        <f t="array" aca="1" ref="U10" ca="1">_xlfn.TEXTJOIN(CHAR(10),TRUE,IF(Semestre=INDIRECT("base_de_datos["&amp;Carrera&amp;"]"),IF("x"=base_de_datos[Sábado],IF(base_de_datos[Hora inicio]&lt;=$B10,IF(base_de_datos[Hora fin]&gt;=$C10,base_de_datos[No clase],""),""),""),""),"")</f>
        <v/>
      </c>
      <c r="V10" s="27"/>
      <c r="W10" s="69" t="str">
        <f ca="1"/>
        <v>Diseño asistido por computadora</v>
      </c>
      <c r="X10" s="69" t="str">
        <f ca="1"/>
        <v>MEC</v>
      </c>
      <c r="Y10" s="30">
        <f ca="1"/>
        <v>2</v>
      </c>
      <c r="Z10" s="30">
        <f ca="1"/>
        <v>5</v>
      </c>
      <c r="AA10" s="30">
        <f ca="1"/>
        <v>2</v>
      </c>
      <c r="AB10" s="50">
        <f ca="1"/>
        <v>0</v>
      </c>
      <c r="AC10" s="50">
        <f ca="1"/>
        <v>3</v>
      </c>
      <c r="AD10" s="50">
        <f ca="1"/>
        <v>0</v>
      </c>
      <c r="AE10" s="50">
        <f ca="1"/>
        <v>0</v>
      </c>
      <c r="AF10" s="50">
        <f ca="1"/>
        <v>64</v>
      </c>
      <c r="AG10" s="50">
        <f ca="1"/>
        <v>0</v>
      </c>
      <c r="AH10" s="50" t="str">
        <f ca="1"/>
        <v>026894</v>
      </c>
      <c r="AI10" s="50" t="str">
        <f ca="1"/>
        <v>026895</v>
      </c>
      <c r="AJ10" s="50" t="str">
        <f ca="1"/>
        <v>026894</v>
      </c>
      <c r="AK10" s="50">
        <f ca="1"/>
        <v>0</v>
      </c>
      <c r="AL10" s="50" t="str">
        <f ca="1"/>
        <v>018552</v>
      </c>
      <c r="AM10" s="50">
        <f ca="1"/>
        <v>0</v>
      </c>
      <c r="AN10" s="50">
        <f ca="1"/>
        <v>0</v>
      </c>
      <c r="AO10" s="50">
        <f ca="1"/>
        <v>8</v>
      </c>
      <c r="AP10" s="50">
        <f ca="1"/>
        <v>8</v>
      </c>
      <c r="AQ10" s="50">
        <f ca="1"/>
        <v>8</v>
      </c>
      <c r="AR10" s="50">
        <f ca="1"/>
        <v>0</v>
      </c>
      <c r="AS10" s="50">
        <f ca="1"/>
        <v>7</v>
      </c>
      <c r="AT10" s="50">
        <f ca="1"/>
        <v>0</v>
      </c>
      <c r="AU10" s="50">
        <f ca="1"/>
        <v>0</v>
      </c>
      <c r="AV10" s="50" t="str">
        <f t="shared" ca="1" si="0"/>
        <v>Diseño asistido por computadora</v>
      </c>
    </row>
    <row r="11" spans="1:48" ht="143" x14ac:dyDescent="0.35">
      <c r="B11" s="92">
        <v>0.41666666666666702</v>
      </c>
      <c r="C11" s="92">
        <v>0.437499999999998</v>
      </c>
      <c r="D11" s="28" t="str" cm="1">
        <f t="array" aca="1" ref="D11" ca="1">_xlfn.TEXTJOIN(CHAR(10),TRUE,IF(Semestre=INDIRECT("base_de_datos["&amp;Carrera&amp;"]"),IF("x"=base_de_datos[Lunes],IF(base_de_datos[Hora inicio]&lt;=$B11,IF(base_de_datos[Hora fin]&gt;=$C11,base_de_datos[Materia]&amp;" "&amp;base_de_datos[[Número de grupo ]]&amp;" "&amp;base_de_datos[Profesor],""),""),""),""),"")</f>
        <v>Persona y sociedad/Antropología Filosófica II 3 Jorge Humberto Mejía Reyes
Persona y sociedad/Antropología Filosófica II 2 Juan José Macías Gutiérrez
Persona y sociedad/Antropología Filosófica II 1 María Teresa Enríquez Gómez
Persona y sociedad/Antropología Filosófica II 4 Gustavo Adolfo Esparza Urzúa</v>
      </c>
      <c r="E11" s="28" t="str" cm="1">
        <f t="array" aca="1" ref="E11" ca="1">_xlfn.TEXTJOIN(CHAR(10),TRUE,IF(Semestre=INDIRECT("base_de_datos["&amp;Carrera&amp;"]"),IF("x"=base_de_datos[Lunes],IF(base_de_datos[Hora inicio]&lt;=$B11,IF(base_de_datos[Hora fin]&gt;=$C11,base_de_datos[Aula]&amp;" "&amp;base_de_datos[Examen],""),""),""),""),"")</f>
        <v xml:space="preserve">D-02 
C-15 
D-01 
D-03 </v>
      </c>
      <c r="F11" s="28" t="str" cm="1">
        <f t="array" aca="1" ref="F11" ca="1">_xlfn.TEXTJOIN(CHAR(10),TRUE,IF(Semestre=INDIRECT("base_de_datos["&amp;Carrera&amp;"]"),IF("x"=base_de_datos[Lunes],IF(base_de_datos[Hora inicio]&lt;=$B11,IF(base_de_datos[Hora fin]&gt;=$C11,base_de_datos[No clase],""),""),""),""),"")</f>
        <v>2771, 2776, 2781
2769, 2774, 2779
2768, 2773, 2778
2772, 2777, 2782</v>
      </c>
      <c r="G11" s="28" t="str" cm="1">
        <f t="array" aca="1" ref="G11" ca="1">_xlfn.TEXTJOIN(CHAR(10),TRUE,IF(Semestre=INDIRECT("base_de_datos["&amp;Carrera&amp;"]"),IF("x"=base_de_datos[Martes],IF(base_de_datos[Hora inicio]&lt;=$B11,IF(base_de_datos[Hora fin]&gt;=$C11,base_de_datos[Materia]&amp;" "&amp;base_de_datos[[Número de grupo ]]&amp;" "&amp;base_de_datos[Profesor],""),""),""),""),"")</f>
        <v>Cálculo integral 3 Eduardo de la Vega Segura
Cálculo integral 1 Fabiola Ayluardo Rivera
Cálculo integral 4 Óscar Dávalos Orozco</v>
      </c>
      <c r="H11" s="28" t="str" cm="1">
        <f t="array" aca="1" ref="H11" ca="1">_xlfn.TEXTJOIN(CHAR(10),TRUE,IF(Semestre=INDIRECT("base_de_datos["&amp;Carrera&amp;"]"),IF("x"=base_de_datos[Martes],IF(base_de_datos[Hora inicio]&lt;=$B11,IF(base_de_datos[Hora fin]&gt;=$C11,base_de_datos[Aula]&amp;" "&amp;base_de_datos[Examen],""),""),""),""),"")</f>
        <v xml:space="preserve">Aula Aguascalientes 
C-01 
C-02 </v>
      </c>
      <c r="I11" s="28" t="str" cm="1">
        <f t="array" aca="1" ref="I11" ca="1">_xlfn.TEXTJOIN(CHAR(10),TRUE,IF(Semestre=INDIRECT("base_de_datos["&amp;Carrera&amp;"]"),IF("x"=base_de_datos[Martes],IF(base_de_datos[Hora inicio]&lt;=$B11,IF(base_de_datos[Hora fin]&gt;=$C11,base_de_datos[No clase],""),""),""),""),"")</f>
        <v>1686, 16292, 1697, 1702/05
1684, 1690, 1695, 1700/05
1687, 1693, 1698, 1703/05</v>
      </c>
      <c r="J11" s="28" t="str" cm="1">
        <f t="array" aca="1" ref="J11" ca="1">_xlfn.TEXTJOIN(CHAR(10),TRUE,IF(Semestre=INDIRECT("base_de_datos["&amp;Carrera&amp;"]"),IF("x"=base_de_datos[Miércoles],IF(base_de_datos[Hora inicio]&lt;=$B11,IF(base_de_datos[Hora fin]&gt;=$C11,base_de_datos[Materia]&amp;" "&amp;base_de_datos[[Número de grupo ]]&amp;" "&amp;base_de_datos[Profesor],""),""),""),""),"")</f>
        <v>Diseño asistido por computadora 2 Mauricio Muñoz Zermeño</v>
      </c>
      <c r="K11" s="28" t="str" cm="1">
        <f t="array" aca="1" ref="K11" ca="1">_xlfn.TEXTJOIN(CHAR(10),TRUE,IF(Semestre=INDIRECT("base_de_datos["&amp;Carrera&amp;"]"),IF("x"=base_de_datos[Miércoles],IF(base_de_datos[Hora inicio]&lt;=$B11,IF(base_de_datos[Hora fin]&gt;=$C11,base_de_datos[Aula]&amp;" "&amp;base_de_datos[Examen],""),""),""),""),"")</f>
        <v xml:space="preserve">CC010 </v>
      </c>
      <c r="L11" s="28" t="str" cm="1">
        <f t="array" aca="1" ref="L11" ca="1">_xlfn.TEXTJOIN(CHAR(10),TRUE,IF(Semestre=INDIRECT("base_de_datos["&amp;Carrera&amp;"]"),IF("x"=base_de_datos[Miércoles],IF(base_de_datos[Hora inicio]&lt;=$B11,IF(base_de_datos[Hora fin]&gt;=$C11,base_de_datos[No clase],""),""),""),""),"")</f>
        <v>1917, 1919/20, 1922 (2do. II)</v>
      </c>
      <c r="M11" s="28" t="str" cm="1">
        <f t="array" aca="1" ref="M11" ca="1">_xlfn.TEXTJOIN(CHAR(10),TRUE,IF(Semestre=INDIRECT("base_de_datos["&amp;Carrera&amp;"]"),IF("x"=base_de_datos[Jueves],IF(base_de_datos[Hora inicio]&lt;=$B11,IF(base_de_datos[Hora fin]&gt;=$C11,base_de_datos[Materia]&amp;" "&amp;base_de_datos[[Número de grupo ]]&amp;" "&amp;base_de_datos[Profesor],""),""),""),""),"")</f>
        <v>Cálculo integral 3 Eduardo de la Vega Segura
Cálculo integral 1 Fabiola Ayluardo Rivera
Cálculo integral 4 Óscar Dávalos Orozco</v>
      </c>
      <c r="N11" s="28" t="str" cm="1">
        <f t="array" aca="1" ref="N11" ca="1">_xlfn.TEXTJOIN(CHAR(10),TRUE,IF(Semestre=INDIRECT("base_de_datos["&amp;Carrera&amp;"]"),IF("x"=base_de_datos[Jueves],IF(base_de_datos[Hora inicio]&lt;=$B11,IF(base_de_datos[Hora fin]&gt;=$C11,base_de_datos[Aula]&amp;" "&amp;base_de_datos[Examen],""),""),""),""),"")</f>
        <v xml:space="preserve">Aula Aguascalientes 
C-01 
C-02 </v>
      </c>
      <c r="O11" s="28" t="str" cm="1">
        <f t="array" aca="1" ref="O11" ca="1">_xlfn.TEXTJOIN(CHAR(10),TRUE,IF(Semestre=INDIRECT("base_de_datos["&amp;Carrera&amp;"]"),IF("x"=base_de_datos[Jueves],IF(base_de_datos[Hora inicio]&lt;=$B11,IF(base_de_datos[Hora fin]&gt;=$C11,base_de_datos[No clase],""),""),""),""),"")</f>
        <v>1686, 16292, 1697, 1702/05
1684, 1690, 1695, 1700/05
1687, 1693, 1698, 1703/05</v>
      </c>
      <c r="P11" s="28" t="str" cm="1">
        <f t="array" aca="1" ref="P11" ca="1">_xlfn.TEXTJOIN(CHAR(10),TRUE,IF(Semestre=INDIRECT("base_de_datos["&amp;Carrera&amp;"]"),IF("x"=base_de_datos[Viernes],IF(base_de_datos[Hora inicio]&lt;=$B11,IF(base_de_datos[Hora fin]&gt;=$C11,base_de_datos[Materia]&amp;" "&amp;base_de_datos[[Número de grupo ]]&amp;" "&amp;base_de_datos[Profesor],""),""),""),""),"")</f>
        <v>Persona y sociedad/Antropología Filosófica II 3 Jorge Humberto Mejía Reyes
Persona y sociedad/Antropología Filosófica II 2 Juan José Macías Gutiérrez
Persona y sociedad/Antropología Filosófica II 1 María Teresa Enríquez Gómez
Persona y sociedad/Antropología Filosófica II 4 Gustavo Adolfo Esparza Urzúa</v>
      </c>
      <c r="Q11" s="28" t="str" cm="1">
        <f t="array" aca="1" ref="Q11" ca="1">_xlfn.TEXTJOIN(CHAR(10),TRUE,IF(Semestre=INDIRECT("base_de_datos["&amp;Carrera&amp;"]"),IF("x"=base_de_datos[Viernes],IF(base_de_datos[Hora inicio]&lt;=$B11,IF(base_de_datos[Hora fin]&gt;=$C11,base_de_datos[Aula]&amp;" "&amp;base_de_datos[Examen],""),""),""),""),"")</f>
        <v xml:space="preserve">C-23 
C-21 
A-25 
C-24 </v>
      </c>
      <c r="R11" s="28" t="str" cm="1">
        <f t="array" aca="1" ref="R11" ca="1">_xlfn.TEXTJOIN(CHAR(10),TRUE,IF(Semestre=INDIRECT("base_de_datos["&amp;Carrera&amp;"]"),IF("x"=base_de_datos[Viernes],IF(base_de_datos[Hora inicio]&lt;=$B11,IF(base_de_datos[Hora fin]&gt;=$C11,base_de_datos[No clase],""),""),""),""),"")</f>
        <v>2771, 2776, 2781
2769, 2774, 2779
2768, 2773, 2778
2772, 2777, 2782</v>
      </c>
      <c r="S11" s="28" t="str" cm="1">
        <f t="array" aca="1" ref="S11" ca="1">_xlfn.TEXTJOIN(CHAR(10),TRUE,IF(Semestre=INDIRECT("base_de_datos["&amp;Carrera&amp;"]"),IF("x"=base_de_datos[Sábado],IF(base_de_datos[Hora inicio]&lt;=$B11,IF(base_de_datos[Hora fin]&gt;=$C11,base_de_datos[Materia]&amp;" "&amp;base_de_datos[[Número de grupo ]]&amp;" "&amp;base_de_datos[Profesor],""),""),""),""),"")</f>
        <v/>
      </c>
      <c r="T11" s="28" t="str" cm="1">
        <f t="array" aca="1" ref="T11" ca="1">_xlfn.TEXTJOIN(CHAR(10),TRUE,IF(Semestre=INDIRECT("base_de_datos["&amp;Carrera&amp;"]"),IF("x"=base_de_datos[Sábado],IF(base_de_datos[Hora inicio]&lt;=$B11,IF(base_de_datos[Hora fin]&gt;=$C11,base_de_datos[Aula]&amp;" "&amp;#REF!,""),""),""),""),"")</f>
        <v/>
      </c>
      <c r="U11" s="28" t="str" cm="1">
        <f t="array" aca="1" ref="U11" ca="1">_xlfn.TEXTJOIN(CHAR(10),TRUE,IF(Semestre=INDIRECT("base_de_datos["&amp;Carrera&amp;"]"),IF("x"=base_de_datos[Sábado],IF(base_de_datos[Hora inicio]&lt;=$B11,IF(base_de_datos[Hora fin]&gt;=$C11,base_de_datos[No clase],""),""),""),""),"")</f>
        <v/>
      </c>
      <c r="V11" s="27"/>
      <c r="W11" s="69" t="str">
        <f ca="1"/>
        <v>Mecánica</v>
      </c>
      <c r="X11" s="69" t="str">
        <f ca="1"/>
        <v>MEC</v>
      </c>
      <c r="Y11" s="30">
        <f ca="1"/>
        <v>2</v>
      </c>
      <c r="Z11" s="30">
        <f ca="1"/>
        <v>0</v>
      </c>
      <c r="AA11" s="30">
        <f ca="1"/>
        <v>0</v>
      </c>
      <c r="AB11" s="50">
        <f ca="1"/>
        <v>2</v>
      </c>
      <c r="AC11" s="50">
        <f ca="1"/>
        <v>4</v>
      </c>
      <c r="AD11" s="50">
        <f ca="1"/>
        <v>0</v>
      </c>
      <c r="AE11" s="50">
        <f ca="1"/>
        <v>2</v>
      </c>
      <c r="AF11" s="50">
        <f ca="1"/>
        <v>48</v>
      </c>
      <c r="AG11" s="50">
        <f ca="1"/>
        <v>0</v>
      </c>
      <c r="AH11" s="50" t="str">
        <f ca="1"/>
        <v>027027</v>
      </c>
      <c r="AI11" s="50">
        <f ca="1"/>
        <v>0</v>
      </c>
      <c r="AJ11" s="50">
        <f ca="1"/>
        <v>0</v>
      </c>
      <c r="AK11" s="50" t="str">
        <f ca="1"/>
        <v>028366</v>
      </c>
      <c r="AL11" s="50" t="str">
        <f ca="1"/>
        <v>018550</v>
      </c>
      <c r="AM11" s="50">
        <f ca="1"/>
        <v>0</v>
      </c>
      <c r="AN11" s="50" t="str">
        <f ca="1"/>
        <v>028366</v>
      </c>
      <c r="AO11" s="50">
        <f ca="1"/>
        <v>6</v>
      </c>
      <c r="AP11" s="50">
        <f ca="1"/>
        <v>0</v>
      </c>
      <c r="AQ11" s="50">
        <f ca="1"/>
        <v>0</v>
      </c>
      <c r="AR11" s="50">
        <f ca="1"/>
        <v>6</v>
      </c>
      <c r="AS11" s="50">
        <f ca="1"/>
        <v>7</v>
      </c>
      <c r="AT11" s="50">
        <f ca="1"/>
        <v>0</v>
      </c>
      <c r="AU11" s="50">
        <f ca="1"/>
        <v>6</v>
      </c>
      <c r="AV11" s="50" t="str">
        <f t="shared" ca="1" si="0"/>
        <v>Mecánica</v>
      </c>
    </row>
    <row r="12" spans="1:48" ht="143" x14ac:dyDescent="0.35">
      <c r="B12" s="92">
        <v>0.4375</v>
      </c>
      <c r="C12" s="92">
        <v>0.45833333333333098</v>
      </c>
      <c r="D12" s="28" t="str" cm="1">
        <f t="array" aca="1" ref="D12" ca="1">_xlfn.TEXTJOIN(CHAR(10),TRUE,IF(Semestre=INDIRECT("base_de_datos["&amp;Carrera&amp;"]"),IF("x"=base_de_datos[Lunes],IF(base_de_datos[Hora inicio]&lt;=$B12,IF(base_de_datos[Hora fin]&gt;=$C12,base_de_datos[Materia]&amp;" "&amp;base_de_datos[[Número de grupo ]]&amp;" "&amp;base_de_datos[Profesor],""),""),""),""),"")</f>
        <v>Persona y sociedad/Antropología Filosófica II 3 Jorge Humberto Mejía Reyes
Persona y sociedad/Antropología Filosófica II 2 Juan José Macías Gutiérrez
Persona y sociedad/Antropología Filosófica II 1 María Teresa Enríquez Gómez
Persona y sociedad/Antropología Filosófica II 4 Gustavo Adolfo Esparza Urzúa</v>
      </c>
      <c r="E12" s="28" t="str" cm="1">
        <f t="array" aca="1" ref="E12" ca="1">_xlfn.TEXTJOIN(CHAR(10),TRUE,IF(Semestre=INDIRECT("base_de_datos["&amp;Carrera&amp;"]"),IF("x"=base_de_datos[Lunes],IF(base_de_datos[Hora inicio]&lt;=$B12,IF(base_de_datos[Hora fin]&gt;=$C12,base_de_datos[Aula]&amp;" "&amp;base_de_datos[Examen],""),""),""),""),"")</f>
        <v xml:space="preserve">D-02 
C-15 
D-01 
D-03 </v>
      </c>
      <c r="F12" s="28" t="str" cm="1">
        <f t="array" aca="1" ref="F12" ca="1">_xlfn.TEXTJOIN(CHAR(10),TRUE,IF(Semestre=INDIRECT("base_de_datos["&amp;Carrera&amp;"]"),IF("x"=base_de_datos[Lunes],IF(base_de_datos[Hora inicio]&lt;=$B12,IF(base_de_datos[Hora fin]&gt;=$C12,base_de_datos[No clase],""),""),""),""),"")</f>
        <v>2771, 2776, 2781
2769, 2774, 2779
2768, 2773, 2778
2772, 2777, 2782</v>
      </c>
      <c r="G12" s="28" t="str" cm="1">
        <f t="array" aca="1" ref="G12" ca="1">_xlfn.TEXTJOIN(CHAR(10),TRUE,IF(Semestre=INDIRECT("base_de_datos["&amp;Carrera&amp;"]"),IF("x"=base_de_datos[Martes],IF(base_de_datos[Hora inicio]&lt;=$B12,IF(base_de_datos[Hora fin]&gt;=$C12,base_de_datos[Materia]&amp;" "&amp;base_de_datos[[Número de grupo ]]&amp;" "&amp;base_de_datos[Profesor],""),""),""),""),"")</f>
        <v>Cálculo integral 3 Eduardo de la Vega Segura
Cálculo integral 1 Fabiola Ayluardo Rivera
Cálculo integral 4 Óscar Dávalos Orozco</v>
      </c>
      <c r="H12" s="28" t="str" cm="1">
        <f t="array" aca="1" ref="H12" ca="1">_xlfn.TEXTJOIN(CHAR(10),TRUE,IF(Semestre=INDIRECT("base_de_datos["&amp;Carrera&amp;"]"),IF("x"=base_de_datos[Martes],IF(base_de_datos[Hora inicio]&lt;=$B12,IF(base_de_datos[Hora fin]&gt;=$C12,base_de_datos[Aula]&amp;" "&amp;base_de_datos[Examen],""),""),""),""),"")</f>
        <v xml:space="preserve">Aula Aguascalientes 
C-01 
C-02 </v>
      </c>
      <c r="I12" s="28" t="str" cm="1">
        <f t="array" aca="1" ref="I12" ca="1">_xlfn.TEXTJOIN(CHAR(10),TRUE,IF(Semestre=INDIRECT("base_de_datos["&amp;Carrera&amp;"]"),IF("x"=base_de_datos[Martes],IF(base_de_datos[Hora inicio]&lt;=$B12,IF(base_de_datos[Hora fin]&gt;=$C12,base_de_datos[No clase],""),""),""),""),"")</f>
        <v>1686, 16292, 1697, 1702/05
1684, 1690, 1695, 1700/05
1687, 1693, 1698, 1703/05</v>
      </c>
      <c r="J12" s="28" t="str" cm="1">
        <f t="array" aca="1" ref="J12" ca="1">_xlfn.TEXTJOIN(CHAR(10),TRUE,IF(Semestre=INDIRECT("base_de_datos["&amp;Carrera&amp;"]"),IF("x"=base_de_datos[Miércoles],IF(base_de_datos[Hora inicio]&lt;=$B12,IF(base_de_datos[Hora fin]&gt;=$C12,base_de_datos[Materia]&amp;" "&amp;base_de_datos[[Número de grupo ]]&amp;" "&amp;base_de_datos[Profesor],""),""),""),""),"")</f>
        <v>Diseño asistido por computadora 2 Mauricio Muñoz Zermeño</v>
      </c>
      <c r="K12" s="28" t="str" cm="1">
        <f t="array" aca="1" ref="K12" ca="1">_xlfn.TEXTJOIN(CHAR(10),TRUE,IF(Semestre=INDIRECT("base_de_datos["&amp;Carrera&amp;"]"),IF("x"=base_de_datos[Miércoles],IF(base_de_datos[Hora inicio]&lt;=$B12,IF(base_de_datos[Hora fin]&gt;=$C12,base_de_datos[Aula]&amp;" "&amp;base_de_datos[Examen],""),""),""),""),"")</f>
        <v xml:space="preserve">CC010 </v>
      </c>
      <c r="L12" s="28" t="str" cm="1">
        <f t="array" aca="1" ref="L12" ca="1">_xlfn.TEXTJOIN(CHAR(10),TRUE,IF(Semestre=INDIRECT("base_de_datos["&amp;Carrera&amp;"]"),IF("x"=base_de_datos[Miércoles],IF(base_de_datos[Hora inicio]&lt;=$B12,IF(base_de_datos[Hora fin]&gt;=$C12,base_de_datos[No clase],""),""),""),""),"")</f>
        <v>1917, 1919/20, 1922 (2do. II)</v>
      </c>
      <c r="M12" s="28" t="str" cm="1">
        <f t="array" aca="1" ref="M12" ca="1">_xlfn.TEXTJOIN(CHAR(10),TRUE,IF(Semestre=INDIRECT("base_de_datos["&amp;Carrera&amp;"]"),IF("x"=base_de_datos[Jueves],IF(base_de_datos[Hora inicio]&lt;=$B12,IF(base_de_datos[Hora fin]&gt;=$C12,base_de_datos[Materia]&amp;" "&amp;base_de_datos[[Número de grupo ]]&amp;" "&amp;base_de_datos[Profesor],""),""),""),""),"")</f>
        <v>Cálculo integral 3 Eduardo de la Vega Segura
Cálculo integral 1 Fabiola Ayluardo Rivera
Cálculo integral 4 Óscar Dávalos Orozco</v>
      </c>
      <c r="N12" s="28" t="str" cm="1">
        <f t="array" aca="1" ref="N12" ca="1">_xlfn.TEXTJOIN(CHAR(10),TRUE,IF(Semestre=INDIRECT("base_de_datos["&amp;Carrera&amp;"]"),IF("x"=base_de_datos[Jueves],IF(base_de_datos[Hora inicio]&lt;=$B12,IF(base_de_datos[Hora fin]&gt;=$C12,base_de_datos[Aula]&amp;" "&amp;base_de_datos[Examen],""),""),""),""),"")</f>
        <v xml:space="preserve">Aula Aguascalientes 
C-01 
C-02 </v>
      </c>
      <c r="O12" s="28" t="str" cm="1">
        <f t="array" aca="1" ref="O12" ca="1">_xlfn.TEXTJOIN(CHAR(10),TRUE,IF(Semestre=INDIRECT("base_de_datos["&amp;Carrera&amp;"]"),IF("x"=base_de_datos[Jueves],IF(base_de_datos[Hora inicio]&lt;=$B12,IF(base_de_datos[Hora fin]&gt;=$C12,base_de_datos[No clase],""),""),""),""),"")</f>
        <v>1686, 16292, 1697, 1702/05
1684, 1690, 1695, 1700/05
1687, 1693, 1698, 1703/05</v>
      </c>
      <c r="P12" s="28" t="str" cm="1">
        <f t="array" aca="1" ref="P12" ca="1">_xlfn.TEXTJOIN(CHAR(10),TRUE,IF(Semestre=INDIRECT("base_de_datos["&amp;Carrera&amp;"]"),IF("x"=base_de_datos[Viernes],IF(base_de_datos[Hora inicio]&lt;=$B12,IF(base_de_datos[Hora fin]&gt;=$C12,base_de_datos[Materia]&amp;" "&amp;base_de_datos[[Número de grupo ]]&amp;" "&amp;base_de_datos[Profesor],""),""),""),""),"")</f>
        <v>Persona y sociedad/Antropología Filosófica II 3 Jorge Humberto Mejía Reyes
Persona y sociedad/Antropología Filosófica II 2 Juan José Macías Gutiérrez
Persona y sociedad/Antropología Filosófica II 1 María Teresa Enríquez Gómez
Persona y sociedad/Antropología Filosófica II 4 Gustavo Adolfo Esparza Urzúa</v>
      </c>
      <c r="Q12" s="28" t="str" cm="1">
        <f t="array" aca="1" ref="Q12" ca="1">_xlfn.TEXTJOIN(CHAR(10),TRUE,IF(Semestre=INDIRECT("base_de_datos["&amp;Carrera&amp;"]"),IF("x"=base_de_datos[Viernes],IF(base_de_datos[Hora inicio]&lt;=$B12,IF(base_de_datos[Hora fin]&gt;=$C12,base_de_datos[Aula]&amp;" "&amp;base_de_datos[Examen],""),""),""),""),"")</f>
        <v xml:space="preserve">C-23 
C-21 
A-25 
C-24 </v>
      </c>
      <c r="R12" s="28" t="str" cm="1">
        <f t="array" aca="1" ref="R12" ca="1">_xlfn.TEXTJOIN(CHAR(10),TRUE,IF(Semestre=INDIRECT("base_de_datos["&amp;Carrera&amp;"]"),IF("x"=base_de_datos[Viernes],IF(base_de_datos[Hora inicio]&lt;=$B12,IF(base_de_datos[Hora fin]&gt;=$C12,base_de_datos[No clase],""),""),""),""),"")</f>
        <v>2771, 2776, 2781
2769, 2774, 2779
2768, 2773, 2778
2772, 2777, 2782</v>
      </c>
      <c r="S12" s="28" t="str" cm="1">
        <f t="array" aca="1" ref="S12" ca="1">_xlfn.TEXTJOIN(CHAR(10),TRUE,IF(Semestre=INDIRECT("base_de_datos["&amp;Carrera&amp;"]"),IF("x"=base_de_datos[Sábado],IF(base_de_datos[Hora inicio]&lt;=$B12,IF(base_de_datos[Hora fin]&gt;=$C12,base_de_datos[Materia]&amp;" "&amp;base_de_datos[[Número de grupo ]]&amp;" "&amp;base_de_datos[Profesor],""),""),""),""),"")</f>
        <v/>
      </c>
      <c r="T12" s="28" t="str" cm="1">
        <f t="array" aca="1" ref="T12" ca="1">_xlfn.TEXTJOIN(CHAR(10),TRUE,IF(Semestre=INDIRECT("base_de_datos["&amp;Carrera&amp;"]"),IF("x"=base_de_datos[Sábado],IF(base_de_datos[Hora inicio]&lt;=$B12,IF(base_de_datos[Hora fin]&gt;=$C12,base_de_datos[Aula]&amp;" "&amp;#REF!,""),""),""),""),"")</f>
        <v/>
      </c>
      <c r="U12" s="28" t="str" cm="1">
        <f t="array" aca="1" ref="U12" ca="1">_xlfn.TEXTJOIN(CHAR(10),TRUE,IF(Semestre=INDIRECT("base_de_datos["&amp;Carrera&amp;"]"),IF("x"=base_de_datos[Sábado],IF(base_de_datos[Hora inicio]&lt;=$B12,IF(base_de_datos[Hora fin]&gt;=$C12,base_de_datos[No clase],""),""),""),""),"")</f>
        <v/>
      </c>
      <c r="V12" s="27"/>
      <c r="W12" s="69"/>
      <c r="X12" s="69"/>
      <c r="Y12" s="30"/>
      <c r="Z12" s="30"/>
      <c r="AA12" s="30"/>
      <c r="AB12" s="50"/>
      <c r="AC12" s="50"/>
      <c r="AD12" s="50"/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50"/>
      <c r="AT12" s="50"/>
      <c r="AU12" s="50"/>
      <c r="AV12" s="50" t="str">
        <f t="shared" si="0"/>
        <v/>
      </c>
    </row>
    <row r="13" spans="1:48" ht="14.5" x14ac:dyDescent="0.35">
      <c r="B13" s="92">
        <v>0.45833333333333398</v>
      </c>
      <c r="C13" s="92">
        <v>0.47916666666666402</v>
      </c>
      <c r="D13" s="29" t="str" cm="1">
        <f t="array" aca="1" ref="D13" ca="1">_xlfn.TEXTJOIN(CHAR(10),TRUE,IF(Semestre=INDIRECT("base_de_datos["&amp;Carrera&amp;"]"),IF("x"=base_de_datos[Lunes],IF(base_de_datos[Hora inicio]&lt;=$B13,IF(base_de_datos[Hora fin]&gt;=$C13,base_de_datos[Materia]&amp;" "&amp;base_de_datos[[Número de grupo ]]&amp;" "&amp;base_de_datos[Profesor],""),""),""),""),"")</f>
        <v/>
      </c>
      <c r="E13" s="29" t="str" cm="1">
        <f t="array" aca="1" ref="E13" ca="1">_xlfn.TEXTJOIN(CHAR(10),TRUE,IF(Semestre=INDIRECT("base_de_datos["&amp;Carrera&amp;"]"),IF("x"=base_de_datos[Lunes],IF(base_de_datos[Hora inicio]&lt;=$B13,IF(base_de_datos[Hora fin]&gt;=$C13,base_de_datos[Aula]&amp;" "&amp;base_de_datos[Examen],""),""),""),""),"")</f>
        <v/>
      </c>
      <c r="F13" s="29" t="str" cm="1">
        <f t="array" aca="1" ref="F13" ca="1">_xlfn.TEXTJOIN(CHAR(10),TRUE,IF(Semestre=INDIRECT("base_de_datos["&amp;Carrera&amp;"]"),IF("x"=base_de_datos[Lunes],IF(base_de_datos[Hora inicio]&lt;=$B13,IF(base_de_datos[Hora fin]&gt;=$C13,base_de_datos[No clase],""),""),""),""),"")</f>
        <v/>
      </c>
      <c r="G13" s="29" t="str" cm="1">
        <f t="array" aca="1" ref="G13" ca="1">_xlfn.TEXTJOIN(CHAR(10),TRUE,IF(Semestre=INDIRECT("base_de_datos["&amp;Carrera&amp;"]"),IF("x"=base_de_datos[Martes],IF(base_de_datos[Hora inicio]&lt;=$B13,IF(base_de_datos[Hora fin]&gt;=$C13,base_de_datos[Materia]&amp;" "&amp;base_de_datos[[Número de grupo ]]&amp;" "&amp;base_de_datos[Profesor],""),""),""),""),"")</f>
        <v/>
      </c>
      <c r="H13" s="29" t="str" cm="1">
        <f t="array" aca="1" ref="H13" ca="1">_xlfn.TEXTJOIN(CHAR(10),TRUE,IF(Semestre=INDIRECT("base_de_datos["&amp;Carrera&amp;"]"),IF("x"=base_de_datos[Martes],IF(base_de_datos[Hora inicio]&lt;=$B13,IF(base_de_datos[Hora fin]&gt;=$C13,base_de_datos[Aula]&amp;" "&amp;base_de_datos[Examen],""),""),""),""),"")</f>
        <v/>
      </c>
      <c r="I13" s="29" t="str" cm="1">
        <f t="array" aca="1" ref="I13" ca="1">_xlfn.TEXTJOIN(CHAR(10),TRUE,IF(Semestre=INDIRECT("base_de_datos["&amp;Carrera&amp;"]"),IF("x"=base_de_datos[Martes],IF(base_de_datos[Hora inicio]&lt;=$B13,IF(base_de_datos[Hora fin]&gt;=$C13,base_de_datos[No clase],""),""),""),""),"")</f>
        <v/>
      </c>
      <c r="J13" s="29" t="str" cm="1">
        <f t="array" aca="1" ref="J13" ca="1">_xlfn.TEXTJOIN(CHAR(10),TRUE,IF(Semestre=INDIRECT("base_de_datos["&amp;Carrera&amp;"]"),IF("x"=base_de_datos[Miércoles],IF(base_de_datos[Hora inicio]&lt;=$B13,IF(base_de_datos[Hora fin]&gt;=$C13,base_de_datos[Materia]&amp;" "&amp;base_de_datos[[Número de grupo ]]&amp;" "&amp;base_de_datos[Profesor],""),""),""),""),"")</f>
        <v/>
      </c>
      <c r="K13" s="29" t="str" cm="1">
        <f t="array" aca="1" ref="K13" ca="1">_xlfn.TEXTJOIN(CHAR(10),TRUE,IF(Semestre=INDIRECT("base_de_datos["&amp;Carrera&amp;"]"),IF("x"=base_de_datos[Miércoles],IF(base_de_datos[Hora inicio]&lt;=$B13,IF(base_de_datos[Hora fin]&gt;=$C13,base_de_datos[Aula]&amp;" "&amp;base_de_datos[Examen],""),""),""),""),"")</f>
        <v/>
      </c>
      <c r="L13" s="29" t="str" cm="1">
        <f t="array" aca="1" ref="L13" ca="1">_xlfn.TEXTJOIN(CHAR(10),TRUE,IF(Semestre=INDIRECT("base_de_datos["&amp;Carrera&amp;"]"),IF("x"=base_de_datos[Miércoles],IF(base_de_datos[Hora inicio]&lt;=$B13,IF(base_de_datos[Hora fin]&gt;=$C13,base_de_datos[No clase],""),""),""),""),"")</f>
        <v/>
      </c>
      <c r="M13" s="29" t="str" cm="1">
        <f t="array" aca="1" ref="M13" ca="1">_xlfn.TEXTJOIN(CHAR(10),TRUE,IF(Semestre=INDIRECT("base_de_datos["&amp;Carrera&amp;"]"),IF("x"=base_de_datos[Jueves],IF(base_de_datos[Hora inicio]&lt;=$B13,IF(base_de_datos[Hora fin]&gt;=$C13,base_de_datos[Materia]&amp;" "&amp;base_de_datos[[Número de grupo ]]&amp;" "&amp;base_de_datos[Profesor],""),""),""),""),"")</f>
        <v/>
      </c>
      <c r="N13" s="29" t="str" cm="1">
        <f t="array" aca="1" ref="N13" ca="1">_xlfn.TEXTJOIN(CHAR(10),TRUE,IF(Semestre=INDIRECT("base_de_datos["&amp;Carrera&amp;"]"),IF("x"=base_de_datos[Jueves],IF(base_de_datos[Hora inicio]&lt;=$B13,IF(base_de_datos[Hora fin]&gt;=$C13,base_de_datos[Aula]&amp;" "&amp;base_de_datos[Examen],""),""),""),""),"")</f>
        <v/>
      </c>
      <c r="O13" s="29" t="str" cm="1">
        <f t="array" aca="1" ref="O13" ca="1">_xlfn.TEXTJOIN(CHAR(10),TRUE,IF(Semestre=INDIRECT("base_de_datos["&amp;Carrera&amp;"]"),IF("x"=base_de_datos[Jueves],IF(base_de_datos[Hora inicio]&lt;=$B13,IF(base_de_datos[Hora fin]&gt;=$C13,base_de_datos[No clase],""),""),""),""),"")</f>
        <v/>
      </c>
      <c r="P13" s="29" t="str" cm="1">
        <f t="array" aca="1" ref="P13" ca="1">_xlfn.TEXTJOIN(CHAR(10),TRUE,IF(Semestre=INDIRECT("base_de_datos["&amp;Carrera&amp;"]"),IF("x"=base_de_datos[Viernes],IF(base_de_datos[Hora inicio]&lt;=$B13,IF(base_de_datos[Hora fin]&gt;=$C13,base_de_datos[Materia]&amp;" "&amp;base_de_datos[[Número de grupo ]]&amp;" "&amp;base_de_datos[Profesor],""),""),""),""),"")</f>
        <v/>
      </c>
      <c r="Q13" s="29" t="str" cm="1">
        <f t="array" aca="1" ref="Q13" ca="1">_xlfn.TEXTJOIN(CHAR(10),TRUE,IF(Semestre=INDIRECT("base_de_datos["&amp;Carrera&amp;"]"),IF("x"=base_de_datos[Viernes],IF(base_de_datos[Hora inicio]&lt;=$B13,IF(base_de_datos[Hora fin]&gt;=$C13,base_de_datos[Aula]&amp;" "&amp;base_de_datos[Examen],""),""),""),""),"")</f>
        <v/>
      </c>
      <c r="R13" s="29" t="str" cm="1">
        <f t="array" aca="1" ref="R13" ca="1">_xlfn.TEXTJOIN(CHAR(10),TRUE,IF(Semestre=INDIRECT("base_de_datos["&amp;Carrera&amp;"]"),IF("x"=base_de_datos[Viernes],IF(base_de_datos[Hora inicio]&lt;=$B13,IF(base_de_datos[Hora fin]&gt;=$C13,base_de_datos[No clase],""),""),""),""),"")</f>
        <v/>
      </c>
      <c r="S13" s="28" t="str" cm="1">
        <f t="array" aca="1" ref="S13" ca="1">_xlfn.TEXTJOIN(CHAR(10),TRUE,IF(Semestre=INDIRECT("base_de_datos["&amp;Carrera&amp;"]"),IF("x"=base_de_datos[Sábado],IF(base_de_datos[Hora inicio]&lt;=$B13,IF(base_de_datos[Hora fin]&gt;=$C13,base_de_datos[Materia]&amp;" "&amp;base_de_datos[[Número de grupo ]]&amp;" "&amp;base_de_datos[Profesor],""),""),""),""),"")</f>
        <v/>
      </c>
      <c r="T13" s="28" t="str" cm="1">
        <f t="array" aca="1" ref="T13" ca="1">_xlfn.TEXTJOIN(CHAR(10),TRUE,IF(Semestre=INDIRECT("base_de_datos["&amp;Carrera&amp;"]"),IF("x"=base_de_datos[Sábado],IF(base_de_datos[Hora inicio]&lt;=$B13,IF(base_de_datos[Hora fin]&gt;=$C13,base_de_datos[Aula]&amp;" "&amp;#REF!,""),""),""),""),"")</f>
        <v/>
      </c>
      <c r="U13" s="28" t="str" cm="1">
        <f t="array" aca="1" ref="U13" ca="1">_xlfn.TEXTJOIN(CHAR(10),TRUE,IF(Semestre=INDIRECT("base_de_datos["&amp;Carrera&amp;"]"),IF("x"=base_de_datos[Sábado],IF(base_de_datos[Hora inicio]&lt;=$B13,IF(base_de_datos[Hora fin]&gt;=$C13,base_de_datos[No clase],""),""),""),""),"")</f>
        <v/>
      </c>
      <c r="V13" s="27"/>
      <c r="W13" s="69"/>
      <c r="X13" s="69"/>
      <c r="Y13" s="30"/>
      <c r="Z13" s="30"/>
      <c r="AA13" s="30"/>
      <c r="AB13" s="50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50"/>
      <c r="AU13" s="50"/>
      <c r="AV13" s="50" t="str">
        <f t="shared" si="0"/>
        <v/>
      </c>
    </row>
    <row r="14" spans="1:48" ht="14.5" x14ac:dyDescent="0.35">
      <c r="B14" s="92">
        <v>0.47916666666666702</v>
      </c>
      <c r="C14" s="92">
        <v>0.499999999999997</v>
      </c>
      <c r="D14" s="29" t="str" cm="1">
        <f t="array" aca="1" ref="D14" ca="1">_xlfn.TEXTJOIN(CHAR(10),TRUE,IF(Semestre=INDIRECT("base_de_datos["&amp;Carrera&amp;"]"),IF("x"=base_de_datos[Lunes],IF(base_de_datos[Hora inicio]&lt;=$B14,IF(base_de_datos[Hora fin]&gt;=$C14,base_de_datos[Materia]&amp;" "&amp;base_de_datos[[Número de grupo ]]&amp;" "&amp;base_de_datos[Profesor],""),""),""),""),"")</f>
        <v/>
      </c>
      <c r="E14" s="29" t="str" cm="1">
        <f t="array" aca="1" ref="E14" ca="1">_xlfn.TEXTJOIN(CHAR(10),TRUE,IF(Semestre=INDIRECT("base_de_datos["&amp;Carrera&amp;"]"),IF("x"=base_de_datos[Lunes],IF(base_de_datos[Hora inicio]&lt;=$B14,IF(base_de_datos[Hora fin]&gt;=$C14,base_de_datos[Aula]&amp;" "&amp;base_de_datos[Examen],""),""),""),""),"")</f>
        <v/>
      </c>
      <c r="F14" s="29" t="str" cm="1">
        <f t="array" aca="1" ref="F14" ca="1">_xlfn.TEXTJOIN(CHAR(10),TRUE,IF(Semestre=INDIRECT("base_de_datos["&amp;Carrera&amp;"]"),IF("x"=base_de_datos[Lunes],IF(base_de_datos[Hora inicio]&lt;=$B14,IF(base_de_datos[Hora fin]&gt;=$C14,base_de_datos[No clase],""),""),""),""),"")</f>
        <v/>
      </c>
      <c r="G14" s="29" t="str" cm="1">
        <f t="array" aca="1" ref="G14" ca="1">_xlfn.TEXTJOIN(CHAR(10),TRUE,IF(Semestre=INDIRECT("base_de_datos["&amp;Carrera&amp;"]"),IF("x"=base_de_datos[Martes],IF(base_de_datos[Hora inicio]&lt;=$B14,IF(base_de_datos[Hora fin]&gt;=$C14,base_de_datos[Materia]&amp;" "&amp;base_de_datos[[Número de grupo ]]&amp;" "&amp;base_de_datos[Profesor],""),""),""),""),"")</f>
        <v/>
      </c>
      <c r="H14" s="29" t="str" cm="1">
        <f t="array" aca="1" ref="H14" ca="1">_xlfn.TEXTJOIN(CHAR(10),TRUE,IF(Semestre=INDIRECT("base_de_datos["&amp;Carrera&amp;"]"),IF("x"=base_de_datos[Martes],IF(base_de_datos[Hora inicio]&lt;=$B14,IF(base_de_datos[Hora fin]&gt;=$C14,base_de_datos[Aula]&amp;" "&amp;base_de_datos[Examen],""),""),""),""),"")</f>
        <v/>
      </c>
      <c r="I14" s="29" t="str" cm="1">
        <f t="array" aca="1" ref="I14" ca="1">_xlfn.TEXTJOIN(CHAR(10),TRUE,IF(Semestre=INDIRECT("base_de_datos["&amp;Carrera&amp;"]"),IF("x"=base_de_datos[Martes],IF(base_de_datos[Hora inicio]&lt;=$B14,IF(base_de_datos[Hora fin]&gt;=$C14,base_de_datos[No clase],""),""),""),""),"")</f>
        <v/>
      </c>
      <c r="J14" s="29" t="str" cm="1">
        <f t="array" aca="1" ref="J14" ca="1">_xlfn.TEXTJOIN(CHAR(10),TRUE,IF(Semestre=INDIRECT("base_de_datos["&amp;Carrera&amp;"]"),IF("x"=base_de_datos[Miércoles],IF(base_de_datos[Hora inicio]&lt;=$B14,IF(base_de_datos[Hora fin]&gt;=$C14,base_de_datos[Materia]&amp;" "&amp;base_de_datos[[Número de grupo ]]&amp;" "&amp;base_de_datos[Profesor],""),""),""),""),"")</f>
        <v/>
      </c>
      <c r="K14" s="29" t="str" cm="1">
        <f t="array" aca="1" ref="K14" ca="1">_xlfn.TEXTJOIN(CHAR(10),TRUE,IF(Semestre=INDIRECT("base_de_datos["&amp;Carrera&amp;"]"),IF("x"=base_de_datos[Miércoles],IF(base_de_datos[Hora inicio]&lt;=$B14,IF(base_de_datos[Hora fin]&gt;=$C14,base_de_datos[Aula]&amp;" "&amp;base_de_datos[Examen],""),""),""),""),"")</f>
        <v/>
      </c>
      <c r="L14" s="29" t="str" cm="1">
        <f t="array" aca="1" ref="L14" ca="1">_xlfn.TEXTJOIN(CHAR(10),TRUE,IF(Semestre=INDIRECT("base_de_datos["&amp;Carrera&amp;"]"),IF("x"=base_de_datos[Miércoles],IF(base_de_datos[Hora inicio]&lt;=$B14,IF(base_de_datos[Hora fin]&gt;=$C14,base_de_datos[No clase],""),""),""),""),"")</f>
        <v/>
      </c>
      <c r="M14" s="29" t="str" cm="1">
        <f t="array" aca="1" ref="M14" ca="1">_xlfn.TEXTJOIN(CHAR(10),TRUE,IF(Semestre=INDIRECT("base_de_datos["&amp;Carrera&amp;"]"),IF("x"=base_de_datos[Jueves],IF(base_de_datos[Hora inicio]&lt;=$B14,IF(base_de_datos[Hora fin]&gt;=$C14,base_de_datos[Materia]&amp;" "&amp;base_de_datos[[Número de grupo ]]&amp;" "&amp;base_de_datos[Profesor],""),""),""),""),"")</f>
        <v/>
      </c>
      <c r="N14" s="29" t="str" cm="1">
        <f t="array" aca="1" ref="N14" ca="1">_xlfn.TEXTJOIN(CHAR(10),TRUE,IF(Semestre=INDIRECT("base_de_datos["&amp;Carrera&amp;"]"),IF("x"=base_de_datos[Jueves],IF(base_de_datos[Hora inicio]&lt;=$B14,IF(base_de_datos[Hora fin]&gt;=$C14,base_de_datos[Aula]&amp;" "&amp;base_de_datos[Examen],""),""),""),""),"")</f>
        <v/>
      </c>
      <c r="O14" s="29" t="str" cm="1">
        <f t="array" aca="1" ref="O14" ca="1">_xlfn.TEXTJOIN(CHAR(10),TRUE,IF(Semestre=INDIRECT("base_de_datos["&amp;Carrera&amp;"]"),IF("x"=base_de_datos[Jueves],IF(base_de_datos[Hora inicio]&lt;=$B14,IF(base_de_datos[Hora fin]&gt;=$C14,base_de_datos[No clase],""),""),""),""),"")</f>
        <v/>
      </c>
      <c r="P14" s="29" t="str" cm="1">
        <f t="array" aca="1" ref="P14" ca="1">_xlfn.TEXTJOIN(CHAR(10),TRUE,IF(Semestre=INDIRECT("base_de_datos["&amp;Carrera&amp;"]"),IF("x"=base_de_datos[Viernes],IF(base_de_datos[Hora inicio]&lt;=$B14,IF(base_de_datos[Hora fin]&gt;=$C14,base_de_datos[Materia]&amp;" "&amp;base_de_datos[[Número de grupo ]]&amp;" "&amp;base_de_datos[Profesor],""),""),""),""),"")</f>
        <v/>
      </c>
      <c r="Q14" s="29" t="str" cm="1">
        <f t="array" aca="1" ref="Q14" ca="1">_xlfn.TEXTJOIN(CHAR(10),TRUE,IF(Semestre=INDIRECT("base_de_datos["&amp;Carrera&amp;"]"),IF("x"=base_de_datos[Viernes],IF(base_de_datos[Hora inicio]&lt;=$B14,IF(base_de_datos[Hora fin]&gt;=$C14,base_de_datos[Aula]&amp;" "&amp;base_de_datos[Examen],""),""),""),""),"")</f>
        <v/>
      </c>
      <c r="R14" s="29" t="str" cm="1">
        <f t="array" aca="1" ref="R14" ca="1">_xlfn.TEXTJOIN(CHAR(10),TRUE,IF(Semestre=INDIRECT("base_de_datos["&amp;Carrera&amp;"]"),IF("x"=base_de_datos[Viernes],IF(base_de_datos[Hora inicio]&lt;=$B14,IF(base_de_datos[Hora fin]&gt;=$C14,base_de_datos[No clase],""),""),""),""),"")</f>
        <v/>
      </c>
      <c r="S14" s="28" t="str" cm="1">
        <f t="array" aca="1" ref="S14" ca="1">_xlfn.TEXTJOIN(CHAR(10),TRUE,IF(Semestre=INDIRECT("base_de_datos["&amp;Carrera&amp;"]"),IF("x"=base_de_datos[Sábado],IF(base_de_datos[Hora inicio]&lt;=$B14,IF(base_de_datos[Hora fin]&gt;=$C14,base_de_datos[Materia]&amp;" "&amp;base_de_datos[[Número de grupo ]]&amp;" "&amp;base_de_datos[Profesor],""),""),""),""),"")</f>
        <v/>
      </c>
      <c r="T14" s="28" t="str" cm="1">
        <f t="array" aca="1" ref="T14" ca="1">_xlfn.TEXTJOIN(CHAR(10),TRUE,IF(Semestre=INDIRECT("base_de_datos["&amp;Carrera&amp;"]"),IF("x"=base_de_datos[Sábado],IF(base_de_datos[Hora inicio]&lt;=$B14,IF(base_de_datos[Hora fin]&gt;=$C14,base_de_datos[Aula]&amp;" "&amp;#REF!,""),""),""),""),"")</f>
        <v/>
      </c>
      <c r="U14" s="28" t="str" cm="1">
        <f t="array" aca="1" ref="U14" ca="1">_xlfn.TEXTJOIN(CHAR(10),TRUE,IF(Semestre=INDIRECT("base_de_datos["&amp;Carrera&amp;"]"),IF("x"=base_de_datos[Sábado],IF(base_de_datos[Hora inicio]&lt;=$B14,IF(base_de_datos[Hora fin]&gt;=$C14,base_de_datos[No clase],""),""),""),""),"")</f>
        <v/>
      </c>
      <c r="V14" s="27"/>
      <c r="W14" s="69"/>
      <c r="X14" s="69"/>
      <c r="Y14" s="30"/>
      <c r="Z14" s="30"/>
      <c r="AA14" s="30"/>
      <c r="AB14" s="50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0" t="str">
        <f t="shared" si="0"/>
        <v/>
      </c>
    </row>
    <row r="15" spans="1:48" ht="52" x14ac:dyDescent="0.35">
      <c r="B15" s="92">
        <v>0.5</v>
      </c>
      <c r="C15" s="92">
        <v>0.52083333333333004</v>
      </c>
      <c r="D15" s="28" t="str" cm="1">
        <f t="array" aca="1" ref="D15" ca="1">_xlfn.TEXTJOIN(CHAR(10),TRUE,IF(Semestre=INDIRECT("base_de_datos["&amp;Carrera&amp;"]"),IF("x"=base_de_datos[Lunes],IF(base_de_datos[Hora inicio]&lt;=$B15,IF(base_de_datos[Hora fin]&gt;=$C15,base_de_datos[Materia]&amp;" "&amp;base_de_datos[[Número de grupo ]]&amp;" "&amp;base_de_datos[Profesor],""),""),""),""),"")</f>
        <v/>
      </c>
      <c r="E15" s="28" t="str" cm="1">
        <f t="array" aca="1" ref="E15" ca="1">_xlfn.TEXTJOIN(CHAR(10),TRUE,IF(Semestre=INDIRECT("base_de_datos["&amp;Carrera&amp;"]"),IF("x"=base_de_datos[Lunes],IF(base_de_datos[Hora inicio]&lt;=$B15,IF(base_de_datos[Hora fin]&gt;=$C15,base_de_datos[Aula]&amp;" "&amp;base_de_datos[Examen],""),""),""),""),"")</f>
        <v/>
      </c>
      <c r="F15" s="28" t="str" cm="1">
        <f t="array" aca="1" ref="F15" ca="1">_xlfn.TEXTJOIN(CHAR(10),TRUE,IF(Semestre=INDIRECT("base_de_datos["&amp;Carrera&amp;"]"),IF("x"=base_de_datos[Lunes],IF(base_de_datos[Hora inicio]&lt;=$B15,IF(base_de_datos[Hora fin]&gt;=$C15,base_de_datos[No clase],""),""),""),""),"")</f>
        <v/>
      </c>
      <c r="G15" s="28" t="str" cm="1">
        <f t="array" aca="1" ref="G15" ca="1">_xlfn.TEXTJOIN(CHAR(10),TRUE,IF(Semestre=INDIRECT("base_de_datos["&amp;Carrera&amp;"]"),IF("x"=base_de_datos[Martes],IF(base_de_datos[Hora inicio]&lt;=$B15,IF(base_de_datos[Hora fin]&gt;=$C15,base_de_datos[Materia]&amp;" "&amp;base_de_datos[[Número de grupo ]]&amp;" "&amp;base_de_datos[Profesor],""),""),""),""),"")</f>
        <v>Mecánica 1 Hiroki Alejandro Sasamoto Cruz
Mecánica 2 Karina Jannet Vacio Muro</v>
      </c>
      <c r="H15" s="28" t="str" cm="1">
        <f t="array" aca="1" ref="H15" ca="1">_xlfn.TEXTJOIN(CHAR(10),TRUE,IF(Semestre=INDIRECT("base_de_datos["&amp;Carrera&amp;"]"),IF("x"=base_de_datos[Martes],IF(base_de_datos[Hora inicio]&lt;=$B15,IF(base_de_datos[Hora fin]&gt;=$C15,base_de_datos[Aula]&amp;" "&amp;base_de_datos[Examen],""),""),""),""),"")</f>
        <v xml:space="preserve">C-02 
C-03 </v>
      </c>
      <c r="I15" s="28" t="str" cm="1">
        <f t="array" aca="1" ref="I15" ca="1">_xlfn.TEXTJOIN(CHAR(10),TRUE,IF(Semestre=INDIRECT("base_de_datos["&amp;Carrera&amp;"]"),IF("x"=base_de_datos[Martes],IF(base_de_datos[Hora inicio]&lt;=$B15,IF(base_de_datos[Hora fin]&gt;=$C15,base_de_datos[No clase],""),""),""),""),"")</f>
        <v>1844, 1846/48, 1849
1845, 1847/48, 1850</v>
      </c>
      <c r="J15" s="28" t="str" cm="1">
        <f t="array" aca="1" ref="J15" ca="1">_xlfn.TEXTJOIN(CHAR(10),TRUE,IF(Semestre=INDIRECT("base_de_datos["&amp;Carrera&amp;"]"),IF("x"=base_de_datos[Miércoles],IF(base_de_datos[Hora inicio]&lt;=$B15,IF(base_de_datos[Hora fin]&gt;=$C15,base_de_datos[Materia]&amp;" "&amp;base_de_datos[[Número de grupo ]]&amp;" "&amp;base_de_datos[Profesor],""),""),""),""),"")</f>
        <v>Contabilidad y costos 1 Crisdalith Cachutt Alvarado</v>
      </c>
      <c r="K15" s="28" t="str" cm="1">
        <f t="array" aca="1" ref="K15" ca="1">_xlfn.TEXTJOIN(CHAR(10),TRUE,IF(Semestre=INDIRECT("base_de_datos["&amp;Carrera&amp;"]"),IF("x"=base_de_datos[Miércoles],IF(base_de_datos[Hora inicio]&lt;=$B15,IF(base_de_datos[Hora fin]&gt;=$C15,base_de_datos[Aula]&amp;" "&amp;base_de_datos[Examen],""),""),""),""),"")</f>
        <v xml:space="preserve">A-21 </v>
      </c>
      <c r="L15" s="28" t="str" cm="1">
        <f t="array" aca="1" ref="L15" ca="1">_xlfn.TEXTJOIN(CHAR(10),TRUE,IF(Semestre=INDIRECT("base_de_datos["&amp;Carrera&amp;"]"),IF("x"=base_de_datos[Miércoles],IF(base_de_datos[Hora inicio]&lt;=$B15,IF(base_de_datos[Hora fin]&gt;=$C15,base_de_datos[No clase],""),""),""),""),"")</f>
        <v>1776 (2do. II)</v>
      </c>
      <c r="M15" s="28" t="str" cm="1">
        <f t="array" aca="1" ref="M15" ca="1">_xlfn.TEXTJOIN(CHAR(10),TRUE,IF(Semestre=INDIRECT("base_de_datos["&amp;Carrera&amp;"]"),IF("x"=base_de_datos[Jueves],IF(base_de_datos[Hora inicio]&lt;=$B15,IF(base_de_datos[Hora fin]&gt;=$C15,base_de_datos[Materia]&amp;" "&amp;base_de_datos[[Número de grupo ]]&amp;" "&amp;base_de_datos[Profesor],""),""),""),""),"")</f>
        <v>Mecánica 1 Hiroki Alejandro Sasamoto Cruz
Mecánica 2 Karina Jannet Vacio Muro</v>
      </c>
      <c r="N15" s="28" t="str" cm="1">
        <f t="array" aca="1" ref="N15" ca="1">_xlfn.TEXTJOIN(CHAR(10),TRUE,IF(Semestre=INDIRECT("base_de_datos["&amp;Carrera&amp;"]"),IF("x"=base_de_datos[Jueves],IF(base_de_datos[Hora inicio]&lt;=$B15,IF(base_de_datos[Hora fin]&gt;=$C15,base_de_datos[Aula]&amp;" "&amp;base_de_datos[Examen],""),""),""),""),"")</f>
        <v xml:space="preserve">C-02 
C-03 </v>
      </c>
      <c r="O15" s="28" t="str" cm="1">
        <f t="array" aca="1" ref="O15" ca="1">_xlfn.TEXTJOIN(CHAR(10),TRUE,IF(Semestre=INDIRECT("base_de_datos["&amp;Carrera&amp;"]"),IF("x"=base_de_datos[Jueves],IF(base_de_datos[Hora inicio]&lt;=$B15,IF(base_de_datos[Hora fin]&gt;=$C15,base_de_datos[No clase],""),""),""),""),"")</f>
        <v>1844, 1846/48, 1849
1845, 1847/48, 1850</v>
      </c>
      <c r="P15" s="28" t="str" cm="1">
        <f t="array" aca="1" ref="P15" ca="1">_xlfn.TEXTJOIN(CHAR(10),TRUE,IF(Semestre=INDIRECT("base_de_datos["&amp;Carrera&amp;"]"),IF("x"=base_de_datos[Viernes],IF(base_de_datos[Hora inicio]&lt;=$B15,IF(base_de_datos[Hora fin]&gt;=$C15,base_de_datos[Materia]&amp;" "&amp;base_de_datos[[Número de grupo ]]&amp;" "&amp;base_de_datos[Profesor],""),""),""),""),"")</f>
        <v>Contabilidad y costos 1 Crisdalith Cachutt Alvarado</v>
      </c>
      <c r="Q15" s="28" t="str" cm="1">
        <f t="array" aca="1" ref="Q15" ca="1">_xlfn.TEXTJOIN(CHAR(10),TRUE,IF(Semestre=INDIRECT("base_de_datos["&amp;Carrera&amp;"]"),IF("x"=base_de_datos[Viernes],IF(base_de_datos[Hora inicio]&lt;=$B15,IF(base_de_datos[Hora fin]&gt;=$C15,base_de_datos[Aula]&amp;" "&amp;base_de_datos[Examen],""),""),""),""),"")</f>
        <v xml:space="preserve">C-21 </v>
      </c>
      <c r="R15" s="28" t="str" cm="1">
        <f t="array" aca="1" ref="R15" ca="1">_xlfn.TEXTJOIN(CHAR(10),TRUE,IF(Semestre=INDIRECT("base_de_datos["&amp;Carrera&amp;"]"),IF("x"=base_de_datos[Viernes],IF(base_de_datos[Hora inicio]&lt;=$B15,IF(base_de_datos[Hora fin]&gt;=$C15,base_de_datos[No clase],""),""),""),""),"")</f>
        <v>1776 (2do. II)</v>
      </c>
      <c r="S15" s="28" t="str" cm="1">
        <f t="array" aca="1" ref="S15" ca="1">_xlfn.TEXTJOIN(CHAR(10),TRUE,IF(Semestre=INDIRECT("base_de_datos["&amp;Carrera&amp;"]"),IF("x"=base_de_datos[Sábado],IF(base_de_datos[Hora inicio]&lt;=$B15,IF(base_de_datos[Hora fin]&gt;=$C15,base_de_datos[Materia]&amp;" "&amp;base_de_datos[[Número de grupo ]]&amp;" "&amp;base_de_datos[Profesor],""),""),""),""),"")</f>
        <v/>
      </c>
      <c r="T15" s="28" t="str" cm="1">
        <f t="array" aca="1" ref="T15" ca="1">_xlfn.TEXTJOIN(CHAR(10),TRUE,IF(Semestre=INDIRECT("base_de_datos["&amp;Carrera&amp;"]"),IF("x"=base_de_datos[Sábado],IF(base_de_datos[Hora inicio]&lt;=$B15,IF(base_de_datos[Hora fin]&gt;=$C15,base_de_datos[Aula]&amp;" "&amp;#REF!,""),""),""),""),"")</f>
        <v/>
      </c>
      <c r="U15" s="28" t="str" cm="1">
        <f t="array" aca="1" ref="U15" ca="1">_xlfn.TEXTJOIN(CHAR(10),TRUE,IF(Semestre=INDIRECT("base_de_datos["&amp;Carrera&amp;"]"),IF("x"=base_de_datos[Sábado],IF(base_de_datos[Hora inicio]&lt;=$B15,IF(base_de_datos[Hora fin]&gt;=$C15,base_de_datos[No clase],""),""),""),""),"")</f>
        <v/>
      </c>
      <c r="V15" s="27"/>
      <c r="W15" s="69"/>
      <c r="X15" s="69"/>
      <c r="Y15" s="30"/>
      <c r="Z15" s="30"/>
      <c r="AA15" s="30"/>
      <c r="AB15" s="50"/>
      <c r="AC15" s="50"/>
      <c r="AD15" s="50"/>
      <c r="AE15" s="50"/>
      <c r="AF15" s="50"/>
      <c r="AG15" s="50"/>
      <c r="AH15" s="50"/>
      <c r="AI15" s="50"/>
      <c r="AJ15" s="50"/>
      <c r="AK15" s="50"/>
      <c r="AL15" s="50"/>
      <c r="AM15" s="50"/>
      <c r="AN15" s="50"/>
      <c r="AO15" s="50"/>
      <c r="AP15" s="50"/>
      <c r="AQ15" s="50"/>
      <c r="AR15" s="50"/>
      <c r="AS15" s="50"/>
      <c r="AT15" s="50"/>
      <c r="AU15" s="50"/>
      <c r="AV15" s="50" t="str">
        <f t="shared" si="0"/>
        <v/>
      </c>
    </row>
    <row r="16" spans="1:48" ht="52" x14ac:dyDescent="0.35">
      <c r="B16" s="92">
        <v>0.52083333333333304</v>
      </c>
      <c r="C16" s="92">
        <v>0.54166666666666297</v>
      </c>
      <c r="D16" s="28" t="str" cm="1">
        <f t="array" aca="1" ref="D16" ca="1">_xlfn.TEXTJOIN(CHAR(10),TRUE,IF(Semestre=INDIRECT("base_de_datos["&amp;Carrera&amp;"]"),IF("x"=base_de_datos[Lunes],IF(base_de_datos[Hora inicio]&lt;=$B16,IF(base_de_datos[Hora fin]&gt;=$C16,base_de_datos[Materia]&amp;" "&amp;base_de_datos[[Número de grupo ]]&amp;" "&amp;base_de_datos[Profesor],""),""),""),""),"")</f>
        <v/>
      </c>
      <c r="E16" s="28" t="str" cm="1">
        <f t="array" aca="1" ref="E16" ca="1">_xlfn.TEXTJOIN(CHAR(10),TRUE,IF(Semestre=INDIRECT("base_de_datos["&amp;Carrera&amp;"]"),IF("x"=base_de_datos[Lunes],IF(base_de_datos[Hora inicio]&lt;=$B16,IF(base_de_datos[Hora fin]&gt;=$C16,base_de_datos[Aula]&amp;" "&amp;base_de_datos[Examen],""),""),""),""),"")</f>
        <v/>
      </c>
      <c r="F16" s="28" t="str" cm="1">
        <f t="array" aca="1" ref="F16" ca="1">_xlfn.TEXTJOIN(CHAR(10),TRUE,IF(Semestre=INDIRECT("base_de_datos["&amp;Carrera&amp;"]"),IF("x"=base_de_datos[Lunes],IF(base_de_datos[Hora inicio]&lt;=$B16,IF(base_de_datos[Hora fin]&gt;=$C16,base_de_datos[No clase],""),""),""),""),"")</f>
        <v/>
      </c>
      <c r="G16" s="28" t="str" cm="1">
        <f t="array" aca="1" ref="G16" ca="1">_xlfn.TEXTJOIN(CHAR(10),TRUE,IF(Semestre=INDIRECT("base_de_datos["&amp;Carrera&amp;"]"),IF("x"=base_de_datos[Martes],IF(base_de_datos[Hora inicio]&lt;=$B16,IF(base_de_datos[Hora fin]&gt;=$C16,base_de_datos[Materia]&amp;" "&amp;base_de_datos[[Número de grupo ]]&amp;" "&amp;base_de_datos[Profesor],""),""),""),""),"")</f>
        <v>Mecánica 1 Hiroki Alejandro Sasamoto Cruz
Mecánica 2 Karina Jannet Vacio Muro</v>
      </c>
      <c r="H16" s="28" t="str" cm="1">
        <f t="array" aca="1" ref="H16" ca="1">_xlfn.TEXTJOIN(CHAR(10),TRUE,IF(Semestre=INDIRECT("base_de_datos["&amp;Carrera&amp;"]"),IF("x"=base_de_datos[Martes],IF(base_de_datos[Hora inicio]&lt;=$B16,IF(base_de_datos[Hora fin]&gt;=$C16,base_de_datos[Aula]&amp;" "&amp;base_de_datos[Examen],""),""),""),""),"")</f>
        <v xml:space="preserve">C-02 
C-03 </v>
      </c>
      <c r="I16" s="28" t="str" cm="1">
        <f t="array" aca="1" ref="I16" ca="1">_xlfn.TEXTJOIN(CHAR(10),TRUE,IF(Semestre=INDIRECT("base_de_datos["&amp;Carrera&amp;"]"),IF("x"=base_de_datos[Martes],IF(base_de_datos[Hora inicio]&lt;=$B16,IF(base_de_datos[Hora fin]&gt;=$C16,base_de_datos[No clase],""),""),""),""),"")</f>
        <v>1844, 1846/48, 1849
1845, 1847/48, 1850</v>
      </c>
      <c r="J16" s="28" t="str" cm="1">
        <f t="array" aca="1" ref="J16" ca="1">_xlfn.TEXTJOIN(CHAR(10),TRUE,IF(Semestre=INDIRECT("base_de_datos["&amp;Carrera&amp;"]"),IF("x"=base_de_datos[Miércoles],IF(base_de_datos[Hora inicio]&lt;=$B16,IF(base_de_datos[Hora fin]&gt;=$C16,base_de_datos[Materia]&amp;" "&amp;base_de_datos[[Número de grupo ]]&amp;" "&amp;base_de_datos[Profesor],""),""),""),""),"")</f>
        <v>Contabilidad y costos 1 Crisdalith Cachutt Alvarado</v>
      </c>
      <c r="K16" s="28" t="str" cm="1">
        <f t="array" aca="1" ref="K16" ca="1">_xlfn.TEXTJOIN(CHAR(10),TRUE,IF(Semestre=INDIRECT("base_de_datos["&amp;Carrera&amp;"]"),IF("x"=base_de_datos[Miércoles],IF(base_de_datos[Hora inicio]&lt;=$B16,IF(base_de_datos[Hora fin]&gt;=$C16,base_de_datos[Aula]&amp;" "&amp;base_de_datos[Examen],""),""),""),""),"")</f>
        <v xml:space="preserve">A-21 </v>
      </c>
      <c r="L16" s="28" t="str" cm="1">
        <f t="array" aca="1" ref="L16" ca="1">_xlfn.TEXTJOIN(CHAR(10),TRUE,IF(Semestre=INDIRECT("base_de_datos["&amp;Carrera&amp;"]"),IF("x"=base_de_datos[Miércoles],IF(base_de_datos[Hora inicio]&lt;=$B16,IF(base_de_datos[Hora fin]&gt;=$C16,base_de_datos[No clase],""),""),""),""),"")</f>
        <v>1776 (2do. II)</v>
      </c>
      <c r="M16" s="28" t="str" cm="1">
        <f t="array" aca="1" ref="M16" ca="1">_xlfn.TEXTJOIN(CHAR(10),TRUE,IF(Semestre=INDIRECT("base_de_datos["&amp;Carrera&amp;"]"),IF("x"=base_de_datos[Jueves],IF(base_de_datos[Hora inicio]&lt;=$B16,IF(base_de_datos[Hora fin]&gt;=$C16,base_de_datos[Materia]&amp;" "&amp;base_de_datos[[Número de grupo ]]&amp;" "&amp;base_de_datos[Profesor],""),""),""),""),"")</f>
        <v>Mecánica 1 Hiroki Alejandro Sasamoto Cruz
Mecánica 2 Karina Jannet Vacio Muro</v>
      </c>
      <c r="N16" s="28" t="str" cm="1">
        <f t="array" aca="1" ref="N16" ca="1">_xlfn.TEXTJOIN(CHAR(10),TRUE,IF(Semestre=INDIRECT("base_de_datos["&amp;Carrera&amp;"]"),IF("x"=base_de_datos[Jueves],IF(base_de_datos[Hora inicio]&lt;=$B16,IF(base_de_datos[Hora fin]&gt;=$C16,base_de_datos[Aula]&amp;" "&amp;base_de_datos[Examen],""),""),""),""),"")</f>
        <v xml:space="preserve">C-02 
C-03 </v>
      </c>
      <c r="O16" s="28" t="str" cm="1">
        <f t="array" aca="1" ref="O16" ca="1">_xlfn.TEXTJOIN(CHAR(10),TRUE,IF(Semestre=INDIRECT("base_de_datos["&amp;Carrera&amp;"]"),IF("x"=base_de_datos[Jueves],IF(base_de_datos[Hora inicio]&lt;=$B16,IF(base_de_datos[Hora fin]&gt;=$C16,base_de_datos[No clase],""),""),""),""),"")</f>
        <v>1844, 1846/48, 1849
1845, 1847/48, 1850</v>
      </c>
      <c r="P16" s="28" t="str" cm="1">
        <f t="array" aca="1" ref="P16" ca="1">_xlfn.TEXTJOIN(CHAR(10),TRUE,IF(Semestre=INDIRECT("base_de_datos["&amp;Carrera&amp;"]"),IF("x"=base_de_datos[Viernes],IF(base_de_datos[Hora inicio]&lt;=$B16,IF(base_de_datos[Hora fin]&gt;=$C16,base_de_datos[Materia]&amp;" "&amp;base_de_datos[[Número de grupo ]]&amp;" "&amp;base_de_datos[Profesor],""),""),""),""),"")</f>
        <v>Contabilidad y costos 1 Crisdalith Cachutt Alvarado</v>
      </c>
      <c r="Q16" s="28" t="str" cm="1">
        <f t="array" aca="1" ref="Q16" ca="1">_xlfn.TEXTJOIN(CHAR(10),TRUE,IF(Semestre=INDIRECT("base_de_datos["&amp;Carrera&amp;"]"),IF("x"=base_de_datos[Viernes],IF(base_de_datos[Hora inicio]&lt;=$B16,IF(base_de_datos[Hora fin]&gt;=$C16,base_de_datos[Aula]&amp;" "&amp;base_de_datos[Examen],""),""),""),""),"")</f>
        <v xml:space="preserve">C-21 </v>
      </c>
      <c r="R16" s="28" t="str" cm="1">
        <f t="array" aca="1" ref="R16" ca="1">_xlfn.TEXTJOIN(CHAR(10),TRUE,IF(Semestre=INDIRECT("base_de_datos["&amp;Carrera&amp;"]"),IF("x"=base_de_datos[Viernes],IF(base_de_datos[Hora inicio]&lt;=$B16,IF(base_de_datos[Hora fin]&gt;=$C16,base_de_datos[No clase],""),""),""),""),"")</f>
        <v>1776 (2do. II)</v>
      </c>
      <c r="S16" s="28" t="str" cm="1">
        <f t="array" aca="1" ref="S16" ca="1">_xlfn.TEXTJOIN(CHAR(10),TRUE,IF(Semestre=INDIRECT("base_de_datos["&amp;Carrera&amp;"]"),IF("x"=base_de_datos[Sábado],IF(base_de_datos[Hora inicio]&lt;=$B16,IF(base_de_datos[Hora fin]&gt;=$C16,base_de_datos[Materia]&amp;" "&amp;base_de_datos[[Número de grupo ]]&amp;" "&amp;base_de_datos[Profesor],""),""),""),""),"")</f>
        <v/>
      </c>
      <c r="T16" s="28" t="str" cm="1">
        <f t="array" aca="1" ref="T16" ca="1">_xlfn.TEXTJOIN(CHAR(10),TRUE,IF(Semestre=INDIRECT("base_de_datos["&amp;Carrera&amp;"]"),IF("x"=base_de_datos[Sábado],IF(base_de_datos[Hora inicio]&lt;=$B16,IF(base_de_datos[Hora fin]&gt;=$C16,base_de_datos[Aula]&amp;" "&amp;#REF!,""),""),""),""),"")</f>
        <v/>
      </c>
      <c r="U16" s="28" t="str" cm="1">
        <f t="array" aca="1" ref="U16" ca="1">_xlfn.TEXTJOIN(CHAR(10),TRUE,IF(Semestre=INDIRECT("base_de_datos["&amp;Carrera&amp;"]"),IF("x"=base_de_datos[Sábado],IF(base_de_datos[Hora inicio]&lt;=$B16,IF(base_de_datos[Hora fin]&gt;=$C16,base_de_datos[No clase],""),""),""),""),"")</f>
        <v/>
      </c>
      <c r="V16" s="27"/>
      <c r="W16" s="69"/>
      <c r="X16" s="69"/>
      <c r="Y16" s="30"/>
      <c r="Z16" s="30"/>
      <c r="AA16" s="30"/>
      <c r="AB16" s="50"/>
      <c r="AC16" s="50"/>
      <c r="AD16" s="50"/>
      <c r="AE16" s="50"/>
      <c r="AF16" s="50"/>
      <c r="AG16" s="50"/>
      <c r="AH16" s="50"/>
      <c r="AI16" s="50"/>
      <c r="AJ16" s="50"/>
      <c r="AK16" s="50"/>
      <c r="AL16" s="50"/>
      <c r="AM16" s="50"/>
      <c r="AN16" s="50"/>
      <c r="AO16" s="50"/>
      <c r="AP16" s="50"/>
      <c r="AQ16" s="50"/>
      <c r="AR16" s="50"/>
      <c r="AS16" s="50"/>
      <c r="AT16" s="50"/>
      <c r="AU16" s="50"/>
      <c r="AV16" s="50" t="str">
        <f t="shared" si="0"/>
        <v/>
      </c>
    </row>
    <row r="17" spans="2:48" ht="52" x14ac:dyDescent="0.35">
      <c r="B17" s="92">
        <v>0.54166666666666696</v>
      </c>
      <c r="C17" s="92">
        <v>0.562499999999996</v>
      </c>
      <c r="D17" s="28" t="str" cm="1">
        <f t="array" aca="1" ref="D17" ca="1">_xlfn.TEXTJOIN(CHAR(10),TRUE,IF(Semestre=INDIRECT("base_de_datos["&amp;Carrera&amp;"]"),IF("x"=base_de_datos[Lunes],IF(base_de_datos[Hora inicio]&lt;=$B17,IF(base_de_datos[Hora fin]&gt;=$C17,base_de_datos[Materia]&amp;" "&amp;base_de_datos[[Número de grupo ]]&amp;" "&amp;base_de_datos[Profesor],""),""),""),""),"")</f>
        <v/>
      </c>
      <c r="E17" s="28" t="str" cm="1">
        <f t="array" aca="1" ref="E17" ca="1">_xlfn.TEXTJOIN(CHAR(10),TRUE,IF(Semestre=INDIRECT("base_de_datos["&amp;Carrera&amp;"]"),IF("x"=base_de_datos[Lunes],IF(base_de_datos[Hora inicio]&lt;=$B17,IF(base_de_datos[Hora fin]&gt;=$C17,base_de_datos[Aula]&amp;" "&amp;base_de_datos[Examen],""),""),""),""),"")</f>
        <v/>
      </c>
      <c r="F17" s="28" t="str" cm="1">
        <f t="array" aca="1" ref="F17" ca="1">_xlfn.TEXTJOIN(CHAR(10),TRUE,IF(Semestre=INDIRECT("base_de_datos["&amp;Carrera&amp;"]"),IF("x"=base_de_datos[Lunes],IF(base_de_datos[Hora inicio]&lt;=$B17,IF(base_de_datos[Hora fin]&gt;=$C17,base_de_datos[No clase],""),""),""),""),"")</f>
        <v/>
      </c>
      <c r="G17" s="28" t="str" cm="1">
        <f t="array" aca="1" ref="G17" ca="1">_xlfn.TEXTJOIN(CHAR(10),TRUE,IF(Semestre=INDIRECT("base_de_datos["&amp;Carrera&amp;"]"),IF("x"=base_de_datos[Martes],IF(base_de_datos[Hora inicio]&lt;=$B17,IF(base_de_datos[Hora fin]&gt;=$C17,base_de_datos[Materia]&amp;" "&amp;base_de_datos[[Número de grupo ]]&amp;" "&amp;base_de_datos[Profesor],""),""),""),""),"")</f>
        <v>Mecánica 1 Hiroki Alejandro Sasamoto Cruz
Mecánica 2 Karina Jannet Vacio Muro</v>
      </c>
      <c r="H17" s="28" t="str" cm="1">
        <f t="array" aca="1" ref="H17" ca="1">_xlfn.TEXTJOIN(CHAR(10),TRUE,IF(Semestre=INDIRECT("base_de_datos["&amp;Carrera&amp;"]"),IF("x"=base_de_datos[Martes],IF(base_de_datos[Hora inicio]&lt;=$B17,IF(base_de_datos[Hora fin]&gt;=$C17,base_de_datos[Aula]&amp;" "&amp;base_de_datos[Examen],""),""),""),""),"")</f>
        <v xml:space="preserve">C-02 
C-03 </v>
      </c>
      <c r="I17" s="28" t="str" cm="1">
        <f t="array" aca="1" ref="I17" ca="1">_xlfn.TEXTJOIN(CHAR(10),TRUE,IF(Semestre=INDIRECT("base_de_datos["&amp;Carrera&amp;"]"),IF("x"=base_de_datos[Martes],IF(base_de_datos[Hora inicio]&lt;=$B17,IF(base_de_datos[Hora fin]&gt;=$C17,base_de_datos[No clase],""),""),""),""),"")</f>
        <v>1844, 1846/48, 1849
1845, 1847/48, 1850</v>
      </c>
      <c r="J17" s="28" t="str" cm="1">
        <f t="array" aca="1" ref="J17" ca="1">_xlfn.TEXTJOIN(CHAR(10),TRUE,IF(Semestre=INDIRECT("base_de_datos["&amp;Carrera&amp;"]"),IF("x"=base_de_datos[Miércoles],IF(base_de_datos[Hora inicio]&lt;=$B17,IF(base_de_datos[Hora fin]&gt;=$C17,base_de_datos[Materia]&amp;" "&amp;base_de_datos[[Número de grupo ]]&amp;" "&amp;base_de_datos[Profesor],""),""),""),""),"")</f>
        <v>Contabilidad y costos 1 Crisdalith Cachutt Alvarado</v>
      </c>
      <c r="K17" s="28" t="str" cm="1">
        <f t="array" aca="1" ref="K17" ca="1">_xlfn.TEXTJOIN(CHAR(10),TRUE,IF(Semestre=INDIRECT("base_de_datos["&amp;Carrera&amp;"]"),IF("x"=base_de_datos[Miércoles],IF(base_de_datos[Hora inicio]&lt;=$B17,IF(base_de_datos[Hora fin]&gt;=$C17,base_de_datos[Aula]&amp;" "&amp;base_de_datos[Examen],""),""),""),""),"")</f>
        <v xml:space="preserve">A-21 </v>
      </c>
      <c r="L17" s="28" t="str" cm="1">
        <f t="array" aca="1" ref="L17" ca="1">_xlfn.TEXTJOIN(CHAR(10),TRUE,IF(Semestre=INDIRECT("base_de_datos["&amp;Carrera&amp;"]"),IF("x"=base_de_datos[Miércoles],IF(base_de_datos[Hora inicio]&lt;=$B17,IF(base_de_datos[Hora fin]&gt;=$C17,base_de_datos[No clase],""),""),""),""),"")</f>
        <v>1776 (2do. II)</v>
      </c>
      <c r="M17" s="28" t="str" cm="1">
        <f t="array" aca="1" ref="M17" ca="1">_xlfn.TEXTJOIN(CHAR(10),TRUE,IF(Semestre=INDIRECT("base_de_datos["&amp;Carrera&amp;"]"),IF("x"=base_de_datos[Jueves],IF(base_de_datos[Hora inicio]&lt;=$B17,IF(base_de_datos[Hora fin]&gt;=$C17,base_de_datos[Materia]&amp;" "&amp;base_de_datos[[Número de grupo ]]&amp;" "&amp;base_de_datos[Profesor],""),""),""),""),"")</f>
        <v>Mecánica 1 Hiroki Alejandro Sasamoto Cruz
Mecánica 2 Karina Jannet Vacio Muro</v>
      </c>
      <c r="N17" s="28" t="str" cm="1">
        <f t="array" aca="1" ref="N17" ca="1">_xlfn.TEXTJOIN(CHAR(10),TRUE,IF(Semestre=INDIRECT("base_de_datos["&amp;Carrera&amp;"]"),IF("x"=base_de_datos[Jueves],IF(base_de_datos[Hora inicio]&lt;=$B17,IF(base_de_datos[Hora fin]&gt;=$C17,base_de_datos[Aula]&amp;" "&amp;base_de_datos[Examen],""),""),""),""),"")</f>
        <v xml:space="preserve">C-02 
C-03 </v>
      </c>
      <c r="O17" s="28" t="str" cm="1">
        <f t="array" aca="1" ref="O17" ca="1">_xlfn.TEXTJOIN(CHAR(10),TRUE,IF(Semestre=INDIRECT("base_de_datos["&amp;Carrera&amp;"]"),IF("x"=base_de_datos[Jueves],IF(base_de_datos[Hora inicio]&lt;=$B17,IF(base_de_datos[Hora fin]&gt;=$C17,base_de_datos[No clase],""),""),""),""),"")</f>
        <v>1844, 1846/48, 1849
1845, 1847/48, 1850</v>
      </c>
      <c r="P17" s="28" t="str" cm="1">
        <f t="array" aca="1" ref="P17" ca="1">_xlfn.TEXTJOIN(CHAR(10),TRUE,IF(Semestre=INDIRECT("base_de_datos["&amp;Carrera&amp;"]"),IF("x"=base_de_datos[Viernes],IF(base_de_datos[Hora inicio]&lt;=$B17,IF(base_de_datos[Hora fin]&gt;=$C17,base_de_datos[Materia]&amp;" "&amp;base_de_datos[[Número de grupo ]]&amp;" "&amp;base_de_datos[Profesor],""),""),""),""),"")</f>
        <v>Contabilidad y costos 1 Crisdalith Cachutt Alvarado</v>
      </c>
      <c r="Q17" s="28" t="str" cm="1">
        <f t="array" aca="1" ref="Q17" ca="1">_xlfn.TEXTJOIN(CHAR(10),TRUE,IF(Semestre=INDIRECT("base_de_datos["&amp;Carrera&amp;"]"),IF("x"=base_de_datos[Viernes],IF(base_de_datos[Hora inicio]&lt;=$B17,IF(base_de_datos[Hora fin]&gt;=$C17,base_de_datos[Aula]&amp;" "&amp;base_de_datos[Examen],""),""),""),""),"")</f>
        <v xml:space="preserve">C-21 </v>
      </c>
      <c r="R17" s="28" t="str" cm="1">
        <f t="array" aca="1" ref="R17" ca="1">_xlfn.TEXTJOIN(CHAR(10),TRUE,IF(Semestre=INDIRECT("base_de_datos["&amp;Carrera&amp;"]"),IF("x"=base_de_datos[Viernes],IF(base_de_datos[Hora inicio]&lt;=$B17,IF(base_de_datos[Hora fin]&gt;=$C17,base_de_datos[No clase],""),""),""),""),"")</f>
        <v>1776 (2do. II)</v>
      </c>
      <c r="S17" s="28" t="str" cm="1">
        <f t="array" aca="1" ref="S17" ca="1">_xlfn.TEXTJOIN(CHAR(10),TRUE,IF(Semestre=INDIRECT("base_de_datos["&amp;Carrera&amp;"]"),IF("x"=base_de_datos[Sábado],IF(base_de_datos[Hora inicio]&lt;=$B17,IF(base_de_datos[Hora fin]&gt;=$C17,base_de_datos[Materia]&amp;" "&amp;base_de_datos[[Número de grupo ]]&amp;" "&amp;base_de_datos[Profesor],""),""),""),""),"")</f>
        <v/>
      </c>
      <c r="T17" s="28" t="str" cm="1">
        <f t="array" aca="1" ref="T17" ca="1">_xlfn.TEXTJOIN(CHAR(10),TRUE,IF(Semestre=INDIRECT("base_de_datos["&amp;Carrera&amp;"]"),IF("x"=base_de_datos[Sábado],IF(base_de_datos[Hora inicio]&lt;=$B17,IF(base_de_datos[Hora fin]&gt;=$C17,base_de_datos[Aula]&amp;" "&amp;#REF!,""),""),""),""),"")</f>
        <v/>
      </c>
      <c r="U17" s="28" t="str" cm="1">
        <f t="array" aca="1" ref="U17" ca="1">_xlfn.TEXTJOIN(CHAR(10),TRUE,IF(Semestre=INDIRECT("base_de_datos["&amp;Carrera&amp;"]"),IF("x"=base_de_datos[Sábado],IF(base_de_datos[Hora inicio]&lt;=$B17,IF(base_de_datos[Hora fin]&gt;=$C17,base_de_datos[No clase],""),""),""),""),"")</f>
        <v/>
      </c>
      <c r="V17" s="27"/>
      <c r="W17" s="67"/>
      <c r="X17" s="67"/>
      <c r="Y17" s="27"/>
      <c r="Z17" s="27"/>
      <c r="AA17" s="27"/>
      <c r="AV17" s="1" t="str">
        <f t="shared" si="0"/>
        <v/>
      </c>
    </row>
    <row r="18" spans="2:48" ht="14.5" x14ac:dyDescent="0.35">
      <c r="B18" s="92">
        <v>0.5625</v>
      </c>
      <c r="C18" s="92">
        <v>0.58333333333332904</v>
      </c>
      <c r="D18" s="28" t="str" cm="1">
        <f t="array" aca="1" ref="D18" ca="1">_xlfn.TEXTJOIN(CHAR(10),TRUE,IF(Semestre=INDIRECT("base_de_datos["&amp;Carrera&amp;"]"),IF("x"=base_de_datos[Lunes],IF(base_de_datos[Hora inicio]&lt;=$B18,IF(base_de_datos[Hora fin]&gt;=$C18,base_de_datos[Materia]&amp;" "&amp;base_de_datos[[Número de grupo ]]&amp;" "&amp;base_de_datos[Profesor],""),""),""),""),"")</f>
        <v/>
      </c>
      <c r="E18" s="28" t="str" cm="1">
        <f t="array" aca="1" ref="E18" ca="1">_xlfn.TEXTJOIN(CHAR(10),TRUE,IF(Semestre=INDIRECT("base_de_datos["&amp;Carrera&amp;"]"),IF("x"=base_de_datos[Lunes],IF(base_de_datos[Hora inicio]&lt;=$B18,IF(base_de_datos[Hora fin]&gt;=$C18,base_de_datos[Aula]&amp;" "&amp;base_de_datos[Examen],""),""),""),""),"")</f>
        <v/>
      </c>
      <c r="F18" s="28" t="str" cm="1">
        <f t="array" aca="1" ref="F18" ca="1">_xlfn.TEXTJOIN(CHAR(10),TRUE,IF(Semestre=INDIRECT("base_de_datos["&amp;Carrera&amp;"]"),IF("x"=base_de_datos[Lunes],IF(base_de_datos[Hora inicio]&lt;=$B18,IF(base_de_datos[Hora fin]&gt;=$C18,base_de_datos[No clase],""),""),""),""),"")</f>
        <v/>
      </c>
      <c r="G18" s="28" t="str" cm="1">
        <f t="array" aca="1" ref="G18" ca="1">_xlfn.TEXTJOIN(CHAR(10),TRUE,IF(Semestre=INDIRECT("base_de_datos["&amp;Carrera&amp;"]"),IF("x"=base_de_datos[Martes],IF(base_de_datos[Hora inicio]&lt;=$B18,IF(base_de_datos[Hora fin]&gt;=$C18,base_de_datos[Materia]&amp;" "&amp;base_de_datos[[Número de grupo ]]&amp;" "&amp;base_de_datos[Profesor],""),""),""),""),"")</f>
        <v/>
      </c>
      <c r="H18" s="28" t="str" cm="1">
        <f t="array" aca="1" ref="H18" ca="1">_xlfn.TEXTJOIN(CHAR(10),TRUE,IF(Semestre=INDIRECT("base_de_datos["&amp;Carrera&amp;"]"),IF("x"=base_de_datos[Martes],IF(base_de_datos[Hora inicio]&lt;=$B18,IF(base_de_datos[Hora fin]&gt;=$C18,base_de_datos[Aula]&amp;" "&amp;base_de_datos[Examen],""),""),""),""),"")</f>
        <v/>
      </c>
      <c r="I18" s="28" t="str" cm="1">
        <f t="array" aca="1" ref="I18" ca="1">_xlfn.TEXTJOIN(CHAR(10),TRUE,IF(Semestre=INDIRECT("base_de_datos["&amp;Carrera&amp;"]"),IF("x"=base_de_datos[Martes],IF(base_de_datos[Hora inicio]&lt;=$B18,IF(base_de_datos[Hora fin]&gt;=$C18,base_de_datos[No clase],""),""),""),""),"")</f>
        <v/>
      </c>
      <c r="J18" s="28" t="str" cm="1">
        <f t="array" aca="1" ref="J18" ca="1">_xlfn.TEXTJOIN(CHAR(10),TRUE,IF(Semestre=INDIRECT("base_de_datos["&amp;Carrera&amp;"]"),IF("x"=base_de_datos[Miércoles],IF(base_de_datos[Hora inicio]&lt;=$B18,IF(base_de_datos[Hora fin]&gt;=$C18,base_de_datos[Materia]&amp;" "&amp;base_de_datos[[Número de grupo ]]&amp;" "&amp;base_de_datos[Profesor],""),""),""),""),"")</f>
        <v/>
      </c>
      <c r="K18" s="28" t="str" cm="1">
        <f t="array" aca="1" ref="K18" ca="1">_xlfn.TEXTJOIN(CHAR(10),TRUE,IF(Semestre=INDIRECT("base_de_datos["&amp;Carrera&amp;"]"),IF("x"=base_de_datos[Miércoles],IF(base_de_datos[Hora inicio]&lt;=$B18,IF(base_de_datos[Hora fin]&gt;=$C18,base_de_datos[Aula]&amp;" "&amp;base_de_datos[Examen],""),""),""),""),"")</f>
        <v/>
      </c>
      <c r="L18" s="28" t="str" cm="1">
        <f t="array" aca="1" ref="L18" ca="1">_xlfn.TEXTJOIN(CHAR(10),TRUE,IF(Semestre=INDIRECT("base_de_datos["&amp;Carrera&amp;"]"),IF("x"=base_de_datos[Miércoles],IF(base_de_datos[Hora inicio]&lt;=$B18,IF(base_de_datos[Hora fin]&gt;=$C18,base_de_datos[No clase],""),""),""),""),"")</f>
        <v/>
      </c>
      <c r="M18" s="28" t="str" cm="1">
        <f t="array" aca="1" ref="M18" ca="1">_xlfn.TEXTJOIN(CHAR(10),TRUE,IF(Semestre=INDIRECT("base_de_datos["&amp;Carrera&amp;"]"),IF("x"=base_de_datos[Jueves],IF(base_de_datos[Hora inicio]&lt;=$B18,IF(base_de_datos[Hora fin]&gt;=$C18,base_de_datos[Materia]&amp;" "&amp;base_de_datos[[Número de grupo ]]&amp;" "&amp;base_de_datos[Profesor],""),""),""),""),"")</f>
        <v/>
      </c>
      <c r="N18" s="28" t="str" cm="1">
        <f t="array" aca="1" ref="N18" ca="1">_xlfn.TEXTJOIN(CHAR(10),TRUE,IF(Semestre=INDIRECT("base_de_datos["&amp;Carrera&amp;"]"),IF("x"=base_de_datos[Jueves],IF(base_de_datos[Hora inicio]&lt;=$B18,IF(base_de_datos[Hora fin]&gt;=$C18,base_de_datos[Aula]&amp;" "&amp;base_de_datos[Examen],""),""),""),""),"")</f>
        <v/>
      </c>
      <c r="O18" s="28" t="str" cm="1">
        <f t="array" aca="1" ref="O18" ca="1">_xlfn.TEXTJOIN(CHAR(10),TRUE,IF(Semestre=INDIRECT("base_de_datos["&amp;Carrera&amp;"]"),IF("x"=base_de_datos[Jueves],IF(base_de_datos[Hora inicio]&lt;=$B18,IF(base_de_datos[Hora fin]&gt;=$C18,base_de_datos[No clase],""),""),""),""),"")</f>
        <v/>
      </c>
      <c r="P18" s="28" t="str" cm="1">
        <f t="array" aca="1" ref="P18" ca="1">_xlfn.TEXTJOIN(CHAR(10),TRUE,IF(Semestre=INDIRECT("base_de_datos["&amp;Carrera&amp;"]"),IF("x"=base_de_datos[Viernes],IF(base_de_datos[Hora inicio]&lt;=$B18,IF(base_de_datos[Hora fin]&gt;=$C18,base_de_datos[Materia]&amp;" "&amp;base_de_datos[[Número de grupo ]]&amp;" "&amp;base_de_datos[Profesor],""),""),""),""),"")</f>
        <v/>
      </c>
      <c r="Q18" s="28" t="str" cm="1">
        <f t="array" aca="1" ref="Q18" ca="1">_xlfn.TEXTJOIN(CHAR(10),TRUE,IF(Semestre=INDIRECT("base_de_datos["&amp;Carrera&amp;"]"),IF("x"=base_de_datos[Viernes],IF(base_de_datos[Hora inicio]&lt;=$B18,IF(base_de_datos[Hora fin]&gt;=$C18,base_de_datos[Aula]&amp;" "&amp;base_de_datos[Examen],""),""),""),""),"")</f>
        <v/>
      </c>
      <c r="R18" s="28" t="str" cm="1">
        <f t="array" aca="1" ref="R18" ca="1">_xlfn.TEXTJOIN(CHAR(10),TRUE,IF(Semestre=INDIRECT("base_de_datos["&amp;Carrera&amp;"]"),IF("x"=base_de_datos[Viernes],IF(base_de_datos[Hora inicio]&lt;=$B18,IF(base_de_datos[Hora fin]&gt;=$C18,base_de_datos[No clase],""),""),""),""),"")</f>
        <v/>
      </c>
      <c r="S18" s="28" t="str" cm="1">
        <f t="array" aca="1" ref="S18" ca="1">_xlfn.TEXTJOIN(CHAR(10),TRUE,IF(Semestre=INDIRECT("base_de_datos["&amp;Carrera&amp;"]"),IF("x"=base_de_datos[Sábado],IF(base_de_datos[Hora inicio]&lt;=$B18,IF(base_de_datos[Hora fin]&gt;=$C18,base_de_datos[Materia]&amp;" "&amp;base_de_datos[[Número de grupo ]]&amp;" "&amp;base_de_datos[Profesor],""),""),""),""),"")</f>
        <v/>
      </c>
      <c r="T18" s="28" t="str" cm="1">
        <f t="array" aca="1" ref="T18" ca="1">_xlfn.TEXTJOIN(CHAR(10),TRUE,IF(Semestre=INDIRECT("base_de_datos["&amp;Carrera&amp;"]"),IF("x"=base_de_datos[Sábado],IF(base_de_datos[Hora inicio]&lt;=$B18,IF(base_de_datos[Hora fin]&gt;=$C18,base_de_datos[Aula]&amp;" "&amp;#REF!,""),""),""),""),"")</f>
        <v/>
      </c>
      <c r="U18" s="28" t="str" cm="1">
        <f t="array" aca="1" ref="U18" ca="1">_xlfn.TEXTJOIN(CHAR(10),TRUE,IF(Semestre=INDIRECT("base_de_datos["&amp;Carrera&amp;"]"),IF("x"=base_de_datos[Sábado],IF(base_de_datos[Hora inicio]&lt;=$B18,IF(base_de_datos[Hora fin]&gt;=$C18,base_de_datos[No clase],""),""),""),""),"")</f>
        <v/>
      </c>
      <c r="V18" s="27"/>
      <c r="W18" s="27"/>
      <c r="X18" s="27"/>
      <c r="Y18" s="27"/>
      <c r="Z18" s="27"/>
      <c r="AA18" s="27"/>
    </row>
    <row r="19" spans="2:48" ht="14.5" x14ac:dyDescent="0.35">
      <c r="B19" s="92">
        <v>0.58333333333333304</v>
      </c>
      <c r="C19" s="92">
        <v>0.60416666666666197</v>
      </c>
      <c r="D19" s="28" t="str" cm="1">
        <f t="array" aca="1" ref="D19" ca="1">_xlfn.TEXTJOIN(CHAR(10),TRUE,IF(Semestre=INDIRECT("base_de_datos["&amp;Carrera&amp;"]"),IF("x"=base_de_datos[Lunes],IF(base_de_datos[Hora inicio]&lt;=$B19,IF(base_de_datos[Hora fin]&gt;=$C19,base_de_datos[Materia]&amp;" "&amp;base_de_datos[[Número de grupo ]]&amp;" "&amp;base_de_datos[Profesor],""),""),""),""),"")</f>
        <v/>
      </c>
      <c r="E19" s="28" t="str" cm="1">
        <f t="array" aca="1" ref="E19" ca="1">_xlfn.TEXTJOIN(CHAR(10),TRUE,IF(Semestre=INDIRECT("base_de_datos["&amp;Carrera&amp;"]"),IF("x"=base_de_datos[Lunes],IF(base_de_datos[Hora inicio]&lt;=$B19,IF(base_de_datos[Hora fin]&gt;=$C19,base_de_datos[Aula]&amp;" "&amp;base_de_datos[Examen],""),""),""),""),"")</f>
        <v/>
      </c>
      <c r="F19" s="28" t="str" cm="1">
        <f t="array" aca="1" ref="F19" ca="1">_xlfn.TEXTJOIN(CHAR(10),TRUE,IF(Semestre=INDIRECT("base_de_datos["&amp;Carrera&amp;"]"),IF("x"=base_de_datos[Lunes],IF(base_de_datos[Hora inicio]&lt;=$B19,IF(base_de_datos[Hora fin]&gt;=$C19,base_de_datos[No clase],""),""),""),""),"")</f>
        <v/>
      </c>
      <c r="G19" s="28" t="str" cm="1">
        <f t="array" aca="1" ref="G19" ca="1">_xlfn.TEXTJOIN(CHAR(10),TRUE,IF(Semestre=INDIRECT("base_de_datos["&amp;Carrera&amp;"]"),IF("x"=base_de_datos[Martes],IF(base_de_datos[Hora inicio]&lt;=$B19,IF(base_de_datos[Hora fin]&gt;=$C19,base_de_datos[Materia]&amp;" "&amp;base_de_datos[[Número de grupo ]]&amp;" "&amp;base_de_datos[Profesor],""),""),""),""),"")</f>
        <v/>
      </c>
      <c r="H19" s="28" t="str" cm="1">
        <f t="array" aca="1" ref="H19" ca="1">_xlfn.TEXTJOIN(CHAR(10),TRUE,IF(Semestre=INDIRECT("base_de_datos["&amp;Carrera&amp;"]"),IF("x"=base_de_datos[Martes],IF(base_de_datos[Hora inicio]&lt;=$B19,IF(base_de_datos[Hora fin]&gt;=$C19,base_de_datos[Aula]&amp;" "&amp;base_de_datos[Examen],""),""),""),""),"")</f>
        <v/>
      </c>
      <c r="I19" s="28" t="str" cm="1">
        <f t="array" aca="1" ref="I19" ca="1">_xlfn.TEXTJOIN(CHAR(10),TRUE,IF(Semestre=INDIRECT("base_de_datos["&amp;Carrera&amp;"]"),IF("x"=base_de_datos[Martes],IF(base_de_datos[Hora inicio]&lt;=$B19,IF(base_de_datos[Hora fin]&gt;=$C19,base_de_datos[No clase],""),""),""),""),"")</f>
        <v/>
      </c>
      <c r="J19" s="28" t="str" cm="1">
        <f t="array" aca="1" ref="J19" ca="1">_xlfn.TEXTJOIN(CHAR(10),TRUE,IF(Semestre=INDIRECT("base_de_datos["&amp;Carrera&amp;"]"),IF("x"=base_de_datos[Miércoles],IF(base_de_datos[Hora inicio]&lt;=$B19,IF(base_de_datos[Hora fin]&gt;=$C19,base_de_datos[Materia]&amp;" "&amp;base_de_datos[[Número de grupo ]]&amp;" "&amp;base_de_datos[Profesor],""),""),""),""),"")</f>
        <v/>
      </c>
      <c r="K19" s="28" t="str" cm="1">
        <f t="array" aca="1" ref="K19" ca="1">_xlfn.TEXTJOIN(CHAR(10),TRUE,IF(Semestre=INDIRECT("base_de_datos["&amp;Carrera&amp;"]"),IF("x"=base_de_datos[Miércoles],IF(base_de_datos[Hora inicio]&lt;=$B19,IF(base_de_datos[Hora fin]&gt;=$C19,base_de_datos[Aula]&amp;" "&amp;base_de_datos[Examen],""),""),""),""),"")</f>
        <v/>
      </c>
      <c r="L19" s="28" t="str" cm="1">
        <f t="array" aca="1" ref="L19" ca="1">_xlfn.TEXTJOIN(CHAR(10),TRUE,IF(Semestre=INDIRECT("base_de_datos["&amp;Carrera&amp;"]"),IF("x"=base_de_datos[Miércoles],IF(base_de_datos[Hora inicio]&lt;=$B19,IF(base_de_datos[Hora fin]&gt;=$C19,base_de_datos[No clase],""),""),""),""),"")</f>
        <v/>
      </c>
      <c r="M19" s="28" t="str" cm="1">
        <f t="array" aca="1" ref="M19" ca="1">_xlfn.TEXTJOIN(CHAR(10),TRUE,IF(Semestre=INDIRECT("base_de_datos["&amp;Carrera&amp;"]"),IF("x"=base_de_datos[Jueves],IF(base_de_datos[Hora inicio]&lt;=$B19,IF(base_de_datos[Hora fin]&gt;=$C19,base_de_datos[Materia]&amp;" "&amp;base_de_datos[[Número de grupo ]]&amp;" "&amp;base_de_datos[Profesor],""),""),""),""),"")</f>
        <v/>
      </c>
      <c r="N19" s="28" t="str" cm="1">
        <f t="array" aca="1" ref="N19" ca="1">_xlfn.TEXTJOIN(CHAR(10),TRUE,IF(Semestre=INDIRECT("base_de_datos["&amp;Carrera&amp;"]"),IF("x"=base_de_datos[Jueves],IF(base_de_datos[Hora inicio]&lt;=$B19,IF(base_de_datos[Hora fin]&gt;=$C19,base_de_datos[Aula]&amp;" "&amp;base_de_datos[Examen],""),""),""),""),"")</f>
        <v/>
      </c>
      <c r="O19" s="28" t="str" cm="1">
        <f t="array" aca="1" ref="O19" ca="1">_xlfn.TEXTJOIN(CHAR(10),TRUE,IF(Semestre=INDIRECT("base_de_datos["&amp;Carrera&amp;"]"),IF("x"=base_de_datos[Jueves],IF(base_de_datos[Hora inicio]&lt;=$B19,IF(base_de_datos[Hora fin]&gt;=$C19,base_de_datos[No clase],""),""),""),""),"")</f>
        <v/>
      </c>
      <c r="P19" s="28" t="str" cm="1">
        <f t="array" aca="1" ref="P19" ca="1">_xlfn.TEXTJOIN(CHAR(10),TRUE,IF(Semestre=INDIRECT("base_de_datos["&amp;Carrera&amp;"]"),IF("x"=base_de_datos[Viernes],IF(base_de_datos[Hora inicio]&lt;=$B19,IF(base_de_datos[Hora fin]&gt;=$C19,base_de_datos[Materia]&amp;" "&amp;base_de_datos[[Número de grupo ]]&amp;" "&amp;base_de_datos[Profesor],""),""),""),""),"")</f>
        <v/>
      </c>
      <c r="Q19" s="28" t="str" cm="1">
        <f t="array" aca="1" ref="Q19" ca="1">_xlfn.TEXTJOIN(CHAR(10),TRUE,IF(Semestre=INDIRECT("base_de_datos["&amp;Carrera&amp;"]"),IF("x"=base_de_datos[Viernes],IF(base_de_datos[Hora inicio]&lt;=$B19,IF(base_de_datos[Hora fin]&gt;=$C19,base_de_datos[Aula]&amp;" "&amp;base_de_datos[Examen],""),""),""),""),"")</f>
        <v/>
      </c>
      <c r="R19" s="28" t="str" cm="1">
        <f t="array" aca="1" ref="R19" ca="1">_xlfn.TEXTJOIN(CHAR(10),TRUE,IF(Semestre=INDIRECT("base_de_datos["&amp;Carrera&amp;"]"),IF("x"=base_de_datos[Viernes],IF(base_de_datos[Hora inicio]&lt;=$B19,IF(base_de_datos[Hora fin]&gt;=$C19,base_de_datos[No clase],""),""),""),""),"")</f>
        <v/>
      </c>
      <c r="S19" s="28" t="str" cm="1">
        <f t="array" aca="1" ref="S19" ca="1">_xlfn.TEXTJOIN(CHAR(10),TRUE,IF(Semestre=INDIRECT("base_de_datos["&amp;Carrera&amp;"]"),IF("x"=base_de_datos[Sábado],IF(base_de_datos[Hora inicio]&lt;=$B19,IF(base_de_datos[Hora fin]&gt;=$C19,base_de_datos[Materia]&amp;" "&amp;base_de_datos[[Número de grupo ]]&amp;" "&amp;base_de_datos[Profesor],""),""),""),""),"")</f>
        <v/>
      </c>
      <c r="T19" s="28" t="str" cm="1">
        <f t="array" aca="1" ref="T19" ca="1">_xlfn.TEXTJOIN(CHAR(10),TRUE,IF(Semestre=INDIRECT("base_de_datos["&amp;Carrera&amp;"]"),IF("x"=base_de_datos[Sábado],IF(base_de_datos[Hora inicio]&lt;=$B19,IF(base_de_datos[Hora fin]&gt;=$C19,base_de_datos[Aula]&amp;" "&amp;#REF!,""),""),""),""),"")</f>
        <v/>
      </c>
      <c r="U19" s="28" t="str" cm="1">
        <f t="array" aca="1" ref="U19" ca="1">_xlfn.TEXTJOIN(CHAR(10),TRUE,IF(Semestre=INDIRECT("base_de_datos["&amp;Carrera&amp;"]"),IF("x"=base_de_datos[Sábado],IF(base_de_datos[Hora inicio]&lt;=$B19,IF(base_de_datos[Hora fin]&gt;=$C19,base_de_datos[No clase],""),""),""),""),"")</f>
        <v/>
      </c>
      <c r="V19" s="27"/>
      <c r="W19" s="27"/>
      <c r="X19" s="27"/>
      <c r="Y19" s="27"/>
      <c r="Z19" s="27"/>
      <c r="AA19" s="27"/>
    </row>
    <row r="20" spans="2:48" ht="14.5" x14ac:dyDescent="0.35">
      <c r="B20" s="92">
        <v>0.60416666666666696</v>
      </c>
      <c r="C20" s="92">
        <v>0.624999999999995</v>
      </c>
      <c r="D20" s="28" t="str" cm="1">
        <f t="array" aca="1" ref="D20" ca="1">_xlfn.TEXTJOIN(CHAR(10),TRUE,IF(Semestre=INDIRECT("base_de_datos["&amp;Carrera&amp;"]"),IF("x"=base_de_datos[Lunes],IF(base_de_datos[Hora inicio]&lt;=$B20,IF(base_de_datos[Hora fin]&gt;=$C20,base_de_datos[Materia]&amp;" "&amp;base_de_datos[[Número de grupo ]]&amp;" "&amp;base_de_datos[Profesor],""),""),""),""),"")</f>
        <v/>
      </c>
      <c r="E20" s="28" t="str" cm="1">
        <f t="array" aca="1" ref="E20" ca="1">_xlfn.TEXTJOIN(CHAR(10),TRUE,IF(Semestre=INDIRECT("base_de_datos["&amp;Carrera&amp;"]"),IF("x"=base_de_datos[Lunes],IF(base_de_datos[Hora inicio]&lt;=$B20,IF(base_de_datos[Hora fin]&gt;=$C20,base_de_datos[Aula]&amp;" "&amp;base_de_datos[Examen],""),""),""),""),"")</f>
        <v/>
      </c>
      <c r="F20" s="28" t="str" cm="1">
        <f t="array" aca="1" ref="F20" ca="1">_xlfn.TEXTJOIN(CHAR(10),TRUE,IF(Semestre=INDIRECT("base_de_datos["&amp;Carrera&amp;"]"),IF("x"=base_de_datos[Lunes],IF(base_de_datos[Hora inicio]&lt;=$B20,IF(base_de_datos[Hora fin]&gt;=$C20,base_de_datos[No clase],""),""),""),""),"")</f>
        <v/>
      </c>
      <c r="G20" s="28" t="str" cm="1">
        <f t="array" aca="1" ref="G20" ca="1">_xlfn.TEXTJOIN(CHAR(10),TRUE,IF(Semestre=INDIRECT("base_de_datos["&amp;Carrera&amp;"]"),IF("x"=base_de_datos[Martes],IF(base_de_datos[Hora inicio]&lt;=$B20,IF(base_de_datos[Hora fin]&gt;=$C20,base_de_datos[Materia]&amp;" "&amp;base_de_datos[[Número de grupo ]]&amp;" "&amp;base_de_datos[Profesor],""),""),""),""),"")</f>
        <v/>
      </c>
      <c r="H20" s="28" t="str" cm="1">
        <f t="array" aca="1" ref="H20" ca="1">_xlfn.TEXTJOIN(CHAR(10),TRUE,IF(Semestre=INDIRECT("base_de_datos["&amp;Carrera&amp;"]"),IF("x"=base_de_datos[Martes],IF(base_de_datos[Hora inicio]&lt;=$B20,IF(base_de_datos[Hora fin]&gt;=$C20,base_de_datos[Aula]&amp;" "&amp;base_de_datos[Examen],""),""),""),""),"")</f>
        <v/>
      </c>
      <c r="I20" s="28" t="str" cm="1">
        <f t="array" aca="1" ref="I20" ca="1">_xlfn.TEXTJOIN(CHAR(10),TRUE,IF(Semestre=INDIRECT("base_de_datos["&amp;Carrera&amp;"]"),IF("x"=base_de_datos[Martes],IF(base_de_datos[Hora inicio]&lt;=$B20,IF(base_de_datos[Hora fin]&gt;=$C20,base_de_datos[No clase],""),""),""),""),"")</f>
        <v/>
      </c>
      <c r="J20" s="28" t="str" cm="1">
        <f t="array" aca="1" ref="J20" ca="1">_xlfn.TEXTJOIN(CHAR(10),TRUE,IF(Semestre=INDIRECT("base_de_datos["&amp;Carrera&amp;"]"),IF("x"=base_de_datos[Miércoles],IF(base_de_datos[Hora inicio]&lt;=$B20,IF(base_de_datos[Hora fin]&gt;=$C20,base_de_datos[Materia]&amp;" "&amp;base_de_datos[[Número de grupo ]]&amp;" "&amp;base_de_datos[Profesor],""),""),""),""),"")</f>
        <v/>
      </c>
      <c r="K20" s="28" t="str" cm="1">
        <f t="array" aca="1" ref="K20" ca="1">_xlfn.TEXTJOIN(CHAR(10),TRUE,IF(Semestre=INDIRECT("base_de_datos["&amp;Carrera&amp;"]"),IF("x"=base_de_datos[Miércoles],IF(base_de_datos[Hora inicio]&lt;=$B20,IF(base_de_datos[Hora fin]&gt;=$C20,base_de_datos[Aula]&amp;" "&amp;base_de_datos[Examen],""),""),""),""),"")</f>
        <v/>
      </c>
      <c r="L20" s="28" t="str" cm="1">
        <f t="array" aca="1" ref="L20" ca="1">_xlfn.TEXTJOIN(CHAR(10),TRUE,IF(Semestre=INDIRECT("base_de_datos["&amp;Carrera&amp;"]"),IF("x"=base_de_datos[Miércoles],IF(base_de_datos[Hora inicio]&lt;=$B20,IF(base_de_datos[Hora fin]&gt;=$C20,base_de_datos[No clase],""),""),""),""),"")</f>
        <v/>
      </c>
      <c r="M20" s="28" t="str" cm="1">
        <f t="array" aca="1" ref="M20" ca="1">_xlfn.TEXTJOIN(CHAR(10),TRUE,IF(Semestre=INDIRECT("base_de_datos["&amp;Carrera&amp;"]"),IF("x"=base_de_datos[Jueves],IF(base_de_datos[Hora inicio]&lt;=$B20,IF(base_de_datos[Hora fin]&gt;=$C20,base_de_datos[Materia]&amp;" "&amp;base_de_datos[[Número de grupo ]]&amp;" "&amp;base_de_datos[Profesor],""),""),""),""),"")</f>
        <v/>
      </c>
      <c r="N20" s="28" t="str" cm="1">
        <f t="array" aca="1" ref="N20" ca="1">_xlfn.TEXTJOIN(CHAR(10),TRUE,IF(Semestre=INDIRECT("base_de_datos["&amp;Carrera&amp;"]"),IF("x"=base_de_datos[Jueves],IF(base_de_datos[Hora inicio]&lt;=$B20,IF(base_de_datos[Hora fin]&gt;=$C20,base_de_datos[Aula]&amp;" "&amp;base_de_datos[Examen],""),""),""),""),"")</f>
        <v/>
      </c>
      <c r="O20" s="28" t="str" cm="1">
        <f t="array" aca="1" ref="O20" ca="1">_xlfn.TEXTJOIN(CHAR(10),TRUE,IF(Semestre=INDIRECT("base_de_datos["&amp;Carrera&amp;"]"),IF("x"=base_de_datos[Jueves],IF(base_de_datos[Hora inicio]&lt;=$B20,IF(base_de_datos[Hora fin]&gt;=$C20,base_de_datos[No clase],""),""),""),""),"")</f>
        <v/>
      </c>
      <c r="P20" s="28" t="str" cm="1">
        <f t="array" aca="1" ref="P20" ca="1">_xlfn.TEXTJOIN(CHAR(10),TRUE,IF(Semestre=INDIRECT("base_de_datos["&amp;Carrera&amp;"]"),IF("x"=base_de_datos[Viernes],IF(base_de_datos[Hora inicio]&lt;=$B20,IF(base_de_datos[Hora fin]&gt;=$C20,base_de_datos[Materia]&amp;" "&amp;base_de_datos[[Número de grupo ]]&amp;" "&amp;base_de_datos[Profesor],""),""),""),""),"")</f>
        <v/>
      </c>
      <c r="Q20" s="28" t="str" cm="1">
        <f t="array" aca="1" ref="Q20" ca="1">_xlfn.TEXTJOIN(CHAR(10),TRUE,IF(Semestre=INDIRECT("base_de_datos["&amp;Carrera&amp;"]"),IF("x"=base_de_datos[Viernes],IF(base_de_datos[Hora inicio]&lt;=$B20,IF(base_de_datos[Hora fin]&gt;=$C20,base_de_datos[Aula]&amp;" "&amp;base_de_datos[Examen],""),""),""),""),"")</f>
        <v/>
      </c>
      <c r="R20" s="28" t="str" cm="1">
        <f t="array" aca="1" ref="R20" ca="1">_xlfn.TEXTJOIN(CHAR(10),TRUE,IF(Semestre=INDIRECT("base_de_datos["&amp;Carrera&amp;"]"),IF("x"=base_de_datos[Viernes],IF(base_de_datos[Hora inicio]&lt;=$B20,IF(base_de_datos[Hora fin]&gt;=$C20,base_de_datos[No clase],""),""),""),""),"")</f>
        <v/>
      </c>
      <c r="S20" s="28" t="str" cm="1">
        <f t="array" aca="1" ref="S20" ca="1">_xlfn.TEXTJOIN(CHAR(10),TRUE,IF(Semestre=INDIRECT("base_de_datos["&amp;Carrera&amp;"]"),IF("x"=base_de_datos[Sábado],IF(base_de_datos[Hora inicio]&lt;=$B20,IF(base_de_datos[Hora fin]&gt;=$C20,base_de_datos[Materia]&amp;" "&amp;base_de_datos[[Número de grupo ]]&amp;" "&amp;base_de_datos[Profesor],""),""),""),""),"")</f>
        <v/>
      </c>
      <c r="T20" s="28" t="str" cm="1">
        <f t="array" aca="1" ref="T20" ca="1">_xlfn.TEXTJOIN(CHAR(10),TRUE,IF(Semestre=INDIRECT("base_de_datos["&amp;Carrera&amp;"]"),IF("x"=base_de_datos[Sábado],IF(base_de_datos[Hora inicio]&lt;=$B20,IF(base_de_datos[Hora fin]&gt;=$C20,base_de_datos[Aula]&amp;" "&amp;#REF!,""),""),""),""),"")</f>
        <v/>
      </c>
      <c r="U20" s="28" t="str" cm="1">
        <f t="array" aca="1" ref="U20" ca="1">_xlfn.TEXTJOIN(CHAR(10),TRUE,IF(Semestre=INDIRECT("base_de_datos["&amp;Carrera&amp;"]"),IF("x"=base_de_datos[Sábado],IF(base_de_datos[Hora inicio]&lt;=$B20,IF(base_de_datos[Hora fin]&gt;=$C20,base_de_datos[No clase],""),""),""),""),"")</f>
        <v/>
      </c>
      <c r="V20" s="27"/>
      <c r="W20" s="27"/>
      <c r="X20" s="27"/>
      <c r="Y20" s="27"/>
      <c r="Z20" s="27"/>
      <c r="AA20" s="27"/>
    </row>
    <row r="21" spans="2:48" ht="14.5" x14ac:dyDescent="0.35">
      <c r="B21" s="92">
        <v>0.625</v>
      </c>
      <c r="C21" s="92">
        <v>0.64583333333332804</v>
      </c>
      <c r="D21" s="29" t="str" cm="1">
        <f t="array" aca="1" ref="D21" ca="1">_xlfn.TEXTJOIN(CHAR(10),TRUE,IF(Semestre=INDIRECT("base_de_datos["&amp;Carrera&amp;"]"),IF("x"=base_de_datos[Lunes],IF(base_de_datos[Hora inicio]&lt;=$B21,IF(base_de_datos[Hora fin]&gt;=$C21,base_de_datos[Materia]&amp;" "&amp;base_de_datos[[Número de grupo ]]&amp;" "&amp;base_de_datos[Profesor],""),""),""),""),"")</f>
        <v/>
      </c>
      <c r="E21" s="28" t="str" cm="1">
        <f t="array" aca="1" ref="E21" ca="1">_xlfn.TEXTJOIN(CHAR(10),TRUE,IF(Semestre=INDIRECT("base_de_datos["&amp;Carrera&amp;"]"),IF("x"=base_de_datos[Lunes],IF(base_de_datos[Hora inicio]&lt;=$B21,IF(base_de_datos[Hora fin]&gt;=$C21,base_de_datos[Aula]&amp;" "&amp;base_de_datos[Examen],""),""),""),""),"")</f>
        <v/>
      </c>
      <c r="F21" s="29" t="str" cm="1">
        <f t="array" aca="1" ref="F21" ca="1">_xlfn.TEXTJOIN(CHAR(10),TRUE,IF(Semestre=INDIRECT("base_de_datos["&amp;Carrera&amp;"]"),IF("x"=base_de_datos[Lunes],IF(base_de_datos[Hora inicio]&lt;=$B21,IF(base_de_datos[Hora fin]&gt;=$C21,base_de_datos[No clase],""),""),""),""),"")</f>
        <v/>
      </c>
      <c r="G21" s="28" t="str" cm="1">
        <f t="array" aca="1" ref="G21" ca="1">_xlfn.TEXTJOIN(CHAR(10),TRUE,IF(Semestre=INDIRECT("base_de_datos["&amp;Carrera&amp;"]"),IF("x"=base_de_datos[Martes],IF(base_de_datos[Hora inicio]&lt;=$B21,IF(base_de_datos[Hora fin]&gt;=$C21,base_de_datos[Materia]&amp;" "&amp;base_de_datos[[Número de grupo ]]&amp;" "&amp;base_de_datos[Profesor],""),""),""),""),"")</f>
        <v/>
      </c>
      <c r="H21" s="28" t="str" cm="1">
        <f t="array" aca="1" ref="H21" ca="1">_xlfn.TEXTJOIN(CHAR(10),TRUE,IF(Semestre=INDIRECT("base_de_datos["&amp;Carrera&amp;"]"),IF("x"=base_de_datos[Martes],IF(base_de_datos[Hora inicio]&lt;=$B21,IF(base_de_datos[Hora fin]&gt;=$C21,base_de_datos[Aula]&amp;" "&amp;base_de_datos[Examen],""),""),""),""),"")</f>
        <v/>
      </c>
      <c r="I21" s="28" t="str" cm="1">
        <f t="array" aca="1" ref="I21" ca="1">_xlfn.TEXTJOIN(CHAR(10),TRUE,IF(Semestre=INDIRECT("base_de_datos["&amp;Carrera&amp;"]"),IF("x"=base_de_datos[Martes],IF(base_de_datos[Hora inicio]&lt;=$B21,IF(base_de_datos[Hora fin]&gt;=$C21,base_de_datos[No clase],""),""),""),""),"")</f>
        <v/>
      </c>
      <c r="J21" s="29" t="str" cm="1">
        <f t="array" aca="1" ref="J21" ca="1">_xlfn.TEXTJOIN(CHAR(10),TRUE,IF(Semestre=INDIRECT("base_de_datos["&amp;Carrera&amp;"]"),IF("x"=base_de_datos[Miércoles],IF(base_de_datos[Hora inicio]&lt;=$B21,IF(base_de_datos[Hora fin]&gt;=$C21,base_de_datos[Materia]&amp;" "&amp;base_de_datos[[Número de grupo ]]&amp;" "&amp;base_de_datos[Profesor],""),""),""),""),"")</f>
        <v/>
      </c>
      <c r="K21" s="29" t="str" cm="1">
        <f t="array" aca="1" ref="K21" ca="1">_xlfn.TEXTJOIN(CHAR(10),TRUE,IF(Semestre=INDIRECT("base_de_datos["&amp;Carrera&amp;"]"),IF("x"=base_de_datos[Miércoles],IF(base_de_datos[Hora inicio]&lt;=$B21,IF(base_de_datos[Hora fin]&gt;=$C21,base_de_datos[Aula]&amp;" "&amp;base_de_datos[Examen],""),""),""),""),"")</f>
        <v/>
      </c>
      <c r="L21" s="29" t="str" cm="1">
        <f t="array" aca="1" ref="L21" ca="1">_xlfn.TEXTJOIN(CHAR(10),TRUE,IF(Semestre=INDIRECT("base_de_datos["&amp;Carrera&amp;"]"),IF("x"=base_de_datos[Miércoles],IF(base_de_datos[Hora inicio]&lt;=$B21,IF(base_de_datos[Hora fin]&gt;=$C21,base_de_datos[No clase],""),""),""),""),"")</f>
        <v/>
      </c>
      <c r="M21" s="28" t="str" cm="1">
        <f t="array" aca="1" ref="M21" ca="1">_xlfn.TEXTJOIN(CHAR(10),TRUE,IF(Semestre=INDIRECT("base_de_datos["&amp;Carrera&amp;"]"),IF("x"=base_de_datos[Jueves],IF(base_de_datos[Hora inicio]&lt;=$B21,IF(base_de_datos[Hora fin]&gt;=$C21,base_de_datos[Materia]&amp;" "&amp;base_de_datos[[Número de grupo ]]&amp;" "&amp;base_de_datos[Profesor],""),""),""),""),"")</f>
        <v/>
      </c>
      <c r="N21" s="28" t="str" cm="1">
        <f t="array" aca="1" ref="N21" ca="1">_xlfn.TEXTJOIN(CHAR(10),TRUE,IF(Semestre=INDIRECT("base_de_datos["&amp;Carrera&amp;"]"),IF("x"=base_de_datos[Jueves],IF(base_de_datos[Hora inicio]&lt;=$B21,IF(base_de_datos[Hora fin]&gt;=$C21,base_de_datos[Aula]&amp;" "&amp;base_de_datos[Examen],""),""),""),""),"")</f>
        <v/>
      </c>
      <c r="O21" s="28" t="str" cm="1">
        <f t="array" aca="1" ref="O21" ca="1">_xlfn.TEXTJOIN(CHAR(10),TRUE,IF(Semestre=INDIRECT("base_de_datos["&amp;Carrera&amp;"]"),IF("x"=base_de_datos[Jueves],IF(base_de_datos[Hora inicio]&lt;=$B21,IF(base_de_datos[Hora fin]&gt;=$C21,base_de_datos[No clase],""),""),""),""),"")</f>
        <v/>
      </c>
      <c r="P21" s="29" t="str" cm="1">
        <f t="array" aca="1" ref="P21" ca="1">_xlfn.TEXTJOIN(CHAR(10),TRUE,IF(Semestre=INDIRECT("base_de_datos["&amp;Carrera&amp;"]"),IF("x"=base_de_datos[Viernes],IF(base_de_datos[Hora inicio]&lt;=$B21,IF(base_de_datos[Hora fin]&gt;=$C21,base_de_datos[Materia]&amp;" "&amp;base_de_datos[[Número de grupo ]]&amp;" "&amp;base_de_datos[Profesor],""),""),""),""),"")</f>
        <v/>
      </c>
      <c r="Q21" s="29" t="str" cm="1">
        <f t="array" aca="1" ref="Q21" ca="1">_xlfn.TEXTJOIN(CHAR(10),TRUE,IF(Semestre=INDIRECT("base_de_datos["&amp;Carrera&amp;"]"),IF("x"=base_de_datos[Viernes],IF(base_de_datos[Hora inicio]&lt;=$B21,IF(base_de_datos[Hora fin]&gt;=$C21,base_de_datos[Aula]&amp;" "&amp;base_de_datos[Examen],""),""),""),""),"")</f>
        <v/>
      </c>
      <c r="R21" s="29" t="str" cm="1">
        <f t="array" aca="1" ref="R21" ca="1">_xlfn.TEXTJOIN(CHAR(10),TRUE,IF(Semestre=INDIRECT("base_de_datos["&amp;Carrera&amp;"]"),IF("x"=base_de_datos[Viernes],IF(base_de_datos[Hora inicio]&lt;=$B21,IF(base_de_datos[Hora fin]&gt;=$C21,base_de_datos[No clase],""),""),""),""),"")</f>
        <v/>
      </c>
      <c r="S21" s="28" t="str" cm="1">
        <f t="array" aca="1" ref="S21" ca="1">_xlfn.TEXTJOIN(CHAR(10),TRUE,IF(Semestre=INDIRECT("base_de_datos["&amp;Carrera&amp;"]"),IF("x"=base_de_datos[Sábado],IF(base_de_datos[Hora inicio]&lt;=$B21,IF(base_de_datos[Hora fin]&gt;=$C21,base_de_datos[Materia]&amp;" "&amp;base_de_datos[[Número de grupo ]]&amp;" "&amp;base_de_datos[Profesor],""),""),""),""),"")</f>
        <v/>
      </c>
      <c r="T21" s="28" t="str" cm="1">
        <f t="array" aca="1" ref="T21" ca="1">_xlfn.TEXTJOIN(CHAR(10),TRUE,IF(Semestre=INDIRECT("base_de_datos["&amp;Carrera&amp;"]"),IF("x"=base_de_datos[Sábado],IF(base_de_datos[Hora inicio]&lt;=$B21,IF(base_de_datos[Hora fin]&gt;=$C21,base_de_datos[Aula]&amp;" "&amp;#REF!,""),""),""),""),"")</f>
        <v/>
      </c>
      <c r="U21" s="28" t="str" cm="1">
        <f t="array" aca="1" ref="U21" ca="1">_xlfn.TEXTJOIN(CHAR(10),TRUE,IF(Semestre=INDIRECT("base_de_datos["&amp;Carrera&amp;"]"),IF("x"=base_de_datos[Sábado],IF(base_de_datos[Hora inicio]&lt;=$B21,IF(base_de_datos[Hora fin]&gt;=$C21,base_de_datos[No clase],""),""),""),""),"")</f>
        <v/>
      </c>
      <c r="V21" s="27"/>
      <c r="W21" s="27"/>
      <c r="X21" s="27"/>
      <c r="Y21" s="27"/>
      <c r="Z21" s="27"/>
      <c r="AA21" s="27"/>
    </row>
    <row r="22" spans="2:48" ht="14.5" x14ac:dyDescent="0.35">
      <c r="B22" s="92">
        <v>0.64583333333333304</v>
      </c>
      <c r="C22" s="92">
        <v>0.66666666666666097</v>
      </c>
      <c r="D22" s="29" t="str" cm="1">
        <f t="array" aca="1" ref="D22" ca="1">_xlfn.TEXTJOIN(CHAR(10),TRUE,IF(Semestre=INDIRECT("base_de_datos["&amp;Carrera&amp;"]"),IF("x"=base_de_datos[Lunes],IF(base_de_datos[Hora inicio]&lt;=$B22,IF(base_de_datos[Hora fin]&gt;=$C22,base_de_datos[Materia]&amp;" "&amp;base_de_datos[[Número de grupo ]]&amp;" "&amp;base_de_datos[Profesor],""),""),""),""),"")</f>
        <v/>
      </c>
      <c r="E22" s="28" t="str" cm="1">
        <f t="array" aca="1" ref="E22" ca="1">_xlfn.TEXTJOIN(CHAR(10),TRUE,IF(Semestre=INDIRECT("base_de_datos["&amp;Carrera&amp;"]"),IF("x"=base_de_datos[Lunes],IF(base_de_datos[Hora inicio]&lt;=$B22,IF(base_de_datos[Hora fin]&gt;=$C22,base_de_datos[Aula]&amp;" "&amp;base_de_datos[Examen],""),""),""),""),"")</f>
        <v/>
      </c>
      <c r="F22" s="29" t="str" cm="1">
        <f t="array" aca="1" ref="F22" ca="1">_xlfn.TEXTJOIN(CHAR(10),TRUE,IF(Semestre=INDIRECT("base_de_datos["&amp;Carrera&amp;"]"),IF("x"=base_de_datos[Lunes],IF(base_de_datos[Hora inicio]&lt;=$B22,IF(base_de_datos[Hora fin]&gt;=$C22,base_de_datos[No clase],""),""),""),""),"")</f>
        <v/>
      </c>
      <c r="G22" s="28" t="str" cm="1">
        <f t="array" aca="1" ref="G22" ca="1">_xlfn.TEXTJOIN(CHAR(10),TRUE,IF(Semestre=INDIRECT("base_de_datos["&amp;Carrera&amp;"]"),IF("x"=base_de_datos[Martes],IF(base_de_datos[Hora inicio]&lt;=$B22,IF(base_de_datos[Hora fin]&gt;=$C22,base_de_datos[Materia]&amp;" "&amp;base_de_datos[[Número de grupo ]]&amp;" "&amp;base_de_datos[Profesor],""),""),""),""),"")</f>
        <v/>
      </c>
      <c r="H22" s="28" t="str" cm="1">
        <f t="array" aca="1" ref="H22" ca="1">_xlfn.TEXTJOIN(CHAR(10),TRUE,IF(Semestre=INDIRECT("base_de_datos["&amp;Carrera&amp;"]"),IF("x"=base_de_datos[Martes],IF(base_de_datos[Hora inicio]&lt;=$B22,IF(base_de_datos[Hora fin]&gt;=$C22,base_de_datos[Aula]&amp;" "&amp;base_de_datos[Examen],""),""),""),""),"")</f>
        <v/>
      </c>
      <c r="I22" s="28" t="str" cm="1">
        <f t="array" aca="1" ref="I22" ca="1">_xlfn.TEXTJOIN(CHAR(10),TRUE,IF(Semestre=INDIRECT("base_de_datos["&amp;Carrera&amp;"]"),IF("x"=base_de_datos[Martes],IF(base_de_datos[Hora inicio]&lt;=$B22,IF(base_de_datos[Hora fin]&gt;=$C22,base_de_datos[No clase],""),""),""),""),"")</f>
        <v/>
      </c>
      <c r="J22" s="29" t="str" cm="1">
        <f t="array" aca="1" ref="J22" ca="1">_xlfn.TEXTJOIN(CHAR(10),TRUE,IF(Semestre=INDIRECT("base_de_datos["&amp;Carrera&amp;"]"),IF("x"=base_de_datos[Miércoles],IF(base_de_datos[Hora inicio]&lt;=$B22,IF(base_de_datos[Hora fin]&gt;=$C22,base_de_datos[Materia]&amp;" "&amp;base_de_datos[[Número de grupo ]]&amp;" "&amp;base_de_datos[Profesor],""),""),""),""),"")</f>
        <v/>
      </c>
      <c r="K22" s="29" t="str" cm="1">
        <f t="array" aca="1" ref="K22" ca="1">_xlfn.TEXTJOIN(CHAR(10),TRUE,IF(Semestre=INDIRECT("base_de_datos["&amp;Carrera&amp;"]"),IF("x"=base_de_datos[Miércoles],IF(base_de_datos[Hora inicio]&lt;=$B22,IF(base_de_datos[Hora fin]&gt;=$C22,base_de_datos[Aula]&amp;" "&amp;base_de_datos[Examen],""),""),""),""),"")</f>
        <v/>
      </c>
      <c r="L22" s="29" t="str" cm="1">
        <f t="array" aca="1" ref="L22" ca="1">_xlfn.TEXTJOIN(CHAR(10),TRUE,IF(Semestre=INDIRECT("base_de_datos["&amp;Carrera&amp;"]"),IF("x"=base_de_datos[Miércoles],IF(base_de_datos[Hora inicio]&lt;=$B22,IF(base_de_datos[Hora fin]&gt;=$C22,base_de_datos[No clase],""),""),""),""),"")</f>
        <v/>
      </c>
      <c r="M22" s="28" t="str" cm="1">
        <f t="array" aca="1" ref="M22" ca="1">_xlfn.TEXTJOIN(CHAR(10),TRUE,IF(Semestre=INDIRECT("base_de_datos["&amp;Carrera&amp;"]"),IF("x"=base_de_datos[Jueves],IF(base_de_datos[Hora inicio]&lt;=$B22,IF(base_de_datos[Hora fin]&gt;=$C22,base_de_datos[Materia]&amp;" "&amp;base_de_datos[[Número de grupo ]]&amp;" "&amp;base_de_datos[Profesor],""),""),""),""),"")</f>
        <v/>
      </c>
      <c r="N22" s="28" t="str" cm="1">
        <f t="array" aca="1" ref="N22" ca="1">_xlfn.TEXTJOIN(CHAR(10),TRUE,IF(Semestre=INDIRECT("base_de_datos["&amp;Carrera&amp;"]"),IF("x"=base_de_datos[Jueves],IF(base_de_datos[Hora inicio]&lt;=$B22,IF(base_de_datos[Hora fin]&gt;=$C22,base_de_datos[Aula]&amp;" "&amp;base_de_datos[Examen],""),""),""),""),"")</f>
        <v/>
      </c>
      <c r="O22" s="28" t="str" cm="1">
        <f t="array" aca="1" ref="O22" ca="1">_xlfn.TEXTJOIN(CHAR(10),TRUE,IF(Semestre=INDIRECT("base_de_datos["&amp;Carrera&amp;"]"),IF("x"=base_de_datos[Jueves],IF(base_de_datos[Hora inicio]&lt;=$B22,IF(base_de_datos[Hora fin]&gt;=$C22,base_de_datos[No clase],""),""),""),""),"")</f>
        <v/>
      </c>
      <c r="P22" s="29" t="str" cm="1">
        <f t="array" aca="1" ref="P22" ca="1">_xlfn.TEXTJOIN(CHAR(10),TRUE,IF(Semestre=INDIRECT("base_de_datos["&amp;Carrera&amp;"]"),IF("x"=base_de_datos[Viernes],IF(base_de_datos[Hora inicio]&lt;=$B22,IF(base_de_datos[Hora fin]&gt;=$C22,base_de_datos[Materia]&amp;" "&amp;base_de_datos[[Número de grupo ]]&amp;" "&amp;base_de_datos[Profesor],""),""),""),""),"")</f>
        <v/>
      </c>
      <c r="Q22" s="29" t="str" cm="1">
        <f t="array" aca="1" ref="Q22" ca="1">_xlfn.TEXTJOIN(CHAR(10),TRUE,IF(Semestre=INDIRECT("base_de_datos["&amp;Carrera&amp;"]"),IF("x"=base_de_datos[Viernes],IF(base_de_datos[Hora inicio]&lt;=$B22,IF(base_de_datos[Hora fin]&gt;=$C22,base_de_datos[Aula]&amp;" "&amp;base_de_datos[Examen],""),""),""),""),"")</f>
        <v/>
      </c>
      <c r="R22" s="29" t="str" cm="1">
        <f t="array" aca="1" ref="R22" ca="1">_xlfn.TEXTJOIN(CHAR(10),TRUE,IF(Semestre=INDIRECT("base_de_datos["&amp;Carrera&amp;"]"),IF("x"=base_de_datos[Viernes],IF(base_de_datos[Hora inicio]&lt;=$B22,IF(base_de_datos[Hora fin]&gt;=$C22,base_de_datos[No clase],""),""),""),""),"")</f>
        <v/>
      </c>
      <c r="S22" s="28" t="str" cm="1">
        <f t="array" aca="1" ref="S22" ca="1">_xlfn.TEXTJOIN(CHAR(10),TRUE,IF(Semestre=INDIRECT("base_de_datos["&amp;Carrera&amp;"]"),IF("x"=base_de_datos[Sábado],IF(base_de_datos[Hora inicio]&lt;=$B22,IF(base_de_datos[Hora fin]&gt;=$C22,base_de_datos[Materia]&amp;" "&amp;base_de_datos[[Número de grupo ]]&amp;" "&amp;base_de_datos[Profesor],""),""),""),""),"")</f>
        <v/>
      </c>
      <c r="T22" s="28" t="str" cm="1">
        <f t="array" aca="1" ref="T22" ca="1">_xlfn.TEXTJOIN(CHAR(10),TRUE,IF(Semestre=INDIRECT("base_de_datos["&amp;Carrera&amp;"]"),IF("x"=base_de_datos[Sábado],IF(base_de_datos[Hora inicio]&lt;=$B22,IF(base_de_datos[Hora fin]&gt;=$C22,base_de_datos[Aula]&amp;" "&amp;#REF!,""),""),""),""),"")</f>
        <v/>
      </c>
      <c r="U22" s="28" t="str" cm="1">
        <f t="array" aca="1" ref="U22" ca="1">_xlfn.TEXTJOIN(CHAR(10),TRUE,IF(Semestre=INDIRECT("base_de_datos["&amp;Carrera&amp;"]"),IF("x"=base_de_datos[Sábado],IF(base_de_datos[Hora inicio]&lt;=$B22,IF(base_de_datos[Hora fin]&gt;=$C22,base_de_datos[No clase],""),""),""),""),"")</f>
        <v/>
      </c>
      <c r="V22" s="27"/>
      <c r="W22" s="27"/>
      <c r="X22" s="27"/>
      <c r="Y22" s="27"/>
      <c r="Z22" s="27"/>
      <c r="AA22" s="27"/>
    </row>
    <row r="23" spans="2:48" ht="14.5" x14ac:dyDescent="0.35">
      <c r="B23" s="92">
        <v>0.66666666666666696</v>
      </c>
      <c r="C23" s="92">
        <v>0.687499999999994</v>
      </c>
      <c r="D23" s="29" t="str" cm="1">
        <f t="array" aca="1" ref="D23" ca="1">_xlfn.TEXTJOIN(CHAR(10),TRUE,IF(Semestre=INDIRECT("base_de_datos["&amp;Carrera&amp;"]"),IF("x"=base_de_datos[Lunes],IF(base_de_datos[Hora inicio]&lt;=$B23,IF(base_de_datos[Hora fin]&gt;=$C23,base_de_datos[Materia]&amp;" "&amp;base_de_datos[[Número de grupo ]]&amp;" "&amp;base_de_datos[Profesor],""),""),""),""),"")</f>
        <v/>
      </c>
      <c r="E23" s="28" t="str" cm="1">
        <f t="array" aca="1" ref="E23" ca="1">_xlfn.TEXTJOIN(CHAR(10),TRUE,IF(Semestre=INDIRECT("base_de_datos["&amp;Carrera&amp;"]"),IF("x"=base_de_datos[Lunes],IF(base_de_datos[Hora inicio]&lt;=$B23,IF(base_de_datos[Hora fin]&gt;=$C23,base_de_datos[Aula]&amp;" "&amp;base_de_datos[Examen],""),""),""),""),"")</f>
        <v/>
      </c>
      <c r="F23" s="29" t="str" cm="1">
        <f t="array" aca="1" ref="F23" ca="1">_xlfn.TEXTJOIN(CHAR(10),TRUE,IF(Semestre=INDIRECT("base_de_datos["&amp;Carrera&amp;"]"),IF("x"=base_de_datos[Lunes],IF(base_de_datos[Hora inicio]&lt;=$B23,IF(base_de_datos[Hora fin]&gt;=$C23,base_de_datos[No clase],""),""),""),""),"")</f>
        <v/>
      </c>
      <c r="G23" s="28" t="str" cm="1">
        <f t="array" aca="1" ref="G23" ca="1">_xlfn.TEXTJOIN(CHAR(10),TRUE,IF(Semestre=INDIRECT("base_de_datos["&amp;Carrera&amp;"]"),IF("x"=base_de_datos[Martes],IF(base_de_datos[Hora inicio]&lt;=$B23,IF(base_de_datos[Hora fin]&gt;=$C23,base_de_datos[Materia]&amp;" "&amp;base_de_datos[[Número de grupo ]]&amp;" "&amp;base_de_datos[Profesor],""),""),""),""),"")</f>
        <v/>
      </c>
      <c r="H23" s="28" t="str" cm="1">
        <f t="array" aca="1" ref="H23" ca="1">_xlfn.TEXTJOIN(CHAR(10),TRUE,IF(Semestre=INDIRECT("base_de_datos["&amp;Carrera&amp;"]"),IF("x"=base_de_datos[Martes],IF(base_de_datos[Hora inicio]&lt;=$B23,IF(base_de_datos[Hora fin]&gt;=$C23,base_de_datos[Aula]&amp;" "&amp;base_de_datos[Examen],""),""),""),""),"")</f>
        <v/>
      </c>
      <c r="I23" s="28" t="str" cm="1">
        <f t="array" aca="1" ref="I23" ca="1">_xlfn.TEXTJOIN(CHAR(10),TRUE,IF(Semestre=INDIRECT("base_de_datos["&amp;Carrera&amp;"]"),IF("x"=base_de_datos[Martes],IF(base_de_datos[Hora inicio]&lt;=$B23,IF(base_de_datos[Hora fin]&gt;=$C23,base_de_datos[No clase],""),""),""),""),"")</f>
        <v/>
      </c>
      <c r="J23" s="29" t="str" cm="1">
        <f t="array" aca="1" ref="J23" ca="1">_xlfn.TEXTJOIN(CHAR(10),TRUE,IF(Semestre=INDIRECT("base_de_datos["&amp;Carrera&amp;"]"),IF("x"=base_de_datos[Miércoles],IF(base_de_datos[Hora inicio]&lt;=$B23,IF(base_de_datos[Hora fin]&gt;=$C23,base_de_datos[Materia]&amp;" "&amp;base_de_datos[[Número de grupo ]]&amp;" "&amp;base_de_datos[Profesor],""),""),""),""),"")</f>
        <v/>
      </c>
      <c r="K23" s="29" t="str" cm="1">
        <f t="array" aca="1" ref="K23" ca="1">_xlfn.TEXTJOIN(CHAR(10),TRUE,IF(Semestre=INDIRECT("base_de_datos["&amp;Carrera&amp;"]"),IF("x"=base_de_datos[Miércoles],IF(base_de_datos[Hora inicio]&lt;=$B23,IF(base_de_datos[Hora fin]&gt;=$C23,base_de_datos[Aula]&amp;" "&amp;base_de_datos[Examen],""),""),""),""),"")</f>
        <v/>
      </c>
      <c r="L23" s="29" t="str" cm="1">
        <f t="array" aca="1" ref="L23" ca="1">_xlfn.TEXTJOIN(CHAR(10),TRUE,IF(Semestre=INDIRECT("base_de_datos["&amp;Carrera&amp;"]"),IF("x"=base_de_datos[Miércoles],IF(base_de_datos[Hora inicio]&lt;=$B23,IF(base_de_datos[Hora fin]&gt;=$C23,base_de_datos[No clase],""),""),""),""),"")</f>
        <v/>
      </c>
      <c r="M23" s="28" t="str" cm="1">
        <f t="array" aca="1" ref="M23" ca="1">_xlfn.TEXTJOIN(CHAR(10),TRUE,IF(Semestre=INDIRECT("base_de_datos["&amp;Carrera&amp;"]"),IF("x"=base_de_datos[Jueves],IF(base_de_datos[Hora inicio]&lt;=$B23,IF(base_de_datos[Hora fin]&gt;=$C23,base_de_datos[Materia]&amp;" "&amp;base_de_datos[[Número de grupo ]]&amp;" "&amp;base_de_datos[Profesor],""),""),""),""),"")</f>
        <v/>
      </c>
      <c r="N23" s="28" t="str" cm="1">
        <f t="array" aca="1" ref="N23" ca="1">_xlfn.TEXTJOIN(CHAR(10),TRUE,IF(Semestre=INDIRECT("base_de_datos["&amp;Carrera&amp;"]"),IF("x"=base_de_datos[Jueves],IF(base_de_datos[Hora inicio]&lt;=$B23,IF(base_de_datos[Hora fin]&gt;=$C23,base_de_datos[Aula]&amp;" "&amp;base_de_datos[Examen],""),""),""),""),"")</f>
        <v/>
      </c>
      <c r="O23" s="28" t="str" cm="1">
        <f t="array" aca="1" ref="O23" ca="1">_xlfn.TEXTJOIN(CHAR(10),TRUE,IF(Semestre=INDIRECT("base_de_datos["&amp;Carrera&amp;"]"),IF("x"=base_de_datos[Jueves],IF(base_de_datos[Hora inicio]&lt;=$B23,IF(base_de_datos[Hora fin]&gt;=$C23,base_de_datos[No clase],""),""),""),""),"")</f>
        <v/>
      </c>
      <c r="P23" s="28" t="str" cm="1">
        <f t="array" aca="1" ref="P23" ca="1">_xlfn.TEXTJOIN(CHAR(10),TRUE,IF(Semestre=INDIRECT("base_de_datos["&amp;Carrera&amp;"]"),IF("x"=base_de_datos[Viernes],IF(base_de_datos[Hora inicio]&lt;=$B23,IF(base_de_datos[Hora fin]&gt;=$C23,base_de_datos[Materia]&amp;" "&amp;base_de_datos[[Número de grupo ]]&amp;" "&amp;base_de_datos[Profesor],""),""),""),""),"")</f>
        <v/>
      </c>
      <c r="Q23" s="28" t="str" cm="1">
        <f t="array" aca="1" ref="Q23" ca="1">_xlfn.TEXTJOIN(CHAR(10),TRUE,IF(Semestre=INDIRECT("base_de_datos["&amp;Carrera&amp;"]"),IF("x"=base_de_datos[Viernes],IF(base_de_datos[Hora inicio]&lt;=$B23,IF(base_de_datos[Hora fin]&gt;=$C23,base_de_datos[Aula]&amp;" "&amp;base_de_datos[Examen],""),""),""),""),"")</f>
        <v/>
      </c>
      <c r="R23" s="28" t="str" cm="1">
        <f t="array" aca="1" ref="R23" ca="1">_xlfn.TEXTJOIN(CHAR(10),TRUE,IF(Semestre=INDIRECT("base_de_datos["&amp;Carrera&amp;"]"),IF("x"=base_de_datos[Viernes],IF(base_de_datos[Hora inicio]&lt;=$B23,IF(base_de_datos[Hora fin]&gt;=$C23,base_de_datos[No clase],""),""),""),""),"")</f>
        <v/>
      </c>
      <c r="S23" s="28" t="str" cm="1">
        <f t="array" aca="1" ref="S23" ca="1">_xlfn.TEXTJOIN(CHAR(10),TRUE,IF(Semestre=INDIRECT("base_de_datos["&amp;Carrera&amp;"]"),IF("x"=base_de_datos[Sábado],IF(base_de_datos[Hora inicio]&lt;=$B23,IF(base_de_datos[Hora fin]&gt;=$C23,base_de_datos[Materia]&amp;" "&amp;base_de_datos[[Número de grupo ]]&amp;" "&amp;base_de_datos[Profesor],""),""),""),""),"")</f>
        <v/>
      </c>
      <c r="T23" s="28" t="str" cm="1">
        <f t="array" aca="1" ref="T23" ca="1">_xlfn.TEXTJOIN(CHAR(10),TRUE,IF(Semestre=INDIRECT("base_de_datos["&amp;Carrera&amp;"]"),IF("x"=base_de_datos[Sábado],IF(base_de_datos[Hora inicio]&lt;=$B23,IF(base_de_datos[Hora fin]&gt;=$C23,base_de_datos[Aula]&amp;" "&amp;#REF!,""),""),""),""),"")</f>
        <v/>
      </c>
      <c r="U23" s="28" t="str" cm="1">
        <f t="array" aca="1" ref="U23" ca="1">_xlfn.TEXTJOIN(CHAR(10),TRUE,IF(Semestre=INDIRECT("base_de_datos["&amp;Carrera&amp;"]"),IF("x"=base_de_datos[Sábado],IF(base_de_datos[Hora inicio]&lt;=$B23,IF(base_de_datos[Hora fin]&gt;=$C23,base_de_datos[No clase],""),""),""),""),"")</f>
        <v/>
      </c>
      <c r="V23" s="27"/>
      <c r="W23" s="27"/>
      <c r="X23" s="27"/>
      <c r="Y23" s="27"/>
      <c r="Z23" s="27"/>
      <c r="AA23" s="27"/>
    </row>
    <row r="24" spans="2:48" ht="14.5" x14ac:dyDescent="0.35">
      <c r="B24" s="92">
        <v>0.6875</v>
      </c>
      <c r="C24" s="92">
        <v>0.70833333333332704</v>
      </c>
      <c r="D24" s="29" t="str" cm="1">
        <f t="array" aca="1" ref="D24" ca="1">_xlfn.TEXTJOIN(CHAR(10),TRUE,IF(Semestre=INDIRECT("base_de_datos["&amp;Carrera&amp;"]"),IF("x"=base_de_datos[Lunes],IF(base_de_datos[Hora inicio]&lt;=$B24,IF(base_de_datos[Hora fin]&gt;=$C24,base_de_datos[Materia]&amp;" "&amp;base_de_datos[[Número de grupo ]]&amp;" "&amp;base_de_datos[Profesor],""),""),""),""),"")</f>
        <v/>
      </c>
      <c r="E24" s="28" t="str" cm="1">
        <f t="array" aca="1" ref="E24" ca="1">_xlfn.TEXTJOIN(CHAR(10),TRUE,IF(Semestre=INDIRECT("base_de_datos["&amp;Carrera&amp;"]"),IF("x"=base_de_datos[Lunes],IF(base_de_datos[Hora inicio]&lt;=$B24,IF(base_de_datos[Hora fin]&gt;=$C24,base_de_datos[Aula]&amp;" "&amp;base_de_datos[Examen],""),""),""),""),"")</f>
        <v/>
      </c>
      <c r="F24" s="29" t="str" cm="1">
        <f t="array" aca="1" ref="F24" ca="1">_xlfn.TEXTJOIN(CHAR(10),TRUE,IF(Semestre=INDIRECT("base_de_datos["&amp;Carrera&amp;"]"),IF("x"=base_de_datos[Lunes],IF(base_de_datos[Hora inicio]&lt;=$B24,IF(base_de_datos[Hora fin]&gt;=$C24,base_de_datos[No clase],""),""),""),""),"")</f>
        <v/>
      </c>
      <c r="G24" s="28" t="str" cm="1">
        <f t="array" aca="1" ref="G24" ca="1">_xlfn.TEXTJOIN(CHAR(10),TRUE,IF(Semestre=INDIRECT("base_de_datos["&amp;Carrera&amp;"]"),IF("x"=base_de_datos[Martes],IF(base_de_datos[Hora inicio]&lt;=$B24,IF(base_de_datos[Hora fin]&gt;=$C24,base_de_datos[Materia]&amp;" "&amp;base_de_datos[[Número de grupo ]]&amp;" "&amp;base_de_datos[Profesor],""),""),""),""),"")</f>
        <v/>
      </c>
      <c r="H24" s="28" t="str" cm="1">
        <f t="array" aca="1" ref="H24" ca="1">_xlfn.TEXTJOIN(CHAR(10),TRUE,IF(Semestre=INDIRECT("base_de_datos["&amp;Carrera&amp;"]"),IF("x"=base_de_datos[Martes],IF(base_de_datos[Hora inicio]&lt;=$B24,IF(base_de_datos[Hora fin]&gt;=$C24,base_de_datos[Aula]&amp;" "&amp;base_de_datos[Examen],""),""),""),""),"")</f>
        <v/>
      </c>
      <c r="I24" s="28" t="str" cm="1">
        <f t="array" aca="1" ref="I24" ca="1">_xlfn.TEXTJOIN(CHAR(10),TRUE,IF(Semestre=INDIRECT("base_de_datos["&amp;Carrera&amp;"]"),IF("x"=base_de_datos[Martes],IF(base_de_datos[Hora inicio]&lt;=$B24,IF(base_de_datos[Hora fin]&gt;=$C24,base_de_datos[No clase],""),""),""),""),"")</f>
        <v/>
      </c>
      <c r="J24" s="29" t="str" cm="1">
        <f t="array" aca="1" ref="J24" ca="1">_xlfn.TEXTJOIN(CHAR(10),TRUE,IF(Semestre=INDIRECT("base_de_datos["&amp;Carrera&amp;"]"),IF("x"=base_de_datos[Miércoles],IF(base_de_datos[Hora inicio]&lt;=$B24,IF(base_de_datos[Hora fin]&gt;=$C24,base_de_datos[Materia]&amp;" "&amp;base_de_datos[[Número de grupo ]]&amp;" "&amp;base_de_datos[Profesor],""),""),""),""),"")</f>
        <v/>
      </c>
      <c r="K24" s="29" t="str" cm="1">
        <f t="array" aca="1" ref="K24" ca="1">_xlfn.TEXTJOIN(CHAR(10),TRUE,IF(Semestre=INDIRECT("base_de_datos["&amp;Carrera&amp;"]"),IF("x"=base_de_datos[Miércoles],IF(base_de_datos[Hora inicio]&lt;=$B24,IF(base_de_datos[Hora fin]&gt;=$C24,base_de_datos[Aula]&amp;" "&amp;base_de_datos[Examen],""),""),""),""),"")</f>
        <v/>
      </c>
      <c r="L24" s="29" t="str" cm="1">
        <f t="array" aca="1" ref="L24" ca="1">_xlfn.TEXTJOIN(CHAR(10),TRUE,IF(Semestre=INDIRECT("base_de_datos["&amp;Carrera&amp;"]"),IF("x"=base_de_datos[Miércoles],IF(base_de_datos[Hora inicio]&lt;=$B24,IF(base_de_datos[Hora fin]&gt;=$C24,base_de_datos[No clase],""),""),""),""),"")</f>
        <v/>
      </c>
      <c r="M24" s="28" t="str" cm="1">
        <f t="array" aca="1" ref="M24" ca="1">_xlfn.TEXTJOIN(CHAR(10),TRUE,IF(Semestre=INDIRECT("base_de_datos["&amp;Carrera&amp;"]"),IF("x"=base_de_datos[Jueves],IF(base_de_datos[Hora inicio]&lt;=$B24,IF(base_de_datos[Hora fin]&gt;=$C24,base_de_datos[Materia]&amp;" "&amp;base_de_datos[[Número de grupo ]]&amp;" "&amp;base_de_datos[Profesor],""),""),""),""),"")</f>
        <v/>
      </c>
      <c r="N24" s="28" t="str" cm="1">
        <f t="array" aca="1" ref="N24" ca="1">_xlfn.TEXTJOIN(CHAR(10),TRUE,IF(Semestre=INDIRECT("base_de_datos["&amp;Carrera&amp;"]"),IF("x"=base_de_datos[Jueves],IF(base_de_datos[Hora inicio]&lt;=$B24,IF(base_de_datos[Hora fin]&gt;=$C24,base_de_datos[Aula]&amp;" "&amp;base_de_datos[Examen],""),""),""),""),"")</f>
        <v/>
      </c>
      <c r="O24" s="28" t="str" cm="1">
        <f t="array" aca="1" ref="O24" ca="1">_xlfn.TEXTJOIN(CHAR(10),TRUE,IF(Semestre=INDIRECT("base_de_datos["&amp;Carrera&amp;"]"),IF("x"=base_de_datos[Jueves],IF(base_de_datos[Hora inicio]&lt;=$B24,IF(base_de_datos[Hora fin]&gt;=$C24,base_de_datos[No clase],""),""),""),""),"")</f>
        <v/>
      </c>
      <c r="P24" s="28" t="str" cm="1">
        <f t="array" aca="1" ref="P24" ca="1">_xlfn.TEXTJOIN(CHAR(10),TRUE,IF(Semestre=INDIRECT("base_de_datos["&amp;Carrera&amp;"]"),IF("x"=base_de_datos[Viernes],IF(base_de_datos[Hora inicio]&lt;=$B24,IF(base_de_datos[Hora fin]&gt;=$C24,base_de_datos[Materia]&amp;" "&amp;base_de_datos[[Número de grupo ]]&amp;" "&amp;base_de_datos[Profesor],""),""),""),""),"")</f>
        <v/>
      </c>
      <c r="Q24" s="28" t="str" cm="1">
        <f t="array" aca="1" ref="Q24" ca="1">_xlfn.TEXTJOIN(CHAR(10),TRUE,IF(Semestre=INDIRECT("base_de_datos["&amp;Carrera&amp;"]"),IF("x"=base_de_datos[Viernes],IF(base_de_datos[Hora inicio]&lt;=$B24,IF(base_de_datos[Hora fin]&gt;=$C24,base_de_datos[Aula]&amp;" "&amp;base_de_datos[Examen],""),""),""),""),"")</f>
        <v/>
      </c>
      <c r="R24" s="28" t="str" cm="1">
        <f t="array" aca="1" ref="R24" ca="1">_xlfn.TEXTJOIN(CHAR(10),TRUE,IF(Semestre=INDIRECT("base_de_datos["&amp;Carrera&amp;"]"),IF("x"=base_de_datos[Viernes],IF(base_de_datos[Hora inicio]&lt;=$B24,IF(base_de_datos[Hora fin]&gt;=$C24,base_de_datos[No clase],""),""),""),""),"")</f>
        <v/>
      </c>
      <c r="S24" s="28" t="str" cm="1">
        <f t="array" aca="1" ref="S24" ca="1">_xlfn.TEXTJOIN(CHAR(10),TRUE,IF(Semestre=INDIRECT("base_de_datos["&amp;Carrera&amp;"]"),IF("x"=base_de_datos[Sábado],IF(base_de_datos[Hora inicio]&lt;=$B24,IF(base_de_datos[Hora fin]&gt;=$C24,base_de_datos[Materia]&amp;" "&amp;base_de_datos[[Número de grupo ]]&amp;" "&amp;base_de_datos[Profesor],""),""),""),""),"")</f>
        <v/>
      </c>
      <c r="T24" s="28" t="str" cm="1">
        <f t="array" aca="1" ref="T24" ca="1">_xlfn.TEXTJOIN(CHAR(10),TRUE,IF(Semestre=INDIRECT("base_de_datos["&amp;Carrera&amp;"]"),IF("x"=base_de_datos[Sábado],IF(base_de_datos[Hora inicio]&lt;=$B24,IF(base_de_datos[Hora fin]&gt;=$C24,base_de_datos[Aula]&amp;" "&amp;#REF!,""),""),""),""),"")</f>
        <v/>
      </c>
      <c r="U24" s="28" t="str" cm="1">
        <f t="array" aca="1" ref="U24" ca="1">_xlfn.TEXTJOIN(CHAR(10),TRUE,IF(Semestre=INDIRECT("base_de_datos["&amp;Carrera&amp;"]"),IF("x"=base_de_datos[Sábado],IF(base_de_datos[Hora inicio]&lt;=$B24,IF(base_de_datos[Hora fin]&gt;=$C24,base_de_datos[No clase],""),""),""),""),"")</f>
        <v/>
      </c>
      <c r="V24" s="27"/>
      <c r="W24" s="27"/>
      <c r="X24" s="27"/>
      <c r="Y24" s="27"/>
      <c r="Z24" s="27"/>
      <c r="AA24" s="27"/>
    </row>
    <row r="25" spans="2:48" ht="26" x14ac:dyDescent="0.35">
      <c r="B25" s="92">
        <v>0.70833333333333304</v>
      </c>
      <c r="C25" s="92">
        <v>0.72916666666665997</v>
      </c>
      <c r="D25" s="28" t="str" cm="1">
        <f t="array" aca="1" ref="D25" ca="1">_xlfn.TEXTJOIN(CHAR(10),TRUE,IF(Semestre=INDIRECT("base_de_datos["&amp;Carrera&amp;"]"),IF("x"=base_de_datos[Lunes],IF(base_de_datos[Hora inicio]&lt;=$B25,IF(base_de_datos[Hora fin]&gt;=$C25,base_de_datos[Materia]&amp;" "&amp;base_de_datos[[Número de grupo ]]&amp;" "&amp;base_de_datos[Profesor],""),""),""),""),"")</f>
        <v/>
      </c>
      <c r="E25" s="28" t="str" cm="1">
        <f t="array" aca="1" ref="E25" ca="1">_xlfn.TEXTJOIN(CHAR(10),TRUE,IF(Semestre=INDIRECT("base_de_datos["&amp;Carrera&amp;"]"),IF("x"=base_de_datos[Lunes],IF(base_de_datos[Hora inicio]&lt;=$B25,IF(base_de_datos[Hora fin]&gt;=$C25,base_de_datos[Aula]&amp;" "&amp;base_de_datos[Examen],""),""),""),""),"")</f>
        <v/>
      </c>
      <c r="F25" s="28" t="str" cm="1">
        <f t="array" aca="1" ref="F25" ca="1">_xlfn.TEXTJOIN(CHAR(10),TRUE,IF(Semestre=INDIRECT("base_de_datos["&amp;Carrera&amp;"]"),IF("x"=base_de_datos[Lunes],IF(base_de_datos[Hora inicio]&lt;=$B25,IF(base_de_datos[Hora fin]&gt;=$C25,base_de_datos[No clase],""),""),""),""),"")</f>
        <v/>
      </c>
      <c r="G25" s="28" t="str" cm="1">
        <f t="array" aca="1" ref="G25" ca="1">_xlfn.TEXTJOIN(CHAR(10),TRUE,IF(Semestre=INDIRECT("base_de_datos["&amp;Carrera&amp;"]"),IF("x"=base_de_datos[Martes],IF(base_de_datos[Hora inicio]&lt;=$B25,IF(base_de_datos[Hora fin]&gt;=$C25,base_de_datos[Materia]&amp;" "&amp;base_de_datos[[Número de grupo ]]&amp;" "&amp;base_de_datos[Profesor],""),""),""),""),"")</f>
        <v/>
      </c>
      <c r="H25" s="28" t="str" cm="1">
        <f t="array" aca="1" ref="H25" ca="1">_xlfn.TEXTJOIN(CHAR(10),TRUE,IF(Semestre=INDIRECT("base_de_datos["&amp;Carrera&amp;"]"),IF("x"=base_de_datos[Martes],IF(base_de_datos[Hora inicio]&lt;=$B25,IF(base_de_datos[Hora fin]&gt;=$C25,base_de_datos[Aula]&amp;" "&amp;base_de_datos[Examen],""),""),""),""),"")</f>
        <v/>
      </c>
      <c r="I25" s="28" t="str" cm="1">
        <f t="array" aca="1" ref="I25" ca="1">_xlfn.TEXTJOIN(CHAR(10),TRUE,IF(Semestre=INDIRECT("base_de_datos["&amp;Carrera&amp;"]"),IF("x"=base_de_datos[Martes],IF(base_de_datos[Hora inicio]&lt;=$B25,IF(base_de_datos[Hora fin]&gt;=$C25,base_de_datos[No clase],""),""),""),""),"")</f>
        <v/>
      </c>
      <c r="J25" s="28" t="str" cm="1">
        <f t="array" aca="1" ref="J25" ca="1">_xlfn.TEXTJOIN(CHAR(10),TRUE,IF(Semestre=INDIRECT("base_de_datos["&amp;Carrera&amp;"]"),IF("x"=base_de_datos[Miércoles],IF(base_de_datos[Hora inicio]&lt;=$B25,IF(base_de_datos[Hora fin]&gt;=$C25,base_de_datos[Materia]&amp;" "&amp;base_de_datos[[Número de grupo ]]&amp;" "&amp;base_de_datos[Profesor],""),""),""),""),"")</f>
        <v/>
      </c>
      <c r="K25" s="28" t="str" cm="1">
        <f t="array" aca="1" ref="K25" ca="1">_xlfn.TEXTJOIN(CHAR(10),TRUE,IF(Semestre=INDIRECT("base_de_datos["&amp;Carrera&amp;"]"),IF("x"=base_de_datos[Miércoles],IF(base_de_datos[Hora inicio]&lt;=$B25,IF(base_de_datos[Hora fin]&gt;=$C25,base_de_datos[Aula]&amp;" "&amp;base_de_datos[Examen],""),""),""),""),"")</f>
        <v/>
      </c>
      <c r="L25" s="28" t="str" cm="1">
        <f t="array" aca="1" ref="L25" ca="1">_xlfn.TEXTJOIN(CHAR(10),TRUE,IF(Semestre=INDIRECT("base_de_datos["&amp;Carrera&amp;"]"),IF("x"=base_de_datos[Miércoles],IF(base_de_datos[Hora inicio]&lt;=$B25,IF(base_de_datos[Hora fin]&gt;=$C25,base_de_datos[No clase],""),""),""),""),"")</f>
        <v/>
      </c>
      <c r="M25" s="28" t="str" cm="1">
        <f t="array" aca="1" ref="M25" ca="1">_xlfn.TEXTJOIN(CHAR(10),TRUE,IF(Semestre=INDIRECT("base_de_datos["&amp;Carrera&amp;"]"),IF("x"=base_de_datos[Jueves],IF(base_de_datos[Hora inicio]&lt;=$B25,IF(base_de_datos[Hora fin]&gt;=$C25,base_de_datos[Materia]&amp;" "&amp;base_de_datos[[Número de grupo ]]&amp;" "&amp;base_de_datos[Profesor],""),""),""),""),"")</f>
        <v>Contabilidad y costos 2 Alberto Navarro Pérez</v>
      </c>
      <c r="N25" s="28" t="str" cm="1">
        <f t="array" aca="1" ref="N25" ca="1">_xlfn.TEXTJOIN(CHAR(10),TRUE,IF(Semestre=INDIRECT("base_de_datos["&amp;Carrera&amp;"]"),IF("x"=base_de_datos[Jueves],IF(base_de_datos[Hora inicio]&lt;=$B25,IF(base_de_datos[Hora fin]&gt;=$C25,base_de_datos[Aula]&amp;" "&amp;base_de_datos[Examen],""),""),""),""),"")</f>
        <v xml:space="preserve">Scholas </v>
      </c>
      <c r="O25" s="28" t="str" cm="1">
        <f t="array" aca="1" ref="O25" ca="1">_xlfn.TEXTJOIN(CHAR(10),TRUE,IF(Semestre=INDIRECT("base_de_datos["&amp;Carrera&amp;"]"),IF("x"=base_de_datos[Jueves],IF(base_de_datos[Hora inicio]&lt;=$B25,IF(base_de_datos[Hora fin]&gt;=$C25,base_de_datos[No clase],""),""),""),""),"")</f>
        <v>1777 (8vo. ICA)</v>
      </c>
      <c r="P25" s="28" t="str" cm="1">
        <f t="array" aca="1" ref="P25" ca="1">_xlfn.TEXTJOIN(CHAR(10),TRUE,IF(Semestre=INDIRECT("base_de_datos["&amp;Carrera&amp;"]"),IF("x"=base_de_datos[Viernes],IF(base_de_datos[Hora inicio]&lt;=$B25,IF(base_de_datos[Hora fin]&gt;=$C25,base_de_datos[Materia]&amp;" "&amp;base_de_datos[[Número de grupo ]]&amp;" "&amp;base_de_datos[Profesor],""),""),""),""),"")</f>
        <v/>
      </c>
      <c r="Q25" s="28" t="str" cm="1">
        <f t="array" aca="1" ref="Q25" ca="1">_xlfn.TEXTJOIN(CHAR(10),TRUE,IF(Semestre=INDIRECT("base_de_datos["&amp;Carrera&amp;"]"),IF("x"=base_de_datos[Viernes],IF(base_de_datos[Hora inicio]&lt;=$B25,IF(base_de_datos[Hora fin]&gt;=$C25,base_de_datos[Aula]&amp;" "&amp;base_de_datos[Examen],""),""),""),""),"")</f>
        <v/>
      </c>
      <c r="R25" s="28" t="str" cm="1">
        <f t="array" aca="1" ref="R25" ca="1">_xlfn.TEXTJOIN(CHAR(10),TRUE,IF(Semestre=INDIRECT("base_de_datos["&amp;Carrera&amp;"]"),IF("x"=base_de_datos[Viernes],IF(base_de_datos[Hora inicio]&lt;=$B25,IF(base_de_datos[Hora fin]&gt;=$C25,base_de_datos[No clase],""),""),""),""),"")</f>
        <v/>
      </c>
      <c r="S25" s="28" t="str" cm="1">
        <f t="array" aca="1" ref="S25" ca="1">_xlfn.TEXTJOIN(CHAR(10),TRUE,IF(Semestre=INDIRECT("base_de_datos["&amp;Carrera&amp;"]"),IF("x"=base_de_datos[Sábado],IF(base_de_datos[Hora inicio]&lt;=$B25,IF(base_de_datos[Hora fin]&gt;=$C25,base_de_datos[Materia]&amp;" "&amp;base_de_datos[[Número de grupo ]]&amp;" "&amp;base_de_datos[Profesor],""),""),""),""),"")</f>
        <v/>
      </c>
      <c r="T25" s="28" t="str" cm="1">
        <f t="array" aca="1" ref="T25" ca="1">_xlfn.TEXTJOIN(CHAR(10),TRUE,IF(Semestre=INDIRECT("base_de_datos["&amp;Carrera&amp;"]"),IF("x"=base_de_datos[Sábado],IF(base_de_datos[Hora inicio]&lt;=$B25,IF(base_de_datos[Hora fin]&gt;=$C25,base_de_datos[Aula]&amp;" "&amp;#REF!,""),""),""),""),"")</f>
        <v/>
      </c>
      <c r="U25" s="28" t="str" cm="1">
        <f t="array" aca="1" ref="U25" ca="1">_xlfn.TEXTJOIN(CHAR(10),TRUE,IF(Semestre=INDIRECT("base_de_datos["&amp;Carrera&amp;"]"),IF("x"=base_de_datos[Sábado],IF(base_de_datos[Hora inicio]&lt;=$B25,IF(base_de_datos[Hora fin]&gt;=$C25,base_de_datos[No clase],""),""),""),""),"")</f>
        <v/>
      </c>
      <c r="V25" s="27"/>
      <c r="W25" s="27"/>
      <c r="X25" s="27"/>
      <c r="Y25" s="27"/>
      <c r="Z25" s="27"/>
      <c r="AA25" s="27"/>
    </row>
    <row r="26" spans="2:48" ht="26" x14ac:dyDescent="0.35">
      <c r="B26" s="92">
        <v>0.72916666666666696</v>
      </c>
      <c r="C26" s="92">
        <v>0.74999999999999301</v>
      </c>
      <c r="D26" s="28" t="str" cm="1">
        <f t="array" aca="1" ref="D26" ca="1">_xlfn.TEXTJOIN(CHAR(10),TRUE,IF(Semestre=INDIRECT("base_de_datos["&amp;Carrera&amp;"]"),IF("x"=base_de_datos[Lunes],IF(base_de_datos[Hora inicio]&lt;=$B26,IF(base_de_datos[Hora fin]&gt;=$C26,base_de_datos[Materia]&amp;" "&amp;base_de_datos[[Número de grupo ]]&amp;" "&amp;base_de_datos[Profesor],""),""),""),""),"")</f>
        <v/>
      </c>
      <c r="E26" s="28" t="str" cm="1">
        <f t="array" aca="1" ref="E26" ca="1">_xlfn.TEXTJOIN(CHAR(10),TRUE,IF(Semestre=INDIRECT("base_de_datos["&amp;Carrera&amp;"]"),IF("x"=base_de_datos[Lunes],IF(base_de_datos[Hora inicio]&lt;=$B26,IF(base_de_datos[Hora fin]&gt;=$C26,base_de_datos[Aula]&amp;" "&amp;base_de_datos[Examen],""),""),""),""),"")</f>
        <v/>
      </c>
      <c r="F26" s="28" t="str" cm="1">
        <f t="array" aca="1" ref="F26" ca="1">_xlfn.TEXTJOIN(CHAR(10),TRUE,IF(Semestre=INDIRECT("base_de_datos["&amp;Carrera&amp;"]"),IF("x"=base_de_datos[Lunes],IF(base_de_datos[Hora inicio]&lt;=$B26,IF(base_de_datos[Hora fin]&gt;=$C26,base_de_datos[No clase],""),""),""),""),"")</f>
        <v/>
      </c>
      <c r="G26" s="28" t="str" cm="1">
        <f t="array" aca="1" ref="G26" ca="1">_xlfn.TEXTJOIN(CHAR(10),TRUE,IF(Semestre=INDIRECT("base_de_datos["&amp;Carrera&amp;"]"),IF("x"=base_de_datos[Martes],IF(base_de_datos[Hora inicio]&lt;=$B26,IF(base_de_datos[Hora fin]&gt;=$C26,base_de_datos[Materia]&amp;" "&amp;base_de_datos[[Número de grupo ]]&amp;" "&amp;base_de_datos[Profesor],""),""),""),""),"")</f>
        <v/>
      </c>
      <c r="H26" s="28" t="str" cm="1">
        <f t="array" aca="1" ref="H26" ca="1">_xlfn.TEXTJOIN(CHAR(10),TRUE,IF(Semestre=INDIRECT("base_de_datos["&amp;Carrera&amp;"]"),IF("x"=base_de_datos[Martes],IF(base_de_datos[Hora inicio]&lt;=$B26,IF(base_de_datos[Hora fin]&gt;=$C26,base_de_datos[Aula]&amp;" "&amp;base_de_datos[Examen],""),""),""),""),"")</f>
        <v/>
      </c>
      <c r="I26" s="28" t="str" cm="1">
        <f t="array" aca="1" ref="I26" ca="1">_xlfn.TEXTJOIN(CHAR(10),TRUE,IF(Semestre=INDIRECT("base_de_datos["&amp;Carrera&amp;"]"),IF("x"=base_de_datos[Martes],IF(base_de_datos[Hora inicio]&lt;=$B26,IF(base_de_datos[Hora fin]&gt;=$C26,base_de_datos[No clase],""),""),""),""),"")</f>
        <v/>
      </c>
      <c r="J26" s="28" t="str" cm="1">
        <f t="array" aca="1" ref="J26" ca="1">_xlfn.TEXTJOIN(CHAR(10),TRUE,IF(Semestre=INDIRECT("base_de_datos["&amp;Carrera&amp;"]"),IF("x"=base_de_datos[Miércoles],IF(base_de_datos[Hora inicio]&lt;=$B26,IF(base_de_datos[Hora fin]&gt;=$C26,base_de_datos[Materia]&amp;" "&amp;base_de_datos[[Número de grupo ]]&amp;" "&amp;base_de_datos[Profesor],""),""),""),""),"")</f>
        <v/>
      </c>
      <c r="K26" s="28" t="str" cm="1">
        <f t="array" aca="1" ref="K26" ca="1">_xlfn.TEXTJOIN(CHAR(10),TRUE,IF(Semestre=INDIRECT("base_de_datos["&amp;Carrera&amp;"]"),IF("x"=base_de_datos[Miércoles],IF(base_de_datos[Hora inicio]&lt;=$B26,IF(base_de_datos[Hora fin]&gt;=$C26,base_de_datos[Aula]&amp;" "&amp;base_de_datos[Examen],""),""),""),""),"")</f>
        <v/>
      </c>
      <c r="L26" s="28" t="str" cm="1">
        <f t="array" aca="1" ref="L26" ca="1">_xlfn.TEXTJOIN(CHAR(10),TRUE,IF(Semestre=INDIRECT("base_de_datos["&amp;Carrera&amp;"]"),IF("x"=base_de_datos[Miércoles],IF(base_de_datos[Hora inicio]&lt;=$B26,IF(base_de_datos[Hora fin]&gt;=$C26,base_de_datos[No clase],""),""),""),""),"")</f>
        <v/>
      </c>
      <c r="M26" s="28" t="str" cm="1">
        <f t="array" aca="1" ref="M26" ca="1">_xlfn.TEXTJOIN(CHAR(10),TRUE,IF(Semestre=INDIRECT("base_de_datos["&amp;Carrera&amp;"]"),IF("x"=base_de_datos[Jueves],IF(base_de_datos[Hora inicio]&lt;=$B26,IF(base_de_datos[Hora fin]&gt;=$C26,base_de_datos[Materia]&amp;" "&amp;base_de_datos[[Número de grupo ]]&amp;" "&amp;base_de_datos[Profesor],""),""),""),""),"")</f>
        <v>Contabilidad y costos 2 Alberto Navarro Pérez</v>
      </c>
      <c r="N26" s="28" t="str" cm="1">
        <f t="array" aca="1" ref="N26" ca="1">_xlfn.TEXTJOIN(CHAR(10),TRUE,IF(Semestre=INDIRECT("base_de_datos["&amp;Carrera&amp;"]"),IF("x"=base_de_datos[Jueves],IF(base_de_datos[Hora inicio]&lt;=$B26,IF(base_de_datos[Hora fin]&gt;=$C26,base_de_datos[Aula]&amp;" "&amp;base_de_datos[Examen],""),""),""),""),"")</f>
        <v xml:space="preserve">Scholas </v>
      </c>
      <c r="O26" s="28" t="str" cm="1">
        <f t="array" aca="1" ref="O26" ca="1">_xlfn.TEXTJOIN(CHAR(10),TRUE,IF(Semestre=INDIRECT("base_de_datos["&amp;Carrera&amp;"]"),IF("x"=base_de_datos[Jueves],IF(base_de_datos[Hora inicio]&lt;=$B26,IF(base_de_datos[Hora fin]&gt;=$C26,base_de_datos[No clase],""),""),""),""),"")</f>
        <v>1777 (8vo. ICA)</v>
      </c>
      <c r="P26" s="28" t="str" cm="1">
        <f t="array" aca="1" ref="P26" ca="1">_xlfn.TEXTJOIN(CHAR(10),TRUE,IF(Semestre=INDIRECT("base_de_datos["&amp;Carrera&amp;"]"),IF("x"=base_de_datos[Viernes],IF(base_de_datos[Hora inicio]&lt;=$B26,IF(base_de_datos[Hora fin]&gt;=$C26,base_de_datos[Materia]&amp;" "&amp;base_de_datos[[Número de grupo ]]&amp;" "&amp;base_de_datos[Profesor],""),""),""),""),"")</f>
        <v/>
      </c>
      <c r="Q26" s="28" t="str" cm="1">
        <f t="array" aca="1" ref="Q26" ca="1">_xlfn.TEXTJOIN(CHAR(10),TRUE,IF(Semestre=INDIRECT("base_de_datos["&amp;Carrera&amp;"]"),IF("x"=base_de_datos[Viernes],IF(base_de_datos[Hora inicio]&lt;=$B26,IF(base_de_datos[Hora fin]&gt;=$C26,base_de_datos[Aula]&amp;" "&amp;base_de_datos[Examen],""),""),""),""),"")</f>
        <v/>
      </c>
      <c r="R26" s="28" t="str" cm="1">
        <f t="array" aca="1" ref="R26" ca="1">_xlfn.TEXTJOIN(CHAR(10),TRUE,IF(Semestre=INDIRECT("base_de_datos["&amp;Carrera&amp;"]"),IF("x"=base_de_datos[Viernes],IF(base_de_datos[Hora inicio]&lt;=$B26,IF(base_de_datos[Hora fin]&gt;=$C26,base_de_datos[No clase],""),""),""),""),"")</f>
        <v/>
      </c>
      <c r="S26" s="28" t="str" cm="1">
        <f t="array" aca="1" ref="S26" ca="1">_xlfn.TEXTJOIN(CHAR(10),TRUE,IF(Semestre=INDIRECT("base_de_datos["&amp;Carrera&amp;"]"),IF("x"=base_de_datos[Sábado],IF(base_de_datos[Hora inicio]&lt;=$B26,IF(base_de_datos[Hora fin]&gt;=$C26,base_de_datos[Materia]&amp;" "&amp;base_de_datos[[Número de grupo ]]&amp;" "&amp;base_de_datos[Profesor],""),""),""),""),"")</f>
        <v/>
      </c>
      <c r="T26" s="28" t="str" cm="1">
        <f t="array" aca="1" ref="T26" ca="1">_xlfn.TEXTJOIN(CHAR(10),TRUE,IF(Semestre=INDIRECT("base_de_datos["&amp;Carrera&amp;"]"),IF("x"=base_de_datos[Sábado],IF(base_de_datos[Hora inicio]&lt;=$B26,IF(base_de_datos[Hora fin]&gt;=$C26,base_de_datos[Aula]&amp;" "&amp;#REF!,""),""),""),""),"")</f>
        <v/>
      </c>
      <c r="U26" s="28" t="str" cm="1">
        <f t="array" aca="1" ref="U26" ca="1">_xlfn.TEXTJOIN(CHAR(10),TRUE,IF(Semestre=INDIRECT("base_de_datos["&amp;Carrera&amp;"]"),IF("x"=base_de_datos[Sábado],IF(base_de_datos[Hora inicio]&lt;=$B26,IF(base_de_datos[Hora fin]&gt;=$C26,base_de_datos[No clase],""),""),""),""),"")</f>
        <v/>
      </c>
      <c r="V26" s="27"/>
      <c r="W26" s="27"/>
      <c r="X26" s="27"/>
      <c r="Y26" s="27"/>
      <c r="Z26" s="27"/>
      <c r="AA26" s="27"/>
    </row>
    <row r="27" spans="2:48" ht="26" x14ac:dyDescent="0.35">
      <c r="B27" s="92">
        <v>0.75</v>
      </c>
      <c r="C27" s="92">
        <v>0.77083333333332604</v>
      </c>
      <c r="D27" s="28" t="str" cm="1">
        <f t="array" aca="1" ref="D27" ca="1">_xlfn.TEXTJOIN(CHAR(10),TRUE,IF(Semestre=INDIRECT("base_de_datos["&amp;Carrera&amp;"]"),IF("x"=base_de_datos[Lunes],IF(base_de_datos[Hora inicio]&lt;=$B27,IF(base_de_datos[Hora fin]&gt;=$C27,base_de_datos[Materia]&amp;" "&amp;base_de_datos[[Número de grupo ]]&amp;" "&amp;base_de_datos[Profesor],""),""),""),""),"")</f>
        <v/>
      </c>
      <c r="E27" s="28" t="str" cm="1">
        <f t="array" aca="1" ref="E27" ca="1">_xlfn.TEXTJOIN(CHAR(10),TRUE,IF(Semestre=INDIRECT("base_de_datos["&amp;Carrera&amp;"]"),IF("x"=base_de_datos[Lunes],IF(base_de_datos[Hora inicio]&lt;=$B27,IF(base_de_datos[Hora fin]&gt;=$C27,base_de_datos[Aula]&amp;" "&amp;base_de_datos[Examen],""),""),""),""),"")</f>
        <v/>
      </c>
      <c r="F27" s="28" t="str" cm="1">
        <f t="array" aca="1" ref="F27" ca="1">_xlfn.TEXTJOIN(CHAR(10),TRUE,IF(Semestre=INDIRECT("base_de_datos["&amp;Carrera&amp;"]"),IF("x"=base_de_datos[Lunes],IF(base_de_datos[Hora inicio]&lt;=$B27,IF(base_de_datos[Hora fin]&gt;=$C27,base_de_datos[No clase],""),""),""),""),"")</f>
        <v/>
      </c>
      <c r="G27" s="28" t="str" cm="1">
        <f t="array" aca="1" ref="G27" ca="1">_xlfn.TEXTJOIN(CHAR(10),TRUE,IF(Semestre=INDIRECT("base_de_datos["&amp;Carrera&amp;"]"),IF("x"=base_de_datos[Martes],IF(base_de_datos[Hora inicio]&lt;=$B27,IF(base_de_datos[Hora fin]&gt;=$C27,base_de_datos[Materia]&amp;" "&amp;base_de_datos[[Número de grupo ]]&amp;" "&amp;base_de_datos[Profesor],""),""),""),""),"")</f>
        <v/>
      </c>
      <c r="H27" s="28" t="str" cm="1">
        <f t="array" aca="1" ref="H27" ca="1">_xlfn.TEXTJOIN(CHAR(10),TRUE,IF(Semestre=INDIRECT("base_de_datos["&amp;Carrera&amp;"]"),IF("x"=base_de_datos[Martes],IF(base_de_datos[Hora inicio]&lt;=$B27,IF(base_de_datos[Hora fin]&gt;=$C27,base_de_datos[Aula]&amp;" "&amp;base_de_datos[Examen],""),""),""),""),"")</f>
        <v/>
      </c>
      <c r="I27" s="28" t="str" cm="1">
        <f t="array" aca="1" ref="I27" ca="1">_xlfn.TEXTJOIN(CHAR(10),TRUE,IF(Semestre=INDIRECT("base_de_datos["&amp;Carrera&amp;"]"),IF("x"=base_de_datos[Martes],IF(base_de_datos[Hora inicio]&lt;=$B27,IF(base_de_datos[Hora fin]&gt;=$C27,base_de_datos[No clase],""),""),""),""),"")</f>
        <v/>
      </c>
      <c r="J27" s="28" t="str" cm="1">
        <f t="array" aca="1" ref="J27" ca="1">_xlfn.TEXTJOIN(CHAR(10),TRUE,IF(Semestre=INDIRECT("base_de_datos["&amp;Carrera&amp;"]"),IF("x"=base_de_datos[Miércoles],IF(base_de_datos[Hora inicio]&lt;=$B27,IF(base_de_datos[Hora fin]&gt;=$C27,base_de_datos[Materia]&amp;" "&amp;base_de_datos[[Número de grupo ]]&amp;" "&amp;base_de_datos[Profesor],""),""),""),""),"")</f>
        <v/>
      </c>
      <c r="K27" s="28" t="str" cm="1">
        <f t="array" aca="1" ref="K27" ca="1">_xlfn.TEXTJOIN(CHAR(10),TRUE,IF(Semestre=INDIRECT("base_de_datos["&amp;Carrera&amp;"]"),IF("x"=base_de_datos[Miércoles],IF(base_de_datos[Hora inicio]&lt;=$B27,IF(base_de_datos[Hora fin]&gt;=$C27,base_de_datos[Aula]&amp;" "&amp;base_de_datos[Examen],""),""),""),""),"")</f>
        <v/>
      </c>
      <c r="L27" s="28" t="str" cm="1">
        <f t="array" aca="1" ref="L27" ca="1">_xlfn.TEXTJOIN(CHAR(10),TRUE,IF(Semestre=INDIRECT("base_de_datos["&amp;Carrera&amp;"]"),IF("x"=base_de_datos[Miércoles],IF(base_de_datos[Hora inicio]&lt;=$B27,IF(base_de_datos[Hora fin]&gt;=$C27,base_de_datos[No clase],""),""),""),""),"")</f>
        <v/>
      </c>
      <c r="M27" s="28" t="str" cm="1">
        <f t="array" aca="1" ref="M27" ca="1">_xlfn.TEXTJOIN(CHAR(10),TRUE,IF(Semestre=INDIRECT("base_de_datos["&amp;Carrera&amp;"]"),IF("x"=base_de_datos[Jueves],IF(base_de_datos[Hora inicio]&lt;=$B27,IF(base_de_datos[Hora fin]&gt;=$C27,base_de_datos[Materia]&amp;" "&amp;base_de_datos[[Número de grupo ]]&amp;" "&amp;base_de_datos[Profesor],""),""),""),""),"")</f>
        <v>Contabilidad y costos 2 Alberto Navarro Pérez</v>
      </c>
      <c r="N27" s="28" t="str" cm="1">
        <f t="array" aca="1" ref="N27" ca="1">_xlfn.TEXTJOIN(CHAR(10),TRUE,IF(Semestre=INDIRECT("base_de_datos["&amp;Carrera&amp;"]"),IF("x"=base_de_datos[Jueves],IF(base_de_datos[Hora inicio]&lt;=$B27,IF(base_de_datos[Hora fin]&gt;=$C27,base_de_datos[Aula]&amp;" "&amp;base_de_datos[Examen],""),""),""),""),"")</f>
        <v xml:space="preserve">Scholas </v>
      </c>
      <c r="O27" s="28" t="str" cm="1">
        <f t="array" aca="1" ref="O27" ca="1">_xlfn.TEXTJOIN(CHAR(10),TRUE,IF(Semestre=INDIRECT("base_de_datos["&amp;Carrera&amp;"]"),IF("x"=base_de_datos[Jueves],IF(base_de_datos[Hora inicio]&lt;=$B27,IF(base_de_datos[Hora fin]&gt;=$C27,base_de_datos[No clase],""),""),""),""),"")</f>
        <v>1777 (8vo. ICA)</v>
      </c>
      <c r="P27" s="28" t="str" cm="1">
        <f t="array" aca="1" ref="P27" ca="1">_xlfn.TEXTJOIN(CHAR(10),TRUE,IF(Semestre=INDIRECT("base_de_datos["&amp;Carrera&amp;"]"),IF("x"=base_de_datos[Viernes],IF(base_de_datos[Hora inicio]&lt;=$B27,IF(base_de_datos[Hora fin]&gt;=$C27,base_de_datos[Materia]&amp;" "&amp;base_de_datos[[Número de grupo ]]&amp;" "&amp;base_de_datos[Profesor],""),""),""),""),"")</f>
        <v/>
      </c>
      <c r="Q27" s="28" t="str" cm="1">
        <f t="array" aca="1" ref="Q27" ca="1">_xlfn.TEXTJOIN(CHAR(10),TRUE,IF(Semestre=INDIRECT("base_de_datos["&amp;Carrera&amp;"]"),IF("x"=base_de_datos[Viernes],IF(base_de_datos[Hora inicio]&lt;=$B27,IF(base_de_datos[Hora fin]&gt;=$C27,base_de_datos[Aula]&amp;" "&amp;base_de_datos[Examen],""),""),""),""),"")</f>
        <v/>
      </c>
      <c r="R27" s="28" t="str" cm="1">
        <f t="array" aca="1" ref="R27" ca="1">_xlfn.TEXTJOIN(CHAR(10),TRUE,IF(Semestre=INDIRECT("base_de_datos["&amp;Carrera&amp;"]"),IF("x"=base_de_datos[Viernes],IF(base_de_datos[Hora inicio]&lt;=$B27,IF(base_de_datos[Hora fin]&gt;=$C27,base_de_datos[No clase],""),""),""),""),"")</f>
        <v/>
      </c>
      <c r="S27" s="28" t="str" cm="1">
        <f t="array" aca="1" ref="S27" ca="1">_xlfn.TEXTJOIN(CHAR(10),TRUE,IF(Semestre=INDIRECT("base_de_datos["&amp;Carrera&amp;"]"),IF("x"=base_de_datos[Sábado],IF(base_de_datos[Hora inicio]&lt;=$B27,IF(base_de_datos[Hora fin]&gt;=$C27,base_de_datos[Materia]&amp;" "&amp;base_de_datos[[Número de grupo ]]&amp;" "&amp;base_de_datos[Profesor],""),""),""),""),"")</f>
        <v/>
      </c>
      <c r="T27" s="28" t="str" cm="1">
        <f t="array" aca="1" ref="T27" ca="1">_xlfn.TEXTJOIN(CHAR(10),TRUE,IF(Semestre=INDIRECT("base_de_datos["&amp;Carrera&amp;"]"),IF("x"=base_de_datos[Sábado],IF(base_de_datos[Hora inicio]&lt;=$B27,IF(base_de_datos[Hora fin]&gt;=$C27,base_de_datos[Aula]&amp;" "&amp;#REF!,""),""),""),""),"")</f>
        <v/>
      </c>
      <c r="U27" s="28" t="str" cm="1">
        <f t="array" aca="1" ref="U27" ca="1">_xlfn.TEXTJOIN(CHAR(10),TRUE,IF(Semestre=INDIRECT("base_de_datos["&amp;Carrera&amp;"]"),IF("x"=base_de_datos[Sábado],IF(base_de_datos[Hora inicio]&lt;=$B27,IF(base_de_datos[Hora fin]&gt;=$C27,base_de_datos[No clase],""),""),""),""),"")</f>
        <v/>
      </c>
      <c r="V27" s="27"/>
      <c r="W27" s="27"/>
      <c r="X27" s="27"/>
      <c r="Y27" s="27"/>
      <c r="Z27" s="27"/>
      <c r="AA27" s="27"/>
    </row>
    <row r="28" spans="2:48" ht="26" x14ac:dyDescent="0.35">
      <c r="B28" s="92">
        <v>0.77083333333333304</v>
      </c>
      <c r="C28" s="92">
        <v>0.79166666666665897</v>
      </c>
      <c r="D28" s="28" t="str" cm="1">
        <f t="array" aca="1" ref="D28" ca="1">_xlfn.TEXTJOIN(CHAR(10),TRUE,IF(Semestre=INDIRECT("base_de_datos["&amp;Carrera&amp;"]"),IF("x"=base_de_datos[Lunes],IF(base_de_datos[Hora inicio]&lt;=$B28,IF(base_de_datos[Hora fin]&gt;=$C28,base_de_datos[Materia]&amp;" "&amp;base_de_datos[[Número de grupo ]]&amp;" "&amp;base_de_datos[Profesor],""),""),""),""),"")</f>
        <v/>
      </c>
      <c r="E28" s="28" t="str" cm="1">
        <f t="array" aca="1" ref="E28" ca="1">_xlfn.TEXTJOIN(CHAR(10),TRUE,IF(Semestre=INDIRECT("base_de_datos["&amp;Carrera&amp;"]"),IF("x"=base_de_datos[Lunes],IF(base_de_datos[Hora inicio]&lt;=$B28,IF(base_de_datos[Hora fin]&gt;=$C28,base_de_datos[Aula]&amp;" "&amp;base_de_datos[Examen],""),""),""),""),"")</f>
        <v/>
      </c>
      <c r="F28" s="28" t="str" cm="1">
        <f t="array" aca="1" ref="F28" ca="1">_xlfn.TEXTJOIN(CHAR(10),TRUE,IF(Semestre=INDIRECT("base_de_datos["&amp;Carrera&amp;"]"),IF("x"=base_de_datos[Lunes],IF(base_de_datos[Hora inicio]&lt;=$B28,IF(base_de_datos[Hora fin]&gt;=$C28,base_de_datos[No clase],""),""),""),""),"")</f>
        <v/>
      </c>
      <c r="G28" s="28" t="str" cm="1">
        <f t="array" aca="1" ref="G28" ca="1">_xlfn.TEXTJOIN(CHAR(10),TRUE,IF(Semestre=INDIRECT("base_de_datos["&amp;Carrera&amp;"]"),IF("x"=base_de_datos[Martes],IF(base_de_datos[Hora inicio]&lt;=$B28,IF(base_de_datos[Hora fin]&gt;=$C28,base_de_datos[Materia]&amp;" "&amp;base_de_datos[[Número de grupo ]]&amp;" "&amp;base_de_datos[Profesor],""),""),""),""),"")</f>
        <v/>
      </c>
      <c r="H28" s="28" t="str" cm="1">
        <f t="array" aca="1" ref="H28" ca="1">_xlfn.TEXTJOIN(CHAR(10),TRUE,IF(Semestre=INDIRECT("base_de_datos["&amp;Carrera&amp;"]"),IF("x"=base_de_datos[Martes],IF(base_de_datos[Hora inicio]&lt;=$B28,IF(base_de_datos[Hora fin]&gt;=$C28,base_de_datos[Aula]&amp;" "&amp;base_de_datos[Examen],""),""),""),""),"")</f>
        <v/>
      </c>
      <c r="I28" s="28" t="str" cm="1">
        <f t="array" aca="1" ref="I28" ca="1">_xlfn.TEXTJOIN(CHAR(10),TRUE,IF(Semestre=INDIRECT("base_de_datos["&amp;Carrera&amp;"]"),IF("x"=base_de_datos[Martes],IF(base_de_datos[Hora inicio]&lt;=$B28,IF(base_de_datos[Hora fin]&gt;=$C28,base_de_datos[No clase],""),""),""),""),"")</f>
        <v/>
      </c>
      <c r="J28" s="28" t="str" cm="1">
        <f t="array" aca="1" ref="J28" ca="1">_xlfn.TEXTJOIN(CHAR(10),TRUE,IF(Semestre=INDIRECT("base_de_datos["&amp;Carrera&amp;"]"),IF("x"=base_de_datos[Miércoles],IF(base_de_datos[Hora inicio]&lt;=$B28,IF(base_de_datos[Hora fin]&gt;=$C28,base_de_datos[Materia]&amp;" "&amp;base_de_datos[[Número de grupo ]]&amp;" "&amp;base_de_datos[Profesor],""),""),""),""),"")</f>
        <v/>
      </c>
      <c r="K28" s="28" t="str" cm="1">
        <f t="array" aca="1" ref="K28" ca="1">_xlfn.TEXTJOIN(CHAR(10),TRUE,IF(Semestre=INDIRECT("base_de_datos["&amp;Carrera&amp;"]"),IF("x"=base_de_datos[Miércoles],IF(base_de_datos[Hora inicio]&lt;=$B28,IF(base_de_datos[Hora fin]&gt;=$C28,base_de_datos[Aula]&amp;" "&amp;base_de_datos[Examen],""),""),""),""),"")</f>
        <v/>
      </c>
      <c r="L28" s="28" t="str" cm="1">
        <f t="array" aca="1" ref="L28" ca="1">_xlfn.TEXTJOIN(CHAR(10),TRUE,IF(Semestre=INDIRECT("base_de_datos["&amp;Carrera&amp;"]"),IF("x"=base_de_datos[Miércoles],IF(base_de_datos[Hora inicio]&lt;=$B28,IF(base_de_datos[Hora fin]&gt;=$C28,base_de_datos[No clase],""),""),""),""),"")</f>
        <v/>
      </c>
      <c r="M28" s="28" t="str" cm="1">
        <f t="array" aca="1" ref="M28" ca="1">_xlfn.TEXTJOIN(CHAR(10),TRUE,IF(Semestre=INDIRECT("base_de_datos["&amp;Carrera&amp;"]"),IF("x"=base_de_datos[Jueves],IF(base_de_datos[Hora inicio]&lt;=$B28,IF(base_de_datos[Hora fin]&gt;=$C28,base_de_datos[Materia]&amp;" "&amp;base_de_datos[[Número de grupo ]]&amp;" "&amp;base_de_datos[Profesor],""),""),""),""),"")</f>
        <v>Contabilidad y costos 2 Alberto Navarro Pérez</v>
      </c>
      <c r="N28" s="28" t="str" cm="1">
        <f t="array" aca="1" ref="N28" ca="1">_xlfn.TEXTJOIN(CHAR(10),TRUE,IF(Semestre=INDIRECT("base_de_datos["&amp;Carrera&amp;"]"),IF("x"=base_de_datos[Jueves],IF(base_de_datos[Hora inicio]&lt;=$B28,IF(base_de_datos[Hora fin]&gt;=$C28,base_de_datos[Aula]&amp;" "&amp;base_de_datos[Examen],""),""),""),""),"")</f>
        <v xml:space="preserve">Scholas </v>
      </c>
      <c r="O28" s="28" t="str" cm="1">
        <f t="array" aca="1" ref="O28" ca="1">_xlfn.TEXTJOIN(CHAR(10),TRUE,IF(Semestre=INDIRECT("base_de_datos["&amp;Carrera&amp;"]"),IF("x"=base_de_datos[Jueves],IF(base_de_datos[Hora inicio]&lt;=$B28,IF(base_de_datos[Hora fin]&gt;=$C28,base_de_datos[No clase],""),""),""),""),"")</f>
        <v>1777 (8vo. ICA)</v>
      </c>
      <c r="P28" s="28" t="str" cm="1">
        <f t="array" aca="1" ref="P28" ca="1">_xlfn.TEXTJOIN(CHAR(10),TRUE,IF(Semestre=INDIRECT("base_de_datos["&amp;Carrera&amp;"]"),IF("x"=base_de_datos[Viernes],IF(base_de_datos[Hora inicio]&lt;=$B28,IF(base_de_datos[Hora fin]&gt;=$C28,base_de_datos[Materia]&amp;" "&amp;base_de_datos[[Número de grupo ]]&amp;" "&amp;base_de_datos[Profesor],""),""),""),""),"")</f>
        <v/>
      </c>
      <c r="Q28" s="28" t="str" cm="1">
        <f t="array" aca="1" ref="Q28" ca="1">_xlfn.TEXTJOIN(CHAR(10),TRUE,IF(Semestre=INDIRECT("base_de_datos["&amp;Carrera&amp;"]"),IF("x"=base_de_datos[Viernes],IF(base_de_datos[Hora inicio]&lt;=$B28,IF(base_de_datos[Hora fin]&gt;=$C28,base_de_datos[Aula]&amp;" "&amp;base_de_datos[Examen],""),""),""),""),"")</f>
        <v/>
      </c>
      <c r="R28" s="28" t="str" cm="1">
        <f t="array" aca="1" ref="R28" ca="1">_xlfn.TEXTJOIN(CHAR(10),TRUE,IF(Semestre=INDIRECT("base_de_datos["&amp;Carrera&amp;"]"),IF("x"=base_de_datos[Viernes],IF(base_de_datos[Hora inicio]&lt;=$B28,IF(base_de_datos[Hora fin]&gt;=$C28,base_de_datos[No clase],""),""),""),""),"")</f>
        <v/>
      </c>
      <c r="S28" s="28" t="str" cm="1">
        <f t="array" aca="1" ref="S28" ca="1">_xlfn.TEXTJOIN(CHAR(10),TRUE,IF(Semestre=INDIRECT("base_de_datos["&amp;Carrera&amp;"]"),IF("x"=base_de_datos[Sábado],IF(base_de_datos[Hora inicio]&lt;=$B28,IF(base_de_datos[Hora fin]&gt;=$C28,base_de_datos[Materia]&amp;" "&amp;base_de_datos[[Número de grupo ]]&amp;" "&amp;base_de_datos[Profesor],""),""),""),""),"")</f>
        <v/>
      </c>
      <c r="T28" s="28" t="str" cm="1">
        <f t="array" aca="1" ref="T28" ca="1">_xlfn.TEXTJOIN(CHAR(10),TRUE,IF(Semestre=INDIRECT("base_de_datos["&amp;Carrera&amp;"]"),IF("x"=base_de_datos[Sábado],IF(base_de_datos[Hora inicio]&lt;=$B28,IF(base_de_datos[Hora fin]&gt;=$C28,base_de_datos[Aula]&amp;" "&amp;#REF!,""),""),""),""),"")</f>
        <v/>
      </c>
      <c r="U28" s="28" t="str" cm="1">
        <f t="array" aca="1" ref="U28" ca="1">_xlfn.TEXTJOIN(CHAR(10),TRUE,IF(Semestre=INDIRECT("base_de_datos["&amp;Carrera&amp;"]"),IF("x"=base_de_datos[Sábado],IF(base_de_datos[Hora inicio]&lt;=$B28,IF(base_de_datos[Hora fin]&gt;=$C28,base_de_datos[No clase],""),""),""),""),"")</f>
        <v/>
      </c>
      <c r="V28" s="27"/>
      <c r="W28" s="27"/>
      <c r="X28" s="27"/>
      <c r="Y28" s="27"/>
      <c r="Z28" s="27"/>
      <c r="AA28" s="27"/>
    </row>
    <row r="29" spans="2:48" ht="26" x14ac:dyDescent="0.35">
      <c r="B29" s="92">
        <v>0.79166666666666696</v>
      </c>
      <c r="C29" s="92">
        <v>0.81249999999999201</v>
      </c>
      <c r="D29" s="28" t="str" cm="1">
        <f t="array" aca="1" ref="D29" ca="1">_xlfn.TEXTJOIN(CHAR(10),TRUE,IF(Semestre=INDIRECT("base_de_datos["&amp;Carrera&amp;"]"),IF("x"=base_de_datos[Lunes],IF(base_de_datos[Hora inicio]&lt;=$B29,IF(base_de_datos[Hora fin]&gt;=$C29,base_de_datos[Materia]&amp;" "&amp;base_de_datos[[Número de grupo ]]&amp;" "&amp;base_de_datos[Profesor],""),""),""),""),"")</f>
        <v/>
      </c>
      <c r="E29" s="28" t="str" cm="1">
        <f t="array" aca="1" ref="E29" ca="1">_xlfn.TEXTJOIN(CHAR(10),TRUE,IF(Semestre=INDIRECT("base_de_datos["&amp;Carrera&amp;"]"),IF("x"=base_de_datos[Lunes],IF(base_de_datos[Hora inicio]&lt;=$B29,IF(base_de_datos[Hora fin]&gt;=$C29,base_de_datos[Aula]&amp;" "&amp;base_de_datos[Examen],""),""),""),""),"")</f>
        <v/>
      </c>
      <c r="F29" s="28" t="str" cm="1">
        <f t="array" aca="1" ref="F29" ca="1">_xlfn.TEXTJOIN(CHAR(10),TRUE,IF(Semestre=INDIRECT("base_de_datos["&amp;Carrera&amp;"]"),IF("x"=base_de_datos[Lunes],IF(base_de_datos[Hora inicio]&lt;=$B29,IF(base_de_datos[Hora fin]&gt;=$C29,base_de_datos[No clase],""),""),""),""),"")</f>
        <v/>
      </c>
      <c r="G29" s="28" t="str" cm="1">
        <f t="array" aca="1" ref="G29" ca="1">_xlfn.TEXTJOIN(CHAR(10),TRUE,IF(Semestre=INDIRECT("base_de_datos["&amp;Carrera&amp;"]"),IF("x"=base_de_datos[Martes],IF(base_de_datos[Hora inicio]&lt;=$B29,IF(base_de_datos[Hora fin]&gt;=$C29,base_de_datos[Materia]&amp;" "&amp;base_de_datos[[Número de grupo ]]&amp;" "&amp;base_de_datos[Profesor],""),""),""),""),"")</f>
        <v/>
      </c>
      <c r="H29" s="28" t="str" cm="1">
        <f t="array" aca="1" ref="H29" ca="1">_xlfn.TEXTJOIN(CHAR(10),TRUE,IF(Semestre=INDIRECT("base_de_datos["&amp;Carrera&amp;"]"),IF("x"=base_de_datos[Martes],IF(base_de_datos[Hora inicio]&lt;=$B29,IF(base_de_datos[Hora fin]&gt;=$C29,base_de_datos[Aula]&amp;" "&amp;base_de_datos[Examen],""),""),""),""),"")</f>
        <v/>
      </c>
      <c r="I29" s="28" t="str" cm="1">
        <f t="array" aca="1" ref="I29" ca="1">_xlfn.TEXTJOIN(CHAR(10),TRUE,IF(Semestre=INDIRECT("base_de_datos["&amp;Carrera&amp;"]"),IF("x"=base_de_datos[Martes],IF(base_de_datos[Hora inicio]&lt;=$B29,IF(base_de_datos[Hora fin]&gt;=$C29,base_de_datos[No clase],""),""),""),""),"")</f>
        <v/>
      </c>
      <c r="J29" s="28" t="str" cm="1">
        <f t="array" aca="1" ref="J29" ca="1">_xlfn.TEXTJOIN(CHAR(10),TRUE,IF(Semestre=INDIRECT("base_de_datos["&amp;Carrera&amp;"]"),IF("x"=base_de_datos[Miércoles],IF(base_de_datos[Hora inicio]&lt;=$B29,IF(base_de_datos[Hora fin]&gt;=$C29,base_de_datos[Materia]&amp;" "&amp;base_de_datos[[Número de grupo ]]&amp;" "&amp;base_de_datos[Profesor],""),""),""),""),"")</f>
        <v/>
      </c>
      <c r="K29" s="28" t="str" cm="1">
        <f t="array" aca="1" ref="K29" ca="1">_xlfn.TEXTJOIN(CHAR(10),TRUE,IF(Semestre=INDIRECT("base_de_datos["&amp;Carrera&amp;"]"),IF("x"=base_de_datos[Miércoles],IF(base_de_datos[Hora inicio]&lt;=$B29,IF(base_de_datos[Hora fin]&gt;=$C29,base_de_datos[Aula]&amp;" "&amp;base_de_datos[Examen],""),""),""),""),"")</f>
        <v/>
      </c>
      <c r="L29" s="28" t="str" cm="1">
        <f t="array" aca="1" ref="L29" ca="1">_xlfn.TEXTJOIN(CHAR(10),TRUE,IF(Semestre=INDIRECT("base_de_datos["&amp;Carrera&amp;"]"),IF("x"=base_de_datos[Miércoles],IF(base_de_datos[Hora inicio]&lt;=$B29,IF(base_de_datos[Hora fin]&gt;=$C29,base_de_datos[No clase],""),""),""),""),"")</f>
        <v/>
      </c>
      <c r="M29" s="28" t="str" cm="1">
        <f t="array" aca="1" ref="M29" ca="1">_xlfn.TEXTJOIN(CHAR(10),TRUE,IF(Semestre=INDIRECT("base_de_datos["&amp;Carrera&amp;"]"),IF("x"=base_de_datos[Jueves],IF(base_de_datos[Hora inicio]&lt;=$B29,IF(base_de_datos[Hora fin]&gt;=$C29,base_de_datos[Materia]&amp;" "&amp;base_de_datos[[Número de grupo ]]&amp;" "&amp;base_de_datos[Profesor],""),""),""),""),"")</f>
        <v>Contabilidad y costos 2 Alberto Navarro Pérez</v>
      </c>
      <c r="N29" s="28" t="str" cm="1">
        <f t="array" aca="1" ref="N29" ca="1">_xlfn.TEXTJOIN(CHAR(10),TRUE,IF(Semestre=INDIRECT("base_de_datos["&amp;Carrera&amp;"]"),IF("x"=base_de_datos[Jueves],IF(base_de_datos[Hora inicio]&lt;=$B29,IF(base_de_datos[Hora fin]&gt;=$C29,base_de_datos[Aula]&amp;" "&amp;base_de_datos[Examen],""),""),""),""),"")</f>
        <v xml:space="preserve">Scholas </v>
      </c>
      <c r="O29" s="28" t="str" cm="1">
        <f t="array" aca="1" ref="O29" ca="1">_xlfn.TEXTJOIN(CHAR(10),TRUE,IF(Semestre=INDIRECT("base_de_datos["&amp;Carrera&amp;"]"),IF("x"=base_de_datos[Jueves],IF(base_de_datos[Hora inicio]&lt;=$B29,IF(base_de_datos[Hora fin]&gt;=$C29,base_de_datos[No clase],""),""),""),""),"")</f>
        <v>1777 (8vo. ICA)</v>
      </c>
      <c r="P29" s="28" t="str" cm="1">
        <f t="array" aca="1" ref="P29" ca="1">_xlfn.TEXTJOIN(CHAR(10),TRUE,IF(Semestre=INDIRECT("base_de_datos["&amp;Carrera&amp;"]"),IF("x"=base_de_datos[Viernes],IF(base_de_datos[Hora inicio]&lt;=$B29,IF(base_de_datos[Hora fin]&gt;=$C29,base_de_datos[Materia]&amp;" "&amp;base_de_datos[[Número de grupo ]]&amp;" "&amp;base_de_datos[Profesor],""),""),""),""),"")</f>
        <v/>
      </c>
      <c r="Q29" s="28" t="str" cm="1">
        <f t="array" aca="1" ref="Q29" ca="1">_xlfn.TEXTJOIN(CHAR(10),TRUE,IF(Semestre=INDIRECT("base_de_datos["&amp;Carrera&amp;"]"),IF("x"=base_de_datos[Viernes],IF(base_de_datos[Hora inicio]&lt;=$B29,IF(base_de_datos[Hora fin]&gt;=$C29,base_de_datos[Aula]&amp;" "&amp;base_de_datos[Examen],""),""),""),""),"")</f>
        <v/>
      </c>
      <c r="R29" s="28" t="str" cm="1">
        <f t="array" aca="1" ref="R29" ca="1">_xlfn.TEXTJOIN(CHAR(10),TRUE,IF(Semestre=INDIRECT("base_de_datos["&amp;Carrera&amp;"]"),IF("x"=base_de_datos[Viernes],IF(base_de_datos[Hora inicio]&lt;=$B29,IF(base_de_datos[Hora fin]&gt;=$C29,base_de_datos[No clase],""),""),""),""),"")</f>
        <v/>
      </c>
      <c r="S29" s="28" t="str" cm="1">
        <f t="array" aca="1" ref="S29" ca="1">_xlfn.TEXTJOIN(CHAR(10),TRUE,IF(Semestre=INDIRECT("base_de_datos["&amp;Carrera&amp;"]"),IF("x"=base_de_datos[Sábado],IF(base_de_datos[Hora inicio]&lt;=$B29,IF(base_de_datos[Hora fin]&gt;=$C29,base_de_datos[Materia]&amp;" "&amp;base_de_datos[[Número de grupo ]]&amp;" "&amp;base_de_datos[Profesor],""),""),""),""),"")</f>
        <v/>
      </c>
      <c r="T29" s="28" t="str" cm="1">
        <f t="array" aca="1" ref="T29" ca="1">_xlfn.TEXTJOIN(CHAR(10),TRUE,IF(Semestre=INDIRECT("base_de_datos["&amp;Carrera&amp;"]"),IF("x"=base_de_datos[Sábado],IF(base_de_datos[Hora inicio]&lt;=$B29,IF(base_de_datos[Hora fin]&gt;=$C29,base_de_datos[Aula]&amp;" "&amp;#REF!,""),""),""),""),"")</f>
        <v/>
      </c>
      <c r="U29" s="28" t="str" cm="1">
        <f t="array" aca="1" ref="U29" ca="1">_xlfn.TEXTJOIN(CHAR(10),TRUE,IF(Semestre=INDIRECT("base_de_datos["&amp;Carrera&amp;"]"),IF("x"=base_de_datos[Sábado],IF(base_de_datos[Hora inicio]&lt;=$B29,IF(base_de_datos[Hora fin]&gt;=$C29,base_de_datos[No clase],""),""),""),""),"")</f>
        <v/>
      </c>
      <c r="V29" s="27"/>
      <c r="W29" s="27"/>
      <c r="X29" s="27"/>
      <c r="Y29" s="27"/>
      <c r="Z29" s="27"/>
      <c r="AA29" s="27"/>
    </row>
    <row r="30" spans="2:48" ht="26" x14ac:dyDescent="0.35">
      <c r="B30" s="92">
        <v>0.8125</v>
      </c>
      <c r="C30" s="92">
        <v>0.83333333333332504</v>
      </c>
      <c r="D30" s="28" t="str" cm="1">
        <f t="array" aca="1" ref="D30" ca="1">_xlfn.TEXTJOIN(CHAR(10),TRUE,IF(Semestre=INDIRECT("base_de_datos["&amp;Carrera&amp;"]"),IF("x"=base_de_datos[Lunes],IF(base_de_datos[Hora inicio]&lt;=$B30,IF(base_de_datos[Hora fin]&gt;=$C30,base_de_datos[Materia]&amp;" "&amp;base_de_datos[[Número de grupo ]]&amp;" "&amp;base_de_datos[Profesor],""),""),""),""),"")</f>
        <v/>
      </c>
      <c r="E30" s="28" t="str" cm="1">
        <f t="array" aca="1" ref="E30" ca="1">_xlfn.TEXTJOIN(CHAR(10),TRUE,IF(Semestre=INDIRECT("base_de_datos["&amp;Carrera&amp;"]"),IF("x"=base_de_datos[Lunes],IF(base_de_datos[Hora inicio]&lt;=$B30,IF(base_de_datos[Hora fin]&gt;=$C30,base_de_datos[Aula]&amp;" "&amp;base_de_datos[Examen],""),""),""),""),"")</f>
        <v/>
      </c>
      <c r="F30" s="28" t="str" cm="1">
        <f t="array" aca="1" ref="F30" ca="1">_xlfn.TEXTJOIN(CHAR(10),TRUE,IF(Semestre=INDIRECT("base_de_datos["&amp;Carrera&amp;"]"),IF("x"=base_de_datos[Lunes],IF(base_de_datos[Hora inicio]&lt;=$B30,IF(base_de_datos[Hora fin]&gt;=$C30,base_de_datos[No clase],""),""),""),""),"")</f>
        <v/>
      </c>
      <c r="G30" s="28" t="str" cm="1">
        <f t="array" aca="1" ref="G30" ca="1">_xlfn.TEXTJOIN(CHAR(10),TRUE,IF(Semestre=INDIRECT("base_de_datos["&amp;Carrera&amp;"]"),IF("x"=base_de_datos[Martes],IF(base_de_datos[Hora inicio]&lt;=$B30,IF(base_de_datos[Hora fin]&gt;=$C30,base_de_datos[Materia]&amp;" "&amp;base_de_datos[[Número de grupo ]]&amp;" "&amp;base_de_datos[Profesor],""),""),""),""),"")</f>
        <v/>
      </c>
      <c r="H30" s="28" t="str" cm="1">
        <f t="array" aca="1" ref="H30" ca="1">_xlfn.TEXTJOIN(CHAR(10),TRUE,IF(Semestre=INDIRECT("base_de_datos["&amp;Carrera&amp;"]"),IF("x"=base_de_datos[Martes],IF(base_de_datos[Hora inicio]&lt;=$B30,IF(base_de_datos[Hora fin]&gt;=$C30,base_de_datos[Aula]&amp;" "&amp;base_de_datos[Examen],""),""),""),""),"")</f>
        <v/>
      </c>
      <c r="I30" s="28" t="str" cm="1">
        <f t="array" aca="1" ref="I30" ca="1">_xlfn.TEXTJOIN(CHAR(10),TRUE,IF(Semestre=INDIRECT("base_de_datos["&amp;Carrera&amp;"]"),IF("x"=base_de_datos[Martes],IF(base_de_datos[Hora inicio]&lt;=$B30,IF(base_de_datos[Hora fin]&gt;=$C30,base_de_datos[No clase],""),""),""),""),"")</f>
        <v/>
      </c>
      <c r="J30" s="28" t="str" cm="1">
        <f t="array" aca="1" ref="J30" ca="1">_xlfn.TEXTJOIN(CHAR(10),TRUE,IF(Semestre=INDIRECT("base_de_datos["&amp;Carrera&amp;"]"),IF("x"=base_de_datos[Miércoles],IF(base_de_datos[Hora inicio]&lt;=$B30,IF(base_de_datos[Hora fin]&gt;=$C30,base_de_datos[Materia]&amp;" "&amp;base_de_datos[[Número de grupo ]]&amp;" "&amp;base_de_datos[Profesor],""),""),""),""),"")</f>
        <v/>
      </c>
      <c r="K30" s="28" t="str" cm="1">
        <f t="array" aca="1" ref="K30" ca="1">_xlfn.TEXTJOIN(CHAR(10),TRUE,IF(Semestre=INDIRECT("base_de_datos["&amp;Carrera&amp;"]"),IF("x"=base_de_datos[Miércoles],IF(base_de_datos[Hora inicio]&lt;=$B30,IF(base_de_datos[Hora fin]&gt;=$C30,base_de_datos[Aula]&amp;" "&amp;base_de_datos[Examen],""),""),""),""),"")</f>
        <v/>
      </c>
      <c r="L30" s="28" t="str" cm="1">
        <f t="array" aca="1" ref="L30" ca="1">_xlfn.TEXTJOIN(CHAR(10),TRUE,IF(Semestre=INDIRECT("base_de_datos["&amp;Carrera&amp;"]"),IF("x"=base_de_datos[Miércoles],IF(base_de_datos[Hora inicio]&lt;=$B30,IF(base_de_datos[Hora fin]&gt;=$C30,base_de_datos[No clase],""),""),""),""),"")</f>
        <v/>
      </c>
      <c r="M30" s="28" t="str" cm="1">
        <f t="array" aca="1" ref="M30" ca="1">_xlfn.TEXTJOIN(CHAR(10),TRUE,IF(Semestre=INDIRECT("base_de_datos["&amp;Carrera&amp;"]"),IF("x"=base_de_datos[Jueves],IF(base_de_datos[Hora inicio]&lt;=$B30,IF(base_de_datos[Hora fin]&gt;=$C30,base_de_datos[Materia]&amp;" "&amp;base_de_datos[[Número de grupo ]]&amp;" "&amp;base_de_datos[Profesor],""),""),""),""),"")</f>
        <v>Contabilidad y costos 2 Alberto Navarro Pérez</v>
      </c>
      <c r="N30" s="28" t="str" cm="1">
        <f t="array" aca="1" ref="N30" ca="1">_xlfn.TEXTJOIN(CHAR(10),TRUE,IF(Semestre=INDIRECT("base_de_datos["&amp;Carrera&amp;"]"),IF("x"=base_de_datos[Jueves],IF(base_de_datos[Hora inicio]&lt;=$B30,IF(base_de_datos[Hora fin]&gt;=$C30,base_de_datos[Aula]&amp;" "&amp;base_de_datos[Examen],""),""),""),""),"")</f>
        <v xml:space="preserve">Scholas </v>
      </c>
      <c r="O30" s="28" t="str" cm="1">
        <f t="array" aca="1" ref="O30" ca="1">_xlfn.TEXTJOIN(CHAR(10),TRUE,IF(Semestre=INDIRECT("base_de_datos["&amp;Carrera&amp;"]"),IF("x"=base_de_datos[Jueves],IF(base_de_datos[Hora inicio]&lt;=$B30,IF(base_de_datos[Hora fin]&gt;=$C30,base_de_datos[No clase],""),""),""),""),"")</f>
        <v>1777 (8vo. ICA)</v>
      </c>
      <c r="P30" s="28" t="str" cm="1">
        <f t="array" aca="1" ref="P30" ca="1">_xlfn.TEXTJOIN(CHAR(10),TRUE,IF(Semestre=INDIRECT("base_de_datos["&amp;Carrera&amp;"]"),IF("x"=base_de_datos[Viernes],IF(base_de_datos[Hora inicio]&lt;=$B30,IF(base_de_datos[Hora fin]&gt;=$C30,base_de_datos[Materia]&amp;" "&amp;base_de_datos[[Número de grupo ]]&amp;" "&amp;base_de_datos[Profesor],""),""),""),""),"")</f>
        <v/>
      </c>
      <c r="Q30" s="28" t="str" cm="1">
        <f t="array" aca="1" ref="Q30" ca="1">_xlfn.TEXTJOIN(CHAR(10),TRUE,IF(Semestre=INDIRECT("base_de_datos["&amp;Carrera&amp;"]"),IF("x"=base_de_datos[Viernes],IF(base_de_datos[Hora inicio]&lt;=$B30,IF(base_de_datos[Hora fin]&gt;=$C30,base_de_datos[Aula]&amp;" "&amp;base_de_datos[Examen],""),""),""),""),"")</f>
        <v/>
      </c>
      <c r="R30" s="28" t="str" cm="1">
        <f t="array" aca="1" ref="R30" ca="1">_xlfn.TEXTJOIN(CHAR(10),TRUE,IF(Semestre=INDIRECT("base_de_datos["&amp;Carrera&amp;"]"),IF("x"=base_de_datos[Viernes],IF(base_de_datos[Hora inicio]&lt;=$B30,IF(base_de_datos[Hora fin]&gt;=$C30,base_de_datos[No clase],""),""),""),""),"")</f>
        <v/>
      </c>
      <c r="S30" s="28" t="str" cm="1">
        <f t="array" aca="1" ref="S30" ca="1">_xlfn.TEXTJOIN(CHAR(10),TRUE,IF(Semestre=INDIRECT("base_de_datos["&amp;Carrera&amp;"]"),IF("x"=base_de_datos[Sábado],IF(base_de_datos[Hora inicio]&lt;=$B30,IF(base_de_datos[Hora fin]&gt;=$C30,base_de_datos[Materia]&amp;" "&amp;base_de_datos[[Número de grupo ]]&amp;" "&amp;base_de_datos[Profesor],""),""),""),""),"")</f>
        <v/>
      </c>
      <c r="T30" s="28" t="str" cm="1">
        <f t="array" aca="1" ref="T30" ca="1">_xlfn.TEXTJOIN(CHAR(10),TRUE,IF(Semestre=INDIRECT("base_de_datos["&amp;Carrera&amp;"]"),IF("x"=base_de_datos[Sábado],IF(base_de_datos[Hora inicio]&lt;=$B30,IF(base_de_datos[Hora fin]&gt;=$C30,base_de_datos[Aula]&amp;" "&amp;#REF!,""),""),""),""),"")</f>
        <v/>
      </c>
      <c r="U30" s="28" t="str" cm="1">
        <f t="array" aca="1" ref="U30" ca="1">_xlfn.TEXTJOIN(CHAR(10),TRUE,IF(Semestre=INDIRECT("base_de_datos["&amp;Carrera&amp;"]"),IF("x"=base_de_datos[Sábado],IF(base_de_datos[Hora inicio]&lt;=$B30,IF(base_de_datos[Hora fin]&gt;=$C30,base_de_datos[No clase],""),""),""),""),"")</f>
        <v/>
      </c>
      <c r="V30" s="27"/>
      <c r="W30" s="27"/>
      <c r="X30" s="27"/>
      <c r="Y30" s="27"/>
      <c r="Z30" s="27"/>
      <c r="AA30" s="27"/>
    </row>
    <row r="31" spans="2:48" ht="14.5" x14ac:dyDescent="0.35">
      <c r="B31" s="92">
        <v>0.83333333333333304</v>
      </c>
      <c r="C31" s="92">
        <v>0.85416666666665797</v>
      </c>
      <c r="D31" s="28" t="str" cm="1">
        <f t="array" aca="1" ref="D31" ca="1">_xlfn.TEXTJOIN(CHAR(10),TRUE,IF(Semestre=INDIRECT("base_de_datos["&amp;Carrera&amp;"]"),IF("x"=base_de_datos[Lunes],IF(base_de_datos[Hora inicio]&lt;=$B31,IF(base_de_datos[Hora fin]&gt;=$C31,base_de_datos[Materia]&amp;" "&amp;base_de_datos[[Número de grupo ]]&amp;" "&amp;base_de_datos[Profesor],""),""),""),""),"")</f>
        <v/>
      </c>
      <c r="E31" s="28" t="str" cm="1">
        <f t="array" aca="1" ref="E31" ca="1">_xlfn.TEXTJOIN(CHAR(10),TRUE,IF(Semestre=INDIRECT("base_de_datos["&amp;Carrera&amp;"]"),IF("x"=base_de_datos[Lunes],IF(base_de_datos[Hora inicio]&lt;=$B31,IF(base_de_datos[Hora fin]&gt;=$C31,base_de_datos[Aula]&amp;" "&amp;base_de_datos[Examen],""),""),""),""),"")</f>
        <v/>
      </c>
      <c r="F31" s="28" t="str" cm="1">
        <f t="array" aca="1" ref="F31" ca="1">_xlfn.TEXTJOIN(CHAR(10),TRUE,IF(Semestre=INDIRECT("base_de_datos["&amp;Carrera&amp;"]"),IF("x"=base_de_datos[Lunes],IF(base_de_datos[Hora inicio]&lt;=$B31,IF(base_de_datos[Hora fin]&gt;=$C31,base_de_datos[No clase],""),""),""),""),"")</f>
        <v/>
      </c>
      <c r="G31" s="28" t="str" cm="1">
        <f t="array" aca="1" ref="G31" ca="1">_xlfn.TEXTJOIN(CHAR(10),TRUE,IF(Semestre=INDIRECT("base_de_datos["&amp;Carrera&amp;"]"),IF("x"=base_de_datos[Martes],IF(base_de_datos[Hora inicio]&lt;=$B31,IF(base_de_datos[Hora fin]&gt;=$C31,base_de_datos[Materia]&amp;" "&amp;base_de_datos[[Número de grupo ]]&amp;" "&amp;base_de_datos[Profesor],""),""),""),""),"")</f>
        <v/>
      </c>
      <c r="H31" s="28" t="str" cm="1">
        <f t="array" aca="1" ref="H31" ca="1">_xlfn.TEXTJOIN(CHAR(10),TRUE,IF(Semestre=INDIRECT("base_de_datos["&amp;Carrera&amp;"]"),IF("x"=base_de_datos[Martes],IF(base_de_datos[Hora inicio]&lt;=$B31,IF(base_de_datos[Hora fin]&gt;=$C31,base_de_datos[Aula]&amp;" "&amp;base_de_datos[Examen],""),""),""),""),"")</f>
        <v/>
      </c>
      <c r="I31" s="28" t="str" cm="1">
        <f t="array" aca="1" ref="I31" ca="1">_xlfn.TEXTJOIN(CHAR(10),TRUE,IF(Semestre=INDIRECT("base_de_datos["&amp;Carrera&amp;"]"),IF("x"=base_de_datos[Martes],IF(base_de_datos[Hora inicio]&lt;=$B31,IF(base_de_datos[Hora fin]&gt;=$C31,base_de_datos[No clase],""),""),""),""),"")</f>
        <v/>
      </c>
      <c r="J31" s="28" t="str" cm="1">
        <f t="array" aca="1" ref="J31" ca="1">_xlfn.TEXTJOIN(CHAR(10),TRUE,IF(Semestre=INDIRECT("base_de_datos["&amp;Carrera&amp;"]"),IF("x"=base_de_datos[Miércoles],IF(base_de_datos[Hora inicio]&lt;=$B31,IF(base_de_datos[Hora fin]&gt;=$C31,base_de_datos[Materia]&amp;" "&amp;base_de_datos[[Número de grupo ]]&amp;" "&amp;base_de_datos[Profesor],""),""),""),""),"")</f>
        <v/>
      </c>
      <c r="K31" s="28" t="str" cm="1">
        <f t="array" aca="1" ref="K31" ca="1">_xlfn.TEXTJOIN(CHAR(10),TRUE,IF(Semestre=INDIRECT("base_de_datos["&amp;Carrera&amp;"]"),IF("x"=base_de_datos[Miércoles],IF(base_de_datos[Hora inicio]&lt;=$B31,IF(base_de_datos[Hora fin]&gt;=$C31,base_de_datos[Aula]&amp;" "&amp;base_de_datos[Examen],""),""),""),""),"")</f>
        <v/>
      </c>
      <c r="L31" s="28" t="str" cm="1">
        <f t="array" aca="1" ref="L31" ca="1">_xlfn.TEXTJOIN(CHAR(10),TRUE,IF(Semestre=INDIRECT("base_de_datos["&amp;Carrera&amp;"]"),IF("x"=base_de_datos[Miércoles],IF(base_de_datos[Hora inicio]&lt;=$B31,IF(base_de_datos[Hora fin]&gt;=$C31,base_de_datos[No clase],""),""),""),""),"")</f>
        <v/>
      </c>
      <c r="M31" s="28" t="str" cm="1">
        <f t="array" aca="1" ref="M31" ca="1">_xlfn.TEXTJOIN(CHAR(10),TRUE,IF(Semestre=INDIRECT("base_de_datos["&amp;Carrera&amp;"]"),IF("x"=base_de_datos[Jueves],IF(base_de_datos[Hora inicio]&lt;=$B31,IF(base_de_datos[Hora fin]&gt;=$C31,base_de_datos[Materia]&amp;" "&amp;base_de_datos[[Número de grupo ]]&amp;" "&amp;base_de_datos[Profesor],""),""),""),""),"")</f>
        <v/>
      </c>
      <c r="N31" s="28" t="str" cm="1">
        <f t="array" aca="1" ref="N31" ca="1">_xlfn.TEXTJOIN(CHAR(10),TRUE,IF(Semestre=INDIRECT("base_de_datos["&amp;Carrera&amp;"]"),IF("x"=base_de_datos[Jueves],IF(base_de_datos[Hora inicio]&lt;=$B31,IF(base_de_datos[Hora fin]&gt;=$C31,base_de_datos[Aula]&amp;" "&amp;base_de_datos[Examen],""),""),""),""),"")</f>
        <v/>
      </c>
      <c r="O31" s="28" t="str" cm="1">
        <f t="array" aca="1" ref="O31" ca="1">_xlfn.TEXTJOIN(CHAR(10),TRUE,IF(Semestre=INDIRECT("base_de_datos["&amp;Carrera&amp;"]"),IF("x"=base_de_datos[Jueves],IF(base_de_datos[Hora inicio]&lt;=$B31,IF(base_de_datos[Hora fin]&gt;=$C31,base_de_datos[No clase],""),""),""),""),"")</f>
        <v/>
      </c>
      <c r="P31" s="28" t="str" cm="1">
        <f t="array" aca="1" ref="P31" ca="1">_xlfn.TEXTJOIN(CHAR(10),TRUE,IF(Semestre=INDIRECT("base_de_datos["&amp;Carrera&amp;"]"),IF("x"=base_de_datos[Viernes],IF(base_de_datos[Hora inicio]&lt;=$B31,IF(base_de_datos[Hora fin]&gt;=$C31,base_de_datos[Materia]&amp;" "&amp;base_de_datos[[Número de grupo ]]&amp;" "&amp;base_de_datos[Profesor],""),""),""),""),"")</f>
        <v/>
      </c>
      <c r="Q31" s="28" t="str" cm="1">
        <f t="array" aca="1" ref="Q31" ca="1">_xlfn.TEXTJOIN(CHAR(10),TRUE,IF(Semestre=INDIRECT("base_de_datos["&amp;Carrera&amp;"]"),IF("x"=base_de_datos[Viernes],IF(base_de_datos[Hora inicio]&lt;=$B31,IF(base_de_datos[Hora fin]&gt;=$C31,base_de_datos[Aula]&amp;" "&amp;base_de_datos[Examen],""),""),""),""),"")</f>
        <v/>
      </c>
      <c r="R31" s="28" t="str" cm="1">
        <f t="array" aca="1" ref="R31" ca="1">_xlfn.TEXTJOIN(CHAR(10),TRUE,IF(Semestre=INDIRECT("base_de_datos["&amp;Carrera&amp;"]"),IF("x"=base_de_datos[Viernes],IF(base_de_datos[Hora inicio]&lt;=$B31,IF(base_de_datos[Hora fin]&gt;=$C31,base_de_datos[No clase],""),""),""),""),"")</f>
        <v/>
      </c>
      <c r="S31" s="28" t="str" cm="1">
        <f t="array" aca="1" ref="S31" ca="1">_xlfn.TEXTJOIN(CHAR(10),TRUE,IF(Semestre=INDIRECT("base_de_datos["&amp;Carrera&amp;"]"),IF("x"=base_de_datos[Sábado],IF(base_de_datos[Hora inicio]&lt;=$B31,IF(base_de_datos[Hora fin]&gt;=$C31,base_de_datos[Materia]&amp;" "&amp;base_de_datos[[Número de grupo ]]&amp;" "&amp;base_de_datos[Profesor],""),""),""),""),"")</f>
        <v/>
      </c>
      <c r="T31" s="28" t="str" cm="1">
        <f t="array" aca="1" ref="T31" ca="1">_xlfn.TEXTJOIN(CHAR(10),TRUE,IF(Semestre=INDIRECT("base_de_datos["&amp;Carrera&amp;"]"),IF("x"=base_de_datos[Sábado],IF(base_de_datos[Hora inicio]&lt;=$B31,IF(base_de_datos[Hora fin]&gt;=$C31,base_de_datos[Aula]&amp;" "&amp;#REF!,""),""),""),""),"")</f>
        <v/>
      </c>
      <c r="U31" s="28" t="str" cm="1">
        <f t="array" aca="1" ref="U31" ca="1">_xlfn.TEXTJOIN(CHAR(10),TRUE,IF(Semestre=INDIRECT("base_de_datos["&amp;Carrera&amp;"]"),IF("x"=base_de_datos[Sábado],IF(base_de_datos[Hora inicio]&lt;=$B31,IF(base_de_datos[Hora fin]&gt;=$C31,base_de_datos[No clase],""),""),""),""),"")</f>
        <v/>
      </c>
      <c r="V31" s="27"/>
      <c r="W31" s="27"/>
      <c r="X31" s="27"/>
      <c r="Y31" s="27"/>
      <c r="Z31" s="27"/>
      <c r="AA31" s="27"/>
    </row>
    <row r="32" spans="2:48" ht="14.5" x14ac:dyDescent="0.35">
      <c r="B32" s="92">
        <v>0.85416666666666696</v>
      </c>
      <c r="C32" s="92">
        <v>0.87499999999999001</v>
      </c>
      <c r="D32" s="28" t="str" cm="1">
        <f t="array" aca="1" ref="D32" ca="1">_xlfn.TEXTJOIN(CHAR(10),TRUE,IF(Semestre=INDIRECT("base_de_datos["&amp;Carrera&amp;"]"),IF("x"=base_de_datos[Lunes],IF(base_de_datos[Hora inicio]&lt;=$B32,IF(base_de_datos[Hora fin]&gt;=$C32,base_de_datos[Materia]&amp;" "&amp;base_de_datos[[Número de grupo ]]&amp;" "&amp;base_de_datos[Profesor],""),""),""),""),"")</f>
        <v/>
      </c>
      <c r="E32" s="28" t="str" cm="1">
        <f t="array" aca="1" ref="E32" ca="1">_xlfn.TEXTJOIN(CHAR(10),TRUE,IF(Semestre=INDIRECT("base_de_datos["&amp;Carrera&amp;"]"),IF("x"=base_de_datos[Lunes],IF(base_de_datos[Hora inicio]&lt;=$B32,IF(base_de_datos[Hora fin]&gt;=$C32,base_de_datos[Aula]&amp;" "&amp;base_de_datos[Examen],""),""),""),""),"")</f>
        <v/>
      </c>
      <c r="F32" s="28" t="str" cm="1">
        <f t="array" aca="1" ref="F32" ca="1">_xlfn.TEXTJOIN(CHAR(10),TRUE,IF(Semestre=INDIRECT("base_de_datos["&amp;Carrera&amp;"]"),IF("x"=base_de_datos[Lunes],IF(base_de_datos[Hora inicio]&lt;=$B32,IF(base_de_datos[Hora fin]&gt;=$C32,base_de_datos[No clase],""),""),""),""),"")</f>
        <v/>
      </c>
      <c r="G32" s="28" t="str" cm="1">
        <f t="array" aca="1" ref="G32" ca="1">_xlfn.TEXTJOIN(CHAR(10),TRUE,IF(Semestre=INDIRECT("base_de_datos["&amp;Carrera&amp;"]"),IF("x"=base_de_datos[Martes],IF(base_de_datos[Hora inicio]&lt;=$B32,IF(base_de_datos[Hora fin]&gt;=$C32,base_de_datos[Materia]&amp;" "&amp;base_de_datos[[Número de grupo ]]&amp;" "&amp;base_de_datos[Profesor],""),""),""),""),"")</f>
        <v/>
      </c>
      <c r="H32" s="28" t="str" cm="1">
        <f t="array" aca="1" ref="H32" ca="1">_xlfn.TEXTJOIN(CHAR(10),TRUE,IF(Semestre=INDIRECT("base_de_datos["&amp;Carrera&amp;"]"),IF("x"=base_de_datos[Martes],IF(base_de_datos[Hora inicio]&lt;=$B32,IF(base_de_datos[Hora fin]&gt;=$C32,base_de_datos[Aula]&amp;" "&amp;base_de_datos[Examen],""),""),""),""),"")</f>
        <v/>
      </c>
      <c r="I32" s="28" t="str" cm="1">
        <f t="array" aca="1" ref="I32" ca="1">_xlfn.TEXTJOIN(CHAR(10),TRUE,IF(Semestre=INDIRECT("base_de_datos["&amp;Carrera&amp;"]"),IF("x"=base_de_datos[Martes],IF(base_de_datos[Hora inicio]&lt;=$B32,IF(base_de_datos[Hora fin]&gt;=$C32,base_de_datos[No clase],""),""),""),""),"")</f>
        <v/>
      </c>
      <c r="J32" s="28" t="str" cm="1">
        <f t="array" aca="1" ref="J32" ca="1">_xlfn.TEXTJOIN(CHAR(10),TRUE,IF(Semestre=INDIRECT("base_de_datos["&amp;Carrera&amp;"]"),IF("x"=base_de_datos[Miércoles],IF(base_de_datos[Hora inicio]&lt;=$B32,IF(base_de_datos[Hora fin]&gt;=$C32,base_de_datos[Materia]&amp;" "&amp;base_de_datos[[Número de grupo ]]&amp;" "&amp;base_de_datos[Profesor],""),""),""),""),"")</f>
        <v/>
      </c>
      <c r="K32" s="28" t="str" cm="1">
        <f t="array" aca="1" ref="K32" ca="1">_xlfn.TEXTJOIN(CHAR(10),TRUE,IF(Semestre=INDIRECT("base_de_datos["&amp;Carrera&amp;"]"),IF("x"=base_de_datos[Miércoles],IF(base_de_datos[Hora inicio]&lt;=$B32,IF(base_de_datos[Hora fin]&gt;=$C32,base_de_datos[Aula]&amp;" "&amp;base_de_datos[Examen],""),""),""),""),"")</f>
        <v/>
      </c>
      <c r="L32" s="28" t="str" cm="1">
        <f t="array" aca="1" ref="L32" ca="1">_xlfn.TEXTJOIN(CHAR(10),TRUE,IF(Semestre=INDIRECT("base_de_datos["&amp;Carrera&amp;"]"),IF("x"=base_de_datos[Miércoles],IF(base_de_datos[Hora inicio]&lt;=$B32,IF(base_de_datos[Hora fin]&gt;=$C32,base_de_datos[No clase],""),""),""),""),"")</f>
        <v/>
      </c>
      <c r="M32" s="28" t="str" cm="1">
        <f t="array" aca="1" ref="M32" ca="1">_xlfn.TEXTJOIN(CHAR(10),TRUE,IF(Semestre=INDIRECT("base_de_datos["&amp;Carrera&amp;"]"),IF("x"=base_de_datos[Jueves],IF(base_de_datos[Hora inicio]&lt;=$B32,IF(base_de_datos[Hora fin]&gt;=$C32,base_de_datos[Materia]&amp;" "&amp;base_de_datos[[Número de grupo ]]&amp;" "&amp;base_de_datos[Profesor],""),""),""),""),"")</f>
        <v/>
      </c>
      <c r="N32" s="28" t="str" cm="1">
        <f t="array" aca="1" ref="N32" ca="1">_xlfn.TEXTJOIN(CHAR(10),TRUE,IF(Semestre=INDIRECT("base_de_datos["&amp;Carrera&amp;"]"),IF("x"=base_de_datos[Jueves],IF(base_de_datos[Hora inicio]&lt;=$B32,IF(base_de_datos[Hora fin]&gt;=$C32,base_de_datos[Aula]&amp;" "&amp;base_de_datos[Examen],""),""),""),""),"")</f>
        <v/>
      </c>
      <c r="O32" s="28" t="str" cm="1">
        <f t="array" aca="1" ref="O32" ca="1">_xlfn.TEXTJOIN(CHAR(10),TRUE,IF(Semestre=INDIRECT("base_de_datos["&amp;Carrera&amp;"]"),IF("x"=base_de_datos[Jueves],IF(base_de_datos[Hora inicio]&lt;=$B32,IF(base_de_datos[Hora fin]&gt;=$C32,base_de_datos[No clase],""),""),""),""),"")</f>
        <v/>
      </c>
      <c r="P32" s="28" t="str" cm="1">
        <f t="array" aca="1" ref="P32" ca="1">_xlfn.TEXTJOIN(CHAR(10),TRUE,IF(Semestre=INDIRECT("base_de_datos["&amp;Carrera&amp;"]"),IF("x"=base_de_datos[Viernes],IF(base_de_datos[Hora inicio]&lt;=$B32,IF(base_de_datos[Hora fin]&gt;=$C32,base_de_datos[Materia]&amp;" "&amp;base_de_datos[[Número de grupo ]]&amp;" "&amp;base_de_datos[Profesor],""),""),""),""),"")</f>
        <v/>
      </c>
      <c r="Q32" s="28" t="str" cm="1">
        <f t="array" aca="1" ref="Q32" ca="1">_xlfn.TEXTJOIN(CHAR(10),TRUE,IF(Semestre=INDIRECT("base_de_datos["&amp;Carrera&amp;"]"),IF("x"=base_de_datos[Viernes],IF(base_de_datos[Hora inicio]&lt;=$B32,IF(base_de_datos[Hora fin]&gt;=$C32,base_de_datos[Aula]&amp;" "&amp;base_de_datos[Examen],""),""),""),""),"")</f>
        <v/>
      </c>
      <c r="R32" s="28" t="str" cm="1">
        <f t="array" aca="1" ref="R32" ca="1">_xlfn.TEXTJOIN(CHAR(10),TRUE,IF(Semestre=INDIRECT("base_de_datos["&amp;Carrera&amp;"]"),IF("x"=base_de_datos[Viernes],IF(base_de_datos[Hora inicio]&lt;=$B32,IF(base_de_datos[Hora fin]&gt;=$C32,base_de_datos[No clase],""),""),""),""),"")</f>
        <v/>
      </c>
      <c r="S32" s="28" t="str" cm="1">
        <f t="array" aca="1" ref="S32" ca="1">_xlfn.TEXTJOIN(CHAR(10),TRUE,IF(Semestre=INDIRECT("base_de_datos["&amp;Carrera&amp;"]"),IF("x"=base_de_datos[Sábado],IF(base_de_datos[Hora inicio]&lt;=$B32,IF(base_de_datos[Hora fin]&gt;=$C32,base_de_datos[Materia]&amp;" "&amp;base_de_datos[[Número de grupo ]]&amp;" "&amp;base_de_datos[Profesor],""),""),""),""),"")</f>
        <v/>
      </c>
      <c r="T32" s="28" t="str" cm="1">
        <f t="array" aca="1" ref="T32" ca="1">_xlfn.TEXTJOIN(CHAR(10),TRUE,IF(Semestre=INDIRECT("base_de_datos["&amp;Carrera&amp;"]"),IF("x"=base_de_datos[Sábado],IF(base_de_datos[Hora inicio]&lt;=$B32,IF(base_de_datos[Hora fin]&gt;=$C32,base_de_datos[Aula]&amp;" "&amp;#REF!,""),""),""),""),"")</f>
        <v/>
      </c>
      <c r="U32" s="28" t="str" cm="1">
        <f t="array" aca="1" ref="U32" ca="1">_xlfn.TEXTJOIN(CHAR(10),TRUE,IF(Semestre=INDIRECT("base_de_datos["&amp;Carrera&amp;"]"),IF("x"=base_de_datos[Sábado],IF(base_de_datos[Hora inicio]&lt;=$B32,IF(base_de_datos[Hora fin]&gt;=$C32,base_de_datos[No clase],""),""),""),""),"")</f>
        <v/>
      </c>
      <c r="V32" s="27"/>
      <c r="W32" s="27"/>
      <c r="X32" s="27"/>
      <c r="Y32" s="27"/>
      <c r="Z32" s="27"/>
      <c r="AA32" s="27"/>
    </row>
    <row r="33" spans="2:27" ht="14.5" x14ac:dyDescent="0.35">
      <c r="B33" s="92">
        <v>0.875</v>
      </c>
      <c r="C33" s="92">
        <v>0.89583333333332305</v>
      </c>
      <c r="D33" s="28" t="str" cm="1">
        <f t="array" aca="1" ref="D33" ca="1">_xlfn.TEXTJOIN(CHAR(10),TRUE,IF(Semestre=INDIRECT("base_de_datos["&amp;Carrera&amp;"]"),IF("x"=base_de_datos[Lunes],IF(base_de_datos[Hora inicio]&lt;=$B33,IF(base_de_datos[Hora fin]&gt;=$C33,base_de_datos[Materia]&amp;" "&amp;base_de_datos[[Número de grupo ]]&amp;" "&amp;base_de_datos[Profesor],""),""),""),""),"")</f>
        <v/>
      </c>
      <c r="E33" s="28" t="str" cm="1">
        <f t="array" aca="1" ref="E33" ca="1">_xlfn.TEXTJOIN(CHAR(10),TRUE,IF(Semestre=INDIRECT("base_de_datos["&amp;Carrera&amp;"]"),IF("x"=base_de_datos[Lunes],IF(base_de_datos[Hora inicio]&lt;=$B33,IF(base_de_datos[Hora fin]&gt;=$C33,base_de_datos[Aula]&amp;" "&amp;base_de_datos[Examen],""),""),""),""),"")</f>
        <v/>
      </c>
      <c r="F33" s="28" t="str" cm="1">
        <f t="array" aca="1" ref="F33" ca="1">_xlfn.TEXTJOIN(CHAR(10),TRUE,IF(Semestre=INDIRECT("base_de_datos["&amp;Carrera&amp;"]"),IF("x"=base_de_datos[Lunes],IF(base_de_datos[Hora inicio]&lt;=$B33,IF(base_de_datos[Hora fin]&gt;=$C33,base_de_datos[No clase],""),""),""),""),"")</f>
        <v/>
      </c>
      <c r="G33" s="28" t="str" cm="1">
        <f t="array" aca="1" ref="G33" ca="1">_xlfn.TEXTJOIN(CHAR(10),TRUE,IF(Semestre=INDIRECT("base_de_datos["&amp;Carrera&amp;"]"),IF("x"=base_de_datos[Martes],IF(base_de_datos[Hora inicio]&lt;=$B33,IF(base_de_datos[Hora fin]&gt;=$C33,base_de_datos[Materia]&amp;" "&amp;base_de_datos[[Número de grupo ]]&amp;" "&amp;base_de_datos[Profesor],""),""),""),""),"")</f>
        <v/>
      </c>
      <c r="H33" s="28" t="str" cm="1">
        <f t="array" aca="1" ref="H33" ca="1">_xlfn.TEXTJOIN(CHAR(10),TRUE,IF(Semestre=INDIRECT("base_de_datos["&amp;Carrera&amp;"]"),IF("x"=base_de_datos[Martes],IF(base_de_datos[Hora inicio]&lt;=$B33,IF(base_de_datos[Hora fin]&gt;=$C33,base_de_datos[Aula]&amp;" "&amp;base_de_datos[Examen],""),""),""),""),"")</f>
        <v/>
      </c>
      <c r="I33" s="28" t="str" cm="1">
        <f t="array" aca="1" ref="I33" ca="1">_xlfn.TEXTJOIN(CHAR(10),TRUE,IF(Semestre=INDIRECT("base_de_datos["&amp;Carrera&amp;"]"),IF("x"=base_de_datos[Martes],IF(base_de_datos[Hora inicio]&lt;=$B33,IF(base_de_datos[Hora fin]&gt;=$C33,base_de_datos[No clase],""),""),""),""),"")</f>
        <v/>
      </c>
      <c r="J33" s="28" t="str" cm="1">
        <f t="array" aca="1" ref="J33" ca="1">_xlfn.TEXTJOIN(CHAR(10),TRUE,IF(Semestre=INDIRECT("base_de_datos["&amp;Carrera&amp;"]"),IF("x"=base_de_datos[Miércoles],IF(base_de_datos[Hora inicio]&lt;=$B33,IF(base_de_datos[Hora fin]&gt;=$C33,base_de_datos[Materia]&amp;" "&amp;base_de_datos[[Número de grupo ]]&amp;" "&amp;base_de_datos[Profesor],""),""),""),""),"")</f>
        <v/>
      </c>
      <c r="K33" s="28" t="str" cm="1">
        <f t="array" aca="1" ref="K33" ca="1">_xlfn.TEXTJOIN(CHAR(10),TRUE,IF(Semestre=INDIRECT("base_de_datos["&amp;Carrera&amp;"]"),IF("x"=base_de_datos[Miércoles],IF(base_de_datos[Hora inicio]&lt;=$B33,IF(base_de_datos[Hora fin]&gt;=$C33,base_de_datos[Aula]&amp;" "&amp;base_de_datos[Examen],""),""),""),""),"")</f>
        <v/>
      </c>
      <c r="L33" s="28" t="str" cm="1">
        <f t="array" aca="1" ref="L33" ca="1">_xlfn.TEXTJOIN(CHAR(10),TRUE,IF(Semestre=INDIRECT("base_de_datos["&amp;Carrera&amp;"]"),IF("x"=base_de_datos[Miércoles],IF(base_de_datos[Hora inicio]&lt;=$B33,IF(base_de_datos[Hora fin]&gt;=$C33,base_de_datos[No clase],""),""),""),""),"")</f>
        <v/>
      </c>
      <c r="M33" s="28" t="str" cm="1">
        <f t="array" aca="1" ref="M33" ca="1">_xlfn.TEXTJOIN(CHAR(10),TRUE,IF(Semestre=INDIRECT("base_de_datos["&amp;Carrera&amp;"]"),IF("x"=base_de_datos[Jueves],IF(base_de_datos[Hora inicio]&lt;=$B33,IF(base_de_datos[Hora fin]&gt;=$C33,base_de_datos[Materia]&amp;" "&amp;base_de_datos[[Número de grupo ]]&amp;" "&amp;base_de_datos[Profesor],""),""),""),""),"")</f>
        <v/>
      </c>
      <c r="N33" s="28" t="str" cm="1">
        <f t="array" aca="1" ref="N33" ca="1">_xlfn.TEXTJOIN(CHAR(10),TRUE,IF(Semestre=INDIRECT("base_de_datos["&amp;Carrera&amp;"]"),IF("x"=base_de_datos[Jueves],IF(base_de_datos[Hora inicio]&lt;=$B33,IF(base_de_datos[Hora fin]&gt;=$C33,base_de_datos[Aula]&amp;" "&amp;base_de_datos[Examen],""),""),""),""),"")</f>
        <v/>
      </c>
      <c r="O33" s="28" t="str" cm="1">
        <f t="array" aca="1" ref="O33" ca="1">_xlfn.TEXTJOIN(CHAR(10),TRUE,IF(Semestre=INDIRECT("base_de_datos["&amp;Carrera&amp;"]"),IF("x"=base_de_datos[Jueves],IF(base_de_datos[Hora inicio]&lt;=$B33,IF(base_de_datos[Hora fin]&gt;=$C33,base_de_datos[No clase],""),""),""),""),"")</f>
        <v/>
      </c>
      <c r="P33" s="28" t="str" cm="1">
        <f t="array" aca="1" ref="P33" ca="1">_xlfn.TEXTJOIN(CHAR(10),TRUE,IF(Semestre=INDIRECT("base_de_datos["&amp;Carrera&amp;"]"),IF("x"=base_de_datos[Viernes],IF(base_de_datos[Hora inicio]&lt;=$B33,IF(base_de_datos[Hora fin]&gt;=$C33,base_de_datos[Materia]&amp;" "&amp;base_de_datos[[Número de grupo ]]&amp;" "&amp;base_de_datos[Profesor],""),""),""),""),"")</f>
        <v/>
      </c>
      <c r="Q33" s="28" t="str" cm="1">
        <f t="array" aca="1" ref="Q33" ca="1">_xlfn.TEXTJOIN(CHAR(10),TRUE,IF(Semestre=INDIRECT("base_de_datos["&amp;Carrera&amp;"]"),IF("x"=base_de_datos[Viernes],IF(base_de_datos[Hora inicio]&lt;=$B33,IF(base_de_datos[Hora fin]&gt;=$C33,base_de_datos[Aula]&amp;" "&amp;base_de_datos[Examen],""),""),""),""),"")</f>
        <v/>
      </c>
      <c r="R33" s="28" t="str" cm="1">
        <f t="array" aca="1" ref="R33" ca="1">_xlfn.TEXTJOIN(CHAR(10),TRUE,IF(Semestre=INDIRECT("base_de_datos["&amp;Carrera&amp;"]"),IF("x"=base_de_datos[Viernes],IF(base_de_datos[Hora inicio]&lt;=$B33,IF(base_de_datos[Hora fin]&gt;=$C33,base_de_datos[No clase],""),""),""),""),"")</f>
        <v/>
      </c>
      <c r="S33" s="28" t="str" cm="1">
        <f t="array" aca="1" ref="S33" ca="1">_xlfn.TEXTJOIN(CHAR(10),TRUE,IF(Semestre=INDIRECT("base_de_datos["&amp;Carrera&amp;"]"),IF("x"=base_de_datos[Sábado],IF(base_de_datos[Hora inicio]&lt;=$B33,IF(base_de_datos[Hora fin]&gt;=$C33,base_de_datos[Materia]&amp;" "&amp;base_de_datos[[Número de grupo ]]&amp;" "&amp;base_de_datos[Profesor],""),""),""),""),"")</f>
        <v/>
      </c>
      <c r="T33" s="28" t="str" cm="1">
        <f t="array" aca="1" ref="T33" ca="1">_xlfn.TEXTJOIN(CHAR(10),TRUE,IF(Semestre=INDIRECT("base_de_datos["&amp;Carrera&amp;"]"),IF("x"=base_de_datos[Sábado],IF(base_de_datos[Hora inicio]&lt;=$B33,IF(base_de_datos[Hora fin]&gt;=$C33,base_de_datos[Aula]&amp;" "&amp;#REF!,""),""),""),""),"")</f>
        <v/>
      </c>
      <c r="U33" s="28" t="str" cm="1">
        <f t="array" aca="1" ref="U33" ca="1">_xlfn.TEXTJOIN(CHAR(10),TRUE,IF(Semestre=INDIRECT("base_de_datos["&amp;Carrera&amp;"]"),IF("x"=base_de_datos[Sábado],IF(base_de_datos[Hora inicio]&lt;=$B33,IF(base_de_datos[Hora fin]&gt;=$C33,base_de_datos[No clase],""),""),""),""),"")</f>
        <v/>
      </c>
      <c r="V33" s="27"/>
      <c r="W33" s="27"/>
      <c r="X33" s="27"/>
      <c r="Y33" s="27"/>
      <c r="Z33" s="27"/>
      <c r="AA33" s="27"/>
    </row>
    <row r="34" spans="2:27" ht="14.5" x14ac:dyDescent="0.35">
      <c r="B34" s="92">
        <v>0.89583333333333304</v>
      </c>
      <c r="C34" s="92">
        <v>0.91666666666665697</v>
      </c>
      <c r="D34" s="28" t="str" cm="1">
        <f t="array" aca="1" ref="D34" ca="1">_xlfn.TEXTJOIN(CHAR(10),TRUE,IF(Semestre=INDIRECT("base_de_datos["&amp;Carrera&amp;"]"),IF("x"=base_de_datos[Lunes],IF(base_de_datos[Hora inicio]&lt;=$B34,IF(base_de_datos[Hora fin]&gt;=$C34,base_de_datos[Materia]&amp;" "&amp;base_de_datos[[Número de grupo ]]&amp;" "&amp;base_de_datos[Profesor],""),""),""),""),"")</f>
        <v/>
      </c>
      <c r="E34" s="28" t="str" cm="1">
        <f t="array" aca="1" ref="E34" ca="1">_xlfn.TEXTJOIN(CHAR(10),TRUE,IF(Semestre=INDIRECT("base_de_datos["&amp;Carrera&amp;"]"),IF("x"=base_de_datos[Lunes],IF(base_de_datos[Hora inicio]&lt;=$B34,IF(base_de_datos[Hora fin]&gt;=$C34,base_de_datos[Aula]&amp;" "&amp;base_de_datos[Examen],""),""),""),""),"")</f>
        <v/>
      </c>
      <c r="F34" s="28" t="str" cm="1">
        <f t="array" aca="1" ref="F34" ca="1">_xlfn.TEXTJOIN(CHAR(10),TRUE,IF(Semestre=INDIRECT("base_de_datos["&amp;Carrera&amp;"]"),IF("x"=base_de_datos[Lunes],IF(base_de_datos[Hora inicio]&lt;=$B34,IF(base_de_datos[Hora fin]&gt;=$C34,base_de_datos[No clase],""),""),""),""),"")</f>
        <v/>
      </c>
      <c r="G34" s="28" t="str" cm="1">
        <f t="array" aca="1" ref="G34" ca="1">_xlfn.TEXTJOIN(CHAR(10),TRUE,IF(Semestre=INDIRECT("base_de_datos["&amp;Carrera&amp;"]"),IF("x"=base_de_datos[Martes],IF(base_de_datos[Hora inicio]&lt;=$B34,IF(base_de_datos[Hora fin]&gt;=$C34,base_de_datos[Materia]&amp;" "&amp;base_de_datos[[Número de grupo ]]&amp;" "&amp;base_de_datos[Profesor],""),""),""),""),"")</f>
        <v/>
      </c>
      <c r="H34" s="28" t="str" cm="1">
        <f t="array" aca="1" ref="H34" ca="1">_xlfn.TEXTJOIN(CHAR(10),TRUE,IF(Semestre=INDIRECT("base_de_datos["&amp;Carrera&amp;"]"),IF("x"=base_de_datos[Martes],IF(base_de_datos[Hora inicio]&lt;=$B34,IF(base_de_datos[Hora fin]&gt;=$C34,base_de_datos[Aula]&amp;" "&amp;base_de_datos[Examen],""),""),""),""),"")</f>
        <v/>
      </c>
      <c r="I34" s="28" t="str" cm="1">
        <f t="array" aca="1" ref="I34" ca="1">_xlfn.TEXTJOIN(CHAR(10),TRUE,IF(Semestre=INDIRECT("base_de_datos["&amp;Carrera&amp;"]"),IF("x"=base_de_datos[Martes],IF(base_de_datos[Hora inicio]&lt;=$B34,IF(base_de_datos[Hora fin]&gt;=$C34,base_de_datos[No clase],""),""),""),""),"")</f>
        <v/>
      </c>
      <c r="J34" s="28" t="str" cm="1">
        <f t="array" aca="1" ref="J34" ca="1">_xlfn.TEXTJOIN(CHAR(10),TRUE,IF(Semestre=INDIRECT("base_de_datos["&amp;Carrera&amp;"]"),IF("x"=base_de_datos[Miércoles],IF(base_de_datos[Hora inicio]&lt;=$B34,IF(base_de_datos[Hora fin]&gt;=$C34,base_de_datos[Materia]&amp;" "&amp;base_de_datos[[Número de grupo ]]&amp;" "&amp;base_de_datos[Profesor],""),""),""),""),"")</f>
        <v/>
      </c>
      <c r="K34" s="28" t="str" cm="1">
        <f t="array" aca="1" ref="K34" ca="1">_xlfn.TEXTJOIN(CHAR(10),TRUE,IF(Semestre=INDIRECT("base_de_datos["&amp;Carrera&amp;"]"),IF("x"=base_de_datos[Miércoles],IF(base_de_datos[Hora inicio]&lt;=$B34,IF(base_de_datos[Hora fin]&gt;=$C34,base_de_datos[Aula]&amp;" "&amp;base_de_datos[Examen],""),""),""),""),"")</f>
        <v/>
      </c>
      <c r="L34" s="28" t="str" cm="1">
        <f t="array" aca="1" ref="L34" ca="1">_xlfn.TEXTJOIN(CHAR(10),TRUE,IF(Semestre=INDIRECT("base_de_datos["&amp;Carrera&amp;"]"),IF("x"=base_de_datos[Miércoles],IF(base_de_datos[Hora inicio]&lt;=$B34,IF(base_de_datos[Hora fin]&gt;=$C34,base_de_datos[No clase],""),""),""),""),"")</f>
        <v/>
      </c>
      <c r="M34" s="28" t="str" cm="1">
        <f t="array" aca="1" ref="M34" ca="1">_xlfn.TEXTJOIN(CHAR(10),TRUE,IF(Semestre=INDIRECT("base_de_datos["&amp;Carrera&amp;"]"),IF("x"=base_de_datos[Jueves],IF(base_de_datos[Hora inicio]&lt;=$B34,IF(base_de_datos[Hora fin]&gt;=$C34,base_de_datos[Materia]&amp;" "&amp;base_de_datos[[Número de grupo ]]&amp;" "&amp;base_de_datos[Profesor],""),""),""),""),"")</f>
        <v/>
      </c>
      <c r="N34" s="28" t="str" cm="1">
        <f t="array" aca="1" ref="N34" ca="1">_xlfn.TEXTJOIN(CHAR(10),TRUE,IF(Semestre=INDIRECT("base_de_datos["&amp;Carrera&amp;"]"),IF("x"=base_de_datos[Jueves],IF(base_de_datos[Hora inicio]&lt;=$B34,IF(base_de_datos[Hora fin]&gt;=$C34,base_de_datos[Aula]&amp;" "&amp;base_de_datos[Examen],""),""),""),""),"")</f>
        <v/>
      </c>
      <c r="O34" s="28" t="str" cm="1">
        <f t="array" aca="1" ref="O34" ca="1">_xlfn.TEXTJOIN(CHAR(10),TRUE,IF(Semestre=INDIRECT("base_de_datos["&amp;Carrera&amp;"]"),IF("x"=base_de_datos[Jueves],IF(base_de_datos[Hora inicio]&lt;=$B34,IF(base_de_datos[Hora fin]&gt;=$C34,base_de_datos[No clase],""),""),""),""),"")</f>
        <v/>
      </c>
      <c r="P34" s="28" t="str" cm="1">
        <f t="array" aca="1" ref="P34" ca="1">_xlfn.TEXTJOIN(CHAR(10),TRUE,IF(Semestre=INDIRECT("base_de_datos["&amp;Carrera&amp;"]"),IF("x"=base_de_datos[Viernes],IF(base_de_datos[Hora inicio]&lt;=$B34,IF(base_de_datos[Hora fin]&gt;=$C34,base_de_datos[Materia]&amp;" "&amp;base_de_datos[[Número de grupo ]]&amp;" "&amp;base_de_datos[Profesor],""),""),""),""),"")</f>
        <v/>
      </c>
      <c r="Q34" s="28" t="str" cm="1">
        <f t="array" aca="1" ref="Q34" ca="1">_xlfn.TEXTJOIN(CHAR(10),TRUE,IF(Semestre=INDIRECT("base_de_datos["&amp;Carrera&amp;"]"),IF("x"=base_de_datos[Viernes],IF(base_de_datos[Hora inicio]&lt;=$B34,IF(base_de_datos[Hora fin]&gt;=$C34,base_de_datos[Aula]&amp;" "&amp;base_de_datos[Examen],""),""),""),""),"")</f>
        <v/>
      </c>
      <c r="R34" s="28" t="str" cm="1">
        <f t="array" aca="1" ref="R34" ca="1">_xlfn.TEXTJOIN(CHAR(10),TRUE,IF(Semestre=INDIRECT("base_de_datos["&amp;Carrera&amp;"]"),IF("x"=base_de_datos[Viernes],IF(base_de_datos[Hora inicio]&lt;=$B34,IF(base_de_datos[Hora fin]&gt;=$C34,base_de_datos[No clase],""),""),""),""),"")</f>
        <v/>
      </c>
      <c r="S34" s="28" t="str" cm="1">
        <f t="array" aca="1" ref="S34" ca="1">_xlfn.TEXTJOIN(CHAR(10),TRUE,IF(Semestre=INDIRECT("base_de_datos["&amp;Carrera&amp;"]"),IF("x"=base_de_datos[Sábado],IF(base_de_datos[Hora inicio]&lt;=$B34,IF(base_de_datos[Hora fin]&gt;=$C34,base_de_datos[Materia]&amp;" "&amp;base_de_datos[[Número de grupo ]]&amp;" "&amp;base_de_datos[Profesor],""),""),""),""),"")</f>
        <v/>
      </c>
      <c r="T34" s="28" t="str" cm="1">
        <f t="array" aca="1" ref="T34" ca="1">_xlfn.TEXTJOIN(CHAR(10),TRUE,IF(Semestre=INDIRECT("base_de_datos["&amp;Carrera&amp;"]"),IF("x"=base_de_datos[Sábado],IF(base_de_datos[Hora inicio]&lt;=$B34,IF(base_de_datos[Hora fin]&gt;=$C34,base_de_datos[Aula]&amp;" "&amp;#REF!,""),""),""),""),"")</f>
        <v/>
      </c>
      <c r="U34" s="28" t="str" cm="1">
        <f t="array" aca="1" ref="U34" ca="1">_xlfn.TEXTJOIN(CHAR(10),TRUE,IF(Semestre=INDIRECT("base_de_datos["&amp;Carrera&amp;"]"),IF("x"=base_de_datos[Sábado],IF(base_de_datos[Hora inicio]&lt;=$B34,IF(base_de_datos[Hora fin]&gt;=$C34,base_de_datos[No clase],""),""),""),""),"")</f>
        <v/>
      </c>
      <c r="V34" s="27"/>
      <c r="W34" s="27"/>
      <c r="X34" s="27"/>
      <c r="Y34" s="27"/>
      <c r="Z34" s="27"/>
      <c r="AA34" s="27"/>
    </row>
    <row r="35" spans="2:27" x14ac:dyDescent="0.3">
      <c r="C35" s="3"/>
      <c r="D35" s="27"/>
      <c r="E35" s="27"/>
      <c r="F35" s="27"/>
      <c r="G35" s="27"/>
      <c r="H35" s="30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</row>
    <row r="36" spans="2:27" x14ac:dyDescent="0.3">
      <c r="C36" s="3"/>
      <c r="D36" s="27"/>
      <c r="E36" s="27"/>
      <c r="F36" s="27"/>
      <c r="G36" s="27"/>
      <c r="H36" s="30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</row>
    <row r="37" spans="2:27" x14ac:dyDescent="0.3">
      <c r="C37" s="3"/>
      <c r="D37" s="27"/>
      <c r="E37" s="27"/>
      <c r="F37" s="27"/>
      <c r="G37" s="27"/>
      <c r="H37" s="30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</row>
    <row r="38" spans="2:27" x14ac:dyDescent="0.3">
      <c r="C38" s="3"/>
      <c r="D38" s="27"/>
      <c r="E38" s="27"/>
      <c r="F38" s="27"/>
      <c r="G38" s="27"/>
      <c r="H38" s="30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</row>
    <row r="39" spans="2:27" x14ac:dyDescent="0.3">
      <c r="C39" s="3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</row>
    <row r="40" spans="2:27" x14ac:dyDescent="0.3">
      <c r="C40" s="3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</row>
    <row r="41" spans="2:27" x14ac:dyDescent="0.3">
      <c r="C41" s="3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</row>
    <row r="42" spans="2:27" x14ac:dyDescent="0.3">
      <c r="C42" s="3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</row>
    <row r="43" spans="2:27" x14ac:dyDescent="0.3">
      <c r="C43" s="3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</row>
    <row r="44" spans="2:27" x14ac:dyDescent="0.3">
      <c r="C44" s="3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</row>
    <row r="45" spans="2:27" x14ac:dyDescent="0.3">
      <c r="C45" s="3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</row>
    <row r="46" spans="2:27" x14ac:dyDescent="0.3">
      <c r="C46" s="3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</row>
    <row r="47" spans="2:27" x14ac:dyDescent="0.3">
      <c r="C47" s="3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</row>
    <row r="48" spans="2:27" x14ac:dyDescent="0.3">
      <c r="C48" s="3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</row>
    <row r="49" spans="3:27" x14ac:dyDescent="0.3">
      <c r="C49" s="3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</row>
    <row r="50" spans="3:27" x14ac:dyDescent="0.3">
      <c r="C50" s="3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</row>
    <row r="51" spans="3:27" x14ac:dyDescent="0.3">
      <c r="C51" s="3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</row>
    <row r="52" spans="3:27" x14ac:dyDescent="0.3">
      <c r="C52" s="3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</row>
    <row r="53" spans="3:27" x14ac:dyDescent="0.3">
      <c r="C53" s="3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  <c r="AA53" s="27"/>
    </row>
    <row r="54" spans="3:27" x14ac:dyDescent="0.3">
      <c r="C54" s="3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  <c r="AA54" s="27"/>
    </row>
    <row r="55" spans="3:27" x14ac:dyDescent="0.3">
      <c r="C55" s="3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  <c r="AA55" s="27"/>
    </row>
    <row r="56" spans="3:27" x14ac:dyDescent="0.3">
      <c r="C56" s="3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7"/>
    </row>
    <row r="57" spans="3:27" x14ac:dyDescent="0.3">
      <c r="C57" s="3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</row>
    <row r="58" spans="3:27" x14ac:dyDescent="0.3">
      <c r="C58" s="3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</row>
    <row r="59" spans="3:27" x14ac:dyDescent="0.3">
      <c r="C59" s="3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</row>
    <row r="60" spans="3:27" x14ac:dyDescent="0.3">
      <c r="C60" s="3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</row>
    <row r="61" spans="3:27" x14ac:dyDescent="0.3">
      <c r="C61" s="3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</row>
    <row r="62" spans="3:27" x14ac:dyDescent="0.3">
      <c r="C62" s="3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</row>
    <row r="63" spans="3:27" x14ac:dyDescent="0.3">
      <c r="C63" s="3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</row>
    <row r="64" spans="3:27" x14ac:dyDescent="0.3">
      <c r="C64" s="3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</row>
    <row r="65" spans="3:27" x14ac:dyDescent="0.3">
      <c r="C65" s="3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</row>
    <row r="66" spans="3:27" x14ac:dyDescent="0.3">
      <c r="C66" s="3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</row>
    <row r="67" spans="3:27" x14ac:dyDescent="0.3">
      <c r="C67" s="3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</row>
    <row r="68" spans="3:27" x14ac:dyDescent="0.3">
      <c r="C68" s="3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</row>
    <row r="69" spans="3:27" x14ac:dyDescent="0.3">
      <c r="C69" s="3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</row>
    <row r="70" spans="3:27" x14ac:dyDescent="0.3">
      <c r="C70" s="3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</row>
    <row r="71" spans="3:27" x14ac:dyDescent="0.3">
      <c r="C71" s="3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</row>
    <row r="72" spans="3:27" x14ac:dyDescent="0.3">
      <c r="C72" s="3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</row>
    <row r="73" spans="3:27" x14ac:dyDescent="0.3">
      <c r="C73" s="3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</row>
    <row r="74" spans="3:27" x14ac:dyDescent="0.3">
      <c r="C74" s="3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</row>
    <row r="75" spans="3:27" x14ac:dyDescent="0.3">
      <c r="C75" s="3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  <c r="AA75" s="27"/>
    </row>
    <row r="76" spans="3:27" x14ac:dyDescent="0.3">
      <c r="C76" s="3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7"/>
    </row>
    <row r="77" spans="3:27" x14ac:dyDescent="0.3">
      <c r="C77" s="3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7"/>
    </row>
    <row r="78" spans="3:27" x14ac:dyDescent="0.3">
      <c r="C78" s="3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  <c r="AA78" s="27"/>
    </row>
    <row r="79" spans="3:27" x14ac:dyDescent="0.3">
      <c r="C79" s="3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  <c r="AA79" s="27"/>
    </row>
    <row r="80" spans="3:27" x14ac:dyDescent="0.3">
      <c r="C80" s="3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  <c r="AA80" s="27"/>
    </row>
    <row r="81" spans="3:27" x14ac:dyDescent="0.3">
      <c r="C81" s="3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  <c r="AA81" s="27"/>
    </row>
    <row r="82" spans="3:27" x14ac:dyDescent="0.3">
      <c r="C82" s="3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  <c r="AA82" s="27"/>
    </row>
    <row r="83" spans="3:27" x14ac:dyDescent="0.3">
      <c r="C83" s="3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  <c r="AA83" s="27"/>
    </row>
    <row r="84" spans="3:27" x14ac:dyDescent="0.3">
      <c r="C84" s="3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  <c r="AA84" s="27"/>
    </row>
    <row r="85" spans="3:27" x14ac:dyDescent="0.3">
      <c r="C85" s="3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  <c r="AA85" s="27"/>
    </row>
    <row r="86" spans="3:27" x14ac:dyDescent="0.3">
      <c r="C86" s="3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  <c r="AA86" s="27"/>
    </row>
    <row r="87" spans="3:27" x14ac:dyDescent="0.3">
      <c r="C87" s="3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  <c r="AA87" s="27"/>
    </row>
    <row r="88" spans="3:27" x14ac:dyDescent="0.3">
      <c r="C88" s="3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  <c r="AA88" s="27"/>
    </row>
    <row r="89" spans="3:27" x14ac:dyDescent="0.3">
      <c r="C89" s="3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  <c r="AA89" s="27"/>
    </row>
    <row r="90" spans="3:27" x14ac:dyDescent="0.3">
      <c r="C90" s="3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  <c r="AA90" s="27"/>
    </row>
    <row r="91" spans="3:27" x14ac:dyDescent="0.3">
      <c r="C91" s="3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  <c r="AA91" s="27"/>
    </row>
    <row r="92" spans="3:27" x14ac:dyDescent="0.3">
      <c r="C92" s="3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  <c r="AA92" s="27"/>
    </row>
    <row r="93" spans="3:27" x14ac:dyDescent="0.3">
      <c r="C93" s="3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  <c r="AA93" s="27"/>
    </row>
    <row r="94" spans="3:27" x14ac:dyDescent="0.3">
      <c r="C94" s="3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  <c r="AA94" s="27"/>
    </row>
    <row r="95" spans="3:27" x14ac:dyDescent="0.3">
      <c r="C95" s="3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  <c r="AA95" s="27"/>
    </row>
    <row r="96" spans="3:27" x14ac:dyDescent="0.3">
      <c r="C96" s="3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  <c r="AA96" s="27"/>
    </row>
    <row r="97" spans="3:27" x14ac:dyDescent="0.3">
      <c r="C97" s="3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  <c r="AA97" s="27"/>
    </row>
    <row r="98" spans="3:27" x14ac:dyDescent="0.3">
      <c r="C98" s="3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  <c r="AA98" s="27"/>
    </row>
    <row r="99" spans="3:27" x14ac:dyDescent="0.3">
      <c r="C99" s="3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  <c r="AA99" s="27"/>
    </row>
    <row r="100" spans="3:27" x14ac:dyDescent="0.3">
      <c r="C100" s="3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  <c r="AA100" s="27"/>
    </row>
    <row r="101" spans="3:27" x14ac:dyDescent="0.3">
      <c r="C101" s="3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  <c r="AA101" s="27"/>
    </row>
    <row r="102" spans="3:27" x14ac:dyDescent="0.3">
      <c r="C102" s="3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  <c r="AA102" s="27"/>
    </row>
    <row r="103" spans="3:27" x14ac:dyDescent="0.3">
      <c r="C103" s="3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  <c r="AA103" s="27"/>
    </row>
    <row r="104" spans="3:27" x14ac:dyDescent="0.3">
      <c r="C104" s="3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  <c r="AA104" s="27"/>
    </row>
    <row r="105" spans="3:27" x14ac:dyDescent="0.3">
      <c r="C105" s="3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  <c r="AA105" s="27"/>
    </row>
    <row r="106" spans="3:27" x14ac:dyDescent="0.3">
      <c r="C106" s="3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  <c r="AA106" s="27"/>
    </row>
    <row r="107" spans="3:27" x14ac:dyDescent="0.3">
      <c r="C107" s="3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  <c r="AA107" s="27"/>
    </row>
    <row r="108" spans="3:27" x14ac:dyDescent="0.3">
      <c r="C108" s="3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  <c r="AA108" s="27"/>
    </row>
    <row r="109" spans="3:27" x14ac:dyDescent="0.3">
      <c r="C109" s="3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  <c r="AA109" s="27"/>
    </row>
    <row r="110" spans="3:27" x14ac:dyDescent="0.3">
      <c r="C110" s="3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/>
      <c r="AA110" s="27"/>
    </row>
    <row r="111" spans="3:27" x14ac:dyDescent="0.3">
      <c r="C111" s="3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7"/>
      <c r="AA111" s="27"/>
    </row>
    <row r="112" spans="3:27" x14ac:dyDescent="0.3">
      <c r="C112" s="3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/>
      <c r="Y112" s="27"/>
      <c r="Z112" s="27"/>
      <c r="AA112" s="27"/>
    </row>
    <row r="113" spans="3:27" x14ac:dyDescent="0.3">
      <c r="C113" s="3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  <c r="AA113" s="27"/>
    </row>
    <row r="114" spans="3:27" x14ac:dyDescent="0.3">
      <c r="C114" s="3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7"/>
      <c r="AA114" s="27"/>
    </row>
    <row r="115" spans="3:27" x14ac:dyDescent="0.3">
      <c r="C115" s="3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  <c r="AA115" s="27"/>
    </row>
    <row r="116" spans="3:27" x14ac:dyDescent="0.3">
      <c r="C116" s="3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7"/>
      <c r="AA116" s="27"/>
    </row>
    <row r="117" spans="3:27" x14ac:dyDescent="0.3">
      <c r="C117" s="3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  <c r="AA117" s="27"/>
    </row>
    <row r="118" spans="3:27" x14ac:dyDescent="0.3">
      <c r="C118" s="3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  <c r="AA118" s="27"/>
    </row>
    <row r="119" spans="3:27" x14ac:dyDescent="0.3">
      <c r="C119" s="3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  <c r="AA119" s="27"/>
    </row>
    <row r="120" spans="3:27" x14ac:dyDescent="0.3">
      <c r="C120" s="3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  <c r="AA120" s="27"/>
    </row>
    <row r="121" spans="3:27" x14ac:dyDescent="0.3">
      <c r="C121" s="3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  <c r="AA121" s="27"/>
    </row>
    <row r="122" spans="3:27" x14ac:dyDescent="0.3">
      <c r="C122" s="3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  <c r="AA122" s="27"/>
    </row>
    <row r="123" spans="3:27" x14ac:dyDescent="0.3">
      <c r="C123" s="3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  <c r="AA123" s="27"/>
    </row>
    <row r="124" spans="3:27" x14ac:dyDescent="0.3">
      <c r="C124" s="3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7"/>
      <c r="AA124" s="27"/>
    </row>
    <row r="125" spans="3:27" x14ac:dyDescent="0.3">
      <c r="C125" s="3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V125" s="27"/>
      <c r="W125" s="27"/>
      <c r="X125" s="27"/>
      <c r="Y125" s="27"/>
      <c r="Z125" s="27"/>
      <c r="AA125" s="27"/>
    </row>
    <row r="126" spans="3:27" x14ac:dyDescent="0.3">
      <c r="C126" s="3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7"/>
      <c r="W126" s="27"/>
      <c r="X126" s="27"/>
      <c r="Y126" s="27"/>
      <c r="Z126" s="27"/>
      <c r="AA126" s="27"/>
    </row>
    <row r="127" spans="3:27" x14ac:dyDescent="0.3">
      <c r="C127" s="3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7"/>
      <c r="W127" s="27"/>
      <c r="X127" s="27"/>
      <c r="Y127" s="27"/>
      <c r="Z127" s="27"/>
      <c r="AA127" s="27"/>
    </row>
    <row r="128" spans="3:27" x14ac:dyDescent="0.3">
      <c r="C128" s="3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7"/>
      <c r="W128" s="27"/>
      <c r="X128" s="27"/>
      <c r="Y128" s="27"/>
      <c r="Z128" s="27"/>
      <c r="AA128" s="27"/>
    </row>
    <row r="129" spans="3:27" x14ac:dyDescent="0.3">
      <c r="C129" s="3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  <c r="AA129" s="27"/>
    </row>
    <row r="130" spans="3:27" x14ac:dyDescent="0.3">
      <c r="C130" s="3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  <c r="AA130" s="27"/>
    </row>
    <row r="131" spans="3:27" x14ac:dyDescent="0.3">
      <c r="C131" s="3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7"/>
      <c r="W131" s="27"/>
      <c r="X131" s="27"/>
      <c r="Y131" s="27"/>
      <c r="Z131" s="27"/>
      <c r="AA131" s="27"/>
    </row>
    <row r="132" spans="3:27" x14ac:dyDescent="0.3">
      <c r="C132" s="3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/>
      <c r="Z132" s="27"/>
      <c r="AA132" s="27"/>
    </row>
    <row r="133" spans="3:27" x14ac:dyDescent="0.3">
      <c r="C133" s="3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/>
      <c r="W133" s="27"/>
      <c r="X133" s="27"/>
      <c r="Y133" s="27"/>
      <c r="Z133" s="27"/>
      <c r="AA133" s="27"/>
    </row>
    <row r="134" spans="3:27" x14ac:dyDescent="0.3">
      <c r="C134" s="3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  <c r="AA134" s="27"/>
    </row>
    <row r="135" spans="3:27" x14ac:dyDescent="0.3">
      <c r="C135" s="3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V135" s="27"/>
      <c r="W135" s="27"/>
      <c r="X135" s="27"/>
      <c r="Y135" s="27"/>
      <c r="Z135" s="27"/>
      <c r="AA135" s="27"/>
    </row>
    <row r="136" spans="3:27" x14ac:dyDescent="0.3">
      <c r="C136" s="3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7"/>
      <c r="W136" s="27"/>
      <c r="X136" s="27"/>
      <c r="Y136" s="27"/>
      <c r="Z136" s="27"/>
      <c r="AA136" s="27"/>
    </row>
    <row r="137" spans="3:27" x14ac:dyDescent="0.3">
      <c r="C137" s="3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7"/>
      <c r="W137" s="27"/>
      <c r="X137" s="27"/>
      <c r="Y137" s="27"/>
      <c r="Z137" s="27"/>
      <c r="AA137" s="27"/>
    </row>
    <row r="138" spans="3:27" x14ac:dyDescent="0.3">
      <c r="C138" s="3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7"/>
      <c r="W138" s="27"/>
      <c r="X138" s="27"/>
      <c r="Y138" s="27"/>
      <c r="Z138" s="27"/>
      <c r="AA138" s="27"/>
    </row>
    <row r="139" spans="3:27" x14ac:dyDescent="0.3">
      <c r="C139" s="3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  <c r="AA139" s="27"/>
    </row>
    <row r="140" spans="3:27" x14ac:dyDescent="0.3">
      <c r="C140" s="3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7"/>
      <c r="W140" s="27"/>
      <c r="X140" s="27"/>
      <c r="Y140" s="27"/>
      <c r="Z140" s="27"/>
      <c r="AA140" s="27"/>
    </row>
    <row r="141" spans="3:27" x14ac:dyDescent="0.3">
      <c r="C141" s="3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7"/>
      <c r="W141" s="27"/>
      <c r="X141" s="27"/>
      <c r="Y141" s="27"/>
      <c r="Z141" s="27"/>
      <c r="AA141" s="27"/>
    </row>
    <row r="142" spans="3:27" x14ac:dyDescent="0.3">
      <c r="C142" s="3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7"/>
      <c r="W142" s="27"/>
      <c r="X142" s="27"/>
      <c r="Y142" s="27"/>
      <c r="Z142" s="27"/>
      <c r="AA142" s="27"/>
    </row>
    <row r="143" spans="3:27" x14ac:dyDescent="0.3">
      <c r="C143" s="3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7"/>
      <c r="W143" s="27"/>
      <c r="X143" s="27"/>
      <c r="Y143" s="27"/>
      <c r="Z143" s="27"/>
      <c r="AA143" s="27"/>
    </row>
    <row r="144" spans="3:27" x14ac:dyDescent="0.3">
      <c r="C144" s="3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  <c r="AA144" s="27"/>
    </row>
    <row r="145" spans="3:27" x14ac:dyDescent="0.3">
      <c r="C145" s="3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  <c r="AA145" s="27"/>
    </row>
    <row r="146" spans="3:27" x14ac:dyDescent="0.3">
      <c r="C146" s="3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  <c r="AA146" s="27"/>
    </row>
    <row r="147" spans="3:27" x14ac:dyDescent="0.3">
      <c r="C147" s="3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</row>
    <row r="148" spans="3:27" x14ac:dyDescent="0.3">
      <c r="C148" s="3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7"/>
      <c r="AA148" s="27"/>
    </row>
    <row r="149" spans="3:27" x14ac:dyDescent="0.3">
      <c r="C149" s="3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7"/>
      <c r="W149" s="27"/>
      <c r="X149" s="27"/>
      <c r="Y149" s="27"/>
      <c r="Z149" s="27"/>
      <c r="AA149" s="27"/>
    </row>
    <row r="150" spans="3:27" x14ac:dyDescent="0.3">
      <c r="C150" s="3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7"/>
      <c r="W150" s="27"/>
      <c r="X150" s="27"/>
      <c r="Y150" s="27"/>
      <c r="Z150" s="27"/>
      <c r="AA150" s="27"/>
    </row>
    <row r="151" spans="3:27" x14ac:dyDescent="0.3">
      <c r="C151" s="3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  <c r="AA151" s="27"/>
    </row>
    <row r="152" spans="3:27" x14ac:dyDescent="0.3">
      <c r="C152" s="3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  <c r="AA152" s="27"/>
    </row>
    <row r="153" spans="3:27" x14ac:dyDescent="0.3">
      <c r="C153" s="3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  <c r="AA153" s="27"/>
    </row>
    <row r="154" spans="3:27" x14ac:dyDescent="0.3">
      <c r="C154" s="3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  <c r="AA154" s="27"/>
    </row>
    <row r="155" spans="3:27" x14ac:dyDescent="0.3">
      <c r="C155" s="3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  <c r="AA155" s="27"/>
    </row>
    <row r="156" spans="3:27" x14ac:dyDescent="0.3">
      <c r="C156" s="3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</row>
    <row r="157" spans="3:27" x14ac:dyDescent="0.3">
      <c r="C157" s="3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</row>
    <row r="158" spans="3:27" x14ac:dyDescent="0.3">
      <c r="C158" s="3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  <c r="AA158" s="27"/>
    </row>
    <row r="159" spans="3:27" x14ac:dyDescent="0.3">
      <c r="C159" s="3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  <c r="AA159" s="27"/>
    </row>
    <row r="160" spans="3:27" x14ac:dyDescent="0.3">
      <c r="C160" s="3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  <c r="AA160" s="27"/>
    </row>
    <row r="161" spans="3:27" x14ac:dyDescent="0.3">
      <c r="C161" s="3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  <c r="AA161" s="27"/>
    </row>
    <row r="162" spans="3:27" x14ac:dyDescent="0.3">
      <c r="C162" s="3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7"/>
      <c r="W162" s="27"/>
      <c r="X162" s="27"/>
      <c r="Y162" s="27"/>
      <c r="Z162" s="27"/>
      <c r="AA162" s="27"/>
    </row>
    <row r="163" spans="3:27" x14ac:dyDescent="0.3">
      <c r="C163" s="3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V163" s="27"/>
      <c r="W163" s="27"/>
      <c r="X163" s="27"/>
      <c r="Y163" s="27"/>
      <c r="Z163" s="27"/>
      <c r="AA163" s="27"/>
    </row>
    <row r="164" spans="3:27" x14ac:dyDescent="0.3">
      <c r="C164" s="3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  <c r="AA164" s="27"/>
    </row>
    <row r="165" spans="3:27" x14ac:dyDescent="0.3">
      <c r="C165" s="3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7"/>
      <c r="AA165" s="27"/>
    </row>
    <row r="166" spans="3:27" x14ac:dyDescent="0.3">
      <c r="C166" s="3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  <c r="AA166" s="27"/>
    </row>
    <row r="167" spans="3:27" x14ac:dyDescent="0.3">
      <c r="C167" s="3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  <c r="AA167" s="27"/>
    </row>
    <row r="168" spans="3:27" x14ac:dyDescent="0.3">
      <c r="C168" s="3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  <c r="AA168" s="27"/>
    </row>
    <row r="169" spans="3:27" x14ac:dyDescent="0.3">
      <c r="C169" s="3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7"/>
      <c r="W169" s="27"/>
      <c r="X169" s="27"/>
      <c r="Y169" s="27"/>
      <c r="Z169" s="27"/>
      <c r="AA169" s="27"/>
    </row>
    <row r="170" spans="3:27" x14ac:dyDescent="0.3">
      <c r="C170" s="3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7"/>
      <c r="W170" s="27"/>
      <c r="X170" s="27"/>
      <c r="Y170" s="27"/>
      <c r="Z170" s="27"/>
      <c r="AA170" s="27"/>
    </row>
    <row r="171" spans="3:27" x14ac:dyDescent="0.3">
      <c r="C171" s="3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7"/>
      <c r="W171" s="27"/>
      <c r="X171" s="27"/>
      <c r="Y171" s="27"/>
      <c r="Z171" s="27"/>
      <c r="AA171" s="27"/>
    </row>
    <row r="172" spans="3:27" x14ac:dyDescent="0.3">
      <c r="C172" s="3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  <c r="AA172" s="27"/>
    </row>
    <row r="173" spans="3:27" x14ac:dyDescent="0.3">
      <c r="C173" s="3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7"/>
      <c r="W173" s="27"/>
      <c r="X173" s="27"/>
      <c r="Y173" s="27"/>
      <c r="Z173" s="27"/>
      <c r="AA173" s="27"/>
    </row>
    <row r="174" spans="3:27" x14ac:dyDescent="0.3">
      <c r="C174" s="3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  <c r="AA174" s="27"/>
    </row>
    <row r="175" spans="3:27" x14ac:dyDescent="0.3">
      <c r="C175" s="3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  <c r="AA175" s="27"/>
    </row>
    <row r="176" spans="3:27" x14ac:dyDescent="0.3">
      <c r="C176" s="3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  <c r="AA176" s="27"/>
    </row>
    <row r="177" spans="3:27" x14ac:dyDescent="0.3">
      <c r="C177" s="3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  <c r="AA177" s="27"/>
    </row>
    <row r="178" spans="3:27" x14ac:dyDescent="0.3">
      <c r="C178" s="3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7"/>
      <c r="W178" s="27"/>
      <c r="X178" s="27"/>
      <c r="Y178" s="27"/>
      <c r="Z178" s="27"/>
      <c r="AA178" s="27"/>
    </row>
    <row r="179" spans="3:27" x14ac:dyDescent="0.3">
      <c r="C179" s="3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7"/>
      <c r="W179" s="27"/>
      <c r="X179" s="27"/>
      <c r="Y179" s="27"/>
      <c r="Z179" s="27"/>
      <c r="AA179" s="27"/>
    </row>
    <row r="180" spans="3:27" x14ac:dyDescent="0.3">
      <c r="C180" s="3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7"/>
      <c r="W180" s="27"/>
      <c r="X180" s="27"/>
      <c r="Y180" s="27"/>
      <c r="Z180" s="27"/>
      <c r="AA180" s="27"/>
    </row>
    <row r="181" spans="3:27" x14ac:dyDescent="0.3">
      <c r="C181" s="3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  <c r="AA181" s="27"/>
    </row>
    <row r="182" spans="3:27" x14ac:dyDescent="0.3">
      <c r="C182" s="3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  <c r="AA182" s="27"/>
    </row>
    <row r="183" spans="3:27" x14ac:dyDescent="0.3">
      <c r="C183" s="3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7"/>
      <c r="W183" s="27"/>
      <c r="X183" s="27"/>
      <c r="Y183" s="27"/>
      <c r="Z183" s="27"/>
      <c r="AA183" s="27"/>
    </row>
    <row r="184" spans="3:27" x14ac:dyDescent="0.3">
      <c r="C184" s="3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7"/>
      <c r="W184" s="27"/>
      <c r="X184" s="27"/>
      <c r="Y184" s="27"/>
      <c r="Z184" s="27"/>
      <c r="AA184" s="27"/>
    </row>
    <row r="185" spans="3:27" x14ac:dyDescent="0.3">
      <c r="C185" s="3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7"/>
      <c r="Z185" s="27"/>
      <c r="AA185" s="27"/>
    </row>
    <row r="186" spans="3:27" x14ac:dyDescent="0.3">
      <c r="C186" s="3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7"/>
      <c r="W186" s="27"/>
      <c r="X186" s="27"/>
      <c r="Y186" s="27"/>
      <c r="Z186" s="27"/>
      <c r="AA186" s="27"/>
    </row>
    <row r="187" spans="3:27" x14ac:dyDescent="0.3">
      <c r="C187" s="3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7"/>
      <c r="W187" s="27"/>
      <c r="X187" s="27"/>
      <c r="Y187" s="27"/>
      <c r="Z187" s="27"/>
      <c r="AA187" s="27"/>
    </row>
    <row r="188" spans="3:27" x14ac:dyDescent="0.3">
      <c r="C188" s="3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7"/>
      <c r="W188" s="27"/>
      <c r="X188" s="27"/>
      <c r="Y188" s="27"/>
      <c r="Z188" s="27"/>
      <c r="AA188" s="27"/>
    </row>
    <row r="189" spans="3:27" x14ac:dyDescent="0.3">
      <c r="C189" s="3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V189" s="27"/>
      <c r="W189" s="27"/>
      <c r="X189" s="27"/>
      <c r="Y189" s="27"/>
      <c r="Z189" s="27"/>
      <c r="AA189" s="27"/>
    </row>
    <row r="190" spans="3:27" x14ac:dyDescent="0.3">
      <c r="C190" s="3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7"/>
      <c r="W190" s="27"/>
      <c r="X190" s="27"/>
      <c r="Y190" s="27"/>
      <c r="Z190" s="27"/>
      <c r="AA190" s="27"/>
    </row>
    <row r="191" spans="3:27" x14ac:dyDescent="0.3">
      <c r="C191" s="3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V191" s="27"/>
      <c r="W191" s="27"/>
      <c r="X191" s="27"/>
      <c r="Y191" s="27"/>
      <c r="Z191" s="27"/>
      <c r="AA191" s="27"/>
    </row>
    <row r="192" spans="3:27" x14ac:dyDescent="0.3">
      <c r="C192" s="3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7"/>
      <c r="W192" s="27"/>
      <c r="X192" s="27"/>
      <c r="Y192" s="27"/>
      <c r="Z192" s="27"/>
      <c r="AA192" s="27"/>
    </row>
    <row r="193" spans="3:27" x14ac:dyDescent="0.3">
      <c r="C193" s="3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7"/>
      <c r="W193" s="27"/>
      <c r="X193" s="27"/>
      <c r="Y193" s="27"/>
      <c r="Z193" s="27"/>
      <c r="AA193" s="27"/>
    </row>
    <row r="194" spans="3:27" x14ac:dyDescent="0.3">
      <c r="C194" s="3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7"/>
      <c r="W194" s="27"/>
      <c r="X194" s="27"/>
      <c r="Y194" s="27"/>
      <c r="Z194" s="27"/>
      <c r="AA194" s="27"/>
    </row>
    <row r="195" spans="3:27" x14ac:dyDescent="0.3">
      <c r="C195" s="3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7"/>
      <c r="Z195" s="27"/>
      <c r="AA195" s="27"/>
    </row>
    <row r="196" spans="3:27" x14ac:dyDescent="0.3">
      <c r="C196" s="3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7"/>
      <c r="Z196" s="27"/>
      <c r="AA196" s="27"/>
    </row>
    <row r="197" spans="3:27" x14ac:dyDescent="0.3">
      <c r="C197" s="3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7"/>
      <c r="W197" s="27"/>
      <c r="X197" s="27"/>
      <c r="Y197" s="27"/>
      <c r="Z197" s="27"/>
      <c r="AA197" s="27"/>
    </row>
    <row r="198" spans="3:27" x14ac:dyDescent="0.3">
      <c r="C198" s="3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7"/>
      <c r="W198" s="27"/>
      <c r="X198" s="27"/>
      <c r="Y198" s="27"/>
      <c r="Z198" s="27"/>
      <c r="AA198" s="27"/>
    </row>
    <row r="199" spans="3:27" x14ac:dyDescent="0.3">
      <c r="C199" s="3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V199" s="27"/>
      <c r="W199" s="27"/>
      <c r="X199" s="27"/>
      <c r="Y199" s="27"/>
      <c r="Z199" s="27"/>
      <c r="AA199" s="27"/>
    </row>
    <row r="200" spans="3:27" x14ac:dyDescent="0.3">
      <c r="C200" s="3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7"/>
      <c r="W200" s="27"/>
      <c r="X200" s="27"/>
      <c r="Y200" s="27"/>
      <c r="Z200" s="27"/>
      <c r="AA200" s="27"/>
    </row>
    <row r="201" spans="3:27" x14ac:dyDescent="0.3">
      <c r="C201" s="3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7"/>
      <c r="W201" s="27"/>
      <c r="X201" s="27"/>
      <c r="Y201" s="27"/>
      <c r="Z201" s="27"/>
      <c r="AA201" s="27"/>
    </row>
    <row r="202" spans="3:27" x14ac:dyDescent="0.3">
      <c r="C202" s="3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7"/>
      <c r="W202" s="27"/>
      <c r="X202" s="27"/>
      <c r="Y202" s="27"/>
      <c r="Z202" s="27"/>
      <c r="AA202" s="27"/>
    </row>
    <row r="203" spans="3:27" x14ac:dyDescent="0.3">
      <c r="C203" s="3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/>
      <c r="W203" s="27"/>
      <c r="X203" s="27"/>
      <c r="Y203" s="27"/>
      <c r="Z203" s="27"/>
      <c r="AA203" s="27"/>
    </row>
    <row r="204" spans="3:27" x14ac:dyDescent="0.3">
      <c r="C204" s="3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7"/>
      <c r="W204" s="27"/>
      <c r="X204" s="27"/>
      <c r="Y204" s="27"/>
      <c r="Z204" s="27"/>
      <c r="AA204" s="27"/>
    </row>
    <row r="205" spans="3:27" x14ac:dyDescent="0.3">
      <c r="C205" s="3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  <c r="AA205" s="27"/>
    </row>
    <row r="206" spans="3:27" x14ac:dyDescent="0.3">
      <c r="C206" s="3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7"/>
      <c r="W206" s="27"/>
      <c r="X206" s="27"/>
      <c r="Y206" s="27"/>
      <c r="Z206" s="27"/>
      <c r="AA206" s="27"/>
    </row>
    <row r="207" spans="3:27" x14ac:dyDescent="0.3">
      <c r="C207" s="3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7"/>
      <c r="W207" s="27"/>
      <c r="X207" s="27"/>
      <c r="Y207" s="27"/>
      <c r="Z207" s="27"/>
      <c r="AA207" s="27"/>
    </row>
    <row r="208" spans="3:27" x14ac:dyDescent="0.3">
      <c r="C208" s="3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7"/>
      <c r="W208" s="27"/>
      <c r="X208" s="27"/>
      <c r="Y208" s="27"/>
      <c r="Z208" s="27"/>
      <c r="AA208" s="27"/>
    </row>
    <row r="209" spans="3:27" x14ac:dyDescent="0.3">
      <c r="C209" s="3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7"/>
      <c r="W209" s="27"/>
      <c r="X209" s="27"/>
      <c r="Y209" s="27"/>
      <c r="Z209" s="27"/>
      <c r="AA209" s="27"/>
    </row>
    <row r="210" spans="3:27" x14ac:dyDescent="0.3">
      <c r="C210" s="3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  <c r="AA210" s="27"/>
    </row>
    <row r="211" spans="3:27" x14ac:dyDescent="0.3">
      <c r="C211" s="3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  <c r="AA211" s="27"/>
    </row>
    <row r="212" spans="3:27" x14ac:dyDescent="0.3">
      <c r="C212" s="3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7"/>
      <c r="W212" s="27"/>
      <c r="X212" s="27"/>
      <c r="Y212" s="27"/>
      <c r="Z212" s="27"/>
      <c r="AA212" s="27"/>
    </row>
    <row r="213" spans="3:27" x14ac:dyDescent="0.3">
      <c r="C213" s="3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  <c r="AA213" s="27"/>
    </row>
    <row r="214" spans="3:27" x14ac:dyDescent="0.3">
      <c r="C214" s="3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7"/>
      <c r="W214" s="27"/>
      <c r="X214" s="27"/>
      <c r="Y214" s="27"/>
      <c r="Z214" s="27"/>
      <c r="AA214" s="27"/>
    </row>
    <row r="215" spans="3:27" x14ac:dyDescent="0.3">
      <c r="C215" s="3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  <c r="AA215" s="27"/>
    </row>
    <row r="216" spans="3:27" x14ac:dyDescent="0.3">
      <c r="C216" s="3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7"/>
      <c r="W216" s="27"/>
      <c r="X216" s="27"/>
      <c r="Y216" s="27"/>
      <c r="Z216" s="27"/>
      <c r="AA216" s="27"/>
    </row>
    <row r="217" spans="3:27" x14ac:dyDescent="0.3">
      <c r="C217" s="3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7"/>
      <c r="W217" s="27"/>
      <c r="X217" s="27"/>
      <c r="Y217" s="27"/>
      <c r="Z217" s="27"/>
      <c r="AA217" s="27"/>
    </row>
    <row r="218" spans="3:27" x14ac:dyDescent="0.3">
      <c r="C218" s="3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7"/>
      <c r="W218" s="27"/>
      <c r="X218" s="27"/>
      <c r="Y218" s="27"/>
      <c r="Z218" s="27"/>
      <c r="AA218" s="27"/>
    </row>
    <row r="219" spans="3:27" x14ac:dyDescent="0.3">
      <c r="C219" s="3"/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7"/>
      <c r="W219" s="27"/>
      <c r="X219" s="27"/>
      <c r="Y219" s="27"/>
      <c r="Z219" s="27"/>
      <c r="AA219" s="27"/>
    </row>
    <row r="220" spans="3:27" x14ac:dyDescent="0.3">
      <c r="C220" s="3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  <c r="AA220" s="27"/>
    </row>
    <row r="221" spans="3:27" x14ac:dyDescent="0.3">
      <c r="C221" s="3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7"/>
      <c r="W221" s="27"/>
      <c r="X221" s="27"/>
      <c r="Y221" s="27"/>
      <c r="Z221" s="27"/>
      <c r="AA221" s="27"/>
    </row>
    <row r="222" spans="3:27" x14ac:dyDescent="0.3">
      <c r="C222" s="3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  <c r="AA222" s="27"/>
    </row>
    <row r="223" spans="3:27" x14ac:dyDescent="0.3">
      <c r="C223" s="3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  <c r="AA223" s="27"/>
    </row>
    <row r="224" spans="3:27" x14ac:dyDescent="0.3">
      <c r="C224" s="3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7"/>
      <c r="W224" s="27"/>
      <c r="X224" s="27"/>
      <c r="Y224" s="27"/>
      <c r="Z224" s="27"/>
      <c r="AA224" s="27"/>
    </row>
    <row r="225" spans="3:27" x14ac:dyDescent="0.3">
      <c r="C225" s="3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  <c r="AA225" s="27"/>
    </row>
    <row r="226" spans="3:27" x14ac:dyDescent="0.3">
      <c r="C226" s="3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7"/>
      <c r="W226" s="27"/>
      <c r="X226" s="27"/>
      <c r="Y226" s="27"/>
      <c r="Z226" s="27"/>
      <c r="AA226" s="27"/>
    </row>
    <row r="227" spans="3:27" x14ac:dyDescent="0.3">
      <c r="C227" s="3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27"/>
      <c r="Z227" s="27"/>
      <c r="AA227" s="27"/>
    </row>
    <row r="228" spans="3:27" x14ac:dyDescent="0.3">
      <c r="C228" s="3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7"/>
      <c r="Z228" s="27"/>
      <c r="AA228" s="27"/>
    </row>
    <row r="229" spans="3:27" x14ac:dyDescent="0.3">
      <c r="C229" s="3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27"/>
      <c r="Z229" s="27"/>
      <c r="AA229" s="27"/>
    </row>
    <row r="230" spans="3:27" x14ac:dyDescent="0.3">
      <c r="C230" s="3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  <c r="AA230" s="27"/>
    </row>
    <row r="231" spans="3:27" x14ac:dyDescent="0.3">
      <c r="C231" s="3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  <c r="AA231" s="27"/>
    </row>
    <row r="232" spans="3:27" x14ac:dyDescent="0.3">
      <c r="C232" s="3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/>
      <c r="W232" s="27"/>
      <c r="X232" s="27"/>
      <c r="Y232" s="27"/>
      <c r="Z232" s="27"/>
      <c r="AA232" s="27"/>
    </row>
    <row r="233" spans="3:27" x14ac:dyDescent="0.3">
      <c r="C233" s="3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  <c r="AA233" s="27"/>
    </row>
    <row r="234" spans="3:27" x14ac:dyDescent="0.3">
      <c r="C234" s="3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  <c r="AA234" s="27"/>
    </row>
    <row r="235" spans="3:27" x14ac:dyDescent="0.3">
      <c r="C235" s="3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/>
      <c r="Z235" s="27"/>
      <c r="AA235" s="27"/>
    </row>
    <row r="236" spans="3:27" x14ac:dyDescent="0.3">
      <c r="C236" s="3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7"/>
      <c r="W236" s="27"/>
      <c r="X236" s="27"/>
      <c r="Y236" s="27"/>
      <c r="Z236" s="27"/>
      <c r="AA236" s="27"/>
    </row>
    <row r="237" spans="3:27" x14ac:dyDescent="0.3">
      <c r="C237" s="3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V237" s="27"/>
      <c r="W237" s="27"/>
      <c r="X237" s="27"/>
      <c r="Y237" s="27"/>
      <c r="Z237" s="27"/>
      <c r="AA237" s="27"/>
    </row>
    <row r="238" spans="3:27" x14ac:dyDescent="0.3">
      <c r="C238" s="3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  <c r="AA238" s="27"/>
    </row>
    <row r="239" spans="3:27" x14ac:dyDescent="0.3">
      <c r="C239" s="3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V239" s="27"/>
      <c r="W239" s="27"/>
      <c r="X239" s="27"/>
      <c r="Y239" s="27"/>
      <c r="Z239" s="27"/>
      <c r="AA239" s="27"/>
    </row>
    <row r="240" spans="3:27" x14ac:dyDescent="0.3">
      <c r="C240" s="3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7"/>
      <c r="W240" s="27"/>
      <c r="X240" s="27"/>
      <c r="Y240" s="27"/>
      <c r="Z240" s="27"/>
      <c r="AA240" s="27"/>
    </row>
    <row r="241" spans="3:27" x14ac:dyDescent="0.3">
      <c r="C241" s="3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7"/>
      <c r="Z241" s="27"/>
      <c r="AA241" s="27"/>
    </row>
    <row r="242" spans="3:27" x14ac:dyDescent="0.3">
      <c r="C242" s="3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7"/>
      <c r="W242" s="27"/>
      <c r="X242" s="27"/>
      <c r="Y242" s="27"/>
      <c r="Z242" s="27"/>
      <c r="AA242" s="27"/>
    </row>
    <row r="243" spans="3:27" x14ac:dyDescent="0.3">
      <c r="C243" s="3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  <c r="AA243" s="27"/>
    </row>
    <row r="244" spans="3:27" x14ac:dyDescent="0.3">
      <c r="C244" s="3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7"/>
      <c r="W244" s="27"/>
      <c r="X244" s="27"/>
      <c r="Y244" s="27"/>
      <c r="Z244" s="27"/>
      <c r="AA244" s="27"/>
    </row>
    <row r="245" spans="3:27" x14ac:dyDescent="0.3">
      <c r="C245" s="3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V245" s="27"/>
      <c r="W245" s="27"/>
      <c r="X245" s="27"/>
      <c r="Y245" s="27"/>
      <c r="Z245" s="27"/>
      <c r="AA245" s="27"/>
    </row>
    <row r="246" spans="3:27" x14ac:dyDescent="0.3">
      <c r="C246" s="3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7"/>
      <c r="W246" s="27"/>
      <c r="X246" s="27"/>
      <c r="Y246" s="27"/>
      <c r="Z246" s="27"/>
      <c r="AA246" s="27"/>
    </row>
    <row r="247" spans="3:27" x14ac:dyDescent="0.3">
      <c r="C247" s="3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7"/>
      <c r="W247" s="27"/>
      <c r="X247" s="27"/>
      <c r="Y247" s="27"/>
      <c r="Z247" s="27"/>
      <c r="AA247" s="27"/>
    </row>
    <row r="248" spans="3:27" x14ac:dyDescent="0.3">
      <c r="C248" s="3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  <c r="AA248" s="27"/>
    </row>
    <row r="249" spans="3:27" x14ac:dyDescent="0.3">
      <c r="C249" s="3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7"/>
      <c r="W249" s="27"/>
      <c r="X249" s="27"/>
      <c r="Y249" s="27"/>
      <c r="Z249" s="27"/>
      <c r="AA249" s="27"/>
    </row>
    <row r="250" spans="3:27" x14ac:dyDescent="0.3">
      <c r="C250" s="3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7"/>
      <c r="W250" s="27"/>
      <c r="X250" s="27"/>
      <c r="Y250" s="27"/>
      <c r="Z250" s="27"/>
      <c r="AA250" s="27"/>
    </row>
    <row r="251" spans="3:27" x14ac:dyDescent="0.3">
      <c r="C251" s="3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7"/>
      <c r="Z251" s="27"/>
      <c r="AA251" s="27"/>
    </row>
    <row r="252" spans="3:27" x14ac:dyDescent="0.3">
      <c r="C252" s="3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/>
      <c r="AA252" s="27"/>
    </row>
    <row r="253" spans="3:27" x14ac:dyDescent="0.3">
      <c r="C253" s="3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  <c r="AA253" s="27"/>
    </row>
    <row r="254" spans="3:27" x14ac:dyDescent="0.3">
      <c r="C254" s="3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/>
      <c r="AA254" s="27"/>
    </row>
    <row r="255" spans="3:27" x14ac:dyDescent="0.3">
      <c r="C255" s="3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  <c r="AA255" s="27"/>
    </row>
    <row r="256" spans="3:27" x14ac:dyDescent="0.3">
      <c r="C256" s="3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  <c r="AA256" s="27"/>
    </row>
    <row r="257" spans="3:27" x14ac:dyDescent="0.3">
      <c r="C257" s="3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  <c r="AA257" s="27"/>
    </row>
    <row r="258" spans="3:27" x14ac:dyDescent="0.3">
      <c r="C258" s="3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  <c r="AA258" s="27"/>
    </row>
    <row r="259" spans="3:27" x14ac:dyDescent="0.3">
      <c r="C259" s="3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  <c r="AA259" s="27"/>
    </row>
    <row r="260" spans="3:27" x14ac:dyDescent="0.3">
      <c r="C260" s="3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  <c r="AA260" s="27"/>
    </row>
    <row r="261" spans="3:27" x14ac:dyDescent="0.3">
      <c r="C261" s="3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  <c r="AA261" s="27"/>
    </row>
    <row r="262" spans="3:27" x14ac:dyDescent="0.3">
      <c r="C262" s="3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  <c r="AA262" s="27"/>
    </row>
    <row r="263" spans="3:27" x14ac:dyDescent="0.3">
      <c r="C263" s="3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  <c r="AA263" s="27"/>
    </row>
    <row r="264" spans="3:27" x14ac:dyDescent="0.3">
      <c r="C264" s="3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  <c r="AA264" s="27"/>
    </row>
    <row r="265" spans="3:27" x14ac:dyDescent="0.3">
      <c r="C265" s="3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  <c r="AA265" s="27"/>
    </row>
    <row r="266" spans="3:27" x14ac:dyDescent="0.3">
      <c r="C266" s="3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  <c r="AA266" s="27"/>
    </row>
    <row r="267" spans="3:27" x14ac:dyDescent="0.3">
      <c r="C267" s="3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  <c r="AA267" s="27"/>
    </row>
    <row r="268" spans="3:27" x14ac:dyDescent="0.3">
      <c r="C268" s="3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</row>
    <row r="269" spans="3:27" x14ac:dyDescent="0.3">
      <c r="C269" s="3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  <c r="AA269" s="27"/>
    </row>
    <row r="270" spans="3:27" x14ac:dyDescent="0.3">
      <c r="C270" s="3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  <c r="AA270" s="27"/>
    </row>
    <row r="271" spans="3:27" x14ac:dyDescent="0.3">
      <c r="C271" s="3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  <c r="AA271" s="27"/>
    </row>
    <row r="272" spans="3:27" x14ac:dyDescent="0.3">
      <c r="C272" s="3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  <c r="AA272" s="27"/>
    </row>
    <row r="273" spans="3:27" x14ac:dyDescent="0.3">
      <c r="C273" s="3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  <c r="AA273" s="27"/>
    </row>
    <row r="274" spans="3:27" x14ac:dyDescent="0.3">
      <c r="C274" s="3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  <c r="AA274" s="27"/>
    </row>
    <row r="275" spans="3:27" x14ac:dyDescent="0.3">
      <c r="C275" s="3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  <c r="AA275" s="27"/>
    </row>
    <row r="276" spans="3:27" x14ac:dyDescent="0.3">
      <c r="C276" s="3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</row>
    <row r="277" spans="3:27" x14ac:dyDescent="0.3">
      <c r="C277" s="3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</row>
    <row r="278" spans="3:27" x14ac:dyDescent="0.3">
      <c r="C278" s="3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  <c r="AA278" s="27"/>
    </row>
    <row r="279" spans="3:27" x14ac:dyDescent="0.3">
      <c r="C279" s="3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</row>
    <row r="280" spans="3:27" x14ac:dyDescent="0.3">
      <c r="C280" s="3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</row>
    <row r="281" spans="3:27" x14ac:dyDescent="0.3">
      <c r="C281" s="3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</row>
    <row r="282" spans="3:27" x14ac:dyDescent="0.3">
      <c r="C282" s="3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</row>
    <row r="283" spans="3:27" x14ac:dyDescent="0.3">
      <c r="C283" s="3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</row>
    <row r="284" spans="3:27" x14ac:dyDescent="0.3">
      <c r="C284" s="3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</row>
    <row r="285" spans="3:27" x14ac:dyDescent="0.3">
      <c r="C285" s="3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</row>
    <row r="286" spans="3:27" x14ac:dyDescent="0.3">
      <c r="C286" s="3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</row>
    <row r="287" spans="3:27" x14ac:dyDescent="0.3">
      <c r="C287" s="3"/>
      <c r="D287" s="27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</row>
    <row r="288" spans="3:27" x14ac:dyDescent="0.3">
      <c r="C288" s="3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</row>
    <row r="289" spans="3:27" x14ac:dyDescent="0.3">
      <c r="C289" s="3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</row>
    <row r="290" spans="3:27" x14ac:dyDescent="0.3">
      <c r="C290" s="3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</row>
    <row r="291" spans="3:27" x14ac:dyDescent="0.3">
      <c r="C291" s="3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</row>
    <row r="292" spans="3:27" x14ac:dyDescent="0.3">
      <c r="C292" s="3"/>
      <c r="D292" s="27"/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</row>
    <row r="293" spans="3:27" x14ac:dyDescent="0.3">
      <c r="C293" s="3"/>
      <c r="D293" s="27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</row>
    <row r="294" spans="3:27" x14ac:dyDescent="0.3">
      <c r="C294" s="3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</row>
    <row r="295" spans="3:27" x14ac:dyDescent="0.3">
      <c r="C295" s="3"/>
      <c r="D295" s="27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</row>
    <row r="296" spans="3:27" x14ac:dyDescent="0.3">
      <c r="C296" s="3"/>
      <c r="D296" s="27"/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</row>
    <row r="297" spans="3:27" x14ac:dyDescent="0.3">
      <c r="C297" s="3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</row>
    <row r="298" spans="3:27" x14ac:dyDescent="0.3">
      <c r="C298" s="3"/>
      <c r="D298" s="27"/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</row>
    <row r="299" spans="3:27" x14ac:dyDescent="0.3">
      <c r="C299" s="3"/>
      <c r="D299" s="27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</row>
    <row r="300" spans="3:27" x14ac:dyDescent="0.3">
      <c r="C300" s="3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</row>
    <row r="301" spans="3:27" x14ac:dyDescent="0.3">
      <c r="C301" s="3"/>
      <c r="D301" s="27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</row>
    <row r="302" spans="3:27" x14ac:dyDescent="0.3">
      <c r="C302" s="3"/>
      <c r="D302" s="27"/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</row>
    <row r="303" spans="3:27" x14ac:dyDescent="0.3">
      <c r="C303" s="3"/>
      <c r="D303" s="27"/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</row>
    <row r="304" spans="3:27" x14ac:dyDescent="0.3">
      <c r="C304" s="3"/>
      <c r="D304" s="27"/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</row>
    <row r="305" spans="3:27" x14ac:dyDescent="0.3">
      <c r="C305" s="3"/>
      <c r="D305" s="27"/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</row>
    <row r="306" spans="3:27" x14ac:dyDescent="0.3">
      <c r="C306" s="3"/>
      <c r="D306" s="27"/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</row>
    <row r="307" spans="3:27" x14ac:dyDescent="0.3">
      <c r="C307" s="3"/>
      <c r="D307" s="27"/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</row>
    <row r="308" spans="3:27" x14ac:dyDescent="0.3">
      <c r="C308" s="3"/>
      <c r="D308" s="27"/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</row>
    <row r="309" spans="3:27" x14ac:dyDescent="0.3">
      <c r="C309" s="3"/>
      <c r="D309" s="27"/>
      <c r="E309" s="27"/>
      <c r="F309" s="27"/>
      <c r="G309" s="27"/>
      <c r="H309" s="27"/>
      <c r="I309" s="27"/>
      <c r="J309" s="27"/>
      <c r="K309" s="27"/>
      <c r="L309" s="27"/>
      <c r="M309" s="27"/>
      <c r="N309" s="27"/>
      <c r="O309" s="27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</row>
    <row r="310" spans="3:27" x14ac:dyDescent="0.3">
      <c r="C310" s="3"/>
      <c r="D310" s="27"/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</row>
    <row r="311" spans="3:27" x14ac:dyDescent="0.3">
      <c r="C311" s="3"/>
      <c r="D311" s="27"/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</row>
    <row r="312" spans="3:27" x14ac:dyDescent="0.3">
      <c r="C312" s="3"/>
      <c r="D312" s="27"/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</row>
    <row r="313" spans="3:27" x14ac:dyDescent="0.3">
      <c r="C313" s="3"/>
      <c r="D313" s="27"/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</row>
    <row r="314" spans="3:27" x14ac:dyDescent="0.3">
      <c r="C314" s="3"/>
      <c r="D314" s="27"/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</row>
    <row r="315" spans="3:27" x14ac:dyDescent="0.3">
      <c r="C315" s="3"/>
      <c r="D315" s="27"/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</row>
    <row r="316" spans="3:27" x14ac:dyDescent="0.3">
      <c r="C316" s="3"/>
      <c r="D316" s="27"/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</row>
    <row r="317" spans="3:27" x14ac:dyDescent="0.3">
      <c r="C317" s="3"/>
      <c r="D317" s="27"/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</row>
    <row r="318" spans="3:27" x14ac:dyDescent="0.3">
      <c r="C318" s="3"/>
      <c r="D318" s="27"/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</row>
    <row r="319" spans="3:27" x14ac:dyDescent="0.3">
      <c r="C319" s="3"/>
      <c r="D319" s="27"/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  <c r="AA319" s="27"/>
    </row>
    <row r="320" spans="3:27" x14ac:dyDescent="0.3">
      <c r="C320" s="3"/>
      <c r="D320" s="27"/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  <c r="AA320" s="27"/>
    </row>
    <row r="321" spans="3:27" x14ac:dyDescent="0.3">
      <c r="C321" s="3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  <c r="AA321" s="27"/>
    </row>
    <row r="322" spans="3:27" x14ac:dyDescent="0.3">
      <c r="C322" s="3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  <c r="AA322" s="27"/>
    </row>
    <row r="323" spans="3:27" x14ac:dyDescent="0.3">
      <c r="C323" s="3"/>
      <c r="D323" s="27"/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  <c r="AA323" s="27"/>
    </row>
    <row r="324" spans="3:27" x14ac:dyDescent="0.3">
      <c r="C324" s="3"/>
      <c r="D324" s="27"/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  <c r="AA324" s="27"/>
    </row>
    <row r="325" spans="3:27" x14ac:dyDescent="0.3">
      <c r="C325" s="3"/>
      <c r="D325" s="27"/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  <c r="AA325" s="27"/>
    </row>
    <row r="326" spans="3:27" x14ac:dyDescent="0.3">
      <c r="C326" s="3"/>
      <c r="D326" s="27"/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  <c r="AA326" s="27"/>
    </row>
    <row r="327" spans="3:27" x14ac:dyDescent="0.3">
      <c r="C327" s="3"/>
      <c r="D327" s="27"/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  <c r="AA327" s="27"/>
    </row>
    <row r="328" spans="3:27" x14ac:dyDescent="0.3">
      <c r="C328" s="3"/>
      <c r="D328" s="27"/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7"/>
      <c r="W328" s="27"/>
      <c r="X328" s="27"/>
      <c r="Y328" s="27"/>
      <c r="Z328" s="27"/>
      <c r="AA328" s="27"/>
    </row>
    <row r="329" spans="3:27" x14ac:dyDescent="0.3">
      <c r="C329" s="3"/>
      <c r="D329" s="27"/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P329" s="27"/>
      <c r="Q329" s="27"/>
      <c r="R329" s="27"/>
      <c r="S329" s="27"/>
      <c r="T329" s="27"/>
      <c r="U329" s="27"/>
      <c r="V329" s="27"/>
      <c r="W329" s="27"/>
      <c r="X329" s="27"/>
      <c r="Y329" s="27"/>
      <c r="Z329" s="27"/>
      <c r="AA329" s="27"/>
    </row>
    <row r="330" spans="3:27" x14ac:dyDescent="0.3">
      <c r="C330" s="3"/>
      <c r="D330" s="27"/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7"/>
      <c r="W330" s="27"/>
      <c r="X330" s="27"/>
      <c r="Y330" s="27"/>
      <c r="Z330" s="27"/>
      <c r="AA330" s="27"/>
    </row>
    <row r="331" spans="3:27" x14ac:dyDescent="0.3">
      <c r="C331" s="3"/>
      <c r="D331" s="27"/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P331" s="27"/>
      <c r="Q331" s="27"/>
      <c r="R331" s="27"/>
      <c r="S331" s="27"/>
      <c r="T331" s="27"/>
      <c r="U331" s="27"/>
      <c r="V331" s="27"/>
      <c r="W331" s="27"/>
      <c r="X331" s="27"/>
      <c r="Y331" s="27"/>
      <c r="Z331" s="27"/>
      <c r="AA331" s="27"/>
    </row>
    <row r="332" spans="3:27" x14ac:dyDescent="0.3">
      <c r="C332" s="3"/>
      <c r="D332" s="27"/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7"/>
      <c r="W332" s="27"/>
      <c r="X332" s="27"/>
      <c r="Y332" s="27"/>
      <c r="Z332" s="27"/>
      <c r="AA332" s="27"/>
    </row>
    <row r="333" spans="3:27" x14ac:dyDescent="0.3">
      <c r="C333" s="3"/>
      <c r="D333" s="27"/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P333" s="27"/>
      <c r="Q333" s="27"/>
      <c r="R333" s="27"/>
      <c r="S333" s="27"/>
      <c r="T333" s="27"/>
      <c r="U333" s="27"/>
      <c r="V333" s="27"/>
      <c r="W333" s="27"/>
      <c r="X333" s="27"/>
      <c r="Y333" s="27"/>
      <c r="Z333" s="27"/>
      <c r="AA333" s="27"/>
    </row>
    <row r="334" spans="3:27" x14ac:dyDescent="0.3">
      <c r="C334" s="3"/>
      <c r="D334" s="27"/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7"/>
      <c r="W334" s="27"/>
      <c r="X334" s="27"/>
      <c r="Y334" s="27"/>
      <c r="Z334" s="27"/>
      <c r="AA334" s="27"/>
    </row>
    <row r="335" spans="3:27" x14ac:dyDescent="0.3">
      <c r="C335" s="3"/>
      <c r="D335" s="27"/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P335" s="27"/>
      <c r="Q335" s="27"/>
      <c r="R335" s="27"/>
      <c r="S335" s="27"/>
      <c r="T335" s="27"/>
      <c r="U335" s="27"/>
      <c r="V335" s="27"/>
      <c r="W335" s="27"/>
      <c r="X335" s="27"/>
      <c r="Y335" s="27"/>
      <c r="Z335" s="27"/>
      <c r="AA335" s="27"/>
    </row>
    <row r="336" spans="3:27" x14ac:dyDescent="0.3">
      <c r="C336" s="3"/>
      <c r="D336" s="27"/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7"/>
      <c r="W336" s="27"/>
      <c r="X336" s="27"/>
      <c r="Y336" s="27"/>
      <c r="Z336" s="27"/>
      <c r="AA336" s="27"/>
    </row>
    <row r="337" spans="3:27" x14ac:dyDescent="0.3">
      <c r="C337" s="3"/>
      <c r="D337" s="27"/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P337" s="27"/>
      <c r="Q337" s="27"/>
      <c r="R337" s="27"/>
      <c r="S337" s="27"/>
      <c r="T337" s="27"/>
      <c r="U337" s="27"/>
      <c r="V337" s="27"/>
      <c r="W337" s="27"/>
      <c r="X337" s="27"/>
      <c r="Y337" s="27"/>
      <c r="Z337" s="27"/>
      <c r="AA337" s="27"/>
    </row>
    <row r="338" spans="3:27" x14ac:dyDescent="0.3">
      <c r="C338" s="3"/>
      <c r="D338" s="27"/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7"/>
      <c r="W338" s="27"/>
      <c r="X338" s="27"/>
      <c r="Y338" s="27"/>
      <c r="Z338" s="27"/>
      <c r="AA338" s="27"/>
    </row>
    <row r="339" spans="3:27" x14ac:dyDescent="0.3">
      <c r="C339" s="3"/>
      <c r="D339" s="27"/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P339" s="27"/>
      <c r="Q339" s="27"/>
      <c r="R339" s="27"/>
      <c r="S339" s="27"/>
      <c r="T339" s="27"/>
      <c r="U339" s="27"/>
      <c r="V339" s="27"/>
      <c r="W339" s="27"/>
      <c r="X339" s="27"/>
      <c r="Y339" s="27"/>
      <c r="Z339" s="27"/>
      <c r="AA339" s="27"/>
    </row>
    <row r="340" spans="3:27" x14ac:dyDescent="0.3">
      <c r="C340" s="3"/>
      <c r="D340" s="27"/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7"/>
      <c r="W340" s="27"/>
      <c r="X340" s="27"/>
      <c r="Y340" s="27"/>
      <c r="Z340" s="27"/>
      <c r="AA340" s="27"/>
    </row>
    <row r="341" spans="3:27" x14ac:dyDescent="0.3">
      <c r="C341" s="3"/>
      <c r="D341" s="27"/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P341" s="27"/>
      <c r="Q341" s="27"/>
      <c r="R341" s="27"/>
      <c r="S341" s="27"/>
      <c r="T341" s="27"/>
      <c r="U341" s="27"/>
      <c r="V341" s="27"/>
      <c r="W341" s="27"/>
      <c r="X341" s="27"/>
      <c r="Y341" s="27"/>
      <c r="Z341" s="27"/>
      <c r="AA341" s="27"/>
    </row>
    <row r="342" spans="3:27" x14ac:dyDescent="0.3">
      <c r="C342" s="3"/>
      <c r="D342" s="27"/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7"/>
      <c r="W342" s="27"/>
      <c r="X342" s="27"/>
      <c r="Y342" s="27"/>
      <c r="Z342" s="27"/>
      <c r="AA342" s="27"/>
    </row>
    <row r="343" spans="3:27" x14ac:dyDescent="0.3">
      <c r="C343" s="3"/>
      <c r="D343" s="27"/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P343" s="27"/>
      <c r="Q343" s="27"/>
      <c r="R343" s="27"/>
      <c r="S343" s="27"/>
      <c r="T343" s="27"/>
      <c r="U343" s="27"/>
      <c r="V343" s="27"/>
      <c r="W343" s="27"/>
      <c r="X343" s="27"/>
      <c r="Y343" s="27"/>
      <c r="Z343" s="27"/>
      <c r="AA343" s="27"/>
    </row>
    <row r="344" spans="3:27" x14ac:dyDescent="0.3">
      <c r="C344" s="3"/>
      <c r="D344" s="27"/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7"/>
      <c r="W344" s="27"/>
      <c r="X344" s="27"/>
      <c r="Y344" s="27"/>
      <c r="Z344" s="27"/>
      <c r="AA344" s="27"/>
    </row>
    <row r="345" spans="3:27" x14ac:dyDescent="0.3">
      <c r="C345" s="3"/>
      <c r="D345" s="27"/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P345" s="27"/>
      <c r="Q345" s="27"/>
      <c r="R345" s="27"/>
      <c r="S345" s="27"/>
      <c r="T345" s="27"/>
      <c r="U345" s="27"/>
      <c r="V345" s="27"/>
      <c r="W345" s="27"/>
      <c r="X345" s="27"/>
      <c r="Y345" s="27"/>
      <c r="Z345" s="27"/>
      <c r="AA345" s="27"/>
    </row>
    <row r="346" spans="3:27" x14ac:dyDescent="0.3">
      <c r="C346" s="3"/>
      <c r="D346" s="27"/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7"/>
      <c r="W346" s="27"/>
      <c r="X346" s="27"/>
      <c r="Y346" s="27"/>
      <c r="Z346" s="27"/>
      <c r="AA346" s="27"/>
    </row>
    <row r="347" spans="3:27" x14ac:dyDescent="0.3">
      <c r="C347" s="3"/>
      <c r="D347" s="27"/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P347" s="27"/>
      <c r="Q347" s="27"/>
      <c r="R347" s="27"/>
      <c r="S347" s="27"/>
      <c r="T347" s="27"/>
      <c r="U347" s="27"/>
      <c r="V347" s="27"/>
      <c r="W347" s="27"/>
      <c r="X347" s="27"/>
      <c r="Y347" s="27"/>
      <c r="Z347" s="27"/>
      <c r="AA347" s="27"/>
    </row>
    <row r="348" spans="3:27" x14ac:dyDescent="0.3">
      <c r="C348" s="3"/>
      <c r="D348" s="27"/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7"/>
      <c r="W348" s="27"/>
      <c r="X348" s="27"/>
      <c r="Y348" s="27"/>
      <c r="Z348" s="27"/>
      <c r="AA348" s="27"/>
    </row>
    <row r="349" spans="3:27" x14ac:dyDescent="0.3">
      <c r="C349" s="3"/>
      <c r="D349" s="27"/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P349" s="27"/>
      <c r="Q349" s="27"/>
      <c r="R349" s="27"/>
      <c r="S349" s="27"/>
      <c r="T349" s="27"/>
      <c r="U349" s="27"/>
      <c r="V349" s="27"/>
      <c r="W349" s="27"/>
      <c r="X349" s="27"/>
      <c r="Y349" s="27"/>
      <c r="Z349" s="27"/>
      <c r="AA349" s="27"/>
    </row>
    <row r="350" spans="3:27" x14ac:dyDescent="0.3">
      <c r="C350" s="3"/>
      <c r="D350" s="27"/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7"/>
      <c r="W350" s="27"/>
      <c r="X350" s="27"/>
      <c r="Y350" s="27"/>
      <c r="Z350" s="27"/>
      <c r="AA350" s="27"/>
    </row>
    <row r="351" spans="3:27" x14ac:dyDescent="0.3">
      <c r="C351" s="3"/>
      <c r="D351" s="27"/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P351" s="27"/>
      <c r="Q351" s="27"/>
      <c r="R351" s="27"/>
      <c r="S351" s="27"/>
      <c r="T351" s="27"/>
      <c r="U351" s="27"/>
      <c r="V351" s="27"/>
      <c r="W351" s="27"/>
      <c r="X351" s="27"/>
      <c r="Y351" s="27"/>
      <c r="Z351" s="27"/>
      <c r="AA351" s="27"/>
    </row>
    <row r="352" spans="3:27" x14ac:dyDescent="0.3">
      <c r="C352" s="3"/>
      <c r="D352" s="27"/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7"/>
      <c r="W352" s="27"/>
      <c r="X352" s="27"/>
      <c r="Y352" s="27"/>
      <c r="Z352" s="27"/>
      <c r="AA352" s="27"/>
    </row>
    <row r="353" spans="3:27" x14ac:dyDescent="0.3">
      <c r="C353" s="3"/>
      <c r="D353" s="27"/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P353" s="27"/>
      <c r="Q353" s="27"/>
      <c r="R353" s="27"/>
      <c r="S353" s="27"/>
      <c r="T353" s="27"/>
      <c r="U353" s="27"/>
      <c r="V353" s="27"/>
      <c r="W353" s="27"/>
      <c r="X353" s="27"/>
      <c r="Y353" s="27"/>
      <c r="Z353" s="27"/>
      <c r="AA353" s="27"/>
    </row>
    <row r="354" spans="3:27" x14ac:dyDescent="0.3">
      <c r="C354" s="3"/>
      <c r="D354" s="27"/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7"/>
      <c r="W354" s="27"/>
      <c r="X354" s="27"/>
      <c r="Y354" s="27"/>
      <c r="Z354" s="27"/>
      <c r="AA354" s="27"/>
    </row>
    <row r="355" spans="3:27" x14ac:dyDescent="0.3">
      <c r="C355" s="3"/>
      <c r="D355" s="27"/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P355" s="27"/>
      <c r="Q355" s="27"/>
      <c r="R355" s="27"/>
      <c r="S355" s="27"/>
      <c r="T355" s="27"/>
      <c r="U355" s="27"/>
      <c r="V355" s="27"/>
      <c r="W355" s="27"/>
      <c r="X355" s="27"/>
      <c r="Y355" s="27"/>
      <c r="Z355" s="27"/>
      <c r="AA355" s="27"/>
    </row>
    <row r="356" spans="3:27" x14ac:dyDescent="0.3">
      <c r="C356" s="3"/>
      <c r="D356" s="27"/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7"/>
      <c r="W356" s="27"/>
      <c r="X356" s="27"/>
      <c r="Y356" s="27"/>
      <c r="Z356" s="27"/>
      <c r="AA356" s="27"/>
    </row>
    <row r="357" spans="3:27" x14ac:dyDescent="0.3">
      <c r="C357" s="3"/>
      <c r="D357" s="27"/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P357" s="27"/>
      <c r="Q357" s="27"/>
      <c r="R357" s="27"/>
      <c r="S357" s="27"/>
      <c r="T357" s="27"/>
      <c r="U357" s="27"/>
      <c r="V357" s="27"/>
      <c r="W357" s="27"/>
      <c r="X357" s="27"/>
      <c r="Y357" s="27"/>
      <c r="Z357" s="27"/>
      <c r="AA357" s="27"/>
    </row>
    <row r="358" spans="3:27" x14ac:dyDescent="0.3">
      <c r="C358" s="3"/>
      <c r="D358" s="27"/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7"/>
      <c r="W358" s="27"/>
      <c r="X358" s="27"/>
      <c r="Y358" s="27"/>
      <c r="Z358" s="27"/>
      <c r="AA358" s="27"/>
    </row>
    <row r="359" spans="3:27" x14ac:dyDescent="0.3">
      <c r="C359" s="3"/>
      <c r="D359" s="27"/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P359" s="27"/>
      <c r="Q359" s="27"/>
      <c r="R359" s="27"/>
      <c r="S359" s="27"/>
      <c r="T359" s="27"/>
      <c r="U359" s="27"/>
      <c r="V359" s="27"/>
      <c r="W359" s="27"/>
      <c r="X359" s="27"/>
      <c r="Y359" s="27"/>
      <c r="Z359" s="27"/>
      <c r="AA359" s="27"/>
    </row>
    <row r="360" spans="3:27" x14ac:dyDescent="0.3">
      <c r="C360" s="3"/>
      <c r="D360" s="27"/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7"/>
      <c r="W360" s="27"/>
      <c r="X360" s="27"/>
      <c r="Y360" s="27"/>
      <c r="Z360" s="27"/>
      <c r="AA360" s="27"/>
    </row>
    <row r="361" spans="3:27" x14ac:dyDescent="0.3">
      <c r="C361" s="3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P361" s="27"/>
      <c r="Q361" s="27"/>
      <c r="R361" s="27"/>
      <c r="S361" s="27"/>
      <c r="T361" s="27"/>
      <c r="U361" s="27"/>
      <c r="V361" s="27"/>
      <c r="W361" s="27"/>
      <c r="X361" s="27"/>
      <c r="Y361" s="27"/>
      <c r="Z361" s="27"/>
      <c r="AA361" s="27"/>
    </row>
    <row r="362" spans="3:27" x14ac:dyDescent="0.3">
      <c r="C362" s="3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7"/>
      <c r="W362" s="27"/>
      <c r="X362" s="27"/>
      <c r="Y362" s="27"/>
      <c r="Z362" s="27"/>
      <c r="AA362" s="27"/>
    </row>
    <row r="363" spans="3:27" x14ac:dyDescent="0.3">
      <c r="C363" s="3"/>
      <c r="D363" s="27"/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P363" s="27"/>
      <c r="Q363" s="27"/>
      <c r="R363" s="27"/>
      <c r="S363" s="27"/>
      <c r="T363" s="27"/>
      <c r="U363" s="27"/>
      <c r="V363" s="27"/>
      <c r="W363" s="27"/>
      <c r="X363" s="27"/>
      <c r="Y363" s="27"/>
      <c r="Z363" s="27"/>
      <c r="AA363" s="27"/>
    </row>
    <row r="364" spans="3:27" x14ac:dyDescent="0.3">
      <c r="C364" s="3"/>
      <c r="D364" s="27"/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7"/>
      <c r="W364" s="27"/>
      <c r="X364" s="27"/>
      <c r="Y364" s="27"/>
      <c r="Z364" s="27"/>
      <c r="AA364" s="27"/>
    </row>
    <row r="365" spans="3:27" x14ac:dyDescent="0.3">
      <c r="C365" s="3"/>
      <c r="D365" s="27"/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P365" s="27"/>
      <c r="Q365" s="27"/>
      <c r="R365" s="27"/>
      <c r="S365" s="27"/>
      <c r="T365" s="27"/>
      <c r="U365" s="27"/>
      <c r="V365" s="27"/>
      <c r="W365" s="27"/>
      <c r="X365" s="27"/>
      <c r="Y365" s="27"/>
      <c r="Z365" s="27"/>
      <c r="AA365" s="27"/>
    </row>
    <row r="366" spans="3:27" x14ac:dyDescent="0.3">
      <c r="C366" s="3"/>
      <c r="D366" s="27"/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7"/>
      <c r="W366" s="27"/>
      <c r="X366" s="27"/>
      <c r="Y366" s="27"/>
      <c r="Z366" s="27"/>
      <c r="AA366" s="27"/>
    </row>
    <row r="367" spans="3:27" x14ac:dyDescent="0.3">
      <c r="C367" s="3"/>
      <c r="D367" s="27"/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P367" s="27"/>
      <c r="Q367" s="27"/>
      <c r="R367" s="27"/>
      <c r="S367" s="27"/>
      <c r="T367" s="27"/>
      <c r="U367" s="27"/>
      <c r="V367" s="27"/>
      <c r="W367" s="27"/>
      <c r="X367" s="27"/>
      <c r="Y367" s="27"/>
      <c r="Z367" s="27"/>
      <c r="AA367" s="27"/>
    </row>
    <row r="368" spans="3:27" x14ac:dyDescent="0.3">
      <c r="C368" s="3"/>
      <c r="D368" s="27"/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7"/>
      <c r="W368" s="27"/>
      <c r="X368" s="27"/>
      <c r="Y368" s="27"/>
      <c r="Z368" s="27"/>
      <c r="AA368" s="27"/>
    </row>
    <row r="369" spans="3:27" x14ac:dyDescent="0.3">
      <c r="C369" s="3"/>
      <c r="D369" s="27"/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P369" s="27"/>
      <c r="Q369" s="27"/>
      <c r="R369" s="27"/>
      <c r="S369" s="27"/>
      <c r="T369" s="27"/>
      <c r="U369" s="27"/>
      <c r="V369" s="27"/>
      <c r="W369" s="27"/>
      <c r="X369" s="27"/>
      <c r="Y369" s="27"/>
      <c r="Z369" s="27"/>
      <c r="AA369" s="27"/>
    </row>
    <row r="370" spans="3:27" x14ac:dyDescent="0.3">
      <c r="C370" s="3"/>
      <c r="D370" s="27"/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7"/>
      <c r="W370" s="27"/>
      <c r="X370" s="27"/>
      <c r="Y370" s="27"/>
      <c r="Z370" s="27"/>
      <c r="AA370" s="27"/>
    </row>
    <row r="371" spans="3:27" x14ac:dyDescent="0.3">
      <c r="C371" s="3"/>
      <c r="D371" s="27"/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P371" s="27"/>
      <c r="Q371" s="27"/>
      <c r="R371" s="27"/>
      <c r="S371" s="27"/>
      <c r="T371" s="27"/>
      <c r="U371" s="27"/>
      <c r="V371" s="27"/>
      <c r="W371" s="27"/>
      <c r="X371" s="27"/>
      <c r="Y371" s="27"/>
      <c r="Z371" s="27"/>
      <c r="AA371" s="27"/>
    </row>
    <row r="372" spans="3:27" x14ac:dyDescent="0.3">
      <c r="C372" s="3"/>
      <c r="D372" s="27"/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7"/>
      <c r="W372" s="27"/>
      <c r="X372" s="27"/>
      <c r="Y372" s="27"/>
      <c r="Z372" s="27"/>
      <c r="AA372" s="27"/>
    </row>
    <row r="373" spans="3:27" x14ac:dyDescent="0.3">
      <c r="C373" s="3"/>
      <c r="D373" s="27"/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P373" s="27"/>
      <c r="Q373" s="27"/>
      <c r="R373" s="27"/>
      <c r="S373" s="27"/>
      <c r="T373" s="27"/>
      <c r="U373" s="27"/>
      <c r="V373" s="27"/>
      <c r="W373" s="27"/>
      <c r="X373" s="27"/>
      <c r="Y373" s="27"/>
      <c r="Z373" s="27"/>
      <c r="AA373" s="27"/>
    </row>
    <row r="374" spans="3:27" x14ac:dyDescent="0.3">
      <c r="C374" s="3"/>
      <c r="D374" s="27"/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7"/>
      <c r="W374" s="27"/>
      <c r="X374" s="27"/>
      <c r="Y374" s="27"/>
      <c r="Z374" s="27"/>
      <c r="AA374" s="27"/>
    </row>
    <row r="375" spans="3:27" x14ac:dyDescent="0.3">
      <c r="C375" s="3"/>
      <c r="D375" s="27"/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P375" s="27"/>
      <c r="Q375" s="27"/>
      <c r="R375" s="27"/>
      <c r="S375" s="27"/>
      <c r="T375" s="27"/>
      <c r="U375" s="27"/>
      <c r="V375" s="27"/>
      <c r="W375" s="27"/>
      <c r="X375" s="27"/>
      <c r="Y375" s="27"/>
      <c r="Z375" s="27"/>
      <c r="AA375" s="27"/>
    </row>
    <row r="376" spans="3:27" x14ac:dyDescent="0.3">
      <c r="C376" s="3"/>
      <c r="D376" s="27"/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7"/>
      <c r="W376" s="27"/>
      <c r="X376" s="27"/>
      <c r="Y376" s="27"/>
      <c r="Z376" s="27"/>
      <c r="AA376" s="27"/>
    </row>
    <row r="377" spans="3:27" x14ac:dyDescent="0.3">
      <c r="C377" s="3"/>
      <c r="D377" s="27"/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P377" s="27"/>
      <c r="Q377" s="27"/>
      <c r="R377" s="27"/>
      <c r="S377" s="27"/>
      <c r="T377" s="27"/>
      <c r="U377" s="27"/>
      <c r="V377" s="27"/>
      <c r="W377" s="27"/>
      <c r="X377" s="27"/>
      <c r="Y377" s="27"/>
      <c r="Z377" s="27"/>
      <c r="AA377" s="27"/>
    </row>
    <row r="378" spans="3:27" x14ac:dyDescent="0.3">
      <c r="C378" s="3"/>
      <c r="D378" s="27"/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7"/>
      <c r="W378" s="27"/>
      <c r="X378" s="27"/>
      <c r="Y378" s="27"/>
      <c r="Z378" s="27"/>
      <c r="AA378" s="27"/>
    </row>
    <row r="379" spans="3:27" x14ac:dyDescent="0.3">
      <c r="C379" s="3"/>
      <c r="D379" s="27"/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P379" s="27"/>
      <c r="Q379" s="27"/>
      <c r="R379" s="27"/>
      <c r="S379" s="27"/>
      <c r="T379" s="27"/>
      <c r="U379" s="27"/>
      <c r="V379" s="27"/>
      <c r="W379" s="27"/>
      <c r="X379" s="27"/>
      <c r="Y379" s="27"/>
      <c r="Z379" s="27"/>
      <c r="AA379" s="27"/>
    </row>
    <row r="380" spans="3:27" x14ac:dyDescent="0.3">
      <c r="C380" s="3"/>
      <c r="D380" s="27"/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7"/>
      <c r="W380" s="27"/>
      <c r="X380" s="27"/>
      <c r="Y380" s="27"/>
      <c r="Z380" s="27"/>
      <c r="AA380" s="27"/>
    </row>
    <row r="381" spans="3:27" x14ac:dyDescent="0.3">
      <c r="C381" s="3"/>
      <c r="D381" s="27"/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P381" s="27"/>
      <c r="Q381" s="27"/>
      <c r="R381" s="27"/>
      <c r="S381" s="27"/>
      <c r="T381" s="27"/>
      <c r="U381" s="27"/>
      <c r="V381" s="27"/>
      <c r="W381" s="27"/>
      <c r="X381" s="27"/>
      <c r="Y381" s="27"/>
      <c r="Z381" s="27"/>
      <c r="AA381" s="27"/>
    </row>
    <row r="382" spans="3:27" x14ac:dyDescent="0.3">
      <c r="C382" s="3"/>
      <c r="D382" s="27"/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7"/>
      <c r="W382" s="27"/>
      <c r="X382" s="27"/>
      <c r="Y382" s="27"/>
      <c r="Z382" s="27"/>
      <c r="AA382" s="27"/>
    </row>
    <row r="383" spans="3:27" x14ac:dyDescent="0.3">
      <c r="C383" s="3"/>
      <c r="D383" s="27"/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P383" s="27"/>
      <c r="Q383" s="27"/>
      <c r="R383" s="27"/>
      <c r="S383" s="27"/>
      <c r="T383" s="27"/>
      <c r="U383" s="27"/>
      <c r="V383" s="27"/>
      <c r="W383" s="27"/>
      <c r="X383" s="27"/>
      <c r="Y383" s="27"/>
      <c r="Z383" s="27"/>
      <c r="AA383" s="27"/>
    </row>
    <row r="384" spans="3:27" x14ac:dyDescent="0.3">
      <c r="C384" s="3"/>
      <c r="D384" s="27"/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7"/>
      <c r="W384" s="27"/>
      <c r="X384" s="27"/>
      <c r="Y384" s="27"/>
      <c r="Z384" s="27"/>
      <c r="AA384" s="27"/>
    </row>
    <row r="385" spans="3:27" x14ac:dyDescent="0.3">
      <c r="C385" s="3"/>
      <c r="D385" s="27"/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P385" s="27"/>
      <c r="Q385" s="27"/>
      <c r="R385" s="27"/>
      <c r="S385" s="27"/>
      <c r="T385" s="27"/>
      <c r="U385" s="27"/>
      <c r="V385" s="27"/>
      <c r="W385" s="27"/>
      <c r="X385" s="27"/>
      <c r="Y385" s="27"/>
      <c r="Z385" s="27"/>
      <c r="AA385" s="27"/>
    </row>
    <row r="386" spans="3:27" x14ac:dyDescent="0.3">
      <c r="C386" s="3"/>
      <c r="D386" s="27"/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7"/>
      <c r="W386" s="27"/>
      <c r="X386" s="27"/>
      <c r="Y386" s="27"/>
      <c r="Z386" s="27"/>
      <c r="AA386" s="27"/>
    </row>
    <row r="387" spans="3:27" x14ac:dyDescent="0.3">
      <c r="C387" s="3"/>
      <c r="D387" s="27"/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P387" s="27"/>
      <c r="Q387" s="27"/>
      <c r="R387" s="27"/>
      <c r="S387" s="27"/>
      <c r="T387" s="27"/>
      <c r="U387" s="27"/>
      <c r="V387" s="27"/>
      <c r="W387" s="27"/>
      <c r="X387" s="27"/>
      <c r="Y387" s="27"/>
      <c r="Z387" s="27"/>
      <c r="AA387" s="27"/>
    </row>
    <row r="388" spans="3:27" x14ac:dyDescent="0.3">
      <c r="C388" s="3"/>
      <c r="D388" s="27"/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7"/>
      <c r="W388" s="27"/>
      <c r="X388" s="27"/>
      <c r="Y388" s="27"/>
      <c r="Z388" s="27"/>
      <c r="AA388" s="27"/>
    </row>
    <row r="389" spans="3:27" x14ac:dyDescent="0.3">
      <c r="C389" s="3"/>
      <c r="D389" s="27"/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  <c r="P389" s="27"/>
      <c r="Q389" s="27"/>
      <c r="R389" s="27"/>
      <c r="S389" s="27"/>
      <c r="T389" s="27"/>
      <c r="U389" s="27"/>
      <c r="V389" s="27"/>
      <c r="W389" s="27"/>
      <c r="X389" s="27"/>
      <c r="Y389" s="27"/>
      <c r="Z389" s="27"/>
      <c r="AA389" s="27"/>
    </row>
    <row r="390" spans="3:27" x14ac:dyDescent="0.3">
      <c r="C390" s="3"/>
      <c r="D390" s="27"/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7"/>
      <c r="W390" s="27"/>
      <c r="X390" s="27"/>
      <c r="Y390" s="27"/>
      <c r="Z390" s="27"/>
      <c r="AA390" s="27"/>
    </row>
    <row r="391" spans="3:27" x14ac:dyDescent="0.3">
      <c r="C391" s="3"/>
      <c r="D391" s="27"/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P391" s="27"/>
      <c r="Q391" s="27"/>
      <c r="R391" s="27"/>
      <c r="S391" s="27"/>
      <c r="T391" s="27"/>
      <c r="U391" s="27"/>
      <c r="V391" s="27"/>
      <c r="W391" s="27"/>
      <c r="X391" s="27"/>
      <c r="Y391" s="27"/>
      <c r="Z391" s="27"/>
      <c r="AA391" s="27"/>
    </row>
    <row r="392" spans="3:27" x14ac:dyDescent="0.3">
      <c r="C392" s="3"/>
      <c r="D392" s="27"/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7"/>
      <c r="W392" s="27"/>
      <c r="X392" s="27"/>
      <c r="Y392" s="27"/>
      <c r="Z392" s="27"/>
      <c r="AA392" s="27"/>
    </row>
    <row r="393" spans="3:27" x14ac:dyDescent="0.3">
      <c r="C393" s="3"/>
      <c r="D393" s="27"/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P393" s="27"/>
      <c r="Q393" s="27"/>
      <c r="R393" s="27"/>
      <c r="S393" s="27"/>
      <c r="T393" s="27"/>
      <c r="U393" s="27"/>
      <c r="V393" s="27"/>
      <c r="W393" s="27"/>
      <c r="X393" s="27"/>
      <c r="Y393" s="27"/>
      <c r="Z393" s="27"/>
      <c r="AA393" s="27"/>
    </row>
    <row r="394" spans="3:27" x14ac:dyDescent="0.3">
      <c r="C394" s="3"/>
      <c r="D394" s="27"/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7"/>
      <c r="W394" s="27"/>
      <c r="X394" s="27"/>
      <c r="Y394" s="27"/>
      <c r="Z394" s="27"/>
      <c r="AA394" s="27"/>
    </row>
    <row r="395" spans="3:27" x14ac:dyDescent="0.3">
      <c r="C395" s="3"/>
      <c r="D395" s="27"/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27"/>
      <c r="T395" s="27"/>
      <c r="U395" s="27"/>
      <c r="V395" s="27"/>
      <c r="W395" s="27"/>
      <c r="X395" s="27"/>
      <c r="Y395" s="27"/>
      <c r="Z395" s="27"/>
      <c r="AA395" s="27"/>
    </row>
    <row r="396" spans="3:27" x14ac:dyDescent="0.3">
      <c r="C396" s="3"/>
      <c r="D396" s="27"/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7"/>
      <c r="W396" s="27"/>
      <c r="X396" s="27"/>
      <c r="Y396" s="27"/>
      <c r="Z396" s="27"/>
      <c r="AA396" s="27"/>
    </row>
    <row r="397" spans="3:27" x14ac:dyDescent="0.3">
      <c r="C397" s="3"/>
      <c r="D397" s="27"/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P397" s="27"/>
      <c r="Q397" s="27"/>
      <c r="R397" s="27"/>
      <c r="S397" s="27"/>
      <c r="T397" s="27"/>
      <c r="U397" s="27"/>
      <c r="V397" s="27"/>
      <c r="W397" s="27"/>
      <c r="X397" s="27"/>
      <c r="Y397" s="27"/>
      <c r="Z397" s="27"/>
      <c r="AA397" s="27"/>
    </row>
    <row r="398" spans="3:27" x14ac:dyDescent="0.3">
      <c r="C398" s="3"/>
      <c r="D398" s="27"/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7"/>
      <c r="W398" s="27"/>
      <c r="X398" s="27"/>
      <c r="Y398" s="27"/>
      <c r="Z398" s="27"/>
      <c r="AA398" s="27"/>
    </row>
    <row r="399" spans="3:27" x14ac:dyDescent="0.3">
      <c r="C399" s="3"/>
      <c r="D399" s="27"/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P399" s="27"/>
      <c r="Q399" s="27"/>
      <c r="R399" s="27"/>
      <c r="S399" s="27"/>
      <c r="T399" s="27"/>
      <c r="U399" s="27"/>
      <c r="V399" s="27"/>
      <c r="W399" s="27"/>
      <c r="X399" s="27"/>
      <c r="Y399" s="27"/>
      <c r="Z399" s="27"/>
      <c r="AA399" s="27"/>
    </row>
    <row r="400" spans="3:27" x14ac:dyDescent="0.3">
      <c r="C400" s="3"/>
      <c r="D400" s="27"/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7"/>
      <c r="W400" s="27"/>
      <c r="X400" s="27"/>
      <c r="Y400" s="27"/>
      <c r="Z400" s="27"/>
      <c r="AA400" s="27"/>
    </row>
    <row r="401" spans="3:27" x14ac:dyDescent="0.3">
      <c r="C401" s="3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P401" s="27"/>
      <c r="Q401" s="27"/>
      <c r="R401" s="27"/>
      <c r="S401" s="27"/>
      <c r="T401" s="27"/>
      <c r="U401" s="27"/>
      <c r="V401" s="27"/>
      <c r="W401" s="27"/>
      <c r="X401" s="27"/>
      <c r="Y401" s="27"/>
      <c r="Z401" s="27"/>
      <c r="AA401" s="27"/>
    </row>
    <row r="402" spans="3:27" x14ac:dyDescent="0.3">
      <c r="C402" s="3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7"/>
      <c r="W402" s="27"/>
      <c r="X402" s="27"/>
      <c r="Y402" s="27"/>
      <c r="Z402" s="27"/>
      <c r="AA402" s="27"/>
    </row>
    <row r="403" spans="3:27" x14ac:dyDescent="0.3">
      <c r="C403" s="3"/>
      <c r="D403" s="27"/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P403" s="27"/>
      <c r="Q403" s="27"/>
      <c r="R403" s="27"/>
      <c r="S403" s="27"/>
      <c r="T403" s="27"/>
      <c r="U403" s="27"/>
      <c r="V403" s="27"/>
      <c r="W403" s="27"/>
      <c r="X403" s="27"/>
      <c r="Y403" s="27"/>
      <c r="Z403" s="27"/>
      <c r="AA403" s="27"/>
    </row>
    <row r="404" spans="3:27" x14ac:dyDescent="0.3">
      <c r="C404" s="3"/>
      <c r="D404" s="27"/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V404" s="27"/>
      <c r="W404" s="27"/>
      <c r="X404" s="27"/>
      <c r="Y404" s="27"/>
      <c r="Z404" s="27"/>
      <c r="AA404" s="27"/>
    </row>
    <row r="405" spans="3:27" x14ac:dyDescent="0.3">
      <c r="C405" s="3"/>
      <c r="D405" s="27"/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P405" s="27"/>
      <c r="Q405" s="27"/>
      <c r="R405" s="27"/>
      <c r="S405" s="27"/>
      <c r="T405" s="27"/>
      <c r="U405" s="27"/>
      <c r="V405" s="27"/>
      <c r="W405" s="27"/>
      <c r="X405" s="27"/>
      <c r="Y405" s="27"/>
      <c r="Z405" s="27"/>
      <c r="AA405" s="27"/>
    </row>
    <row r="406" spans="3:27" x14ac:dyDescent="0.3">
      <c r="C406" s="3"/>
      <c r="D406" s="27"/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V406" s="27"/>
      <c r="W406" s="27"/>
      <c r="X406" s="27"/>
      <c r="Y406" s="27"/>
      <c r="Z406" s="27"/>
      <c r="AA406" s="27"/>
    </row>
    <row r="407" spans="3:27" x14ac:dyDescent="0.3">
      <c r="C407" s="3"/>
      <c r="D407" s="27"/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P407" s="27"/>
      <c r="Q407" s="27"/>
      <c r="R407" s="27"/>
      <c r="S407" s="27"/>
      <c r="T407" s="27"/>
      <c r="U407" s="27"/>
      <c r="V407" s="27"/>
      <c r="W407" s="27"/>
      <c r="X407" s="27"/>
      <c r="Y407" s="27"/>
      <c r="Z407" s="27"/>
      <c r="AA407" s="27"/>
    </row>
    <row r="408" spans="3:27" x14ac:dyDescent="0.3">
      <c r="C408" s="3"/>
      <c r="D408" s="27"/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V408" s="27"/>
      <c r="W408" s="27"/>
      <c r="X408" s="27"/>
      <c r="Y408" s="27"/>
      <c r="Z408" s="27"/>
      <c r="AA408" s="27"/>
    </row>
    <row r="409" spans="3:27" x14ac:dyDescent="0.3">
      <c r="C409" s="3"/>
      <c r="D409" s="27"/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P409" s="27"/>
      <c r="Q409" s="27"/>
      <c r="R409" s="27"/>
      <c r="S409" s="27"/>
      <c r="T409" s="27"/>
      <c r="U409" s="27"/>
      <c r="V409" s="27"/>
      <c r="W409" s="27"/>
      <c r="X409" s="27"/>
      <c r="Y409" s="27"/>
      <c r="Z409" s="27"/>
      <c r="AA409" s="27"/>
    </row>
    <row r="410" spans="3:27" x14ac:dyDescent="0.3">
      <c r="C410" s="3"/>
      <c r="D410" s="27"/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V410" s="27"/>
      <c r="W410" s="27"/>
      <c r="X410" s="27"/>
      <c r="Y410" s="27"/>
      <c r="Z410" s="27"/>
      <c r="AA410" s="27"/>
    </row>
    <row r="411" spans="3:27" x14ac:dyDescent="0.3">
      <c r="C411" s="3"/>
      <c r="D411" s="27"/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P411" s="27"/>
      <c r="Q411" s="27"/>
      <c r="R411" s="27"/>
      <c r="S411" s="27"/>
      <c r="T411" s="27"/>
      <c r="U411" s="27"/>
      <c r="V411" s="27"/>
      <c r="W411" s="27"/>
      <c r="X411" s="27"/>
      <c r="Y411" s="27"/>
      <c r="Z411" s="27"/>
      <c r="AA411" s="27"/>
    </row>
    <row r="412" spans="3:27" x14ac:dyDescent="0.3">
      <c r="C412" s="3"/>
      <c r="D412" s="27"/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V412" s="27"/>
      <c r="W412" s="27"/>
      <c r="X412" s="27"/>
      <c r="Y412" s="27"/>
      <c r="Z412" s="27"/>
      <c r="AA412" s="27"/>
    </row>
    <row r="413" spans="3:27" x14ac:dyDescent="0.3">
      <c r="C413" s="3"/>
      <c r="D413" s="27"/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P413" s="27"/>
      <c r="Q413" s="27"/>
      <c r="R413" s="27"/>
      <c r="S413" s="27"/>
      <c r="T413" s="27"/>
      <c r="U413" s="27"/>
      <c r="V413" s="27"/>
      <c r="W413" s="27"/>
      <c r="X413" s="27"/>
      <c r="Y413" s="27"/>
      <c r="Z413" s="27"/>
      <c r="AA413" s="27"/>
    </row>
    <row r="414" spans="3:27" x14ac:dyDescent="0.3">
      <c r="C414" s="3"/>
      <c r="D414" s="27"/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V414" s="27"/>
      <c r="W414" s="27"/>
      <c r="X414" s="27"/>
      <c r="Y414" s="27"/>
      <c r="Z414" s="27"/>
      <c r="AA414" s="27"/>
    </row>
    <row r="415" spans="3:27" x14ac:dyDescent="0.3">
      <c r="C415" s="3"/>
      <c r="D415" s="27"/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P415" s="27"/>
      <c r="Q415" s="27"/>
      <c r="R415" s="27"/>
      <c r="S415" s="27"/>
      <c r="T415" s="27"/>
      <c r="U415" s="27"/>
      <c r="V415" s="27"/>
      <c r="W415" s="27"/>
      <c r="X415" s="27"/>
      <c r="Y415" s="27"/>
      <c r="Z415" s="27"/>
      <c r="AA415" s="27"/>
    </row>
    <row r="416" spans="3:27" x14ac:dyDescent="0.3">
      <c r="C416" s="3"/>
      <c r="D416" s="27"/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V416" s="27"/>
      <c r="W416" s="27"/>
      <c r="X416" s="27"/>
      <c r="Y416" s="27"/>
      <c r="Z416" s="27"/>
      <c r="AA416" s="27"/>
    </row>
    <row r="417" spans="3:27" x14ac:dyDescent="0.3">
      <c r="C417" s="3"/>
      <c r="D417" s="27"/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P417" s="27"/>
      <c r="Q417" s="27"/>
      <c r="R417" s="27"/>
      <c r="S417" s="27"/>
      <c r="T417" s="27"/>
      <c r="U417" s="27"/>
      <c r="V417" s="27"/>
      <c r="W417" s="27"/>
      <c r="X417" s="27"/>
      <c r="Y417" s="27"/>
      <c r="Z417" s="27"/>
      <c r="AA417" s="27"/>
    </row>
    <row r="418" spans="3:27" x14ac:dyDescent="0.3">
      <c r="C418" s="3"/>
      <c r="D418" s="27"/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V418" s="27"/>
      <c r="W418" s="27"/>
      <c r="X418" s="27"/>
      <c r="Y418" s="27"/>
      <c r="Z418" s="27"/>
      <c r="AA418" s="27"/>
    </row>
    <row r="419" spans="3:27" x14ac:dyDescent="0.3">
      <c r="C419" s="3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27"/>
      <c r="R419" s="27"/>
      <c r="S419" s="27"/>
      <c r="T419" s="27"/>
      <c r="U419" s="27"/>
      <c r="V419" s="27"/>
      <c r="W419" s="27"/>
      <c r="X419" s="27"/>
      <c r="Y419" s="27"/>
      <c r="Z419" s="27"/>
      <c r="AA419" s="27"/>
    </row>
    <row r="420" spans="3:27" x14ac:dyDescent="0.3">
      <c r="C420" s="3"/>
      <c r="D420" s="27"/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V420" s="27"/>
      <c r="W420" s="27"/>
      <c r="X420" s="27"/>
      <c r="Y420" s="27"/>
      <c r="Z420" s="27"/>
      <c r="AA420" s="27"/>
    </row>
    <row r="421" spans="3:27" x14ac:dyDescent="0.3">
      <c r="C421" s="3"/>
      <c r="D421" s="27"/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P421" s="27"/>
      <c r="Q421" s="27"/>
      <c r="R421" s="27"/>
      <c r="S421" s="27"/>
      <c r="T421" s="27"/>
      <c r="U421" s="27"/>
      <c r="V421" s="27"/>
      <c r="W421" s="27"/>
      <c r="X421" s="27"/>
      <c r="Y421" s="27"/>
      <c r="Z421" s="27"/>
      <c r="AA421" s="27"/>
    </row>
    <row r="422" spans="3:27" x14ac:dyDescent="0.3">
      <c r="C422" s="3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V422" s="27"/>
      <c r="W422" s="27"/>
      <c r="X422" s="27"/>
      <c r="Y422" s="27"/>
      <c r="Z422" s="27"/>
      <c r="AA422" s="27"/>
    </row>
    <row r="423" spans="3:27" x14ac:dyDescent="0.3">
      <c r="C423" s="3"/>
      <c r="D423" s="27"/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P423" s="27"/>
      <c r="Q423" s="27"/>
      <c r="R423" s="27"/>
      <c r="S423" s="27"/>
      <c r="T423" s="27"/>
      <c r="U423" s="27"/>
      <c r="V423" s="27"/>
      <c r="W423" s="27"/>
      <c r="X423" s="27"/>
      <c r="Y423" s="27"/>
      <c r="Z423" s="27"/>
      <c r="AA423" s="27"/>
    </row>
    <row r="424" spans="3:27" x14ac:dyDescent="0.3">
      <c r="C424" s="3"/>
      <c r="D424" s="27"/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V424" s="27"/>
      <c r="W424" s="27"/>
      <c r="X424" s="27"/>
      <c r="Y424" s="27"/>
      <c r="Z424" s="27"/>
      <c r="AA424" s="27"/>
    </row>
    <row r="425" spans="3:27" x14ac:dyDescent="0.3">
      <c r="C425" s="3"/>
      <c r="D425" s="27"/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P425" s="27"/>
      <c r="Q425" s="27"/>
      <c r="R425" s="27"/>
      <c r="S425" s="27"/>
      <c r="T425" s="27"/>
      <c r="U425" s="27"/>
      <c r="V425" s="27"/>
      <c r="W425" s="27"/>
      <c r="X425" s="27"/>
      <c r="Y425" s="27"/>
      <c r="Z425" s="27"/>
      <c r="AA425" s="27"/>
    </row>
    <row r="426" spans="3:27" x14ac:dyDescent="0.3">
      <c r="C426" s="3"/>
      <c r="D426" s="27"/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V426" s="27"/>
      <c r="W426" s="27"/>
      <c r="X426" s="27"/>
      <c r="Y426" s="27"/>
      <c r="Z426" s="27"/>
      <c r="AA426" s="27"/>
    </row>
    <row r="427" spans="3:27" x14ac:dyDescent="0.3">
      <c r="C427" s="3"/>
      <c r="D427" s="27"/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P427" s="27"/>
      <c r="Q427" s="27"/>
      <c r="R427" s="27"/>
      <c r="S427" s="27"/>
      <c r="T427" s="27"/>
      <c r="U427" s="27"/>
      <c r="V427" s="27"/>
      <c r="W427" s="27"/>
      <c r="X427" s="27"/>
      <c r="Y427" s="27"/>
      <c r="Z427" s="27"/>
      <c r="AA427" s="27"/>
    </row>
    <row r="428" spans="3:27" x14ac:dyDescent="0.3">
      <c r="C428" s="3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7"/>
      <c r="W428" s="27"/>
      <c r="X428" s="27"/>
      <c r="Y428" s="27"/>
      <c r="Z428" s="27"/>
      <c r="AA428" s="27"/>
    </row>
    <row r="429" spans="3:27" x14ac:dyDescent="0.3">
      <c r="C429" s="3"/>
      <c r="D429" s="27"/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27"/>
      <c r="R429" s="27"/>
      <c r="S429" s="27"/>
      <c r="T429" s="27"/>
      <c r="U429" s="27"/>
      <c r="V429" s="27"/>
      <c r="W429" s="27"/>
      <c r="X429" s="27"/>
      <c r="Y429" s="27"/>
      <c r="Z429" s="27"/>
      <c r="AA429" s="27"/>
    </row>
    <row r="430" spans="3:27" x14ac:dyDescent="0.3">
      <c r="C430" s="3"/>
      <c r="D430" s="27"/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7"/>
      <c r="W430" s="27"/>
      <c r="X430" s="27"/>
      <c r="Y430" s="27"/>
      <c r="Z430" s="27"/>
      <c r="AA430" s="27"/>
    </row>
    <row r="431" spans="3:27" x14ac:dyDescent="0.3">
      <c r="C431" s="3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27"/>
      <c r="R431" s="27"/>
      <c r="S431" s="27"/>
      <c r="T431" s="27"/>
      <c r="U431" s="27"/>
      <c r="V431" s="27"/>
      <c r="W431" s="27"/>
      <c r="X431" s="27"/>
      <c r="Y431" s="27"/>
      <c r="Z431" s="27"/>
      <c r="AA431" s="27"/>
    </row>
    <row r="432" spans="3:27" x14ac:dyDescent="0.3">
      <c r="C432" s="3"/>
      <c r="D432" s="27"/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7"/>
      <c r="W432" s="27"/>
      <c r="X432" s="27"/>
      <c r="Y432" s="27"/>
      <c r="Z432" s="27"/>
      <c r="AA432" s="27"/>
    </row>
    <row r="433" spans="3:27" x14ac:dyDescent="0.3">
      <c r="C433" s="3"/>
      <c r="D433" s="27"/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27"/>
      <c r="R433" s="27"/>
      <c r="S433" s="27"/>
      <c r="T433" s="27"/>
      <c r="U433" s="27"/>
      <c r="V433" s="27"/>
      <c r="W433" s="27"/>
      <c r="X433" s="27"/>
      <c r="Y433" s="27"/>
      <c r="Z433" s="27"/>
      <c r="AA433" s="27"/>
    </row>
    <row r="434" spans="3:27" x14ac:dyDescent="0.3">
      <c r="C434" s="3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7"/>
      <c r="W434" s="27"/>
      <c r="X434" s="27"/>
      <c r="Y434" s="27"/>
      <c r="Z434" s="27"/>
      <c r="AA434" s="27"/>
    </row>
    <row r="435" spans="3:27" x14ac:dyDescent="0.3">
      <c r="C435" s="3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/>
      <c r="V435" s="27"/>
      <c r="W435" s="27"/>
      <c r="X435" s="27"/>
      <c r="Y435" s="27"/>
      <c r="Z435" s="27"/>
      <c r="AA435" s="27"/>
    </row>
    <row r="436" spans="3:27" x14ac:dyDescent="0.3">
      <c r="C436" s="3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7"/>
      <c r="W436" s="27"/>
      <c r="X436" s="27"/>
      <c r="Y436" s="27"/>
      <c r="Z436" s="27"/>
      <c r="AA436" s="27"/>
    </row>
    <row r="437" spans="3:27" x14ac:dyDescent="0.3">
      <c r="C437" s="3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/>
      <c r="U437" s="27"/>
      <c r="V437" s="27"/>
      <c r="W437" s="27"/>
      <c r="X437" s="27"/>
      <c r="Y437" s="27"/>
      <c r="Z437" s="27"/>
      <c r="AA437" s="27"/>
    </row>
    <row r="438" spans="3:27" x14ac:dyDescent="0.3">
      <c r="C438" s="3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7"/>
      <c r="W438" s="27"/>
      <c r="X438" s="27"/>
      <c r="Y438" s="27"/>
      <c r="Z438" s="27"/>
      <c r="AA438" s="27"/>
    </row>
    <row r="439" spans="3:27" x14ac:dyDescent="0.3">
      <c r="C439" s="3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/>
      <c r="U439" s="27"/>
      <c r="V439" s="27"/>
      <c r="W439" s="27"/>
      <c r="X439" s="27"/>
      <c r="Y439" s="27"/>
      <c r="Z439" s="27"/>
      <c r="AA439" s="27"/>
    </row>
    <row r="440" spans="3:27" x14ac:dyDescent="0.3">
      <c r="C440" s="3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7"/>
      <c r="W440" s="27"/>
      <c r="X440" s="27"/>
      <c r="Y440" s="27"/>
      <c r="Z440" s="27"/>
      <c r="AA440" s="27"/>
    </row>
    <row r="441" spans="3:27" x14ac:dyDescent="0.3">
      <c r="C441" s="3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/>
      <c r="U441" s="27"/>
      <c r="V441" s="27"/>
      <c r="W441" s="27"/>
      <c r="X441" s="27"/>
      <c r="Y441" s="27"/>
      <c r="Z441" s="27"/>
      <c r="AA441" s="27"/>
    </row>
    <row r="442" spans="3:27" x14ac:dyDescent="0.3">
      <c r="C442" s="3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7"/>
      <c r="W442" s="27"/>
      <c r="X442" s="27"/>
      <c r="Y442" s="27"/>
      <c r="Z442" s="27"/>
      <c r="AA442" s="27"/>
    </row>
    <row r="443" spans="3:27" x14ac:dyDescent="0.3">
      <c r="C443" s="3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/>
      <c r="U443" s="27"/>
      <c r="V443" s="27"/>
      <c r="W443" s="27"/>
      <c r="X443" s="27"/>
      <c r="Y443" s="27"/>
      <c r="Z443" s="27"/>
      <c r="AA443" s="27"/>
    </row>
    <row r="444" spans="3:27" x14ac:dyDescent="0.3">
      <c r="C444" s="3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7"/>
      <c r="W444" s="27"/>
      <c r="X444" s="27"/>
      <c r="Y444" s="27"/>
      <c r="Z444" s="27"/>
      <c r="AA444" s="27"/>
    </row>
    <row r="445" spans="3:27" x14ac:dyDescent="0.3">
      <c r="C445" s="3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/>
      <c r="U445" s="27"/>
      <c r="V445" s="27"/>
      <c r="W445" s="27"/>
      <c r="X445" s="27"/>
      <c r="Y445" s="27"/>
      <c r="Z445" s="27"/>
      <c r="AA445" s="27"/>
    </row>
    <row r="446" spans="3:27" x14ac:dyDescent="0.3">
      <c r="C446" s="3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P446" s="27"/>
      <c r="Q446" s="27"/>
      <c r="R446" s="27"/>
      <c r="S446" s="27"/>
      <c r="T446" s="27"/>
      <c r="U446" s="27"/>
      <c r="V446" s="27"/>
      <c r="W446" s="27"/>
      <c r="X446" s="27"/>
      <c r="Y446" s="27"/>
      <c r="Z446" s="27"/>
      <c r="AA446" s="27"/>
    </row>
    <row r="447" spans="3:27" x14ac:dyDescent="0.3">
      <c r="C447" s="3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  <c r="T447" s="27"/>
      <c r="U447" s="27"/>
      <c r="V447" s="27"/>
      <c r="W447" s="27"/>
      <c r="X447" s="27"/>
      <c r="Y447" s="27"/>
      <c r="Z447" s="27"/>
      <c r="AA447" s="27"/>
    </row>
    <row r="448" spans="3:27" x14ac:dyDescent="0.3">
      <c r="C448" s="3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P448" s="27"/>
      <c r="Q448" s="27"/>
      <c r="R448" s="27"/>
      <c r="S448" s="27"/>
      <c r="T448" s="27"/>
      <c r="U448" s="27"/>
      <c r="V448" s="27"/>
      <c r="W448" s="27"/>
      <c r="X448" s="27"/>
      <c r="Y448" s="27"/>
      <c r="Z448" s="27"/>
      <c r="AA448" s="27"/>
    </row>
    <row r="449" spans="3:27" x14ac:dyDescent="0.3">
      <c r="C449" s="3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  <c r="T449" s="27"/>
      <c r="U449" s="27"/>
      <c r="V449" s="27"/>
      <c r="W449" s="27"/>
      <c r="X449" s="27"/>
      <c r="Y449" s="27"/>
      <c r="Z449" s="27"/>
      <c r="AA449" s="27"/>
    </row>
    <row r="450" spans="3:27" x14ac:dyDescent="0.3">
      <c r="C450" s="3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P450" s="27"/>
      <c r="Q450" s="27"/>
      <c r="R450" s="27"/>
      <c r="S450" s="27"/>
      <c r="T450" s="27"/>
      <c r="U450" s="27"/>
      <c r="V450" s="27"/>
      <c r="W450" s="27"/>
      <c r="X450" s="27"/>
      <c r="Y450" s="27"/>
      <c r="Z450" s="27"/>
      <c r="AA450" s="27"/>
    </row>
    <row r="451" spans="3:27" x14ac:dyDescent="0.3">
      <c r="C451" s="3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  <c r="T451" s="27"/>
      <c r="U451" s="27"/>
      <c r="V451" s="27"/>
      <c r="W451" s="27"/>
      <c r="X451" s="27"/>
      <c r="Y451" s="27"/>
      <c r="Z451" s="27"/>
      <c r="AA451" s="27"/>
    </row>
    <row r="452" spans="3:27" x14ac:dyDescent="0.3">
      <c r="C452" s="3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P452" s="27"/>
      <c r="Q452" s="27"/>
      <c r="R452" s="27"/>
      <c r="S452" s="27"/>
      <c r="T452" s="27"/>
      <c r="U452" s="27"/>
      <c r="V452" s="27"/>
      <c r="W452" s="27"/>
      <c r="X452" s="27"/>
      <c r="Y452" s="27"/>
      <c r="Z452" s="27"/>
      <c r="AA452" s="27"/>
    </row>
    <row r="453" spans="3:27" x14ac:dyDescent="0.3">
      <c r="C453" s="3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  <c r="T453" s="27"/>
      <c r="U453" s="27"/>
      <c r="V453" s="27"/>
      <c r="W453" s="27"/>
      <c r="X453" s="27"/>
      <c r="Y453" s="27"/>
      <c r="Z453" s="27"/>
      <c r="AA453" s="27"/>
    </row>
    <row r="454" spans="3:27" x14ac:dyDescent="0.3">
      <c r="C454" s="3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P454" s="27"/>
      <c r="Q454" s="27"/>
      <c r="R454" s="27"/>
      <c r="S454" s="27"/>
      <c r="T454" s="27"/>
      <c r="U454" s="27"/>
      <c r="V454" s="27"/>
      <c r="W454" s="27"/>
      <c r="X454" s="27"/>
      <c r="Y454" s="27"/>
      <c r="Z454" s="27"/>
      <c r="AA454" s="27"/>
    </row>
    <row r="455" spans="3:27" x14ac:dyDescent="0.3">
      <c r="C455" s="3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  <c r="T455" s="27"/>
      <c r="U455" s="27"/>
      <c r="V455" s="27"/>
      <c r="W455" s="27"/>
      <c r="X455" s="27"/>
      <c r="Y455" s="27"/>
      <c r="Z455" s="27"/>
      <c r="AA455" s="27"/>
    </row>
    <row r="456" spans="3:27" x14ac:dyDescent="0.3">
      <c r="C456" s="3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P456" s="27"/>
      <c r="Q456" s="27"/>
      <c r="R456" s="27"/>
      <c r="S456" s="27"/>
      <c r="T456" s="27"/>
      <c r="U456" s="27"/>
      <c r="V456" s="27"/>
      <c r="W456" s="27"/>
      <c r="X456" s="27"/>
      <c r="Y456" s="27"/>
      <c r="Z456" s="27"/>
      <c r="AA456" s="27"/>
    </row>
    <row r="457" spans="3:27" x14ac:dyDescent="0.3">
      <c r="C457" s="3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P457" s="27"/>
      <c r="Q457" s="27"/>
      <c r="R457" s="27"/>
      <c r="S457" s="27"/>
      <c r="T457" s="27"/>
      <c r="U457" s="27"/>
      <c r="V457" s="27"/>
      <c r="W457" s="27"/>
      <c r="X457" s="27"/>
      <c r="Y457" s="27"/>
      <c r="Z457" s="27"/>
      <c r="AA457" s="27"/>
    </row>
    <row r="458" spans="3:27" x14ac:dyDescent="0.3">
      <c r="C458" s="3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P458" s="27"/>
      <c r="Q458" s="27"/>
      <c r="R458" s="27"/>
      <c r="S458" s="27"/>
      <c r="T458" s="27"/>
      <c r="U458" s="27"/>
      <c r="V458" s="27"/>
      <c r="W458" s="27"/>
      <c r="X458" s="27"/>
      <c r="Y458" s="27"/>
      <c r="Z458" s="27"/>
      <c r="AA458" s="27"/>
    </row>
    <row r="459" spans="3:27" x14ac:dyDescent="0.3">
      <c r="C459" s="3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  <c r="T459" s="27"/>
      <c r="U459" s="27"/>
      <c r="V459" s="27"/>
      <c r="W459" s="27"/>
      <c r="X459" s="27"/>
      <c r="Y459" s="27"/>
      <c r="Z459" s="27"/>
      <c r="AA459" s="27"/>
    </row>
    <row r="460" spans="3:27" x14ac:dyDescent="0.3">
      <c r="C460" s="3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P460" s="27"/>
      <c r="Q460" s="27"/>
      <c r="R460" s="27"/>
      <c r="S460" s="27"/>
      <c r="T460" s="27"/>
      <c r="U460" s="27"/>
      <c r="V460" s="27"/>
      <c r="W460" s="27"/>
      <c r="X460" s="27"/>
      <c r="Y460" s="27"/>
      <c r="Z460" s="27"/>
      <c r="AA460" s="27"/>
    </row>
    <row r="461" spans="3:27" x14ac:dyDescent="0.3">
      <c r="C461" s="3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P461" s="27"/>
      <c r="Q461" s="27"/>
      <c r="R461" s="27"/>
      <c r="S461" s="27"/>
      <c r="T461" s="27"/>
      <c r="U461" s="27"/>
      <c r="V461" s="27"/>
      <c r="W461" s="27"/>
      <c r="X461" s="27"/>
      <c r="Y461" s="27"/>
      <c r="Z461" s="27"/>
      <c r="AA461" s="27"/>
    </row>
    <row r="462" spans="3:27" x14ac:dyDescent="0.3">
      <c r="C462" s="3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P462" s="27"/>
      <c r="Q462" s="27"/>
      <c r="R462" s="27"/>
      <c r="S462" s="27"/>
      <c r="T462" s="27"/>
      <c r="U462" s="27"/>
      <c r="V462" s="27"/>
      <c r="W462" s="27"/>
      <c r="X462" s="27"/>
      <c r="Y462" s="27"/>
      <c r="Z462" s="27"/>
      <c r="AA462" s="27"/>
    </row>
    <row r="463" spans="3:27" x14ac:dyDescent="0.3">
      <c r="C463" s="3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  <c r="T463" s="27"/>
      <c r="U463" s="27"/>
      <c r="V463" s="27"/>
      <c r="W463" s="27"/>
      <c r="X463" s="27"/>
      <c r="Y463" s="27"/>
      <c r="Z463" s="27"/>
      <c r="AA463" s="27"/>
    </row>
    <row r="464" spans="3:27" x14ac:dyDescent="0.3">
      <c r="C464" s="3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P464" s="27"/>
      <c r="Q464" s="27"/>
      <c r="R464" s="27"/>
      <c r="S464" s="27"/>
      <c r="T464" s="27"/>
      <c r="U464" s="27"/>
      <c r="V464" s="27"/>
      <c r="W464" s="27"/>
      <c r="X464" s="27"/>
      <c r="Y464" s="27"/>
      <c r="Z464" s="27"/>
      <c r="AA464" s="27"/>
    </row>
    <row r="465" spans="3:27" x14ac:dyDescent="0.3">
      <c r="C465" s="3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P465" s="27"/>
      <c r="Q465" s="27"/>
      <c r="R465" s="27"/>
      <c r="S465" s="27"/>
      <c r="T465" s="27"/>
      <c r="U465" s="27"/>
      <c r="V465" s="27"/>
      <c r="W465" s="27"/>
      <c r="X465" s="27"/>
      <c r="Y465" s="27"/>
      <c r="Z465" s="27"/>
      <c r="AA465" s="27"/>
    </row>
    <row r="466" spans="3:27" x14ac:dyDescent="0.3">
      <c r="C466" s="3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P466" s="27"/>
      <c r="Q466" s="27"/>
      <c r="R466" s="27"/>
      <c r="S466" s="27"/>
      <c r="T466" s="27"/>
      <c r="U466" s="27"/>
      <c r="V466" s="27"/>
      <c r="W466" s="27"/>
      <c r="X466" s="27"/>
      <c r="Y466" s="27"/>
      <c r="Z466" s="27"/>
      <c r="AA466" s="27"/>
    </row>
    <row r="467" spans="3:27" x14ac:dyDescent="0.3">
      <c r="C467" s="3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  <c r="T467" s="27"/>
      <c r="U467" s="27"/>
      <c r="V467" s="27"/>
      <c r="W467" s="27"/>
      <c r="X467" s="27"/>
      <c r="Y467" s="27"/>
      <c r="Z467" s="27"/>
      <c r="AA467" s="27"/>
    </row>
    <row r="468" spans="3:27" x14ac:dyDescent="0.3">
      <c r="C468" s="3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P468" s="27"/>
      <c r="Q468" s="27"/>
      <c r="R468" s="27"/>
      <c r="S468" s="27"/>
      <c r="T468" s="27"/>
      <c r="U468" s="27"/>
      <c r="V468" s="27"/>
      <c r="W468" s="27"/>
      <c r="X468" s="27"/>
      <c r="Y468" s="27"/>
      <c r="Z468" s="27"/>
      <c r="AA468" s="27"/>
    </row>
    <row r="469" spans="3:27" x14ac:dyDescent="0.3">
      <c r="C469" s="3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27"/>
      <c r="T469" s="27"/>
      <c r="U469" s="27"/>
      <c r="V469" s="27"/>
      <c r="W469" s="27"/>
      <c r="X469" s="27"/>
      <c r="Y469" s="27"/>
      <c r="Z469" s="27"/>
      <c r="AA469" s="27"/>
    </row>
    <row r="470" spans="3:27" x14ac:dyDescent="0.3">
      <c r="C470" s="3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P470" s="27"/>
      <c r="Q470" s="27"/>
      <c r="R470" s="27"/>
      <c r="S470" s="27"/>
      <c r="T470" s="27"/>
      <c r="U470" s="27"/>
      <c r="V470" s="27"/>
      <c r="W470" s="27"/>
      <c r="X470" s="27"/>
      <c r="Y470" s="27"/>
      <c r="Z470" s="27"/>
      <c r="AA470" s="27"/>
    </row>
    <row r="471" spans="3:27" x14ac:dyDescent="0.3">
      <c r="C471" s="3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  <c r="T471" s="27"/>
      <c r="U471" s="27"/>
      <c r="V471" s="27"/>
      <c r="W471" s="27"/>
      <c r="X471" s="27"/>
      <c r="Y471" s="27"/>
      <c r="Z471" s="27"/>
      <c r="AA471" s="27"/>
    </row>
    <row r="472" spans="3:27" x14ac:dyDescent="0.3">
      <c r="C472" s="3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P472" s="27"/>
      <c r="Q472" s="27"/>
      <c r="R472" s="27"/>
      <c r="S472" s="27"/>
      <c r="T472" s="27"/>
      <c r="U472" s="27"/>
      <c r="V472" s="27"/>
      <c r="W472" s="27"/>
      <c r="X472" s="27"/>
      <c r="Y472" s="27"/>
      <c r="Z472" s="27"/>
      <c r="AA472" s="27"/>
    </row>
    <row r="473" spans="3:27" x14ac:dyDescent="0.3">
      <c r="C473" s="3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P473" s="27"/>
      <c r="Q473" s="27"/>
      <c r="R473" s="27"/>
      <c r="S473" s="27"/>
      <c r="T473" s="27"/>
      <c r="U473" s="27"/>
      <c r="V473" s="27"/>
      <c r="W473" s="27"/>
      <c r="X473" s="27"/>
      <c r="Y473" s="27"/>
      <c r="Z473" s="27"/>
      <c r="AA473" s="27"/>
    </row>
    <row r="474" spans="3:27" x14ac:dyDescent="0.3">
      <c r="C474" s="3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P474" s="27"/>
      <c r="Q474" s="27"/>
      <c r="R474" s="27"/>
      <c r="S474" s="27"/>
      <c r="T474" s="27"/>
      <c r="U474" s="27"/>
      <c r="V474" s="27"/>
      <c r="W474" s="27"/>
      <c r="X474" s="27"/>
      <c r="Y474" s="27"/>
      <c r="Z474" s="27"/>
      <c r="AA474" s="27"/>
    </row>
    <row r="475" spans="3:27" x14ac:dyDescent="0.3">
      <c r="C475" s="3"/>
      <c r="D475" s="27"/>
      <c r="E475" s="27"/>
      <c r="F475" s="27"/>
      <c r="G475" s="27"/>
      <c r="H475" s="27"/>
      <c r="I475" s="27"/>
      <c r="J475" s="27"/>
      <c r="K475" s="27"/>
      <c r="L475" s="27"/>
      <c r="M475" s="27"/>
      <c r="N475" s="27"/>
      <c r="O475" s="27"/>
      <c r="P475" s="27"/>
      <c r="Q475" s="27"/>
      <c r="R475" s="27"/>
      <c r="S475" s="27"/>
      <c r="T475" s="27"/>
      <c r="U475" s="27"/>
      <c r="V475" s="27"/>
      <c r="W475" s="27"/>
      <c r="X475" s="27"/>
      <c r="Y475" s="27"/>
      <c r="Z475" s="27"/>
      <c r="AA475" s="27"/>
    </row>
    <row r="476" spans="3:27" x14ac:dyDescent="0.3">
      <c r="C476" s="3"/>
      <c r="D476" s="27"/>
      <c r="E476" s="27"/>
      <c r="F476" s="27"/>
      <c r="G476" s="27"/>
      <c r="H476" s="27"/>
      <c r="I476" s="27"/>
      <c r="J476" s="27"/>
      <c r="K476" s="27"/>
      <c r="L476" s="27"/>
      <c r="M476" s="27"/>
      <c r="N476" s="27"/>
      <c r="O476" s="27"/>
      <c r="P476" s="27"/>
      <c r="Q476" s="27"/>
      <c r="R476" s="27"/>
      <c r="S476" s="27"/>
      <c r="T476" s="27"/>
      <c r="U476" s="27"/>
      <c r="V476" s="27"/>
      <c r="W476" s="27"/>
      <c r="X476" s="27"/>
      <c r="Y476" s="27"/>
      <c r="Z476" s="27"/>
      <c r="AA476" s="27"/>
    </row>
    <row r="477" spans="3:27" x14ac:dyDescent="0.3">
      <c r="C477" s="3"/>
      <c r="D477" s="27"/>
      <c r="E477" s="27"/>
      <c r="F477" s="27"/>
      <c r="G477" s="27"/>
      <c r="H477" s="27"/>
      <c r="I477" s="27"/>
      <c r="J477" s="27"/>
      <c r="K477" s="27"/>
      <c r="L477" s="27"/>
      <c r="M477" s="27"/>
      <c r="N477" s="27"/>
      <c r="O477" s="27"/>
      <c r="P477" s="27"/>
      <c r="Q477" s="27"/>
      <c r="R477" s="27"/>
      <c r="S477" s="27"/>
      <c r="T477" s="27"/>
      <c r="U477" s="27"/>
      <c r="V477" s="27"/>
      <c r="W477" s="27"/>
      <c r="X477" s="27"/>
      <c r="Y477" s="27"/>
      <c r="Z477" s="27"/>
      <c r="AA477" s="27"/>
    </row>
    <row r="478" spans="3:27" x14ac:dyDescent="0.3">
      <c r="C478" s="3"/>
      <c r="D478" s="27"/>
      <c r="E478" s="27"/>
      <c r="F478" s="27"/>
      <c r="G478" s="27"/>
      <c r="H478" s="27"/>
      <c r="I478" s="27"/>
      <c r="J478" s="27"/>
      <c r="K478" s="27"/>
      <c r="L478" s="27"/>
      <c r="M478" s="27"/>
      <c r="N478" s="27"/>
      <c r="O478" s="27"/>
      <c r="P478" s="27"/>
      <c r="Q478" s="27"/>
      <c r="R478" s="27"/>
      <c r="S478" s="27"/>
      <c r="T478" s="27"/>
      <c r="U478" s="27"/>
      <c r="V478" s="27"/>
      <c r="W478" s="27"/>
      <c r="X478" s="27"/>
      <c r="Y478" s="27"/>
      <c r="Z478" s="27"/>
      <c r="AA478" s="27"/>
    </row>
    <row r="479" spans="3:27" x14ac:dyDescent="0.3">
      <c r="C479" s="3"/>
      <c r="D479" s="27"/>
      <c r="E479" s="27"/>
      <c r="F479" s="27"/>
      <c r="G479" s="27"/>
      <c r="H479" s="27"/>
      <c r="I479" s="27"/>
      <c r="J479" s="27"/>
      <c r="K479" s="27"/>
      <c r="L479" s="27"/>
      <c r="M479" s="27"/>
      <c r="N479" s="27"/>
      <c r="O479" s="27"/>
      <c r="P479" s="27"/>
      <c r="Q479" s="27"/>
      <c r="R479" s="27"/>
      <c r="S479" s="27"/>
      <c r="T479" s="27"/>
      <c r="U479" s="27"/>
      <c r="V479" s="27"/>
      <c r="W479" s="27"/>
      <c r="X479" s="27"/>
      <c r="Y479" s="27"/>
      <c r="Z479" s="27"/>
      <c r="AA479" s="27"/>
    </row>
    <row r="480" spans="3:27" x14ac:dyDescent="0.3">
      <c r="C480" s="3"/>
      <c r="D480" s="27"/>
      <c r="E480" s="27"/>
      <c r="F480" s="27"/>
      <c r="G480" s="27"/>
      <c r="H480" s="27"/>
      <c r="I480" s="27"/>
      <c r="J480" s="27"/>
      <c r="K480" s="27"/>
      <c r="L480" s="27"/>
      <c r="M480" s="27"/>
      <c r="N480" s="27"/>
      <c r="O480" s="27"/>
      <c r="P480" s="27"/>
      <c r="Q480" s="27"/>
      <c r="R480" s="27"/>
      <c r="S480" s="27"/>
      <c r="T480" s="27"/>
      <c r="U480" s="27"/>
      <c r="V480" s="27"/>
      <c r="W480" s="27"/>
      <c r="X480" s="27"/>
      <c r="Y480" s="27"/>
      <c r="Z480" s="27"/>
      <c r="AA480" s="27"/>
    </row>
    <row r="481" spans="3:27" x14ac:dyDescent="0.3">
      <c r="C481" s="3"/>
      <c r="D481" s="27"/>
      <c r="E481" s="27"/>
      <c r="F481" s="27"/>
      <c r="G481" s="27"/>
      <c r="H481" s="27"/>
      <c r="I481" s="27"/>
      <c r="J481" s="27"/>
      <c r="K481" s="27"/>
      <c r="L481" s="27"/>
      <c r="M481" s="27"/>
      <c r="N481" s="27"/>
      <c r="O481" s="27"/>
      <c r="P481" s="27"/>
      <c r="Q481" s="27"/>
      <c r="R481" s="27"/>
      <c r="S481" s="27"/>
      <c r="T481" s="27"/>
      <c r="U481" s="27"/>
      <c r="V481" s="27"/>
      <c r="W481" s="27"/>
      <c r="X481" s="27"/>
      <c r="Y481" s="27"/>
      <c r="Z481" s="27"/>
      <c r="AA481" s="27"/>
    </row>
    <row r="482" spans="3:27" x14ac:dyDescent="0.3">
      <c r="C482" s="3"/>
      <c r="D482" s="27"/>
      <c r="E482" s="27"/>
      <c r="F482" s="27"/>
      <c r="G482" s="27"/>
      <c r="H482" s="27"/>
      <c r="I482" s="27"/>
      <c r="J482" s="27"/>
      <c r="K482" s="27"/>
      <c r="L482" s="27"/>
      <c r="M482" s="27"/>
      <c r="N482" s="27"/>
      <c r="O482" s="27"/>
      <c r="P482" s="27"/>
      <c r="Q482" s="27"/>
      <c r="R482" s="27"/>
      <c r="S482" s="27"/>
      <c r="T482" s="27"/>
      <c r="U482" s="27"/>
      <c r="V482" s="27"/>
      <c r="W482" s="27"/>
      <c r="X482" s="27"/>
      <c r="Y482" s="27"/>
      <c r="Z482" s="27"/>
      <c r="AA482" s="27"/>
    </row>
    <row r="483" spans="3:27" x14ac:dyDescent="0.3">
      <c r="C483" s="3"/>
      <c r="D483" s="27"/>
      <c r="E483" s="27"/>
      <c r="F483" s="27"/>
      <c r="G483" s="27"/>
      <c r="H483" s="27"/>
      <c r="I483" s="27"/>
      <c r="J483" s="27"/>
      <c r="K483" s="27"/>
      <c r="L483" s="27"/>
      <c r="M483" s="27"/>
      <c r="N483" s="27"/>
      <c r="O483" s="27"/>
      <c r="P483" s="27"/>
      <c r="Q483" s="27"/>
      <c r="R483" s="27"/>
      <c r="S483" s="27"/>
      <c r="T483" s="27"/>
      <c r="U483" s="27"/>
      <c r="V483" s="27"/>
      <c r="W483" s="27"/>
      <c r="X483" s="27"/>
      <c r="Y483" s="27"/>
      <c r="Z483" s="27"/>
      <c r="AA483" s="27"/>
    </row>
    <row r="484" spans="3:27" x14ac:dyDescent="0.3">
      <c r="C484" s="3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N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  <c r="AA484" s="27"/>
    </row>
    <row r="485" spans="3:27" x14ac:dyDescent="0.3">
      <c r="C485" s="3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N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  <c r="AA485" s="27"/>
    </row>
    <row r="486" spans="3:27" x14ac:dyDescent="0.3">
      <c r="C486" s="3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N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  <c r="AA486" s="27"/>
    </row>
    <row r="487" spans="3:27" x14ac:dyDescent="0.3">
      <c r="C487" s="3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N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  <c r="AA487" s="27"/>
    </row>
    <row r="488" spans="3:27" x14ac:dyDescent="0.3">
      <c r="C488" s="3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N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  <c r="AA488" s="27"/>
    </row>
    <row r="489" spans="3:27" x14ac:dyDescent="0.3">
      <c r="C489" s="3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N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  <c r="AA489" s="27"/>
    </row>
    <row r="490" spans="3:27" x14ac:dyDescent="0.3">
      <c r="C490" s="3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N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  <c r="AA490" s="27"/>
    </row>
    <row r="491" spans="3:27" x14ac:dyDescent="0.3">
      <c r="C491" s="3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N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  <c r="AA491" s="27"/>
    </row>
    <row r="492" spans="3:27" x14ac:dyDescent="0.3">
      <c r="C492" s="3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N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  <c r="AA492" s="27"/>
    </row>
    <row r="493" spans="3:27" x14ac:dyDescent="0.3">
      <c r="C493" s="3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N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  <c r="AA493" s="27"/>
    </row>
    <row r="494" spans="3:27" x14ac:dyDescent="0.3">
      <c r="C494" s="3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N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  <c r="AA494" s="27"/>
    </row>
    <row r="495" spans="3:27" x14ac:dyDescent="0.3">
      <c r="C495" s="3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N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  <c r="AA495" s="27"/>
    </row>
    <row r="496" spans="3:27" x14ac:dyDescent="0.3">
      <c r="C496" s="3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N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  <c r="AA496" s="27"/>
    </row>
    <row r="497" spans="3:27" x14ac:dyDescent="0.3">
      <c r="C497" s="3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N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  <c r="AA497" s="27"/>
    </row>
    <row r="498" spans="3:27" x14ac:dyDescent="0.3">
      <c r="C498" s="3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N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  <c r="AA498" s="27"/>
    </row>
    <row r="499" spans="3:27" x14ac:dyDescent="0.3">
      <c r="C499" s="3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N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  <c r="AA499" s="27"/>
    </row>
    <row r="500" spans="3:27" x14ac:dyDescent="0.3">
      <c r="C500" s="3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N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  <c r="AA500" s="27"/>
    </row>
    <row r="501" spans="3:27" x14ac:dyDescent="0.3">
      <c r="C501" s="3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N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  <c r="AA501" s="27"/>
    </row>
    <row r="502" spans="3:27" x14ac:dyDescent="0.3">
      <c r="C502" s="3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N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  <c r="AA502" s="27"/>
    </row>
    <row r="503" spans="3:27" x14ac:dyDescent="0.3">
      <c r="C503" s="3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N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  <c r="AA503" s="27"/>
    </row>
    <row r="504" spans="3:27" x14ac:dyDescent="0.3">
      <c r="C504" s="3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N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  <c r="AA504" s="27"/>
    </row>
    <row r="505" spans="3:27" x14ac:dyDescent="0.3">
      <c r="C505" s="3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N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  <c r="AA505" s="27"/>
    </row>
    <row r="506" spans="3:27" x14ac:dyDescent="0.3">
      <c r="C506" s="3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N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  <c r="AA506" s="27"/>
    </row>
    <row r="507" spans="3:27" x14ac:dyDescent="0.3">
      <c r="C507" s="3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N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  <c r="AA507" s="27"/>
    </row>
    <row r="508" spans="3:27" x14ac:dyDescent="0.3">
      <c r="C508" s="3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N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  <c r="AA508" s="27"/>
    </row>
    <row r="509" spans="3:27" x14ac:dyDescent="0.3">
      <c r="C509" s="3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N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  <c r="AA509" s="27"/>
    </row>
    <row r="510" spans="3:27" x14ac:dyDescent="0.3">
      <c r="C510" s="3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N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  <c r="AA510" s="27"/>
    </row>
    <row r="511" spans="3:27" x14ac:dyDescent="0.3">
      <c r="C511" s="3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N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  <c r="AA511" s="27"/>
    </row>
    <row r="512" spans="3:27" x14ac:dyDescent="0.3">
      <c r="C512" s="3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N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  <c r="AA512" s="27"/>
    </row>
    <row r="513" spans="3:27" x14ac:dyDescent="0.3">
      <c r="C513" s="3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N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  <c r="AA513" s="27"/>
    </row>
    <row r="514" spans="3:27" x14ac:dyDescent="0.3">
      <c r="C514" s="3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N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  <c r="AA514" s="27"/>
    </row>
    <row r="515" spans="3:27" x14ac:dyDescent="0.3">
      <c r="C515" s="3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N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  <c r="AA515" s="27"/>
    </row>
    <row r="516" spans="3:27" x14ac:dyDescent="0.3">
      <c r="C516" s="3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N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  <c r="AA516" s="27"/>
    </row>
    <row r="517" spans="3:27" x14ac:dyDescent="0.3">
      <c r="C517" s="3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N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  <c r="AA517" s="27"/>
    </row>
    <row r="518" spans="3:27" x14ac:dyDescent="0.3">
      <c r="C518" s="3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N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  <c r="AA518" s="27"/>
    </row>
    <row r="519" spans="3:27" x14ac:dyDescent="0.3">
      <c r="C519" s="3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N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  <c r="AA519" s="27"/>
    </row>
    <row r="520" spans="3:27" x14ac:dyDescent="0.3">
      <c r="C520" s="3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N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  <c r="AA520" s="27"/>
    </row>
    <row r="521" spans="3:27" x14ac:dyDescent="0.3">
      <c r="C521" s="3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N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  <c r="AA521" s="27"/>
    </row>
    <row r="522" spans="3:27" x14ac:dyDescent="0.3">
      <c r="C522" s="3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N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  <c r="AA522" s="27"/>
    </row>
    <row r="523" spans="3:27" x14ac:dyDescent="0.3">
      <c r="C523" s="3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N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  <c r="AA523" s="27"/>
    </row>
    <row r="524" spans="3:27" x14ac:dyDescent="0.3">
      <c r="C524" s="3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N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  <c r="AA524" s="27"/>
    </row>
    <row r="525" spans="3:27" x14ac:dyDescent="0.3">
      <c r="C525" s="3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N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  <c r="AA525" s="27"/>
    </row>
    <row r="526" spans="3:27" x14ac:dyDescent="0.3">
      <c r="C526" s="3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N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  <c r="AA526" s="27"/>
    </row>
    <row r="527" spans="3:27" x14ac:dyDescent="0.3">
      <c r="C527" s="3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N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  <c r="AA527" s="27"/>
    </row>
    <row r="528" spans="3:27" x14ac:dyDescent="0.3">
      <c r="C528" s="3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N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  <c r="AA528" s="27"/>
    </row>
    <row r="529" spans="3:27" x14ac:dyDescent="0.3">
      <c r="C529" s="3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N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  <c r="AA529" s="27"/>
    </row>
    <row r="530" spans="3:27" x14ac:dyDescent="0.3">
      <c r="C530" s="3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N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  <c r="AA530" s="27"/>
    </row>
    <row r="531" spans="3:27" x14ac:dyDescent="0.3">
      <c r="C531" s="3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N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  <c r="AA531" s="27"/>
    </row>
    <row r="532" spans="3:27" x14ac:dyDescent="0.3">
      <c r="C532" s="3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N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  <c r="AA532" s="27"/>
    </row>
    <row r="533" spans="3:27" x14ac:dyDescent="0.3">
      <c r="C533" s="3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N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  <c r="AA533" s="27"/>
    </row>
    <row r="534" spans="3:27" x14ac:dyDescent="0.3">
      <c r="C534" s="3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N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  <c r="AA534" s="27"/>
    </row>
    <row r="535" spans="3:27" x14ac:dyDescent="0.3">
      <c r="C535" s="3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N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  <c r="AA535" s="27"/>
    </row>
    <row r="536" spans="3:27" x14ac:dyDescent="0.3">
      <c r="C536" s="3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N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  <c r="AA536" s="27"/>
    </row>
    <row r="537" spans="3:27" x14ac:dyDescent="0.3">
      <c r="C537" s="3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N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  <c r="AA537" s="27"/>
    </row>
    <row r="538" spans="3:27" x14ac:dyDescent="0.3">
      <c r="C538" s="3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N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  <c r="AA538" s="27"/>
    </row>
    <row r="539" spans="3:27" x14ac:dyDescent="0.3">
      <c r="C539" s="3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N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  <c r="AA539" s="27"/>
    </row>
    <row r="540" spans="3:27" x14ac:dyDescent="0.3">
      <c r="C540" s="3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N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  <c r="AA540" s="27"/>
    </row>
    <row r="541" spans="3:27" x14ac:dyDescent="0.3">
      <c r="C541" s="3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N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  <c r="AA541" s="27"/>
    </row>
    <row r="542" spans="3:27" x14ac:dyDescent="0.3">
      <c r="C542" s="3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N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  <c r="AA542" s="27"/>
    </row>
    <row r="543" spans="3:27" x14ac:dyDescent="0.3">
      <c r="C543" s="3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N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  <c r="AA543" s="27"/>
    </row>
    <row r="544" spans="3:27" x14ac:dyDescent="0.3">
      <c r="C544" s="3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N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  <c r="AA544" s="27"/>
    </row>
    <row r="545" spans="3:27" x14ac:dyDescent="0.3">
      <c r="C545" s="3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N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  <c r="AA545" s="27"/>
    </row>
    <row r="546" spans="3:27" x14ac:dyDescent="0.3">
      <c r="C546" s="3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N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  <c r="AA546" s="27"/>
    </row>
    <row r="547" spans="3:27" x14ac:dyDescent="0.3">
      <c r="C547" s="3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N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  <c r="AA547" s="27"/>
    </row>
    <row r="548" spans="3:27" x14ac:dyDescent="0.3">
      <c r="C548" s="3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N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  <c r="AA548" s="27"/>
    </row>
    <row r="549" spans="3:27" x14ac:dyDescent="0.3">
      <c r="C549" s="3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N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  <c r="AA549" s="27"/>
    </row>
    <row r="550" spans="3:27" x14ac:dyDescent="0.3">
      <c r="C550" s="3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N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  <c r="AA550" s="27"/>
    </row>
    <row r="551" spans="3:27" x14ac:dyDescent="0.3">
      <c r="C551" s="3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N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  <c r="AA551" s="27"/>
    </row>
    <row r="552" spans="3:27" x14ac:dyDescent="0.3">
      <c r="C552" s="3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N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  <c r="AA552" s="27"/>
    </row>
    <row r="553" spans="3:27" x14ac:dyDescent="0.3">
      <c r="C553" s="3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N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  <c r="AA553" s="27"/>
    </row>
    <row r="554" spans="3:27" x14ac:dyDescent="0.3">
      <c r="C554" s="3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N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  <c r="AA554" s="27"/>
    </row>
    <row r="555" spans="3:27" x14ac:dyDescent="0.3">
      <c r="C555" s="3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N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  <c r="AA555" s="27"/>
    </row>
    <row r="556" spans="3:27" x14ac:dyDescent="0.3">
      <c r="C556" s="3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N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  <c r="AA556" s="27"/>
    </row>
    <row r="557" spans="3:27" x14ac:dyDescent="0.3">
      <c r="C557" s="3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N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  <c r="AA557" s="27"/>
    </row>
    <row r="558" spans="3:27" x14ac:dyDescent="0.3">
      <c r="C558" s="3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N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  <c r="AA558" s="27"/>
    </row>
    <row r="559" spans="3:27" x14ac:dyDescent="0.3">
      <c r="C559" s="3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N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  <c r="AA559" s="27"/>
    </row>
    <row r="560" spans="3:27" x14ac:dyDescent="0.3">
      <c r="C560" s="3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N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  <c r="AA560" s="27"/>
    </row>
    <row r="561" spans="3:27" x14ac:dyDescent="0.3">
      <c r="C561" s="3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N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  <c r="AA561" s="27"/>
    </row>
    <row r="562" spans="3:27" x14ac:dyDescent="0.3">
      <c r="C562" s="3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N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  <c r="AA562" s="27"/>
    </row>
    <row r="563" spans="3:27" x14ac:dyDescent="0.3">
      <c r="C563" s="3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N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  <c r="AA563" s="27"/>
    </row>
    <row r="564" spans="3:27" x14ac:dyDescent="0.3">
      <c r="C564" s="3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N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  <c r="AA564" s="27"/>
    </row>
    <row r="565" spans="3:27" x14ac:dyDescent="0.3">
      <c r="C565" s="3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N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  <c r="AA565" s="27"/>
    </row>
    <row r="566" spans="3:27" x14ac:dyDescent="0.3">
      <c r="C566" s="3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N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  <c r="AA566" s="27"/>
    </row>
    <row r="567" spans="3:27" x14ac:dyDescent="0.3">
      <c r="C567" s="3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N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  <c r="AA567" s="27"/>
    </row>
    <row r="568" spans="3:27" x14ac:dyDescent="0.3">
      <c r="C568" s="3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N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  <c r="AA568" s="27"/>
    </row>
    <row r="569" spans="3:27" x14ac:dyDescent="0.3">
      <c r="C569" s="3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N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  <c r="AA569" s="27"/>
    </row>
    <row r="570" spans="3:27" x14ac:dyDescent="0.3">
      <c r="C570" s="3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N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  <c r="AA570" s="27"/>
    </row>
    <row r="571" spans="3:27" x14ac:dyDescent="0.3">
      <c r="C571" s="3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N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  <c r="AA571" s="27"/>
    </row>
    <row r="572" spans="3:27" x14ac:dyDescent="0.3">
      <c r="C572" s="3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N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  <c r="AA572" s="27"/>
    </row>
    <row r="573" spans="3:27" x14ac:dyDescent="0.3">
      <c r="C573" s="3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N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  <c r="AA573" s="27"/>
    </row>
    <row r="574" spans="3:27" x14ac:dyDescent="0.3">
      <c r="C574" s="3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N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  <c r="AA574" s="27"/>
    </row>
    <row r="575" spans="3:27" x14ac:dyDescent="0.3">
      <c r="C575" s="3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N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  <c r="AA575" s="27"/>
    </row>
    <row r="576" spans="3:27" x14ac:dyDescent="0.3">
      <c r="C576" s="3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N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  <c r="AA576" s="27"/>
    </row>
    <row r="577" spans="3:27" x14ac:dyDescent="0.3">
      <c r="C577" s="3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  <c r="AA577" s="27"/>
    </row>
    <row r="578" spans="3:27" x14ac:dyDescent="0.3">
      <c r="C578" s="3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  <c r="AA578" s="27"/>
    </row>
    <row r="579" spans="3:27" x14ac:dyDescent="0.3">
      <c r="C579" s="3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  <c r="AA579" s="27"/>
    </row>
    <row r="580" spans="3:27" x14ac:dyDescent="0.3">
      <c r="C580" s="3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  <c r="AA580" s="27"/>
    </row>
    <row r="581" spans="3:27" x14ac:dyDescent="0.3">
      <c r="C581" s="3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  <c r="AA581" s="27"/>
    </row>
    <row r="582" spans="3:27" x14ac:dyDescent="0.3">
      <c r="C582" s="3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  <c r="AA582" s="27"/>
    </row>
    <row r="583" spans="3:27" x14ac:dyDescent="0.3">
      <c r="C583" s="3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  <c r="AA583" s="27"/>
    </row>
    <row r="584" spans="3:27" x14ac:dyDescent="0.3">
      <c r="C584" s="3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  <c r="AA584" s="27"/>
    </row>
    <row r="585" spans="3:27" x14ac:dyDescent="0.3">
      <c r="C585" s="3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  <c r="AA585" s="27"/>
    </row>
    <row r="586" spans="3:27" x14ac:dyDescent="0.3">
      <c r="C586" s="3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  <c r="AA586" s="27"/>
    </row>
    <row r="587" spans="3:27" x14ac:dyDescent="0.3">
      <c r="C587" s="3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  <c r="AA587" s="27"/>
    </row>
    <row r="588" spans="3:27" x14ac:dyDescent="0.3">
      <c r="C588" s="3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  <c r="AA588" s="27"/>
    </row>
    <row r="589" spans="3:27" x14ac:dyDescent="0.3">
      <c r="C589" s="3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  <c r="AA589" s="27"/>
    </row>
    <row r="590" spans="3:27" x14ac:dyDescent="0.3">
      <c r="C590" s="3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  <c r="AA590" s="27"/>
    </row>
    <row r="591" spans="3:27" x14ac:dyDescent="0.3">
      <c r="C591" s="3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N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  <c r="AA591" s="27"/>
    </row>
    <row r="592" spans="3:27" x14ac:dyDescent="0.3">
      <c r="C592" s="3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N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  <c r="AA592" s="27"/>
    </row>
    <row r="593" spans="3:27" x14ac:dyDescent="0.3">
      <c r="C593" s="3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N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  <c r="AA593" s="27"/>
    </row>
    <row r="594" spans="3:27" x14ac:dyDescent="0.3">
      <c r="C594" s="3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N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  <c r="AA594" s="27"/>
    </row>
    <row r="595" spans="3:27" x14ac:dyDescent="0.3">
      <c r="C595" s="3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N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  <c r="AA595" s="27"/>
    </row>
    <row r="596" spans="3:27" x14ac:dyDescent="0.3">
      <c r="C596" s="3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N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  <c r="AA596" s="27"/>
    </row>
    <row r="597" spans="3:27" x14ac:dyDescent="0.3">
      <c r="C597" s="3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N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  <c r="AA597" s="27"/>
    </row>
    <row r="598" spans="3:27" x14ac:dyDescent="0.3">
      <c r="C598" s="3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N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  <c r="AA598" s="27"/>
    </row>
    <row r="599" spans="3:27" x14ac:dyDescent="0.3">
      <c r="C599" s="3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N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  <c r="AA599" s="27"/>
    </row>
    <row r="600" spans="3:27" x14ac:dyDescent="0.3">
      <c r="C600" s="3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N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  <c r="AA600" s="27"/>
    </row>
    <row r="601" spans="3:27" x14ac:dyDescent="0.3">
      <c r="C601" s="3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N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  <c r="AA601" s="27"/>
    </row>
    <row r="602" spans="3:27" x14ac:dyDescent="0.3">
      <c r="C602" s="3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N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  <c r="AA602" s="27"/>
    </row>
    <row r="603" spans="3:27" x14ac:dyDescent="0.3">
      <c r="C603" s="3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N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  <c r="AA603" s="27"/>
    </row>
    <row r="604" spans="3:27" x14ac:dyDescent="0.3">
      <c r="C604" s="3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N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  <c r="AA604" s="27"/>
    </row>
    <row r="605" spans="3:27" x14ac:dyDescent="0.3">
      <c r="C605" s="3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N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  <c r="AA605" s="27"/>
    </row>
    <row r="606" spans="3:27" x14ac:dyDescent="0.3">
      <c r="C606" s="3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N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  <c r="AA606" s="27"/>
    </row>
    <row r="607" spans="3:27" x14ac:dyDescent="0.3">
      <c r="C607" s="3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N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  <c r="AA607" s="27"/>
    </row>
    <row r="608" spans="3:27" x14ac:dyDescent="0.3">
      <c r="C608" s="3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N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  <c r="AA608" s="27"/>
    </row>
    <row r="609" spans="3:27" x14ac:dyDescent="0.3">
      <c r="C609" s="3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N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  <c r="AA609" s="27"/>
    </row>
    <row r="610" spans="3:27" x14ac:dyDescent="0.3">
      <c r="C610" s="3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N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  <c r="AA610" s="27"/>
    </row>
    <row r="611" spans="3:27" x14ac:dyDescent="0.3">
      <c r="C611" s="3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N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  <c r="AA611" s="27"/>
    </row>
    <row r="612" spans="3:27" x14ac:dyDescent="0.3">
      <c r="C612" s="3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N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  <c r="AA612" s="27"/>
    </row>
    <row r="613" spans="3:27" x14ac:dyDescent="0.3">
      <c r="C613" s="3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N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  <c r="AA613" s="27"/>
    </row>
    <row r="614" spans="3:27" x14ac:dyDescent="0.3">
      <c r="C614" s="3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N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  <c r="AA614" s="27"/>
    </row>
    <row r="615" spans="3:27" x14ac:dyDescent="0.3">
      <c r="C615" s="3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N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  <c r="AA615" s="27"/>
    </row>
    <row r="616" spans="3:27" x14ac:dyDescent="0.3">
      <c r="C616" s="3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N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  <c r="AA616" s="27"/>
    </row>
    <row r="617" spans="3:27" x14ac:dyDescent="0.3">
      <c r="C617" s="3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N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  <c r="AA617" s="27"/>
    </row>
    <row r="618" spans="3:27" x14ac:dyDescent="0.3">
      <c r="C618" s="3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N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  <c r="AA618" s="27"/>
    </row>
    <row r="619" spans="3:27" x14ac:dyDescent="0.3">
      <c r="C619" s="3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N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  <c r="AA619" s="27"/>
    </row>
    <row r="620" spans="3:27" x14ac:dyDescent="0.3">
      <c r="C620" s="3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N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  <c r="AA620" s="27"/>
    </row>
    <row r="621" spans="3:27" x14ac:dyDescent="0.3">
      <c r="C621" s="3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N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  <c r="AA621" s="27"/>
    </row>
    <row r="622" spans="3:27" x14ac:dyDescent="0.3">
      <c r="C622" s="3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N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  <c r="AA622" s="27"/>
    </row>
    <row r="623" spans="3:27" x14ac:dyDescent="0.3">
      <c r="C623" s="3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N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  <c r="AA623" s="27"/>
    </row>
    <row r="624" spans="3:27" x14ac:dyDescent="0.3">
      <c r="C624" s="3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N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  <c r="AA624" s="27"/>
    </row>
    <row r="625" spans="3:27" x14ac:dyDescent="0.3">
      <c r="C625" s="3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N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  <c r="AA625" s="27"/>
    </row>
    <row r="626" spans="3:27" x14ac:dyDescent="0.3">
      <c r="C626" s="3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N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  <c r="AA626" s="27"/>
    </row>
    <row r="627" spans="3:27" x14ac:dyDescent="0.3">
      <c r="C627" s="3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N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  <c r="AA627" s="27"/>
    </row>
    <row r="628" spans="3:27" x14ac:dyDescent="0.3">
      <c r="C628" s="3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N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  <c r="AA628" s="27"/>
    </row>
    <row r="629" spans="3:27" x14ac:dyDescent="0.3">
      <c r="C629" s="3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N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  <c r="AA629" s="27"/>
    </row>
    <row r="630" spans="3:27" x14ac:dyDescent="0.3">
      <c r="C630" s="3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N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  <c r="AA630" s="27"/>
    </row>
    <row r="631" spans="3:27" x14ac:dyDescent="0.3">
      <c r="C631" s="3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N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  <c r="AA631" s="27"/>
    </row>
    <row r="632" spans="3:27" x14ac:dyDescent="0.3">
      <c r="C632" s="3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N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  <c r="AA632" s="27"/>
    </row>
    <row r="633" spans="3:27" x14ac:dyDescent="0.3">
      <c r="C633" s="3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N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  <c r="AA633" s="27"/>
    </row>
    <row r="634" spans="3:27" x14ac:dyDescent="0.3">
      <c r="C634" s="3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N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  <c r="AA634" s="27"/>
    </row>
    <row r="635" spans="3:27" x14ac:dyDescent="0.3">
      <c r="C635" s="3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N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  <c r="AA635" s="27"/>
    </row>
    <row r="636" spans="3:27" x14ac:dyDescent="0.3">
      <c r="C636" s="3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N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  <c r="AA636" s="27"/>
    </row>
    <row r="637" spans="3:27" x14ac:dyDescent="0.3">
      <c r="C637" s="3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N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  <c r="AA637" s="27"/>
    </row>
    <row r="638" spans="3:27" x14ac:dyDescent="0.3">
      <c r="C638" s="3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N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  <c r="AA638" s="27"/>
    </row>
    <row r="639" spans="3:27" x14ac:dyDescent="0.3">
      <c r="C639" s="3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N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  <c r="AA639" s="27"/>
    </row>
    <row r="640" spans="3:27" x14ac:dyDescent="0.3">
      <c r="C640" s="3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N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  <c r="AA640" s="27"/>
    </row>
    <row r="641" spans="3:27" x14ac:dyDescent="0.3">
      <c r="C641" s="3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N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  <c r="AA641" s="27"/>
    </row>
    <row r="642" spans="3:27" x14ac:dyDescent="0.3">
      <c r="C642" s="3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N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  <c r="AA642" s="27"/>
    </row>
    <row r="643" spans="3:27" x14ac:dyDescent="0.3">
      <c r="C643" s="3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N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  <c r="AA643" s="27"/>
    </row>
    <row r="644" spans="3:27" x14ac:dyDescent="0.3">
      <c r="C644" s="3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N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  <c r="AA644" s="27"/>
    </row>
    <row r="645" spans="3:27" x14ac:dyDescent="0.3">
      <c r="C645" s="3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N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  <c r="AA645" s="27"/>
    </row>
    <row r="646" spans="3:27" x14ac:dyDescent="0.3">
      <c r="C646" s="3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N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  <c r="AA646" s="27"/>
    </row>
    <row r="647" spans="3:27" x14ac:dyDescent="0.3">
      <c r="C647" s="3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N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  <c r="AA647" s="27"/>
    </row>
    <row r="648" spans="3:27" x14ac:dyDescent="0.3">
      <c r="C648" s="3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N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  <c r="AA648" s="27"/>
    </row>
    <row r="649" spans="3:27" x14ac:dyDescent="0.3">
      <c r="C649" s="3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N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  <c r="AA649" s="27"/>
    </row>
    <row r="650" spans="3:27" x14ac:dyDescent="0.3">
      <c r="C650" s="3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N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  <c r="AA650" s="27"/>
    </row>
    <row r="651" spans="3:27" x14ac:dyDescent="0.3">
      <c r="C651" s="3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N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  <c r="AA651" s="27"/>
    </row>
    <row r="652" spans="3:27" x14ac:dyDescent="0.3">
      <c r="C652" s="3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N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  <c r="AA652" s="27"/>
    </row>
    <row r="653" spans="3:27" x14ac:dyDescent="0.3">
      <c r="C653" s="3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N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  <c r="AA653" s="27"/>
    </row>
    <row r="654" spans="3:27" x14ac:dyDescent="0.3">
      <c r="C654" s="3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N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  <c r="AA654" s="27"/>
    </row>
    <row r="655" spans="3:27" x14ac:dyDescent="0.3">
      <c r="C655" s="3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N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  <c r="AA655" s="27"/>
    </row>
    <row r="656" spans="3:27" x14ac:dyDescent="0.3">
      <c r="C656" s="3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N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  <c r="AA656" s="27"/>
    </row>
    <row r="657" spans="3:27" x14ac:dyDescent="0.3">
      <c r="C657" s="3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N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  <c r="AA657" s="27"/>
    </row>
    <row r="658" spans="3:27" x14ac:dyDescent="0.3">
      <c r="C658" s="3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N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  <c r="AA658" s="27"/>
    </row>
    <row r="659" spans="3:27" x14ac:dyDescent="0.3">
      <c r="C659" s="3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N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  <c r="AA659" s="27"/>
    </row>
    <row r="660" spans="3:27" x14ac:dyDescent="0.3">
      <c r="C660" s="3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N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  <c r="AA660" s="27"/>
    </row>
    <row r="661" spans="3:27" x14ac:dyDescent="0.3">
      <c r="C661" s="3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N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  <c r="AA661" s="27"/>
    </row>
    <row r="662" spans="3:27" x14ac:dyDescent="0.3">
      <c r="C662" s="3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N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  <c r="AA662" s="27"/>
    </row>
    <row r="663" spans="3:27" x14ac:dyDescent="0.3">
      <c r="C663" s="3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N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  <c r="AA663" s="27"/>
    </row>
    <row r="664" spans="3:27" x14ac:dyDescent="0.3">
      <c r="C664" s="3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N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  <c r="AA664" s="27"/>
    </row>
    <row r="665" spans="3:27" x14ac:dyDescent="0.3">
      <c r="C665" s="3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N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  <c r="AA665" s="27"/>
    </row>
    <row r="666" spans="3:27" x14ac:dyDescent="0.3">
      <c r="C666" s="3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N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  <c r="AA666" s="27"/>
    </row>
    <row r="667" spans="3:27" x14ac:dyDescent="0.3">
      <c r="C667" s="3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N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  <c r="AA667" s="27"/>
    </row>
    <row r="668" spans="3:27" x14ac:dyDescent="0.3">
      <c r="C668" s="3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N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  <c r="AA668" s="27"/>
    </row>
    <row r="669" spans="3:27" x14ac:dyDescent="0.3">
      <c r="C669" s="3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N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  <c r="AA669" s="27"/>
    </row>
    <row r="670" spans="3:27" x14ac:dyDescent="0.3">
      <c r="C670" s="3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N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  <c r="AA670" s="27"/>
    </row>
    <row r="671" spans="3:27" x14ac:dyDescent="0.3">
      <c r="C671" s="3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N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  <c r="AA671" s="27"/>
    </row>
    <row r="672" spans="3:27" x14ac:dyDescent="0.3">
      <c r="C672" s="3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N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  <c r="AA672" s="27"/>
    </row>
    <row r="673" spans="3:27" x14ac:dyDescent="0.3">
      <c r="C673" s="3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N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  <c r="AA673" s="27"/>
    </row>
    <row r="674" spans="3:27" x14ac:dyDescent="0.3">
      <c r="C674" s="3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N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  <c r="AA674" s="27"/>
    </row>
    <row r="675" spans="3:27" x14ac:dyDescent="0.3">
      <c r="C675" s="3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N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  <c r="AA675" s="27"/>
    </row>
    <row r="676" spans="3:27" x14ac:dyDescent="0.3">
      <c r="C676" s="3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N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  <c r="AA676" s="27"/>
    </row>
    <row r="677" spans="3:27" x14ac:dyDescent="0.3">
      <c r="C677" s="3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N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  <c r="AA677" s="27"/>
    </row>
    <row r="678" spans="3:27" x14ac:dyDescent="0.3">
      <c r="C678" s="3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N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  <c r="AA678" s="27"/>
    </row>
    <row r="679" spans="3:27" x14ac:dyDescent="0.3">
      <c r="C679" s="3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N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  <c r="AA679" s="27"/>
    </row>
    <row r="680" spans="3:27" x14ac:dyDescent="0.3">
      <c r="C680" s="3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N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  <c r="AA680" s="27"/>
    </row>
    <row r="681" spans="3:27" x14ac:dyDescent="0.3">
      <c r="C681" s="3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N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  <c r="AA681" s="27"/>
    </row>
    <row r="682" spans="3:27" x14ac:dyDescent="0.3">
      <c r="C682" s="3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N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  <c r="AA682" s="27"/>
    </row>
    <row r="683" spans="3:27" x14ac:dyDescent="0.3">
      <c r="C683" s="3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N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  <c r="AA683" s="27"/>
    </row>
    <row r="684" spans="3:27" x14ac:dyDescent="0.3">
      <c r="C684" s="3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N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  <c r="AA684" s="27"/>
    </row>
    <row r="685" spans="3:27" x14ac:dyDescent="0.3">
      <c r="C685" s="3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N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  <c r="AA685" s="27"/>
    </row>
    <row r="686" spans="3:27" x14ac:dyDescent="0.3">
      <c r="C686" s="3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N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  <c r="AA686" s="27"/>
    </row>
    <row r="687" spans="3:27" x14ac:dyDescent="0.3">
      <c r="C687" s="3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N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  <c r="AA687" s="27"/>
    </row>
    <row r="688" spans="3:27" x14ac:dyDescent="0.3">
      <c r="C688" s="3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N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  <c r="AA688" s="27"/>
    </row>
    <row r="689" spans="3:27" x14ac:dyDescent="0.3">
      <c r="C689" s="3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N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  <c r="AA689" s="27"/>
    </row>
    <row r="690" spans="3:27" x14ac:dyDescent="0.3">
      <c r="C690" s="3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N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  <c r="AA690" s="27"/>
    </row>
    <row r="691" spans="3:27" x14ac:dyDescent="0.3">
      <c r="C691" s="3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N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  <c r="AA691" s="27"/>
    </row>
    <row r="692" spans="3:27" x14ac:dyDescent="0.3">
      <c r="C692" s="3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N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  <c r="AA692" s="27"/>
    </row>
    <row r="693" spans="3:27" x14ac:dyDescent="0.3">
      <c r="C693" s="3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N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  <c r="AA693" s="27"/>
    </row>
    <row r="694" spans="3:27" x14ac:dyDescent="0.3">
      <c r="C694" s="3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N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  <c r="AA694" s="27"/>
    </row>
    <row r="695" spans="3:27" x14ac:dyDescent="0.3">
      <c r="C695" s="3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N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  <c r="AA695" s="27"/>
    </row>
    <row r="696" spans="3:27" x14ac:dyDescent="0.3">
      <c r="C696" s="3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N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  <c r="AA696" s="27"/>
    </row>
    <row r="697" spans="3:27" x14ac:dyDescent="0.3">
      <c r="C697" s="3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N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  <c r="AA697" s="27"/>
    </row>
    <row r="698" spans="3:27" x14ac:dyDescent="0.3">
      <c r="C698" s="3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N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  <c r="AA698" s="27"/>
    </row>
    <row r="699" spans="3:27" x14ac:dyDescent="0.3">
      <c r="C699" s="3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N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  <c r="AA699" s="27"/>
    </row>
    <row r="700" spans="3:27" x14ac:dyDescent="0.3">
      <c r="C700" s="3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N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  <c r="AA700" s="27"/>
    </row>
    <row r="701" spans="3:27" x14ac:dyDescent="0.3">
      <c r="C701" s="3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N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  <c r="AA701" s="27"/>
    </row>
    <row r="702" spans="3:27" x14ac:dyDescent="0.3">
      <c r="C702" s="3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N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  <c r="AA702" s="27"/>
    </row>
    <row r="703" spans="3:27" x14ac:dyDescent="0.3">
      <c r="C703" s="3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N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  <c r="AA703" s="27"/>
    </row>
    <row r="704" spans="3:27" x14ac:dyDescent="0.3">
      <c r="C704" s="3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N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  <c r="AA704" s="27"/>
    </row>
    <row r="705" spans="3:27" x14ac:dyDescent="0.3">
      <c r="C705" s="3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N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  <c r="AA705" s="27"/>
    </row>
    <row r="706" spans="3:27" x14ac:dyDescent="0.3">
      <c r="C706" s="3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N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  <c r="AA706" s="27"/>
    </row>
    <row r="707" spans="3:27" x14ac:dyDescent="0.3">
      <c r="C707" s="3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N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  <c r="AA707" s="27"/>
    </row>
    <row r="708" spans="3:27" x14ac:dyDescent="0.3">
      <c r="C708" s="3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N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  <c r="AA708" s="27"/>
    </row>
    <row r="709" spans="3:27" x14ac:dyDescent="0.3">
      <c r="C709" s="3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N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  <c r="AA709" s="27"/>
    </row>
    <row r="710" spans="3:27" x14ac:dyDescent="0.3">
      <c r="C710" s="3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N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  <c r="AA710" s="27"/>
    </row>
    <row r="711" spans="3:27" x14ac:dyDescent="0.3">
      <c r="C711" s="3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N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  <c r="AA711" s="27"/>
    </row>
    <row r="712" spans="3:27" x14ac:dyDescent="0.3">
      <c r="C712" s="3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N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  <c r="AA712" s="27"/>
    </row>
    <row r="713" spans="3:27" x14ac:dyDescent="0.3">
      <c r="C713" s="3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N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  <c r="AA713" s="27"/>
    </row>
    <row r="714" spans="3:27" x14ac:dyDescent="0.3">
      <c r="C714" s="3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N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  <c r="AA714" s="27"/>
    </row>
    <row r="715" spans="3:27" x14ac:dyDescent="0.3">
      <c r="C715" s="3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N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  <c r="AA715" s="27"/>
    </row>
    <row r="716" spans="3:27" x14ac:dyDescent="0.3">
      <c r="C716" s="3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N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  <c r="AA716" s="27"/>
    </row>
    <row r="717" spans="3:27" x14ac:dyDescent="0.3">
      <c r="C717" s="3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N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  <c r="AA717" s="27"/>
    </row>
    <row r="718" spans="3:27" x14ac:dyDescent="0.3">
      <c r="C718" s="3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N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  <c r="AA718" s="27"/>
    </row>
    <row r="719" spans="3:27" x14ac:dyDescent="0.3">
      <c r="C719" s="3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N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  <c r="AA719" s="27"/>
    </row>
    <row r="720" spans="3:27" x14ac:dyDescent="0.3">
      <c r="C720" s="3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N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  <c r="AA720" s="27"/>
    </row>
    <row r="721" spans="3:27" x14ac:dyDescent="0.3">
      <c r="C721" s="3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N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  <c r="AA721" s="27"/>
    </row>
    <row r="722" spans="3:27" x14ac:dyDescent="0.3">
      <c r="C722" s="3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N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  <c r="AA722" s="27"/>
    </row>
    <row r="723" spans="3:27" x14ac:dyDescent="0.3">
      <c r="C723" s="3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N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  <c r="AA723" s="27"/>
    </row>
    <row r="724" spans="3:27" x14ac:dyDescent="0.3">
      <c r="C724" s="3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N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  <c r="AA724" s="27"/>
    </row>
    <row r="725" spans="3:27" x14ac:dyDescent="0.3">
      <c r="C725" s="3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N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  <c r="AA725" s="27"/>
    </row>
    <row r="726" spans="3:27" x14ac:dyDescent="0.3">
      <c r="C726" s="3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N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  <c r="AA726" s="27"/>
    </row>
    <row r="727" spans="3:27" x14ac:dyDescent="0.3">
      <c r="C727" s="3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N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  <c r="AA727" s="27"/>
    </row>
    <row r="728" spans="3:27" x14ac:dyDescent="0.3">
      <c r="C728" s="3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N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  <c r="AA728" s="27"/>
    </row>
    <row r="729" spans="3:27" x14ac:dyDescent="0.3">
      <c r="C729" s="3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N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  <c r="AA729" s="27"/>
    </row>
    <row r="730" spans="3:27" x14ac:dyDescent="0.3">
      <c r="C730" s="3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N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  <c r="AA730" s="27"/>
    </row>
    <row r="731" spans="3:27" x14ac:dyDescent="0.3">
      <c r="C731" s="3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N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  <c r="AA731" s="27"/>
    </row>
    <row r="732" spans="3:27" x14ac:dyDescent="0.3">
      <c r="C732" s="3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N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  <c r="AA732" s="27"/>
    </row>
    <row r="733" spans="3:27" x14ac:dyDescent="0.3">
      <c r="C733" s="3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N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  <c r="AA733" s="27"/>
    </row>
    <row r="734" spans="3:27" x14ac:dyDescent="0.3">
      <c r="C734" s="3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N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  <c r="AA734" s="27"/>
    </row>
    <row r="735" spans="3:27" x14ac:dyDescent="0.3">
      <c r="C735" s="3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N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  <c r="AA735" s="27"/>
    </row>
    <row r="736" spans="3:27" x14ac:dyDescent="0.3">
      <c r="C736" s="3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N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  <c r="AA736" s="27"/>
    </row>
    <row r="737" spans="3:27" x14ac:dyDescent="0.3">
      <c r="C737" s="3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N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  <c r="AA737" s="27"/>
    </row>
    <row r="738" spans="3:27" x14ac:dyDescent="0.3">
      <c r="C738" s="3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N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  <c r="AA738" s="27"/>
    </row>
    <row r="739" spans="3:27" x14ac:dyDescent="0.3">
      <c r="C739" s="3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N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  <c r="AA739" s="27"/>
    </row>
    <row r="740" spans="3:27" x14ac:dyDescent="0.3">
      <c r="C740" s="3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N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  <c r="AA740" s="27"/>
    </row>
    <row r="741" spans="3:27" x14ac:dyDescent="0.3">
      <c r="C741" s="3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N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  <c r="AA741" s="27"/>
    </row>
    <row r="742" spans="3:27" x14ac:dyDescent="0.3">
      <c r="C742" s="3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N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  <c r="AA742" s="27"/>
    </row>
    <row r="743" spans="3:27" x14ac:dyDescent="0.3">
      <c r="C743" s="3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N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  <c r="AA743" s="27"/>
    </row>
    <row r="744" spans="3:27" x14ac:dyDescent="0.3">
      <c r="C744" s="3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N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  <c r="AA744" s="27"/>
    </row>
    <row r="745" spans="3:27" x14ac:dyDescent="0.3">
      <c r="C745" s="3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N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  <c r="AA745" s="27"/>
    </row>
    <row r="746" spans="3:27" x14ac:dyDescent="0.3">
      <c r="C746" s="3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N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  <c r="AA746" s="27"/>
    </row>
    <row r="747" spans="3:27" x14ac:dyDescent="0.3">
      <c r="C747" s="3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N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  <c r="AA747" s="27"/>
    </row>
    <row r="748" spans="3:27" x14ac:dyDescent="0.3">
      <c r="C748" s="3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N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  <c r="AA748" s="27"/>
    </row>
    <row r="749" spans="3:27" x14ac:dyDescent="0.3">
      <c r="C749" s="3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N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  <c r="AA749" s="27"/>
    </row>
    <row r="750" spans="3:27" x14ac:dyDescent="0.3">
      <c r="C750" s="3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N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  <c r="AA750" s="27"/>
    </row>
    <row r="751" spans="3:27" x14ac:dyDescent="0.3">
      <c r="C751" s="3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N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  <c r="AA751" s="27"/>
    </row>
    <row r="752" spans="3:27" x14ac:dyDescent="0.3">
      <c r="C752" s="3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N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  <c r="AA752" s="27"/>
    </row>
    <row r="753" spans="3:27" x14ac:dyDescent="0.3">
      <c r="C753" s="3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N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  <c r="AA753" s="27"/>
    </row>
    <row r="754" spans="3:27" x14ac:dyDescent="0.3">
      <c r="C754" s="3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N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  <c r="AA754" s="27"/>
    </row>
    <row r="755" spans="3:27" x14ac:dyDescent="0.3">
      <c r="C755" s="3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N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  <c r="AA755" s="27"/>
    </row>
    <row r="756" spans="3:27" x14ac:dyDescent="0.3">
      <c r="C756" s="3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N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  <c r="AA756" s="27"/>
    </row>
    <row r="757" spans="3:27" x14ac:dyDescent="0.3">
      <c r="C757" s="3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N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  <c r="AA757" s="27"/>
    </row>
    <row r="758" spans="3:27" x14ac:dyDescent="0.3">
      <c r="C758" s="3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N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  <c r="AA758" s="27"/>
    </row>
    <row r="759" spans="3:27" x14ac:dyDescent="0.3">
      <c r="C759" s="3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N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  <c r="AA759" s="27"/>
    </row>
    <row r="760" spans="3:27" x14ac:dyDescent="0.3">
      <c r="C760" s="3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N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  <c r="AA760" s="27"/>
    </row>
    <row r="761" spans="3:27" x14ac:dyDescent="0.3">
      <c r="C761" s="3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N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  <c r="AA761" s="27"/>
    </row>
    <row r="762" spans="3:27" x14ac:dyDescent="0.3">
      <c r="C762" s="3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N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  <c r="AA762" s="27"/>
    </row>
    <row r="763" spans="3:27" x14ac:dyDescent="0.3">
      <c r="C763" s="3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N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  <c r="AA763" s="27"/>
    </row>
    <row r="764" spans="3:27" x14ac:dyDescent="0.3">
      <c r="C764" s="3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N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  <c r="AA764" s="27"/>
    </row>
    <row r="765" spans="3:27" x14ac:dyDescent="0.3">
      <c r="C765" s="3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N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  <c r="AA765" s="27"/>
    </row>
    <row r="766" spans="3:27" x14ac:dyDescent="0.3">
      <c r="C766" s="3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N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  <c r="AA766" s="27"/>
    </row>
    <row r="767" spans="3:27" x14ac:dyDescent="0.3">
      <c r="C767" s="3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N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  <c r="AA767" s="27"/>
    </row>
    <row r="768" spans="3:27" x14ac:dyDescent="0.3">
      <c r="C768" s="3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N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  <c r="AA768" s="27"/>
    </row>
    <row r="769" spans="3:27" x14ac:dyDescent="0.3">
      <c r="C769" s="3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N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  <c r="AA769" s="27"/>
    </row>
    <row r="770" spans="3:27" x14ac:dyDescent="0.3">
      <c r="C770" s="3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N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  <c r="AA770" s="27"/>
    </row>
    <row r="771" spans="3:27" x14ac:dyDescent="0.3">
      <c r="C771" s="3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N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  <c r="AA771" s="27"/>
    </row>
    <row r="772" spans="3:27" x14ac:dyDescent="0.3">
      <c r="C772" s="3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N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  <c r="AA772" s="27"/>
    </row>
    <row r="773" spans="3:27" x14ac:dyDescent="0.3">
      <c r="C773" s="3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N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  <c r="AA773" s="27"/>
    </row>
    <row r="774" spans="3:27" x14ac:dyDescent="0.3">
      <c r="C774" s="3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N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  <c r="AA774" s="27"/>
    </row>
    <row r="775" spans="3:27" x14ac:dyDescent="0.3">
      <c r="C775" s="3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N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  <c r="AA775" s="27"/>
    </row>
    <row r="776" spans="3:27" x14ac:dyDescent="0.3">
      <c r="C776" s="3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N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  <c r="AA776" s="27"/>
    </row>
    <row r="777" spans="3:27" x14ac:dyDescent="0.3">
      <c r="C777" s="3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N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  <c r="AA777" s="27"/>
    </row>
    <row r="778" spans="3:27" x14ac:dyDescent="0.3">
      <c r="C778" s="3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N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  <c r="AA778" s="27"/>
    </row>
    <row r="779" spans="3:27" x14ac:dyDescent="0.3">
      <c r="C779" s="3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N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  <c r="AA779" s="27"/>
    </row>
    <row r="780" spans="3:27" x14ac:dyDescent="0.3">
      <c r="C780" s="3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N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  <c r="AA780" s="27"/>
    </row>
    <row r="781" spans="3:27" x14ac:dyDescent="0.3">
      <c r="C781" s="3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N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  <c r="AA781" s="27"/>
    </row>
    <row r="782" spans="3:27" x14ac:dyDescent="0.3">
      <c r="C782" s="3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N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  <c r="AA782" s="27"/>
    </row>
    <row r="783" spans="3:27" x14ac:dyDescent="0.3">
      <c r="C783" s="3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N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  <c r="AA783" s="27"/>
    </row>
    <row r="784" spans="3:27" x14ac:dyDescent="0.3">
      <c r="C784" s="3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N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  <c r="AA784" s="27"/>
    </row>
    <row r="785" spans="3:27" x14ac:dyDescent="0.3">
      <c r="C785" s="3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N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  <c r="AA785" s="27"/>
    </row>
    <row r="786" spans="3:27" x14ac:dyDescent="0.3">
      <c r="C786" s="3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N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  <c r="AA786" s="27"/>
    </row>
    <row r="787" spans="3:27" x14ac:dyDescent="0.3">
      <c r="C787" s="3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N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  <c r="AA787" s="27"/>
    </row>
    <row r="788" spans="3:27" x14ac:dyDescent="0.3">
      <c r="C788" s="3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N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  <c r="AA788" s="27"/>
    </row>
    <row r="789" spans="3:27" x14ac:dyDescent="0.3">
      <c r="C789" s="3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N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  <c r="AA789" s="27"/>
    </row>
    <row r="790" spans="3:27" x14ac:dyDescent="0.3">
      <c r="C790" s="3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N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  <c r="AA790" s="27"/>
    </row>
    <row r="791" spans="3:27" x14ac:dyDescent="0.3">
      <c r="C791" s="3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N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  <c r="AA791" s="27"/>
    </row>
    <row r="792" spans="3:27" x14ac:dyDescent="0.3">
      <c r="C792" s="3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N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  <c r="AA792" s="27"/>
    </row>
    <row r="793" spans="3:27" x14ac:dyDescent="0.3">
      <c r="C793" s="3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N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  <c r="AA793" s="27"/>
    </row>
    <row r="794" spans="3:27" x14ac:dyDescent="0.3">
      <c r="C794" s="3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N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  <c r="AA794" s="27"/>
    </row>
    <row r="795" spans="3:27" x14ac:dyDescent="0.3">
      <c r="C795" s="3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N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  <c r="AA795" s="27"/>
    </row>
    <row r="796" spans="3:27" x14ac:dyDescent="0.3">
      <c r="C796" s="3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N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  <c r="AA796" s="27"/>
    </row>
    <row r="797" spans="3:27" x14ac:dyDescent="0.3">
      <c r="C797" s="3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N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  <c r="AA797" s="27"/>
    </row>
    <row r="798" spans="3:27" x14ac:dyDescent="0.3">
      <c r="C798" s="3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N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  <c r="AA798" s="27"/>
    </row>
    <row r="799" spans="3:27" x14ac:dyDescent="0.3">
      <c r="C799" s="3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N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  <c r="AA799" s="27"/>
    </row>
    <row r="800" spans="3:27" x14ac:dyDescent="0.3">
      <c r="C800" s="3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N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  <c r="AA800" s="27"/>
    </row>
    <row r="801" spans="3:27" x14ac:dyDescent="0.3">
      <c r="C801" s="3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N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  <c r="AA801" s="27"/>
    </row>
    <row r="802" spans="3:27" x14ac:dyDescent="0.3">
      <c r="C802" s="3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N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  <c r="AA802" s="27"/>
    </row>
    <row r="803" spans="3:27" x14ac:dyDescent="0.3">
      <c r="C803" s="3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N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  <c r="AA803" s="27"/>
    </row>
    <row r="804" spans="3:27" x14ac:dyDescent="0.3">
      <c r="C804" s="3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N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  <c r="AA804" s="27"/>
    </row>
    <row r="805" spans="3:27" x14ac:dyDescent="0.3">
      <c r="C805" s="3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N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  <c r="AA805" s="27"/>
    </row>
    <row r="806" spans="3:27" x14ac:dyDescent="0.3">
      <c r="C806" s="3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N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  <c r="AA806" s="27"/>
    </row>
    <row r="807" spans="3:27" x14ac:dyDescent="0.3">
      <c r="C807" s="3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N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  <c r="AA807" s="27"/>
    </row>
    <row r="808" spans="3:27" x14ac:dyDescent="0.3">
      <c r="C808" s="3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N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  <c r="AA808" s="27"/>
    </row>
    <row r="809" spans="3:27" x14ac:dyDescent="0.3">
      <c r="C809" s="3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N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  <c r="AA809" s="27"/>
    </row>
    <row r="810" spans="3:27" x14ac:dyDescent="0.3">
      <c r="C810" s="3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N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  <c r="AA810" s="27"/>
    </row>
    <row r="811" spans="3:27" x14ac:dyDescent="0.3">
      <c r="C811" s="3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N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  <c r="AA811" s="27"/>
    </row>
    <row r="812" spans="3:27" x14ac:dyDescent="0.3">
      <c r="C812" s="3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N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  <c r="AA812" s="27"/>
    </row>
    <row r="813" spans="3:27" x14ac:dyDescent="0.3">
      <c r="C813" s="3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N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  <c r="AA813" s="27"/>
    </row>
    <row r="814" spans="3:27" x14ac:dyDescent="0.3">
      <c r="C814" s="3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N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  <c r="AA814" s="27"/>
    </row>
    <row r="815" spans="3:27" x14ac:dyDescent="0.3">
      <c r="C815" s="3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N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  <c r="AA815" s="27"/>
    </row>
    <row r="816" spans="3:27" x14ac:dyDescent="0.3">
      <c r="C816" s="3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N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  <c r="AA816" s="27"/>
    </row>
    <row r="817" spans="3:27" x14ac:dyDescent="0.3">
      <c r="C817" s="3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N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  <c r="AA817" s="27"/>
    </row>
    <row r="818" spans="3:27" x14ac:dyDescent="0.3">
      <c r="C818" s="3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N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  <c r="AA818" s="27"/>
    </row>
    <row r="819" spans="3:27" x14ac:dyDescent="0.3">
      <c r="C819" s="3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N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  <c r="AA819" s="27"/>
    </row>
    <row r="820" spans="3:27" x14ac:dyDescent="0.3">
      <c r="C820" s="3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N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  <c r="AA820" s="27"/>
    </row>
    <row r="821" spans="3:27" x14ac:dyDescent="0.3">
      <c r="C821" s="3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N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  <c r="AA821" s="27"/>
    </row>
    <row r="822" spans="3:27" x14ac:dyDescent="0.3">
      <c r="C822" s="3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N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  <c r="AA822" s="27"/>
    </row>
    <row r="823" spans="3:27" x14ac:dyDescent="0.3">
      <c r="C823" s="3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N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  <c r="AA823" s="27"/>
    </row>
    <row r="824" spans="3:27" x14ac:dyDescent="0.3">
      <c r="C824" s="3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N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  <c r="AA824" s="27"/>
    </row>
    <row r="825" spans="3:27" x14ac:dyDescent="0.3">
      <c r="C825" s="3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N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  <c r="AA825" s="27"/>
    </row>
    <row r="826" spans="3:27" x14ac:dyDescent="0.3">
      <c r="C826" s="3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N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  <c r="AA826" s="27"/>
    </row>
    <row r="827" spans="3:27" x14ac:dyDescent="0.3">
      <c r="C827" s="3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N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  <c r="AA827" s="27"/>
    </row>
    <row r="828" spans="3:27" x14ac:dyDescent="0.3">
      <c r="C828" s="3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N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  <c r="AA828" s="27"/>
    </row>
    <row r="829" spans="3:27" x14ac:dyDescent="0.3">
      <c r="C829" s="3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N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  <c r="AA829" s="27"/>
    </row>
    <row r="830" spans="3:27" x14ac:dyDescent="0.3">
      <c r="C830" s="3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N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  <c r="AA830" s="27"/>
    </row>
    <row r="831" spans="3:27" x14ac:dyDescent="0.3">
      <c r="C831" s="3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N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  <c r="AA831" s="27"/>
    </row>
    <row r="832" spans="3:27" x14ac:dyDescent="0.3">
      <c r="C832" s="3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N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  <c r="AA832" s="27"/>
    </row>
    <row r="833" spans="3:27" x14ac:dyDescent="0.3">
      <c r="C833" s="3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N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  <c r="AA833" s="27"/>
    </row>
    <row r="834" spans="3:27" x14ac:dyDescent="0.3">
      <c r="C834" s="3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N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  <c r="AA834" s="27"/>
    </row>
    <row r="835" spans="3:27" x14ac:dyDescent="0.3">
      <c r="C835" s="3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N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  <c r="AA835" s="27"/>
    </row>
    <row r="836" spans="3:27" x14ac:dyDescent="0.3">
      <c r="C836" s="3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N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  <c r="AA836" s="27"/>
    </row>
    <row r="837" spans="3:27" x14ac:dyDescent="0.3">
      <c r="C837" s="3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N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  <c r="AA837" s="27"/>
    </row>
    <row r="838" spans="3:27" x14ac:dyDescent="0.3">
      <c r="C838" s="3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N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  <c r="AA838" s="27"/>
    </row>
    <row r="839" spans="3:27" x14ac:dyDescent="0.3">
      <c r="C839" s="3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N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  <c r="AA839" s="27"/>
    </row>
    <row r="840" spans="3:27" x14ac:dyDescent="0.3">
      <c r="C840" s="3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N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  <c r="AA840" s="27"/>
    </row>
    <row r="841" spans="3:27" x14ac:dyDescent="0.3">
      <c r="C841" s="3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N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  <c r="AA841" s="27"/>
    </row>
    <row r="842" spans="3:27" x14ac:dyDescent="0.3">
      <c r="C842" s="3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N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  <c r="AA842" s="27"/>
    </row>
    <row r="843" spans="3:27" x14ac:dyDescent="0.3">
      <c r="C843" s="3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N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  <c r="AA843" s="27"/>
    </row>
    <row r="844" spans="3:27" x14ac:dyDescent="0.3">
      <c r="C844" s="3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N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  <c r="AA844" s="27"/>
    </row>
    <row r="845" spans="3:27" x14ac:dyDescent="0.3">
      <c r="C845" s="3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N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  <c r="AA845" s="27"/>
    </row>
    <row r="846" spans="3:27" x14ac:dyDescent="0.3">
      <c r="C846" s="3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N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  <c r="AA846" s="27"/>
    </row>
    <row r="847" spans="3:27" x14ac:dyDescent="0.3">
      <c r="C847" s="3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N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  <c r="AA847" s="27"/>
    </row>
    <row r="848" spans="3:27" x14ac:dyDescent="0.3">
      <c r="C848" s="3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N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  <c r="AA848" s="27"/>
    </row>
    <row r="849" spans="3:27" x14ac:dyDescent="0.3">
      <c r="C849" s="3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N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  <c r="AA849" s="27"/>
    </row>
    <row r="850" spans="3:27" x14ac:dyDescent="0.3">
      <c r="C850" s="3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N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  <c r="AA850" s="27"/>
    </row>
    <row r="851" spans="3:27" x14ac:dyDescent="0.3">
      <c r="C851" s="3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N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  <c r="AA851" s="27"/>
    </row>
    <row r="852" spans="3:27" x14ac:dyDescent="0.3">
      <c r="C852" s="3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N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  <c r="AA852" s="27"/>
    </row>
    <row r="853" spans="3:27" x14ac:dyDescent="0.3">
      <c r="C853" s="3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N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  <c r="AA853" s="27"/>
    </row>
    <row r="854" spans="3:27" x14ac:dyDescent="0.3">
      <c r="C854" s="3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N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  <c r="AA854" s="27"/>
    </row>
    <row r="855" spans="3:27" x14ac:dyDescent="0.3">
      <c r="C855" s="3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N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  <c r="AA855" s="27"/>
    </row>
    <row r="856" spans="3:27" x14ac:dyDescent="0.3">
      <c r="C856" s="3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N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  <c r="AA856" s="27"/>
    </row>
    <row r="857" spans="3:27" x14ac:dyDescent="0.3">
      <c r="C857" s="3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N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  <c r="AA857" s="27"/>
    </row>
    <row r="858" spans="3:27" x14ac:dyDescent="0.3">
      <c r="C858" s="3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N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  <c r="AA858" s="27"/>
    </row>
    <row r="859" spans="3:27" x14ac:dyDescent="0.3">
      <c r="C859" s="3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N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  <c r="AA859" s="27"/>
    </row>
    <row r="860" spans="3:27" x14ac:dyDescent="0.3">
      <c r="C860" s="3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N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  <c r="AA860" s="27"/>
    </row>
    <row r="861" spans="3:27" x14ac:dyDescent="0.3">
      <c r="C861" s="3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N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  <c r="AA861" s="27"/>
    </row>
    <row r="862" spans="3:27" x14ac:dyDescent="0.3">
      <c r="C862" s="3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N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  <c r="AA862" s="27"/>
    </row>
    <row r="863" spans="3:27" x14ac:dyDescent="0.3">
      <c r="C863" s="3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N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  <c r="AA863" s="27"/>
    </row>
    <row r="864" spans="3:27" x14ac:dyDescent="0.3">
      <c r="C864" s="3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N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  <c r="AA864" s="27"/>
    </row>
    <row r="865" spans="3:27" x14ac:dyDescent="0.3">
      <c r="C865" s="3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N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  <c r="AA865" s="27"/>
    </row>
    <row r="866" spans="3:27" x14ac:dyDescent="0.3">
      <c r="C866" s="3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N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  <c r="AA866" s="27"/>
    </row>
    <row r="867" spans="3:27" x14ac:dyDescent="0.3">
      <c r="C867" s="3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N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  <c r="AA867" s="27"/>
    </row>
    <row r="868" spans="3:27" x14ac:dyDescent="0.3">
      <c r="C868" s="3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N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  <c r="AA868" s="27"/>
    </row>
    <row r="869" spans="3:27" x14ac:dyDescent="0.3">
      <c r="C869" s="3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N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  <c r="AA869" s="27"/>
    </row>
    <row r="870" spans="3:27" x14ac:dyDescent="0.3">
      <c r="C870" s="3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N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  <c r="AA870" s="27"/>
    </row>
    <row r="871" spans="3:27" x14ac:dyDescent="0.3">
      <c r="C871" s="3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N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  <c r="AA871" s="27"/>
    </row>
    <row r="872" spans="3:27" x14ac:dyDescent="0.3">
      <c r="C872" s="3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N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  <c r="AA872" s="27"/>
    </row>
    <row r="873" spans="3:27" x14ac:dyDescent="0.3">
      <c r="C873" s="3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N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  <c r="AA873" s="27"/>
    </row>
    <row r="874" spans="3:27" x14ac:dyDescent="0.3">
      <c r="C874" s="3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N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  <c r="AA874" s="27"/>
    </row>
    <row r="875" spans="3:27" x14ac:dyDescent="0.3">
      <c r="C875" s="3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N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  <c r="AA875" s="27"/>
    </row>
    <row r="876" spans="3:27" x14ac:dyDescent="0.3">
      <c r="C876" s="3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N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  <c r="AA876" s="27"/>
    </row>
    <row r="877" spans="3:27" x14ac:dyDescent="0.3">
      <c r="C877" s="3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N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  <c r="AA877" s="27"/>
    </row>
    <row r="878" spans="3:27" x14ac:dyDescent="0.3">
      <c r="C878" s="3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N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  <c r="AA878" s="27"/>
    </row>
    <row r="879" spans="3:27" x14ac:dyDescent="0.3">
      <c r="C879" s="3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N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  <c r="AA879" s="27"/>
    </row>
    <row r="880" spans="3:27" x14ac:dyDescent="0.3">
      <c r="C880" s="3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N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  <c r="AA880" s="27"/>
    </row>
    <row r="881" spans="3:27" x14ac:dyDescent="0.3">
      <c r="C881" s="3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N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  <c r="AA881" s="27"/>
    </row>
    <row r="882" spans="3:27" x14ac:dyDescent="0.3">
      <c r="C882" s="3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N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  <c r="AA882" s="27"/>
    </row>
    <row r="883" spans="3:27" x14ac:dyDescent="0.3">
      <c r="C883" s="3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N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  <c r="AA883" s="27"/>
    </row>
    <row r="884" spans="3:27" x14ac:dyDescent="0.3">
      <c r="C884" s="3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N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  <c r="AA884" s="27"/>
    </row>
    <row r="885" spans="3:27" x14ac:dyDescent="0.3">
      <c r="C885" s="3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N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  <c r="AA885" s="27"/>
    </row>
    <row r="886" spans="3:27" x14ac:dyDescent="0.3">
      <c r="C886" s="3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N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  <c r="AA886" s="27"/>
    </row>
    <row r="887" spans="3:27" x14ac:dyDescent="0.3">
      <c r="C887" s="3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N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  <c r="AA887" s="27"/>
    </row>
    <row r="888" spans="3:27" x14ac:dyDescent="0.3">
      <c r="C888" s="3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N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  <c r="AA888" s="27"/>
    </row>
    <row r="889" spans="3:27" x14ac:dyDescent="0.3">
      <c r="C889" s="3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N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  <c r="AA889" s="27"/>
    </row>
    <row r="890" spans="3:27" x14ac:dyDescent="0.3">
      <c r="C890" s="3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N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  <c r="AA890" s="27"/>
    </row>
    <row r="891" spans="3:27" x14ac:dyDescent="0.3">
      <c r="C891" s="3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N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  <c r="AA891" s="27"/>
    </row>
    <row r="892" spans="3:27" x14ac:dyDescent="0.3">
      <c r="C892" s="3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N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  <c r="AA892" s="27"/>
    </row>
    <row r="893" spans="3:27" x14ac:dyDescent="0.3">
      <c r="C893" s="3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N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  <c r="AA893" s="27"/>
    </row>
    <row r="894" spans="3:27" x14ac:dyDescent="0.3">
      <c r="C894" s="3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N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  <c r="AA894" s="27"/>
    </row>
    <row r="895" spans="3:27" x14ac:dyDescent="0.3">
      <c r="C895" s="3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N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  <c r="AA895" s="27"/>
    </row>
    <row r="896" spans="3:27" x14ac:dyDescent="0.3">
      <c r="C896" s="3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N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  <c r="AA896" s="27"/>
    </row>
    <row r="897" spans="3:27" x14ac:dyDescent="0.3">
      <c r="C897" s="3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N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  <c r="AA897" s="27"/>
    </row>
    <row r="898" spans="3:27" x14ac:dyDescent="0.3">
      <c r="C898" s="3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N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  <c r="AA898" s="27"/>
    </row>
    <row r="899" spans="3:27" x14ac:dyDescent="0.3">
      <c r="C899" s="3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N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  <c r="AA899" s="27"/>
    </row>
    <row r="900" spans="3:27" x14ac:dyDescent="0.3">
      <c r="C900" s="3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N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  <c r="AA900" s="27"/>
    </row>
    <row r="901" spans="3:27" x14ac:dyDescent="0.3">
      <c r="C901" s="3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N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  <c r="AA901" s="27"/>
    </row>
    <row r="902" spans="3:27" x14ac:dyDescent="0.3">
      <c r="C902" s="3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N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  <c r="AA902" s="27"/>
    </row>
    <row r="903" spans="3:27" x14ac:dyDescent="0.3">
      <c r="C903" s="3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N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  <c r="AA903" s="27"/>
    </row>
    <row r="904" spans="3:27" x14ac:dyDescent="0.3">
      <c r="C904" s="3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N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  <c r="AA904" s="27"/>
    </row>
    <row r="905" spans="3:27" x14ac:dyDescent="0.3">
      <c r="C905" s="3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N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  <c r="AA905" s="27"/>
    </row>
    <row r="906" spans="3:27" x14ac:dyDescent="0.3">
      <c r="C906" s="3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N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  <c r="AA906" s="27"/>
    </row>
    <row r="907" spans="3:27" x14ac:dyDescent="0.3">
      <c r="C907" s="3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N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  <c r="AA907" s="27"/>
    </row>
    <row r="908" spans="3:27" x14ac:dyDescent="0.3">
      <c r="C908" s="3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N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  <c r="AA908" s="27"/>
    </row>
    <row r="909" spans="3:27" x14ac:dyDescent="0.3">
      <c r="C909" s="3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N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  <c r="AA909" s="27"/>
    </row>
    <row r="910" spans="3:27" x14ac:dyDescent="0.3">
      <c r="C910" s="3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N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  <c r="AA910" s="27"/>
    </row>
    <row r="911" spans="3:27" x14ac:dyDescent="0.3">
      <c r="C911" s="3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N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  <c r="AA911" s="27"/>
    </row>
    <row r="912" spans="3:27" x14ac:dyDescent="0.3">
      <c r="C912" s="3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N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  <c r="AA912" s="27"/>
    </row>
    <row r="913" spans="3:27" x14ac:dyDescent="0.3">
      <c r="C913" s="3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N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  <c r="AA913" s="27"/>
    </row>
    <row r="914" spans="3:27" x14ac:dyDescent="0.3">
      <c r="C914" s="3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N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  <c r="AA914" s="27"/>
    </row>
    <row r="915" spans="3:27" x14ac:dyDescent="0.3">
      <c r="C915" s="3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N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  <c r="AA915" s="27"/>
    </row>
    <row r="916" spans="3:27" x14ac:dyDescent="0.3"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N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  <c r="AA916" s="27"/>
    </row>
    <row r="917" spans="3:27" x14ac:dyDescent="0.3"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N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  <c r="AA917" s="27"/>
    </row>
    <row r="918" spans="3:27" x14ac:dyDescent="0.3"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N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  <c r="AA918" s="27"/>
    </row>
    <row r="919" spans="3:27" x14ac:dyDescent="0.3"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N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  <c r="AA919" s="27"/>
    </row>
    <row r="920" spans="3:27" x14ac:dyDescent="0.3"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N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  <c r="AA920" s="27"/>
    </row>
    <row r="921" spans="3:27" x14ac:dyDescent="0.3"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N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  <c r="AA921" s="27"/>
    </row>
    <row r="922" spans="3:27" x14ac:dyDescent="0.3"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N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  <c r="AA922" s="27"/>
    </row>
    <row r="923" spans="3:27" x14ac:dyDescent="0.3"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N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  <c r="AA923" s="27"/>
    </row>
    <row r="924" spans="3:27" x14ac:dyDescent="0.3"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N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  <c r="AA924" s="27"/>
    </row>
    <row r="925" spans="3:27" x14ac:dyDescent="0.3"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N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  <c r="AA925" s="27"/>
    </row>
    <row r="926" spans="3:27" x14ac:dyDescent="0.3"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N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  <c r="AA926" s="27"/>
    </row>
    <row r="927" spans="3:27" x14ac:dyDescent="0.3"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N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  <c r="AA927" s="27"/>
    </row>
    <row r="928" spans="3:27" x14ac:dyDescent="0.3"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N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  <c r="AA928" s="27"/>
    </row>
    <row r="929" spans="4:27" x14ac:dyDescent="0.3"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N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  <c r="AA929" s="27"/>
    </row>
    <row r="930" spans="4:27" x14ac:dyDescent="0.3"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N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  <c r="AA930" s="27"/>
    </row>
    <row r="931" spans="4:27" x14ac:dyDescent="0.3"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N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  <c r="AA931" s="27"/>
    </row>
    <row r="932" spans="4:27" x14ac:dyDescent="0.3"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N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  <c r="AA932" s="27"/>
    </row>
    <row r="933" spans="4:27" x14ac:dyDescent="0.3"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N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  <c r="AA933" s="27"/>
    </row>
    <row r="934" spans="4:27" x14ac:dyDescent="0.3"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N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  <c r="AA934" s="27"/>
    </row>
    <row r="935" spans="4:27" x14ac:dyDescent="0.3"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N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  <c r="AA935" s="27"/>
    </row>
    <row r="936" spans="4:27" x14ac:dyDescent="0.3"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N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  <c r="AA936" s="27"/>
    </row>
    <row r="937" spans="4:27" x14ac:dyDescent="0.3"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N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  <c r="AA937" s="27"/>
    </row>
    <row r="938" spans="4:27" x14ac:dyDescent="0.3"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N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  <c r="AA938" s="27"/>
    </row>
    <row r="939" spans="4:27" x14ac:dyDescent="0.3"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N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  <c r="AA939" s="27"/>
    </row>
    <row r="940" spans="4:27" x14ac:dyDescent="0.3"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N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  <c r="AA940" s="27"/>
    </row>
    <row r="941" spans="4:27" x14ac:dyDescent="0.3"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N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  <c r="AA941" s="27"/>
    </row>
  </sheetData>
  <mergeCells count="3">
    <mergeCell ref="B4:C4"/>
    <mergeCell ref="B2:C2"/>
    <mergeCell ref="E2:F2"/>
  </mergeCells>
  <conditionalFormatting sqref="W5:AV17">
    <cfRule type="expression" dxfId="420" priority="1">
      <formula>AND(($W5=$AV5),($W5&lt;&gt;""))</formula>
    </cfRule>
    <cfRule type="expression" dxfId="419" priority="2">
      <formula>$AV5=""</formula>
    </cfRule>
    <cfRule type="expression" dxfId="418" priority="3">
      <formula>$AV5=0</formula>
    </cfRule>
  </conditionalFormatting>
  <dataValidations count="2">
    <dataValidation type="list" allowBlank="1" showInputMessage="1" showErrorMessage="1" sqref="G2" xr:uid="{00000000-0002-0000-0000-000000000000}">
      <formula1>Semestres</formula1>
    </dataValidation>
    <dataValidation type="list" allowBlank="1" showInputMessage="1" showErrorMessage="1" sqref="D2" xr:uid="{00000000-0002-0000-0000-000001000000}">
      <formula1>Carreras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ilas_grupo">
                <anchor moveWithCells="1" sizeWithCells="1">
                  <from>
                    <xdr:col>7</xdr:col>
                    <xdr:colOff>482600</xdr:colOff>
                    <xdr:row>0</xdr:row>
                    <xdr:rowOff>152400</xdr:rowOff>
                  </from>
                  <to>
                    <xdr:col>9</xdr:col>
                    <xdr:colOff>1828800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1F372-3842-466D-9F75-64794A57C484}">
  <sheetPr codeName="Hoja9">
    <pageSetUpPr fitToPage="1"/>
  </sheetPr>
  <dimension ref="A2:Z941"/>
  <sheetViews>
    <sheetView topLeftCell="A15" zoomScale="85" zoomScaleNormal="85" workbookViewId="0">
      <selection activeCell="F17" sqref="F17"/>
    </sheetView>
  </sheetViews>
  <sheetFormatPr baseColWidth="10" defaultColWidth="14.453125" defaultRowHeight="13" x14ac:dyDescent="0.3"/>
  <cols>
    <col min="1" max="1" width="4" style="1" customWidth="1"/>
    <col min="2" max="3" width="7.453125" style="2" customWidth="1"/>
    <col min="4" max="4" width="28.453125" style="1" customWidth="1"/>
    <col min="5" max="5" width="12.1796875" style="1" customWidth="1"/>
    <col min="6" max="6" width="28.453125" style="1" customWidth="1"/>
    <col min="7" max="7" width="12.1796875" style="1" customWidth="1"/>
    <col min="8" max="8" width="28.453125" style="1" customWidth="1"/>
    <col min="9" max="9" width="12.1796875" style="1" customWidth="1"/>
    <col min="10" max="10" width="28.453125" style="1" customWidth="1"/>
    <col min="11" max="11" width="12.1796875" style="1" customWidth="1"/>
    <col min="12" max="12" width="28.453125" style="1" customWidth="1"/>
    <col min="13" max="13" width="12.1796875" style="1" customWidth="1"/>
    <col min="14" max="14" width="28.453125" style="1" customWidth="1"/>
    <col min="15" max="15" width="12.1796875" style="1" customWidth="1"/>
    <col min="16" max="16" width="13" style="1" bestFit="1" customWidth="1"/>
    <col min="17" max="17" width="24.453125" style="1" customWidth="1"/>
    <col min="18" max="18" width="13" style="1" bestFit="1" customWidth="1"/>
    <col min="19" max="19" width="10.6328125" style="1" customWidth="1"/>
    <col min="20" max="20" width="12" style="1" customWidth="1"/>
    <col min="21" max="24" width="10.6328125" style="1" customWidth="1"/>
    <col min="25" max="16384" width="14.453125" style="1"/>
  </cols>
  <sheetData>
    <row r="2" spans="1:26" ht="17" x14ac:dyDescent="0.35">
      <c r="A2" s="26"/>
      <c r="B2" s="263" t="s">
        <v>4</v>
      </c>
      <c r="C2" s="264"/>
      <c r="D2" s="265" t="s">
        <v>18</v>
      </c>
      <c r="E2" s="266"/>
      <c r="F2" s="267"/>
      <c r="G2" s="26"/>
      <c r="I2" s="26"/>
      <c r="J2" s="26"/>
      <c r="K2" s="26"/>
      <c r="L2" s="26"/>
      <c r="M2" s="26"/>
      <c r="N2" s="26"/>
      <c r="O2" s="26"/>
      <c r="V2" s="26"/>
      <c r="W2" s="26"/>
      <c r="X2" s="26"/>
      <c r="Y2" s="26"/>
      <c r="Z2" s="26"/>
    </row>
    <row r="4" spans="1:26" ht="14.5" x14ac:dyDescent="0.35">
      <c r="B4" s="261" t="s">
        <v>2</v>
      </c>
      <c r="C4" s="262"/>
      <c r="D4" s="89" t="s">
        <v>3</v>
      </c>
      <c r="E4" s="89" t="s">
        <v>5</v>
      </c>
      <c r="F4" s="91" t="s">
        <v>6</v>
      </c>
      <c r="G4" s="89" t="s">
        <v>5</v>
      </c>
      <c r="H4" s="91" t="s">
        <v>7</v>
      </c>
      <c r="I4" s="89" t="s">
        <v>5</v>
      </c>
      <c r="J4" s="91" t="s">
        <v>8</v>
      </c>
      <c r="K4" s="89" t="s">
        <v>5</v>
      </c>
      <c r="L4" s="91" t="s">
        <v>9</v>
      </c>
      <c r="M4" s="89" t="s">
        <v>5</v>
      </c>
      <c r="N4" s="91" t="s">
        <v>10</v>
      </c>
      <c r="O4" s="89" t="s">
        <v>5</v>
      </c>
      <c r="V4" s="27"/>
      <c r="W4" s="27"/>
      <c r="X4" s="27"/>
    </row>
    <row r="5" spans="1:26" ht="39" x14ac:dyDescent="0.35">
      <c r="B5" s="92">
        <v>0.29166666666666669</v>
      </c>
      <c r="C5" s="93">
        <v>0.3125</v>
      </c>
      <c r="D5" s="28" t="str" cm="1">
        <f t="array" ref="D5">_xlfn.TEXTJOIN(CHAR(10),TRUE,IF(Aula=base_de_datos[Aula],IF("x"=base_de_datos[Lunes],IF(base_de_datos[Hora inicio]&lt;=$B5,IF(base_de_datos[Hora fin]&gt;=$C5,base_de_datos[Materia]&amp;" "&amp;base_de_datos[[Número de grupo ]],""),""),""),""),"")</f>
        <v/>
      </c>
      <c r="E5" s="28" t="str" cm="1">
        <f t="array" ref="E5">_xlfn.TEXTJOIN(CHAR(10),TRUE,IF(Aula=base_de_datos[Aula],IF("x"=base_de_datos[Lunes],IF(base_de_datos[Hora inicio]&lt;=$B5,IF(base_de_datos[Hora fin]&gt;=$C5,base_de_datos[No clase],""),""),""),""),"")</f>
        <v/>
      </c>
      <c r="F5" s="28" t="str" cm="1">
        <f t="array" ref="F5">_xlfn.TEXTJOIN(CHAR(10),TRUE,IF(Aula=base_de_datos[Aula],IF("x"=base_de_datos[Martes],IF(base_de_datos[Hora inicio]&lt;=$B5,IF(base_de_datos[Hora fin]&gt;=$C5,base_de_datos[Materia]&amp;" "&amp;base_de_datos[[Número de grupo ]],""),""),""),""),"")</f>
        <v>Sistemas operativos 1</v>
      </c>
      <c r="G5" s="28" t="str" cm="1">
        <f t="array" ref="G5">_xlfn.TEXTJOIN(CHAR(10),TRUE,IF(Aula=base_de_datos[Aula],IF("x"=base_de_datos[Martes],IF(base_de_datos[Hora inicio]&lt;=$B5,IF(base_de_datos[Hora fin]&gt;=$C5,base_de_datos[No clase],""),""),""),""),"")</f>
        <v>2070</v>
      </c>
      <c r="H5" s="28" t="str" cm="1">
        <f t="array" ref="H5">_xlfn.TEXTJOIN(CHAR(10),TRUE,IF(Aula=base_de_datos[Aula],IF("x"=base_de_datos[Miércoles],IF(base_de_datos[Hora inicio]&lt;=$B5,IF(base_de_datos[Hora fin]&gt;=$C5,base_de_datos[Materia]&amp;" "&amp;base_de_datos[[Número de grupo ]],""),""),""),""),"")</f>
        <v>Taller de metodología del diseño 1</v>
      </c>
      <c r="I5" s="28" t="str" cm="1">
        <f t="array" ref="I5">_xlfn.TEXTJOIN(CHAR(10),TRUE,IF(Aula=base_de_datos[Aula],IF("x"=base_de_datos[Miércoles],IF(base_de_datos[Hora inicio]&lt;=$B5,IF(base_de_datos[Hora fin]&gt;=$C5,base_de_datos[No clase],""),""),""),""),"")</f>
        <v>1814</v>
      </c>
      <c r="J5" s="28" t="str" cm="1">
        <f t="array" ref="J5">_xlfn.TEXTJOIN(CHAR(10),TRUE,IF(Aula=base_de_datos[Aula],IF("x"=base_de_datos[Jueves],IF(base_de_datos[Hora inicio]&lt;=$B5,IF(base_de_datos[Hora fin]&gt;=$C5,base_de_datos[Materia]&amp;" "&amp;base_de_datos[[Número de grupo ]],""),""),""),""),"")</f>
        <v>Sistemas operativos 1</v>
      </c>
      <c r="K5" s="28" t="str" cm="1">
        <f t="array" ref="K5">_xlfn.TEXTJOIN(CHAR(10),TRUE,IF(Aula=base_de_datos[Aula],IF("x"=base_de_datos[Jueves],IF(base_de_datos[Hora inicio]&lt;=$B5,IF(base_de_datos[Hora fin]&gt;=$C5,base_de_datos[No clase],""),""),""),""),"")</f>
        <v>2070</v>
      </c>
      <c r="L5" s="28" t="str" cm="1">
        <f t="array" ref="L5">_xlfn.TEXTJOIN(CHAR(10),TRUE,IF(Aula=base_de_datos[Aula],IF("x"=base_de_datos[Viernes],IF(base_de_datos[Hora inicio]&lt;=$B5,IF(base_de_datos[Hora fin]&gt;=$C5,base_de_datos[Materia]&amp;" "&amp;base_de_datos[[Número de grupo ]],""),""),""),""),"")</f>
        <v>Química 1</v>
      </c>
      <c r="M5" s="28" t="str" cm="1">
        <f t="array" ref="M5">_xlfn.TEXTJOIN(CHAR(10),TRUE,IF(Aula=base_de_datos[Aula],IF("x"=base_de_datos[Viernes],IF(base_de_datos[Hora inicio]&lt;=$B5,IF(base_de_datos[Hora fin]&gt;=$C5,base_de_datos[No clase],""),""),""),""),"")</f>
        <v>1893/94, 1895/96, 1897/98</v>
      </c>
      <c r="N5" s="28" t="str" cm="1">
        <f t="array" ref="N5">_xlfn.TEXTJOIN(CHAR(10),TRUE,IF(Aula=base_de_datos[Aula],IF("x"=base_de_datos[Sábado],IF(base_de_datos[Hora inicio]&lt;=$B5,IF(base_de_datos[Hora fin]&gt;=$C5,base_de_datos[Materia]&amp;" "&amp;base_de_datos[[Número de grupo ]],""),""),""),""),"")</f>
        <v/>
      </c>
      <c r="O5" s="28" t="str" cm="1">
        <f t="array" ref="O5">_xlfn.TEXTJOIN(CHAR(10),TRUE,IF(Aula=base_de_datos[Aula],IF("x"=base_de_datos[Sábado],IF(base_de_datos[Hora inicio]&lt;=$B5,IF(base_de_datos[Hora fin]&gt;=$C5,base_de_datos[No clase],""),""),""),""),"")</f>
        <v/>
      </c>
      <c r="V5" s="27"/>
      <c r="W5" s="27"/>
      <c r="X5" s="27"/>
    </row>
    <row r="6" spans="1:26" ht="39" x14ac:dyDescent="0.35">
      <c r="B6" s="92">
        <v>0.3125</v>
      </c>
      <c r="C6" s="92">
        <v>0.33333333333333298</v>
      </c>
      <c r="D6" s="28" t="str" cm="1">
        <f t="array" ref="D6">_xlfn.TEXTJOIN(CHAR(10),TRUE,IF(Aula=base_de_datos[Aula],IF("x"=base_de_datos[Lunes],IF(base_de_datos[Hora inicio]&lt;=$B6,IF(base_de_datos[Hora fin]&gt;=$C6,base_de_datos[Materia]&amp;" "&amp;base_de_datos[[Número de grupo ]],""),""),""),""),"")</f>
        <v/>
      </c>
      <c r="E6" s="28" t="str" cm="1">
        <f t="array" ref="E6">_xlfn.TEXTJOIN(CHAR(10),TRUE,IF(Aula=base_de_datos[Aula],IF("x"=base_de_datos[Lunes],IF(base_de_datos[Hora inicio]&lt;=$B6,IF(base_de_datos[Hora fin]&gt;=$C6,base_de_datos[No clase],""),""),""),""),"")</f>
        <v/>
      </c>
      <c r="F6" s="28" t="str" cm="1">
        <f t="array" ref="F6">_xlfn.TEXTJOIN(CHAR(10),TRUE,IF(Aula=base_de_datos[Aula],IF("x"=base_de_datos[Martes],IF(base_de_datos[Hora inicio]&lt;=$B6,IF(base_de_datos[Hora fin]&gt;=$C6,base_de_datos[Materia]&amp;" "&amp;base_de_datos[[Número de grupo ]],""),""),""),""),"")</f>
        <v>Sistemas operativos 1</v>
      </c>
      <c r="G6" s="28" t="str" cm="1">
        <f t="array" ref="G6">_xlfn.TEXTJOIN(CHAR(10),TRUE,IF(Aula=base_de_datos[Aula],IF("x"=base_de_datos[Martes],IF(base_de_datos[Hora inicio]&lt;=$B6,IF(base_de_datos[Hora fin]&gt;=$C6,base_de_datos[No clase],""),""),""),""),"")</f>
        <v>2070</v>
      </c>
      <c r="H6" s="28" t="str" cm="1">
        <f t="array" ref="H6">_xlfn.TEXTJOIN(CHAR(10),TRUE,IF(Aula=base_de_datos[Aula],IF("x"=base_de_datos[Miércoles],IF(base_de_datos[Hora inicio]&lt;=$B6,IF(base_de_datos[Hora fin]&gt;=$C6,base_de_datos[Materia]&amp;" "&amp;base_de_datos[[Número de grupo ]],""),""),""),""),"")</f>
        <v>Taller de metodología del diseño 1</v>
      </c>
      <c r="I6" s="28" t="str" cm="1">
        <f t="array" ref="I6">_xlfn.TEXTJOIN(CHAR(10),TRUE,IF(Aula=base_de_datos[Aula],IF("x"=base_de_datos[Miércoles],IF(base_de_datos[Hora inicio]&lt;=$B6,IF(base_de_datos[Hora fin]&gt;=$C6,base_de_datos[No clase],""),""),""),""),"")</f>
        <v>1814</v>
      </c>
      <c r="J6" s="28" t="str" cm="1">
        <f t="array" ref="J6">_xlfn.TEXTJOIN(CHAR(10),TRUE,IF(Aula=base_de_datos[Aula],IF("x"=base_de_datos[Jueves],IF(base_de_datos[Hora inicio]&lt;=$B6,IF(base_de_datos[Hora fin]&gt;=$C6,base_de_datos[Materia]&amp;" "&amp;base_de_datos[[Número de grupo ]],""),""),""),""),"")</f>
        <v>Sistemas operativos 1</v>
      </c>
      <c r="K6" s="28" t="str" cm="1">
        <f t="array" ref="K6">_xlfn.TEXTJOIN(CHAR(10),TRUE,IF(Aula=base_de_datos[Aula],IF("x"=base_de_datos[Jueves],IF(base_de_datos[Hora inicio]&lt;=$B6,IF(base_de_datos[Hora fin]&gt;=$C6,base_de_datos[No clase],""),""),""),""),"")</f>
        <v>2070</v>
      </c>
      <c r="L6" s="28" t="str" cm="1">
        <f t="array" ref="L6">_xlfn.TEXTJOIN(CHAR(10),TRUE,IF(Aula=base_de_datos[Aula],IF("x"=base_de_datos[Viernes],IF(base_de_datos[Hora inicio]&lt;=$B6,IF(base_de_datos[Hora fin]&gt;=$C6,base_de_datos[Materia]&amp;" "&amp;base_de_datos[[Número de grupo ]],""),""),""),""),"")</f>
        <v>Química 1</v>
      </c>
      <c r="M6" s="28" t="str" cm="1">
        <f t="array" ref="M6">_xlfn.TEXTJOIN(CHAR(10),TRUE,IF(Aula=base_de_datos[Aula],IF("x"=base_de_datos[Viernes],IF(base_de_datos[Hora inicio]&lt;=$B6,IF(base_de_datos[Hora fin]&gt;=$C6,base_de_datos[No clase],""),""),""),""),"")</f>
        <v>1893/94, 1895/96, 1897/98</v>
      </c>
      <c r="N6" s="28" t="str" cm="1">
        <f t="array" ref="N6">_xlfn.TEXTJOIN(CHAR(10),TRUE,IF(Aula=base_de_datos[Aula],IF("x"=base_de_datos[Sábado],IF(base_de_datos[Hora inicio]&lt;=$B6,IF(base_de_datos[Hora fin]&gt;=$C6,base_de_datos[Materia]&amp;" "&amp;base_de_datos[[Número de grupo ]],""),""),""),""),"")</f>
        <v/>
      </c>
      <c r="O6" s="28" t="str" cm="1">
        <f t="array" ref="O6">_xlfn.TEXTJOIN(CHAR(10),TRUE,IF(Aula=base_de_datos[Aula],IF("x"=base_de_datos[Sábado],IF(base_de_datos[Hora inicio]&lt;=$B6,IF(base_de_datos[Hora fin]&gt;=$C6,base_de_datos[No clase],""),""),""),""),"")</f>
        <v/>
      </c>
      <c r="V6" s="27"/>
      <c r="W6" s="27"/>
      <c r="X6" s="27"/>
    </row>
    <row r="7" spans="1:26" ht="39" x14ac:dyDescent="0.35">
      <c r="B7" s="92">
        <v>0.33333333333333298</v>
      </c>
      <c r="C7" s="92">
        <v>0.35416666666666602</v>
      </c>
      <c r="D7" s="28" t="str" cm="1">
        <f t="array" ref="D7">_xlfn.TEXTJOIN(CHAR(10),TRUE,IF(Aula=base_de_datos[Aula],IF("x"=base_de_datos[Lunes],IF(base_de_datos[Hora inicio]&lt;=$B7,IF(base_de_datos[Hora fin]&gt;=$C7,base_de_datos[Materia]&amp;" "&amp;base_de_datos[[Número de grupo ]],""),""),""),""),"")</f>
        <v/>
      </c>
      <c r="E7" s="28" t="str" cm="1">
        <f t="array" ref="E7">_xlfn.TEXTJOIN(CHAR(10),TRUE,IF(Aula=base_de_datos[Aula],IF("x"=base_de_datos[Lunes],IF(base_de_datos[Hora inicio]&lt;=$B7,IF(base_de_datos[Hora fin]&gt;=$C7,base_de_datos[No clase],""),""),""),""),"")</f>
        <v/>
      </c>
      <c r="F7" s="28" t="str" cm="1">
        <f t="array" ref="F7">_xlfn.TEXTJOIN(CHAR(10),TRUE,IF(Aula=base_de_datos[Aula],IF("x"=base_de_datos[Martes],IF(base_de_datos[Hora inicio]&lt;=$B7,IF(base_de_datos[Hora fin]&gt;=$C7,base_de_datos[Materia]&amp;" "&amp;base_de_datos[[Número de grupo ]],""),""),""),""),"")</f>
        <v>Sistemas operativos 1</v>
      </c>
      <c r="G7" s="28" t="str" cm="1">
        <f t="array" ref="G7">_xlfn.TEXTJOIN(CHAR(10),TRUE,IF(Aula=base_de_datos[Aula],IF("x"=base_de_datos[Martes],IF(base_de_datos[Hora inicio]&lt;=$B7,IF(base_de_datos[Hora fin]&gt;=$C7,base_de_datos[No clase],""),""),""),""),"")</f>
        <v>2070</v>
      </c>
      <c r="H7" s="28" t="str" cm="1">
        <f t="array" ref="H7">_xlfn.TEXTJOIN(CHAR(10),TRUE,IF(Aula=base_de_datos[Aula],IF("x"=base_de_datos[Miércoles],IF(base_de_datos[Hora inicio]&lt;=$B7,IF(base_de_datos[Hora fin]&gt;=$C7,base_de_datos[Materia]&amp;" "&amp;base_de_datos[[Número de grupo ]],""),""),""),""),"")</f>
        <v>Taller de metodología del diseño 1</v>
      </c>
      <c r="I7" s="28" t="str" cm="1">
        <f t="array" ref="I7">_xlfn.TEXTJOIN(CHAR(10),TRUE,IF(Aula=base_de_datos[Aula],IF("x"=base_de_datos[Miércoles],IF(base_de_datos[Hora inicio]&lt;=$B7,IF(base_de_datos[Hora fin]&gt;=$C7,base_de_datos[No clase],""),""),""),""),"")</f>
        <v>1814</v>
      </c>
      <c r="J7" s="28" t="str" cm="1">
        <f t="array" ref="J7">_xlfn.TEXTJOIN(CHAR(10),TRUE,IF(Aula=base_de_datos[Aula],IF("x"=base_de_datos[Jueves],IF(base_de_datos[Hora inicio]&lt;=$B7,IF(base_de_datos[Hora fin]&gt;=$C7,base_de_datos[Materia]&amp;" "&amp;base_de_datos[[Número de grupo ]],""),""),""),""),"")</f>
        <v>Sistemas operativos 1</v>
      </c>
      <c r="K7" s="28" t="str" cm="1">
        <f t="array" ref="K7">_xlfn.TEXTJOIN(CHAR(10),TRUE,IF(Aula=base_de_datos[Aula],IF("x"=base_de_datos[Jueves],IF(base_de_datos[Hora inicio]&lt;=$B7,IF(base_de_datos[Hora fin]&gt;=$C7,base_de_datos[No clase],""),""),""),""),"")</f>
        <v>2070</v>
      </c>
      <c r="L7" s="28" t="str" cm="1">
        <f t="array" ref="L7">_xlfn.TEXTJOIN(CHAR(10),TRUE,IF(Aula=base_de_datos[Aula],IF("x"=base_de_datos[Viernes],IF(base_de_datos[Hora inicio]&lt;=$B7,IF(base_de_datos[Hora fin]&gt;=$C7,base_de_datos[Materia]&amp;" "&amp;base_de_datos[[Número de grupo ]],""),""),""),""),"")</f>
        <v>Química 1</v>
      </c>
      <c r="M7" s="28" t="str" cm="1">
        <f t="array" ref="M7">_xlfn.TEXTJOIN(CHAR(10),TRUE,IF(Aula=base_de_datos[Aula],IF("x"=base_de_datos[Viernes],IF(base_de_datos[Hora inicio]&lt;=$B7,IF(base_de_datos[Hora fin]&gt;=$C7,base_de_datos[No clase],""),""),""),""),"")</f>
        <v>1893/94, 1895/96, 1897/98</v>
      </c>
      <c r="N7" s="28" t="str" cm="1">
        <f t="array" ref="N7">_xlfn.TEXTJOIN(CHAR(10),TRUE,IF(Aula=base_de_datos[Aula],IF("x"=base_de_datos[Sábado],IF(base_de_datos[Hora inicio]&lt;=$B7,IF(base_de_datos[Hora fin]&gt;=$C7,base_de_datos[Materia]&amp;" "&amp;base_de_datos[[Número de grupo ]],""),""),""),""),"")</f>
        <v/>
      </c>
      <c r="O7" s="28" t="str" cm="1">
        <f t="array" ref="O7">_xlfn.TEXTJOIN(CHAR(10),TRUE,IF(Aula=base_de_datos[Aula],IF("x"=base_de_datos[Sábado],IF(base_de_datos[Hora inicio]&lt;=$B7,IF(base_de_datos[Hora fin]&gt;=$C7,base_de_datos[No clase],""),""),""),""),"")</f>
        <v/>
      </c>
      <c r="V7" s="27"/>
      <c r="W7" s="27"/>
      <c r="X7" s="27"/>
    </row>
    <row r="8" spans="1:26" ht="39" x14ac:dyDescent="0.35">
      <c r="B8" s="92">
        <v>0.35416666666666702</v>
      </c>
      <c r="C8" s="92">
        <v>0.374999999999999</v>
      </c>
      <c r="D8" s="28" t="str" cm="1">
        <f t="array" ref="D8">_xlfn.TEXTJOIN(CHAR(10),TRUE,IF(Aula=base_de_datos[Aula],IF("x"=base_de_datos[Lunes],IF(base_de_datos[Hora inicio]&lt;=$B8,IF(base_de_datos[Hora fin]&gt;=$C8,base_de_datos[Materia]&amp;" "&amp;base_de_datos[[Número de grupo ]],""),""),""),""),"")</f>
        <v/>
      </c>
      <c r="E8" s="28" t="str" cm="1">
        <f t="array" ref="E8">_xlfn.TEXTJOIN(CHAR(10),TRUE,IF(Aula=base_de_datos[Aula],IF("x"=base_de_datos[Lunes],IF(base_de_datos[Hora inicio]&lt;=$B8,IF(base_de_datos[Hora fin]&gt;=$C8,base_de_datos[No clase],""),""),""),""),"")</f>
        <v/>
      </c>
      <c r="F8" s="28" t="str" cm="1">
        <f t="array" ref="F8">_xlfn.TEXTJOIN(CHAR(10),TRUE,IF(Aula=base_de_datos[Aula],IF("x"=base_de_datos[Martes],IF(base_de_datos[Hora inicio]&lt;=$B8,IF(base_de_datos[Hora fin]&gt;=$C8,base_de_datos[Materia]&amp;" "&amp;base_de_datos[[Número de grupo ]],""),""),""),""),"")</f>
        <v/>
      </c>
      <c r="G8" s="28" t="str" cm="1">
        <f t="array" ref="G8">_xlfn.TEXTJOIN(CHAR(10),TRUE,IF(Aula=base_de_datos[Aula],IF("x"=base_de_datos[Martes],IF(base_de_datos[Hora inicio]&lt;=$B8,IF(base_de_datos[Hora fin]&gt;=$C8,base_de_datos[No clase],""),""),""),""),"")</f>
        <v/>
      </c>
      <c r="H8" s="28" t="str" cm="1">
        <f t="array" ref="H8">_xlfn.TEXTJOIN(CHAR(10),TRUE,IF(Aula=base_de_datos[Aula],IF("x"=base_de_datos[Miércoles],IF(base_de_datos[Hora inicio]&lt;=$B8,IF(base_de_datos[Hora fin]&gt;=$C8,base_de_datos[Materia]&amp;" "&amp;base_de_datos[[Número de grupo ]],""),""),""),""),"")</f>
        <v>Taller de metodología del diseño 1</v>
      </c>
      <c r="I8" s="28" t="str" cm="1">
        <f t="array" ref="I8">_xlfn.TEXTJOIN(CHAR(10),TRUE,IF(Aula=base_de_datos[Aula],IF("x"=base_de_datos[Miércoles],IF(base_de_datos[Hora inicio]&lt;=$B8,IF(base_de_datos[Hora fin]&gt;=$C8,base_de_datos[No clase],""),""),""),""),"")</f>
        <v>1814</v>
      </c>
      <c r="J8" s="28" t="str" cm="1">
        <f t="array" ref="J8">_xlfn.TEXTJOIN(CHAR(10),TRUE,IF(Aula=base_de_datos[Aula],IF("x"=base_de_datos[Jueves],IF(base_de_datos[Hora inicio]&lt;=$B8,IF(base_de_datos[Hora fin]&gt;=$C8,base_de_datos[Materia]&amp;" "&amp;base_de_datos[[Número de grupo ]],""),""),""),""),"")</f>
        <v/>
      </c>
      <c r="K8" s="28" t="str" cm="1">
        <f t="array" ref="K8">_xlfn.TEXTJOIN(CHAR(10),TRUE,IF(Aula=base_de_datos[Aula],IF("x"=base_de_datos[Jueves],IF(base_de_datos[Hora inicio]&lt;=$B8,IF(base_de_datos[Hora fin]&gt;=$C8,base_de_datos[No clase],""),""),""),""),"")</f>
        <v/>
      </c>
      <c r="L8" s="28" t="str" cm="1">
        <f t="array" ref="L8">_xlfn.TEXTJOIN(CHAR(10),TRUE,IF(Aula=base_de_datos[Aula],IF("x"=base_de_datos[Viernes],IF(base_de_datos[Hora inicio]&lt;=$B8,IF(base_de_datos[Hora fin]&gt;=$C8,base_de_datos[Materia]&amp;" "&amp;base_de_datos[[Número de grupo ]],""),""),""),""),"")</f>
        <v>Química 1</v>
      </c>
      <c r="M8" s="28" t="str" cm="1">
        <f t="array" ref="M8">_xlfn.TEXTJOIN(CHAR(10),TRUE,IF(Aula=base_de_datos[Aula],IF("x"=base_de_datos[Viernes],IF(base_de_datos[Hora inicio]&lt;=$B8,IF(base_de_datos[Hora fin]&gt;=$C8,base_de_datos[No clase],""),""),""),""),"")</f>
        <v>1893/94, 1895/96, 1897/98</v>
      </c>
      <c r="N8" s="28" t="str" cm="1">
        <f t="array" ref="N8">_xlfn.TEXTJOIN(CHAR(10),TRUE,IF(Aula=base_de_datos[Aula],IF("x"=base_de_datos[Sábado],IF(base_de_datos[Hora inicio]&lt;=$B8,IF(base_de_datos[Hora fin]&gt;=$C8,base_de_datos[Materia]&amp;" "&amp;base_de_datos[[Número de grupo ]],""),""),""),""),"")</f>
        <v/>
      </c>
      <c r="O8" s="28" t="str" cm="1">
        <f t="array" ref="O8">_xlfn.TEXTJOIN(CHAR(10),TRUE,IF(Aula=base_de_datos[Aula],IF("x"=base_de_datos[Sábado],IF(base_de_datos[Hora inicio]&lt;=$B8,IF(base_de_datos[Hora fin]&gt;=$C8,base_de_datos[No clase],""),""),""),""),"")</f>
        <v/>
      </c>
      <c r="V8" s="27"/>
      <c r="W8" s="27"/>
      <c r="X8" s="27"/>
    </row>
    <row r="9" spans="1:26" ht="52" x14ac:dyDescent="0.35">
      <c r="B9" s="92">
        <v>0.375</v>
      </c>
      <c r="C9" s="92">
        <v>0.39583333333333198</v>
      </c>
      <c r="D9" s="28" t="str" cm="1">
        <f t="array" ref="D9">_xlfn.TEXTJOIN(CHAR(10),TRUE,IF(Aula=base_de_datos[Aula],IF("x"=base_de_datos[Lunes],IF(base_de_datos[Hora inicio]&lt;=$B9,IF(base_de_datos[Hora fin]&gt;=$C9,base_de_datos[Materia]&amp;" "&amp;base_de_datos[[Número de grupo ]],""),""),""),""),"")</f>
        <v/>
      </c>
      <c r="E9" s="28" t="str" cm="1">
        <f t="array" ref="E9">_xlfn.TEXTJOIN(CHAR(10),TRUE,IF(Aula=base_de_datos[Aula],IF("x"=base_de_datos[Lunes],IF(base_de_datos[Hora inicio]&lt;=$B9,IF(base_de_datos[Hora fin]&gt;=$C9,base_de_datos[No clase],""),""),""),""),"")</f>
        <v/>
      </c>
      <c r="F9" s="28" t="str" cm="1">
        <f t="array" ref="F9">_xlfn.TEXTJOIN(CHAR(10),TRUE,IF(Aula=base_de_datos[Aula],IF("x"=base_de_datos[Martes],IF(base_de_datos[Hora inicio]&lt;=$B9,IF(base_de_datos[Hora fin]&gt;=$C9,base_de_datos[Materia]&amp;" "&amp;base_de_datos[[Número de grupo ]],""),""),""),""),"")</f>
        <v>Termodinámica 1</v>
      </c>
      <c r="G9" s="28" t="str" cm="1">
        <f t="array" ref="G9">_xlfn.TEXTJOIN(CHAR(10),TRUE,IF(Aula=base_de_datos[Aula],IF("x"=base_de_datos[Martes],IF(base_de_datos[Hora inicio]&lt;=$B9,IF(base_de_datos[Hora fin]&gt;=$C9,base_de_datos[No clase],""),""),""),""),"")</f>
        <v>1824/25, 1826/27, 1828/29, 1830/31</v>
      </c>
      <c r="H9" s="28" t="str" cm="1">
        <f t="array" ref="H9">_xlfn.TEXTJOIN(CHAR(10),TRUE,IF(Aula=base_de_datos[Aula],IF("x"=base_de_datos[Miércoles],IF(base_de_datos[Hora inicio]&lt;=$B9,IF(base_de_datos[Hora fin]&gt;=$C9,base_de_datos[Materia]&amp;" "&amp;base_de_datos[[Número de grupo ]],""),""),""),""),"")</f>
        <v>Química 1</v>
      </c>
      <c r="I9" s="28" t="str" cm="1">
        <f t="array" ref="I9">_xlfn.TEXTJOIN(CHAR(10),TRUE,IF(Aula=base_de_datos[Aula],IF("x"=base_de_datos[Miércoles],IF(base_de_datos[Hora inicio]&lt;=$B9,IF(base_de_datos[Hora fin]&gt;=$C9,base_de_datos[No clase],""),""),""),""),"")</f>
        <v>1893/94, 1895/96, 1897/98</v>
      </c>
      <c r="J9" s="28" t="str" cm="1">
        <f t="array" ref="J9">_xlfn.TEXTJOIN(CHAR(10),TRUE,IF(Aula=base_de_datos[Aula],IF("x"=base_de_datos[Jueves],IF(base_de_datos[Hora inicio]&lt;=$B9,IF(base_de_datos[Hora fin]&gt;=$C9,base_de_datos[Materia]&amp;" "&amp;base_de_datos[[Número de grupo ]],""),""),""),""),"")</f>
        <v>Termodinámica 1</v>
      </c>
      <c r="K9" s="28" t="str" cm="1">
        <f t="array" ref="K9">_xlfn.TEXTJOIN(CHAR(10),TRUE,IF(Aula=base_de_datos[Aula],IF("x"=base_de_datos[Jueves],IF(base_de_datos[Hora inicio]&lt;=$B9,IF(base_de_datos[Hora fin]&gt;=$C9,base_de_datos[No clase],""),""),""),""),"")</f>
        <v>1824/25, 1826/27, 1828/29, 1830/31</v>
      </c>
      <c r="L9" s="28" t="str" cm="1">
        <f t="array" ref="L9">_xlfn.TEXTJOIN(CHAR(10),TRUE,IF(Aula=base_de_datos[Aula],IF("x"=base_de_datos[Viernes],IF(base_de_datos[Hora inicio]&lt;=$B9,IF(base_de_datos[Hora fin]&gt;=$C9,base_de_datos[Materia]&amp;" "&amp;base_de_datos[[Número de grupo ]],""),""),""),""),"")</f>
        <v/>
      </c>
      <c r="M9" s="28" t="str" cm="1">
        <f t="array" ref="M9">_xlfn.TEXTJOIN(CHAR(10),TRUE,IF(Aula=base_de_datos[Aula],IF("x"=base_de_datos[Viernes],IF(base_de_datos[Hora inicio]&lt;=$B9,IF(base_de_datos[Hora fin]&gt;=$C9,base_de_datos[No clase],""),""),""),""),"")</f>
        <v/>
      </c>
      <c r="N9" s="28" t="str" cm="1">
        <f t="array" ref="N9">_xlfn.TEXTJOIN(CHAR(10),TRUE,IF(Aula=base_de_datos[Aula],IF("x"=base_de_datos[Sábado],IF(base_de_datos[Hora inicio]&lt;=$B9,IF(base_de_datos[Hora fin]&gt;=$C9,base_de_datos[Materia]&amp;" "&amp;base_de_datos[[Número de grupo ]],""),""),""),""),"")</f>
        <v/>
      </c>
      <c r="O9" s="28" t="str" cm="1">
        <f t="array" ref="O9">_xlfn.TEXTJOIN(CHAR(10),TRUE,IF(Aula=base_de_datos[Aula],IF("x"=base_de_datos[Sábado],IF(base_de_datos[Hora inicio]&lt;=$B9,IF(base_de_datos[Hora fin]&gt;=$C9,base_de_datos[No clase],""),""),""),""),"")</f>
        <v/>
      </c>
      <c r="V9" s="27"/>
      <c r="W9" s="27"/>
      <c r="X9" s="27"/>
    </row>
    <row r="10" spans="1:26" ht="52" x14ac:dyDescent="0.35">
      <c r="B10" s="92">
        <v>0.39583333333333398</v>
      </c>
      <c r="C10" s="92">
        <v>0.41666666666666502</v>
      </c>
      <c r="D10" s="28" t="str" cm="1">
        <f t="array" ref="D10">_xlfn.TEXTJOIN(CHAR(10),TRUE,IF(Aula=base_de_datos[Aula],IF("x"=base_de_datos[Lunes],IF(base_de_datos[Hora inicio]&lt;=$B10,IF(base_de_datos[Hora fin]&gt;=$C10,base_de_datos[Materia]&amp;" "&amp;base_de_datos[[Número de grupo ]],""),""),""),""),"")</f>
        <v/>
      </c>
      <c r="E10" s="28" t="str" cm="1">
        <f t="array" ref="E10">_xlfn.TEXTJOIN(CHAR(10),TRUE,IF(Aula=base_de_datos[Aula],IF("x"=base_de_datos[Lunes],IF(base_de_datos[Hora inicio]&lt;=$B10,IF(base_de_datos[Hora fin]&gt;=$C10,base_de_datos[No clase],""),""),""),""),"")</f>
        <v/>
      </c>
      <c r="F10" s="28" t="str" cm="1">
        <f t="array" ref="F10">_xlfn.TEXTJOIN(CHAR(10),TRUE,IF(Aula=base_de_datos[Aula],IF("x"=base_de_datos[Martes],IF(base_de_datos[Hora inicio]&lt;=$B10,IF(base_de_datos[Hora fin]&gt;=$C10,base_de_datos[Materia]&amp;" "&amp;base_de_datos[[Número de grupo ]],""),""),""),""),"")</f>
        <v>Termodinámica 1</v>
      </c>
      <c r="G10" s="28" t="str" cm="1">
        <f t="array" ref="G10">_xlfn.TEXTJOIN(CHAR(10),TRUE,IF(Aula=base_de_datos[Aula],IF("x"=base_de_datos[Martes],IF(base_de_datos[Hora inicio]&lt;=$B10,IF(base_de_datos[Hora fin]&gt;=$C10,base_de_datos[No clase],""),""),""),""),"")</f>
        <v>1824/25, 1826/27, 1828/29, 1830/31</v>
      </c>
      <c r="H10" s="28" t="str" cm="1">
        <f t="array" ref="H10">_xlfn.TEXTJOIN(CHAR(10),TRUE,IF(Aula=base_de_datos[Aula],IF("x"=base_de_datos[Miércoles],IF(base_de_datos[Hora inicio]&lt;=$B10,IF(base_de_datos[Hora fin]&gt;=$C10,base_de_datos[Materia]&amp;" "&amp;base_de_datos[[Número de grupo ]],""),""),""),""),"")</f>
        <v>Química 1</v>
      </c>
      <c r="I10" s="28" t="str" cm="1">
        <f t="array" ref="I10">_xlfn.TEXTJOIN(CHAR(10),TRUE,IF(Aula=base_de_datos[Aula],IF("x"=base_de_datos[Miércoles],IF(base_de_datos[Hora inicio]&lt;=$B10,IF(base_de_datos[Hora fin]&gt;=$C10,base_de_datos[No clase],""),""),""),""),"")</f>
        <v>1893/94, 1895/96, 1897/98</v>
      </c>
      <c r="J10" s="28" t="str" cm="1">
        <f t="array" ref="J10">_xlfn.TEXTJOIN(CHAR(10),TRUE,IF(Aula=base_de_datos[Aula],IF("x"=base_de_datos[Jueves],IF(base_de_datos[Hora inicio]&lt;=$B10,IF(base_de_datos[Hora fin]&gt;=$C10,base_de_datos[Materia]&amp;" "&amp;base_de_datos[[Número de grupo ]],""),""),""),""),"")</f>
        <v>Termodinámica 1</v>
      </c>
      <c r="K10" s="28" t="str" cm="1">
        <f t="array" ref="K10">_xlfn.TEXTJOIN(CHAR(10),TRUE,IF(Aula=base_de_datos[Aula],IF("x"=base_de_datos[Jueves],IF(base_de_datos[Hora inicio]&lt;=$B10,IF(base_de_datos[Hora fin]&gt;=$C10,base_de_datos[No clase],""),""),""),""),"")</f>
        <v>1824/25, 1826/27, 1828/29, 1830/31</v>
      </c>
      <c r="L10" s="28" t="str" cm="1">
        <f t="array" ref="L10">_xlfn.TEXTJOIN(CHAR(10),TRUE,IF(Aula=base_de_datos[Aula],IF("x"=base_de_datos[Viernes],IF(base_de_datos[Hora inicio]&lt;=$B10,IF(base_de_datos[Hora fin]&gt;=$C10,base_de_datos[Materia]&amp;" "&amp;base_de_datos[[Número de grupo ]],""),""),""),""),"")</f>
        <v/>
      </c>
      <c r="M10" s="28" t="str" cm="1">
        <f t="array" ref="M10">_xlfn.TEXTJOIN(CHAR(10),TRUE,IF(Aula=base_de_datos[Aula],IF("x"=base_de_datos[Viernes],IF(base_de_datos[Hora inicio]&lt;=$B10,IF(base_de_datos[Hora fin]&gt;=$C10,base_de_datos[No clase],""),""),""),""),"")</f>
        <v/>
      </c>
      <c r="N10" s="28" t="str" cm="1">
        <f t="array" ref="N10">_xlfn.TEXTJOIN(CHAR(10),TRUE,IF(Aula=base_de_datos[Aula],IF("x"=base_de_datos[Sábado],IF(base_de_datos[Hora inicio]&lt;=$B10,IF(base_de_datos[Hora fin]&gt;=$C10,base_de_datos[Materia]&amp;" "&amp;base_de_datos[[Número de grupo ]],""),""),""),""),"")</f>
        <v/>
      </c>
      <c r="O10" s="28" t="str" cm="1">
        <f t="array" ref="O10">_xlfn.TEXTJOIN(CHAR(10),TRUE,IF(Aula=base_de_datos[Aula],IF("x"=base_de_datos[Sábado],IF(base_de_datos[Hora inicio]&lt;=$B10,IF(base_de_datos[Hora fin]&gt;=$C10,base_de_datos[No clase],""),""),""),""),"")</f>
        <v/>
      </c>
      <c r="V10" s="27"/>
      <c r="W10" s="27"/>
      <c r="X10" s="27"/>
    </row>
    <row r="11" spans="1:26" ht="52" x14ac:dyDescent="0.35">
      <c r="B11" s="92">
        <v>0.41666666666666702</v>
      </c>
      <c r="C11" s="92">
        <v>0.437499999999998</v>
      </c>
      <c r="D11" s="28" t="str" cm="1">
        <f t="array" ref="D11">_xlfn.TEXTJOIN(CHAR(10),TRUE,IF(Aula=base_de_datos[Aula],IF("x"=base_de_datos[Lunes],IF(base_de_datos[Hora inicio]&lt;=$B11,IF(base_de_datos[Hora fin]&gt;=$C11,base_de_datos[Materia]&amp;" "&amp;base_de_datos[[Número de grupo ]],""),""),""),""),"")</f>
        <v/>
      </c>
      <c r="E11" s="28" t="str" cm="1">
        <f t="array" ref="E11">_xlfn.TEXTJOIN(CHAR(10),TRUE,IF(Aula=base_de_datos[Aula],IF("x"=base_de_datos[Lunes],IF(base_de_datos[Hora inicio]&lt;=$B11,IF(base_de_datos[Hora fin]&gt;=$C11,base_de_datos[No clase],""),""),""),""),"")</f>
        <v/>
      </c>
      <c r="F11" s="28" t="str" cm="1">
        <f t="array" ref="F11">_xlfn.TEXTJOIN(CHAR(10),TRUE,IF(Aula=base_de_datos[Aula],IF("x"=base_de_datos[Martes],IF(base_de_datos[Hora inicio]&lt;=$B11,IF(base_de_datos[Hora fin]&gt;=$C11,base_de_datos[Materia]&amp;" "&amp;base_de_datos[[Número de grupo ]],""),""),""),""),"")</f>
        <v>Termodinámica 1</v>
      </c>
      <c r="G11" s="28" t="str" cm="1">
        <f t="array" ref="G11">_xlfn.TEXTJOIN(CHAR(10),TRUE,IF(Aula=base_de_datos[Aula],IF("x"=base_de_datos[Martes],IF(base_de_datos[Hora inicio]&lt;=$B11,IF(base_de_datos[Hora fin]&gt;=$C11,base_de_datos[No clase],""),""),""),""),"")</f>
        <v>1824/25, 1826/27, 1828/29, 1830/31</v>
      </c>
      <c r="H11" s="28" t="str" cm="1">
        <f t="array" ref="H11">_xlfn.TEXTJOIN(CHAR(10),TRUE,IF(Aula=base_de_datos[Aula],IF("x"=base_de_datos[Miércoles],IF(base_de_datos[Hora inicio]&lt;=$B11,IF(base_de_datos[Hora fin]&gt;=$C11,base_de_datos[Materia]&amp;" "&amp;base_de_datos[[Número de grupo ]],""),""),""),""),"")</f>
        <v>Química 1</v>
      </c>
      <c r="I11" s="28" t="str" cm="1">
        <f t="array" ref="I11">_xlfn.TEXTJOIN(CHAR(10),TRUE,IF(Aula=base_de_datos[Aula],IF("x"=base_de_datos[Miércoles],IF(base_de_datos[Hora inicio]&lt;=$B11,IF(base_de_datos[Hora fin]&gt;=$C11,base_de_datos[No clase],""),""),""),""),"")</f>
        <v>1893/94, 1895/96, 1897/98</v>
      </c>
      <c r="J11" s="28" t="str" cm="1">
        <f t="array" ref="J11">_xlfn.TEXTJOIN(CHAR(10),TRUE,IF(Aula=base_de_datos[Aula],IF("x"=base_de_datos[Jueves],IF(base_de_datos[Hora inicio]&lt;=$B11,IF(base_de_datos[Hora fin]&gt;=$C11,base_de_datos[Materia]&amp;" "&amp;base_de_datos[[Número de grupo ]],""),""),""),""),"")</f>
        <v>Termodinámica 1</v>
      </c>
      <c r="K11" s="28" t="str" cm="1">
        <f t="array" ref="K11">_xlfn.TEXTJOIN(CHAR(10),TRUE,IF(Aula=base_de_datos[Aula],IF("x"=base_de_datos[Jueves],IF(base_de_datos[Hora inicio]&lt;=$B11,IF(base_de_datos[Hora fin]&gt;=$C11,base_de_datos[No clase],""),""),""),""),"")</f>
        <v>1824/25, 1826/27, 1828/29, 1830/31</v>
      </c>
      <c r="L11" s="28" t="str" cm="1">
        <f t="array" ref="L11">_xlfn.TEXTJOIN(CHAR(10),TRUE,IF(Aula=base_de_datos[Aula],IF("x"=base_de_datos[Viernes],IF(base_de_datos[Hora inicio]&lt;=$B11,IF(base_de_datos[Hora fin]&gt;=$C11,base_de_datos[Materia]&amp;" "&amp;base_de_datos[[Número de grupo ]],""),""),""),""),"")</f>
        <v/>
      </c>
      <c r="M11" s="28" t="str" cm="1">
        <f t="array" ref="M11">_xlfn.TEXTJOIN(CHAR(10),TRUE,IF(Aula=base_de_datos[Aula],IF("x"=base_de_datos[Viernes],IF(base_de_datos[Hora inicio]&lt;=$B11,IF(base_de_datos[Hora fin]&gt;=$C11,base_de_datos[No clase],""),""),""),""),"")</f>
        <v/>
      </c>
      <c r="N11" s="28" t="str" cm="1">
        <f t="array" ref="N11">_xlfn.TEXTJOIN(CHAR(10),TRUE,IF(Aula=base_de_datos[Aula],IF("x"=base_de_datos[Sábado],IF(base_de_datos[Hora inicio]&lt;=$B11,IF(base_de_datos[Hora fin]&gt;=$C11,base_de_datos[Materia]&amp;" "&amp;base_de_datos[[Número de grupo ]],""),""),""),""),"")</f>
        <v/>
      </c>
      <c r="O11" s="28" t="str" cm="1">
        <f t="array" ref="O11">_xlfn.TEXTJOIN(CHAR(10),TRUE,IF(Aula=base_de_datos[Aula],IF("x"=base_de_datos[Sábado],IF(base_de_datos[Hora inicio]&lt;=$B11,IF(base_de_datos[Hora fin]&gt;=$C11,base_de_datos[No clase],""),""),""),""),"")</f>
        <v/>
      </c>
      <c r="V11" s="27"/>
      <c r="W11" s="27"/>
      <c r="X11" s="27"/>
    </row>
    <row r="12" spans="1:26" ht="52" x14ac:dyDescent="0.35">
      <c r="B12" s="92">
        <v>0.4375</v>
      </c>
      <c r="C12" s="92">
        <v>0.45833333333333098</v>
      </c>
      <c r="D12" s="28" t="str" cm="1">
        <f t="array" ref="D12">_xlfn.TEXTJOIN(CHAR(10),TRUE,IF(Aula=base_de_datos[Aula],IF("x"=base_de_datos[Lunes],IF(base_de_datos[Hora inicio]&lt;=$B12,IF(base_de_datos[Hora fin]&gt;=$C12,base_de_datos[Materia]&amp;" "&amp;base_de_datos[[Número de grupo ]],""),""),""),""),"")</f>
        <v/>
      </c>
      <c r="E12" s="28" t="str" cm="1">
        <f t="array" ref="E12">_xlfn.TEXTJOIN(CHAR(10),TRUE,IF(Aula=base_de_datos[Aula],IF("x"=base_de_datos[Lunes],IF(base_de_datos[Hora inicio]&lt;=$B12,IF(base_de_datos[Hora fin]&gt;=$C12,base_de_datos[No clase],""),""),""),""),"")</f>
        <v/>
      </c>
      <c r="F12" s="28" t="str" cm="1">
        <f t="array" ref="F12">_xlfn.TEXTJOIN(CHAR(10),TRUE,IF(Aula=base_de_datos[Aula],IF("x"=base_de_datos[Martes],IF(base_de_datos[Hora inicio]&lt;=$B12,IF(base_de_datos[Hora fin]&gt;=$C12,base_de_datos[Materia]&amp;" "&amp;base_de_datos[[Número de grupo ]],""),""),""),""),"")</f>
        <v>Termodinámica 1</v>
      </c>
      <c r="G12" s="28" t="str" cm="1">
        <f t="array" ref="G12">_xlfn.TEXTJOIN(CHAR(10),TRUE,IF(Aula=base_de_datos[Aula],IF("x"=base_de_datos[Martes],IF(base_de_datos[Hora inicio]&lt;=$B12,IF(base_de_datos[Hora fin]&gt;=$C12,base_de_datos[No clase],""),""),""),""),"")</f>
        <v>1824/25, 1826/27, 1828/29, 1830/31</v>
      </c>
      <c r="H12" s="28" t="str" cm="1">
        <f t="array" ref="H12">_xlfn.TEXTJOIN(CHAR(10),TRUE,IF(Aula=base_de_datos[Aula],IF("x"=base_de_datos[Miércoles],IF(base_de_datos[Hora inicio]&lt;=$B12,IF(base_de_datos[Hora fin]&gt;=$C12,base_de_datos[Materia]&amp;" "&amp;base_de_datos[[Número de grupo ]],""),""),""),""),"")</f>
        <v>Química 1</v>
      </c>
      <c r="I12" s="28" t="str" cm="1">
        <f t="array" ref="I12">_xlfn.TEXTJOIN(CHAR(10),TRUE,IF(Aula=base_de_datos[Aula],IF("x"=base_de_datos[Miércoles],IF(base_de_datos[Hora inicio]&lt;=$B12,IF(base_de_datos[Hora fin]&gt;=$C12,base_de_datos[No clase],""),""),""),""),"")</f>
        <v>1893/94, 1895/96, 1897/98</v>
      </c>
      <c r="J12" s="28" t="str" cm="1">
        <f t="array" ref="J12">_xlfn.TEXTJOIN(CHAR(10),TRUE,IF(Aula=base_de_datos[Aula],IF("x"=base_de_datos[Jueves],IF(base_de_datos[Hora inicio]&lt;=$B12,IF(base_de_datos[Hora fin]&gt;=$C12,base_de_datos[Materia]&amp;" "&amp;base_de_datos[[Número de grupo ]],""),""),""),""),"")</f>
        <v>Termodinámica 1</v>
      </c>
      <c r="K12" s="28" t="str" cm="1">
        <f t="array" ref="K12">_xlfn.TEXTJOIN(CHAR(10),TRUE,IF(Aula=base_de_datos[Aula],IF("x"=base_de_datos[Jueves],IF(base_de_datos[Hora inicio]&lt;=$B12,IF(base_de_datos[Hora fin]&gt;=$C12,base_de_datos[No clase],""),""),""),""),"")</f>
        <v>1824/25, 1826/27, 1828/29, 1830/31</v>
      </c>
      <c r="L12" s="28" t="str" cm="1">
        <f t="array" ref="L12">_xlfn.TEXTJOIN(CHAR(10),TRUE,IF(Aula=base_de_datos[Aula],IF("x"=base_de_datos[Viernes],IF(base_de_datos[Hora inicio]&lt;=$B12,IF(base_de_datos[Hora fin]&gt;=$C12,base_de_datos[Materia]&amp;" "&amp;base_de_datos[[Número de grupo ]],""),""),""),""),"")</f>
        <v/>
      </c>
      <c r="M12" s="28" t="str" cm="1">
        <f t="array" ref="M12">_xlfn.TEXTJOIN(CHAR(10),TRUE,IF(Aula=base_de_datos[Aula],IF("x"=base_de_datos[Viernes],IF(base_de_datos[Hora inicio]&lt;=$B12,IF(base_de_datos[Hora fin]&gt;=$C12,base_de_datos[No clase],""),""),""),""),"")</f>
        <v/>
      </c>
      <c r="N12" s="28" t="str" cm="1">
        <f t="array" ref="N12">_xlfn.TEXTJOIN(CHAR(10),TRUE,IF(Aula=base_de_datos[Aula],IF("x"=base_de_datos[Sábado],IF(base_de_datos[Hora inicio]&lt;=$B12,IF(base_de_datos[Hora fin]&gt;=$C12,base_de_datos[Materia]&amp;" "&amp;base_de_datos[[Número de grupo ]],""),""),""),""),"")</f>
        <v/>
      </c>
      <c r="O12" s="28" t="str" cm="1">
        <f t="array" ref="O12">_xlfn.TEXTJOIN(CHAR(10),TRUE,IF(Aula=base_de_datos[Aula],IF("x"=base_de_datos[Sábado],IF(base_de_datos[Hora inicio]&lt;=$B12,IF(base_de_datos[Hora fin]&gt;=$C12,base_de_datos[No clase],""),""),""),""),"")</f>
        <v/>
      </c>
      <c r="V12" s="27"/>
      <c r="W12" s="27"/>
      <c r="X12" s="27"/>
    </row>
    <row r="13" spans="1:26" ht="14.5" x14ac:dyDescent="0.35">
      <c r="B13" s="92">
        <v>0.45833333333333398</v>
      </c>
      <c r="C13" s="92">
        <v>0.47916666666666402</v>
      </c>
      <c r="D13" s="29" t="str" cm="1">
        <f t="array" ref="D13">_xlfn.TEXTJOIN(CHAR(10),TRUE,IF(Aula=base_de_datos[Aula],IF("x"=base_de_datos[Lunes],IF(base_de_datos[Hora inicio]&lt;=$B13,IF(base_de_datos[Hora fin]&gt;=$C13,base_de_datos[Materia]&amp;" "&amp;base_de_datos[[Número de grupo ]],""),""),""),""),"")</f>
        <v/>
      </c>
      <c r="E13" s="29" t="str" cm="1">
        <f t="array" ref="E13">_xlfn.TEXTJOIN(CHAR(10),TRUE,IF(Aula=base_de_datos[Aula],IF("x"=base_de_datos[Lunes],IF(base_de_datos[Hora inicio]&lt;=$B13,IF(base_de_datos[Hora fin]&gt;=$C13,base_de_datos[No clase],""),""),""),""),"")</f>
        <v/>
      </c>
      <c r="F13" s="29" t="str" cm="1">
        <f t="array" ref="F13">_xlfn.TEXTJOIN(CHAR(10),TRUE,IF(Aula=base_de_datos[Aula],IF("x"=base_de_datos[Martes],IF(base_de_datos[Hora inicio]&lt;=$B13,IF(base_de_datos[Hora fin]&gt;=$C13,base_de_datos[Materia]&amp;" "&amp;base_de_datos[[Número de grupo ]],""),""),""),""),"")</f>
        <v/>
      </c>
      <c r="G13" s="29" t="str" cm="1">
        <f t="array" ref="G13">_xlfn.TEXTJOIN(CHAR(10),TRUE,IF(Aula=base_de_datos[Aula],IF("x"=base_de_datos[Martes],IF(base_de_datos[Hora inicio]&lt;=$B13,IF(base_de_datos[Hora fin]&gt;=$C13,base_de_datos[No clase],""),""),""),""),"")</f>
        <v/>
      </c>
      <c r="H13" s="29" t="str" cm="1">
        <f t="array" ref="H13">_xlfn.TEXTJOIN(CHAR(10),TRUE,IF(Aula=base_de_datos[Aula],IF("x"=base_de_datos[Miércoles],IF(base_de_datos[Hora inicio]&lt;=$B13,IF(base_de_datos[Hora fin]&gt;=$C13,base_de_datos[Materia]&amp;" "&amp;base_de_datos[[Número de grupo ]],""),""),""),""),"")</f>
        <v/>
      </c>
      <c r="I13" s="29" t="str" cm="1">
        <f t="array" ref="I13">_xlfn.TEXTJOIN(CHAR(10),TRUE,IF(Aula=base_de_datos[Aula],IF("x"=base_de_datos[Miércoles],IF(base_de_datos[Hora inicio]&lt;=$B13,IF(base_de_datos[Hora fin]&gt;=$C13,base_de_datos[No clase],""),""),""),""),"")</f>
        <v/>
      </c>
      <c r="J13" s="29" t="str" cm="1">
        <f t="array" ref="J13">_xlfn.TEXTJOIN(CHAR(10),TRUE,IF(Aula=base_de_datos[Aula],IF("x"=base_de_datos[Jueves],IF(base_de_datos[Hora inicio]&lt;=$B13,IF(base_de_datos[Hora fin]&gt;=$C13,base_de_datos[Materia]&amp;" "&amp;base_de_datos[[Número de grupo ]],""),""),""),""),"")</f>
        <v/>
      </c>
      <c r="K13" s="29" t="str" cm="1">
        <f t="array" ref="K13">_xlfn.TEXTJOIN(CHAR(10),TRUE,IF(Aula=base_de_datos[Aula],IF("x"=base_de_datos[Jueves],IF(base_de_datos[Hora inicio]&lt;=$B13,IF(base_de_datos[Hora fin]&gt;=$C13,base_de_datos[No clase],""),""),""),""),"")</f>
        <v/>
      </c>
      <c r="L13" s="29" t="str" cm="1">
        <f t="array" ref="L13">_xlfn.TEXTJOIN(CHAR(10),TRUE,IF(Aula=base_de_datos[Aula],IF("x"=base_de_datos[Viernes],IF(base_de_datos[Hora inicio]&lt;=$B13,IF(base_de_datos[Hora fin]&gt;=$C13,base_de_datos[Materia]&amp;" "&amp;base_de_datos[[Número de grupo ]],""),""),""),""),"")</f>
        <v/>
      </c>
      <c r="M13" s="28" t="str" cm="1">
        <f t="array" ref="M13">_xlfn.TEXTJOIN(CHAR(10),TRUE,IF(Aula=base_de_datos[Aula],IF("x"=base_de_datos[Viernes],IF(base_de_datos[Hora inicio]&lt;=$B13,IF(base_de_datos[Hora fin]&gt;=$C13,base_de_datos[No clase],""),""),""),""),"")</f>
        <v/>
      </c>
      <c r="N13" s="28" t="str" cm="1">
        <f t="array" ref="N13">_xlfn.TEXTJOIN(CHAR(10),TRUE,IF(Aula=base_de_datos[Aula],IF("x"=base_de_datos[Sábado],IF(base_de_datos[Hora inicio]&lt;=$B13,IF(base_de_datos[Hora fin]&gt;=$C13,base_de_datos[Materia]&amp;" "&amp;base_de_datos[[Número de grupo ]],""),""),""),""),"")</f>
        <v/>
      </c>
      <c r="O13" s="28" t="str" cm="1">
        <f t="array" ref="O13">_xlfn.TEXTJOIN(CHAR(10),TRUE,IF(Aula=base_de_datos[Aula],IF("x"=base_de_datos[Sábado],IF(base_de_datos[Hora inicio]&lt;=$B13,IF(base_de_datos[Hora fin]&gt;=$C13,base_de_datos[No clase],""),""),""),""),"")</f>
        <v/>
      </c>
      <c r="V13" s="27"/>
      <c r="W13" s="27"/>
      <c r="X13" s="27"/>
    </row>
    <row r="14" spans="1:26" ht="14.5" x14ac:dyDescent="0.35">
      <c r="B14" s="92">
        <v>0.47916666666666702</v>
      </c>
      <c r="C14" s="92">
        <v>0.499999999999997</v>
      </c>
      <c r="D14" s="29" t="str" cm="1">
        <f t="array" ref="D14">_xlfn.TEXTJOIN(CHAR(10),TRUE,IF(Aula=base_de_datos[Aula],IF("x"=base_de_datos[Lunes],IF(base_de_datos[Hora inicio]&lt;=$B14,IF(base_de_datos[Hora fin]&gt;=$C14,base_de_datos[Materia]&amp;" "&amp;base_de_datos[[Número de grupo ]],""),""),""),""),"")</f>
        <v/>
      </c>
      <c r="E14" s="29" t="str" cm="1">
        <f t="array" ref="E14">_xlfn.TEXTJOIN(CHAR(10),TRUE,IF(Aula=base_de_datos[Aula],IF("x"=base_de_datos[Lunes],IF(base_de_datos[Hora inicio]&lt;=$B14,IF(base_de_datos[Hora fin]&gt;=$C14,base_de_datos[No clase],""),""),""),""),"")</f>
        <v/>
      </c>
      <c r="F14" s="29" t="str" cm="1">
        <f t="array" ref="F14">_xlfn.TEXTJOIN(CHAR(10),TRUE,IF(Aula=base_de_datos[Aula],IF("x"=base_de_datos[Martes],IF(base_de_datos[Hora inicio]&lt;=$B14,IF(base_de_datos[Hora fin]&gt;=$C14,base_de_datos[Materia]&amp;" "&amp;base_de_datos[[Número de grupo ]],""),""),""),""),"")</f>
        <v/>
      </c>
      <c r="G14" s="29" t="str" cm="1">
        <f t="array" ref="G14">_xlfn.TEXTJOIN(CHAR(10),TRUE,IF(Aula=base_de_datos[Aula],IF("x"=base_de_datos[Martes],IF(base_de_datos[Hora inicio]&lt;=$B14,IF(base_de_datos[Hora fin]&gt;=$C14,base_de_datos[No clase],""),""),""),""),"")</f>
        <v/>
      </c>
      <c r="H14" s="29" t="str" cm="1">
        <f t="array" ref="H14">_xlfn.TEXTJOIN(CHAR(10),TRUE,IF(Aula=base_de_datos[Aula],IF("x"=base_de_datos[Miércoles],IF(base_de_datos[Hora inicio]&lt;=$B14,IF(base_de_datos[Hora fin]&gt;=$C14,base_de_datos[Materia]&amp;" "&amp;base_de_datos[[Número de grupo ]],""),""),""),""),"")</f>
        <v/>
      </c>
      <c r="I14" s="29" t="str" cm="1">
        <f t="array" ref="I14">_xlfn.TEXTJOIN(CHAR(10),TRUE,IF(Aula=base_de_datos[Aula],IF("x"=base_de_datos[Miércoles],IF(base_de_datos[Hora inicio]&lt;=$B14,IF(base_de_datos[Hora fin]&gt;=$C14,base_de_datos[No clase],""),""),""),""),"")</f>
        <v/>
      </c>
      <c r="J14" s="29" t="str" cm="1">
        <f t="array" ref="J14">_xlfn.TEXTJOIN(CHAR(10),TRUE,IF(Aula=base_de_datos[Aula],IF("x"=base_de_datos[Jueves],IF(base_de_datos[Hora inicio]&lt;=$B14,IF(base_de_datos[Hora fin]&gt;=$C14,base_de_datos[Materia]&amp;" "&amp;base_de_datos[[Número de grupo ]],""),""),""),""),"")</f>
        <v/>
      </c>
      <c r="K14" s="29" t="str" cm="1">
        <f t="array" ref="K14">_xlfn.TEXTJOIN(CHAR(10),TRUE,IF(Aula=base_de_datos[Aula],IF("x"=base_de_datos[Jueves],IF(base_de_datos[Hora inicio]&lt;=$B14,IF(base_de_datos[Hora fin]&gt;=$C14,base_de_datos[No clase],""),""),""),""),"")</f>
        <v/>
      </c>
      <c r="L14" s="29" t="str" cm="1">
        <f t="array" ref="L14">_xlfn.TEXTJOIN(CHAR(10),TRUE,IF(Aula=base_de_datos[Aula],IF("x"=base_de_datos[Viernes],IF(base_de_datos[Hora inicio]&lt;=$B14,IF(base_de_datos[Hora fin]&gt;=$C14,base_de_datos[Materia]&amp;" "&amp;base_de_datos[[Número de grupo ]],""),""),""),""),"")</f>
        <v/>
      </c>
      <c r="M14" s="28" t="str" cm="1">
        <f t="array" ref="M14">_xlfn.TEXTJOIN(CHAR(10),TRUE,IF(Aula=base_de_datos[Aula],IF("x"=base_de_datos[Viernes],IF(base_de_datos[Hora inicio]&lt;=$B14,IF(base_de_datos[Hora fin]&gt;=$C14,base_de_datos[No clase],""),""),""),""),"")</f>
        <v/>
      </c>
      <c r="N14" s="28" t="str" cm="1">
        <f t="array" ref="N14">_xlfn.TEXTJOIN(CHAR(10),TRUE,IF(Aula=base_de_datos[Aula],IF("x"=base_de_datos[Sábado],IF(base_de_datos[Hora inicio]&lt;=$B14,IF(base_de_datos[Hora fin]&gt;=$C14,base_de_datos[Materia]&amp;" "&amp;base_de_datos[[Número de grupo ]],""),""),""),""),"")</f>
        <v/>
      </c>
      <c r="O14" s="28" t="str" cm="1">
        <f t="array" ref="O14">_xlfn.TEXTJOIN(CHAR(10),TRUE,IF(Aula=base_de_datos[Aula],IF("x"=base_de_datos[Sábado],IF(base_de_datos[Hora inicio]&lt;=$B14,IF(base_de_datos[Hora fin]&gt;=$C14,base_de_datos[No clase],""),""),""),""),"")</f>
        <v/>
      </c>
      <c r="V14" s="27"/>
      <c r="W14" s="27"/>
      <c r="X14" s="27"/>
    </row>
    <row r="15" spans="1:26" ht="39" x14ac:dyDescent="0.35">
      <c r="B15" s="92">
        <v>0.5</v>
      </c>
      <c r="C15" s="92">
        <v>0.52083333333333004</v>
      </c>
      <c r="D15" s="28" t="str" cm="1">
        <f t="array" ref="D15">_xlfn.TEXTJOIN(CHAR(10),TRUE,IF(Aula=base_de_datos[Aula],IF("x"=base_de_datos[Lunes],IF(base_de_datos[Hora inicio]&lt;=$B15,IF(base_de_datos[Hora fin]&gt;=$C15,base_de_datos[Materia]&amp;" "&amp;base_de_datos[[Número de grupo ]],""),""),""),""),"")</f>
        <v>Física 1</v>
      </c>
      <c r="E15" s="28" t="str" cm="1">
        <f t="array" ref="E15">_xlfn.TEXTJOIN(CHAR(10),TRUE,IF(Aula=base_de_datos[Aula],IF("x"=base_de_datos[Lunes],IF(base_de_datos[Hora inicio]&lt;=$B15,IF(base_de_datos[Hora fin]&gt;=$C15,base_de_datos[No clase],""),""),""),""),"")</f>
        <v>1851/52, 1853/54, 1879/80</v>
      </c>
      <c r="F15" s="28" t="str" cm="1">
        <f t="array" ref="F15">_xlfn.TEXTJOIN(CHAR(10),TRUE,IF(Aula=base_de_datos[Aula],IF("x"=base_de_datos[Martes],IF(base_de_datos[Hora inicio]&lt;=$B15,IF(base_de_datos[Hora fin]&gt;=$C15,base_de_datos[Materia]&amp;" "&amp;base_de_datos[[Número de grupo ]],""),""),""),""),"")</f>
        <v/>
      </c>
      <c r="G15" s="28" t="str" cm="1">
        <f t="array" ref="G15">_xlfn.TEXTJOIN(CHAR(10),TRUE,IF(Aula=base_de_datos[Aula],IF("x"=base_de_datos[Martes],IF(base_de_datos[Hora inicio]&lt;=$B15,IF(base_de_datos[Hora fin]&gt;=$C15,base_de_datos[No clase],""),""),""),""),"")</f>
        <v/>
      </c>
      <c r="H15" s="28" t="str" cm="1">
        <f t="array" ref="H15">_xlfn.TEXTJOIN(CHAR(10),TRUE,IF(Aula=base_de_datos[Aula],IF("x"=base_de_datos[Miércoles],IF(base_de_datos[Hora inicio]&lt;=$B15,IF(base_de_datos[Hora fin]&gt;=$C15,base_de_datos[Materia]&amp;" "&amp;base_de_datos[[Número de grupo ]],""),""),""),""),"")</f>
        <v>Física 1</v>
      </c>
      <c r="I15" s="28" t="str" cm="1">
        <f t="array" ref="I15">_xlfn.TEXTJOIN(CHAR(10),TRUE,IF(Aula=base_de_datos[Aula],IF("x"=base_de_datos[Miércoles],IF(base_de_datos[Hora inicio]&lt;=$B15,IF(base_de_datos[Hora fin]&gt;=$C15,base_de_datos[No clase],""),""),""),""),"")</f>
        <v>1851/52, 1853/54, 1879/80</v>
      </c>
      <c r="J15" s="28" t="str" cm="1">
        <f t="array" ref="J15">_xlfn.TEXTJOIN(CHAR(10),TRUE,IF(Aula=base_de_datos[Aula],IF("x"=base_de_datos[Jueves],IF(base_de_datos[Hora inicio]&lt;=$B15,IF(base_de_datos[Hora fin]&gt;=$C15,base_de_datos[Materia]&amp;" "&amp;base_de_datos[[Número de grupo ]],""),""),""),""),"")</f>
        <v/>
      </c>
      <c r="K15" s="28" t="str" cm="1">
        <f t="array" ref="K15">_xlfn.TEXTJOIN(CHAR(10),TRUE,IF(Aula=base_de_datos[Aula],IF("x"=base_de_datos[Jueves],IF(base_de_datos[Hora inicio]&lt;=$B15,IF(base_de_datos[Hora fin]&gt;=$C15,base_de_datos[No clase],""),""),""),""),"")</f>
        <v/>
      </c>
      <c r="L15" s="28" t="str" cm="1">
        <f t="array" ref="L15">_xlfn.TEXTJOIN(CHAR(10),TRUE,IF(Aula=base_de_datos[Aula],IF("x"=base_de_datos[Viernes],IF(base_de_datos[Hora inicio]&lt;=$B15,IF(base_de_datos[Hora fin]&gt;=$C15,base_de_datos[Materia]&amp;" "&amp;base_de_datos[[Número de grupo ]],""),""),""),""),"")</f>
        <v>Taller de metodología del diseño 1</v>
      </c>
      <c r="M15" s="28" t="str" cm="1">
        <f t="array" ref="M15">_xlfn.TEXTJOIN(CHAR(10),TRUE,IF(Aula=base_de_datos[Aula],IF("x"=base_de_datos[Viernes],IF(base_de_datos[Hora inicio]&lt;=$B15,IF(base_de_datos[Hora fin]&gt;=$C15,base_de_datos[No clase],""),""),""),""),"")</f>
        <v>1814</v>
      </c>
      <c r="N15" s="28" t="str" cm="1">
        <f t="array" ref="N15">_xlfn.TEXTJOIN(CHAR(10),TRUE,IF(Aula=base_de_datos[Aula],IF("x"=base_de_datos[Sábado],IF(base_de_datos[Hora inicio]&lt;=$B15,IF(base_de_datos[Hora fin]&gt;=$C15,base_de_datos[Materia]&amp;" "&amp;base_de_datos[[Número de grupo ]],""),""),""),""),"")</f>
        <v/>
      </c>
      <c r="O15" s="28" t="str" cm="1">
        <f t="array" ref="O15">_xlfn.TEXTJOIN(CHAR(10),TRUE,IF(Aula=base_de_datos[Aula],IF("x"=base_de_datos[Sábado],IF(base_de_datos[Hora inicio]&lt;=$B15,IF(base_de_datos[Hora fin]&gt;=$C15,base_de_datos[No clase],""),""),""),""),"")</f>
        <v/>
      </c>
      <c r="V15" s="27"/>
      <c r="W15" s="27"/>
      <c r="X15" s="27"/>
    </row>
    <row r="16" spans="1:26" ht="39" x14ac:dyDescent="0.35">
      <c r="B16" s="92">
        <v>0.52083333333333304</v>
      </c>
      <c r="C16" s="92">
        <v>0.54166666666666297</v>
      </c>
      <c r="D16" s="28" t="str" cm="1">
        <f t="array" ref="D16">_xlfn.TEXTJOIN(CHAR(10),TRUE,IF(Aula=base_de_datos[Aula],IF("x"=base_de_datos[Lunes],IF(base_de_datos[Hora inicio]&lt;=$B16,IF(base_de_datos[Hora fin]&gt;=$C16,base_de_datos[Materia]&amp;" "&amp;base_de_datos[[Número de grupo ]],""),""),""),""),"")</f>
        <v>Física 1</v>
      </c>
      <c r="E16" s="28" t="str" cm="1">
        <f t="array" ref="E16">_xlfn.TEXTJOIN(CHAR(10),TRUE,IF(Aula=base_de_datos[Aula],IF("x"=base_de_datos[Lunes],IF(base_de_datos[Hora inicio]&lt;=$B16,IF(base_de_datos[Hora fin]&gt;=$C16,base_de_datos[No clase],""),""),""),""),"")</f>
        <v>1851/52, 1853/54, 1879/80</v>
      </c>
      <c r="F16" s="28" t="str" cm="1">
        <f t="array" ref="F16">_xlfn.TEXTJOIN(CHAR(10),TRUE,IF(Aula=base_de_datos[Aula],IF("x"=base_de_datos[Martes],IF(base_de_datos[Hora inicio]&lt;=$B16,IF(base_de_datos[Hora fin]&gt;=$C16,base_de_datos[Materia]&amp;" "&amp;base_de_datos[[Número de grupo ]],""),""),""),""),"")</f>
        <v/>
      </c>
      <c r="G16" s="28" t="str" cm="1">
        <f t="array" ref="G16">_xlfn.TEXTJOIN(CHAR(10),TRUE,IF(Aula=base_de_datos[Aula],IF("x"=base_de_datos[Martes],IF(base_de_datos[Hora inicio]&lt;=$B16,IF(base_de_datos[Hora fin]&gt;=$C16,base_de_datos[No clase],""),""),""),""),"")</f>
        <v/>
      </c>
      <c r="H16" s="28" t="str" cm="1">
        <f t="array" ref="H16">_xlfn.TEXTJOIN(CHAR(10),TRUE,IF(Aula=base_de_datos[Aula],IF("x"=base_de_datos[Miércoles],IF(base_de_datos[Hora inicio]&lt;=$B16,IF(base_de_datos[Hora fin]&gt;=$C16,base_de_datos[Materia]&amp;" "&amp;base_de_datos[[Número de grupo ]],""),""),""),""),"")</f>
        <v>Física 1</v>
      </c>
      <c r="I16" s="28" t="str" cm="1">
        <f t="array" ref="I16">_xlfn.TEXTJOIN(CHAR(10),TRUE,IF(Aula=base_de_datos[Aula],IF("x"=base_de_datos[Miércoles],IF(base_de_datos[Hora inicio]&lt;=$B16,IF(base_de_datos[Hora fin]&gt;=$C16,base_de_datos[No clase],""),""),""),""),"")</f>
        <v>1851/52, 1853/54, 1879/80</v>
      </c>
      <c r="J16" s="28" t="str" cm="1">
        <f t="array" ref="J16">_xlfn.TEXTJOIN(CHAR(10),TRUE,IF(Aula=base_de_datos[Aula],IF("x"=base_de_datos[Jueves],IF(base_de_datos[Hora inicio]&lt;=$B16,IF(base_de_datos[Hora fin]&gt;=$C16,base_de_datos[Materia]&amp;" "&amp;base_de_datos[[Número de grupo ]],""),""),""),""),"")</f>
        <v/>
      </c>
      <c r="K16" s="28" t="str" cm="1">
        <f t="array" ref="K16">_xlfn.TEXTJOIN(CHAR(10),TRUE,IF(Aula=base_de_datos[Aula],IF("x"=base_de_datos[Jueves],IF(base_de_datos[Hora inicio]&lt;=$B16,IF(base_de_datos[Hora fin]&gt;=$C16,base_de_datos[No clase],""),""),""),""),"")</f>
        <v/>
      </c>
      <c r="L16" s="28" t="str" cm="1">
        <f t="array" ref="L16">_xlfn.TEXTJOIN(CHAR(10),TRUE,IF(Aula=base_de_datos[Aula],IF("x"=base_de_datos[Viernes],IF(base_de_datos[Hora inicio]&lt;=$B16,IF(base_de_datos[Hora fin]&gt;=$C16,base_de_datos[Materia]&amp;" "&amp;base_de_datos[[Número de grupo ]],""),""),""),""),"")</f>
        <v>Taller de metodología del diseño 1</v>
      </c>
      <c r="M16" s="28" t="str" cm="1">
        <f t="array" ref="M16">_xlfn.TEXTJOIN(CHAR(10),TRUE,IF(Aula=base_de_datos[Aula],IF("x"=base_de_datos[Viernes],IF(base_de_datos[Hora inicio]&lt;=$B16,IF(base_de_datos[Hora fin]&gt;=$C16,base_de_datos[No clase],""),""),""),""),"")</f>
        <v>1814</v>
      </c>
      <c r="N16" s="28" t="str" cm="1">
        <f t="array" ref="N16">_xlfn.TEXTJOIN(CHAR(10),TRUE,IF(Aula=base_de_datos[Aula],IF("x"=base_de_datos[Sábado],IF(base_de_datos[Hora inicio]&lt;=$B16,IF(base_de_datos[Hora fin]&gt;=$C16,base_de_datos[Materia]&amp;" "&amp;base_de_datos[[Número de grupo ]],""),""),""),""),"")</f>
        <v/>
      </c>
      <c r="O16" s="28" t="str" cm="1">
        <f t="array" ref="O16">_xlfn.TEXTJOIN(CHAR(10),TRUE,IF(Aula=base_de_datos[Aula],IF("x"=base_de_datos[Sábado],IF(base_de_datos[Hora inicio]&lt;=$B16,IF(base_de_datos[Hora fin]&gt;=$C16,base_de_datos[No clase],""),""),""),""),"")</f>
        <v/>
      </c>
      <c r="V16" s="27"/>
      <c r="W16" s="27"/>
      <c r="X16" s="27"/>
    </row>
    <row r="17" spans="2:24" ht="39" x14ac:dyDescent="0.35">
      <c r="B17" s="92">
        <v>0.54166666666666696</v>
      </c>
      <c r="C17" s="92">
        <v>0.562499999999996</v>
      </c>
      <c r="D17" s="28" t="str" cm="1">
        <f t="array" ref="D17">_xlfn.TEXTJOIN(CHAR(10),TRUE,IF(Aula=base_de_datos[Aula],IF("x"=base_de_datos[Lunes],IF(base_de_datos[Hora inicio]&lt;=$B17,IF(base_de_datos[Hora fin]&gt;=$C17,base_de_datos[Materia]&amp;" "&amp;base_de_datos[[Número de grupo ]],""),""),""),""),"")</f>
        <v>Física 1</v>
      </c>
      <c r="E17" s="28" t="str" cm="1">
        <f t="array" ref="E17">_xlfn.TEXTJOIN(CHAR(10),TRUE,IF(Aula=base_de_datos[Aula],IF("x"=base_de_datos[Lunes],IF(base_de_datos[Hora inicio]&lt;=$B17,IF(base_de_datos[Hora fin]&gt;=$C17,base_de_datos[No clase],""),""),""),""),"")</f>
        <v>1851/52, 1853/54, 1879/80</v>
      </c>
      <c r="F17" s="28" t="str" cm="1">
        <f t="array" ref="F17">_xlfn.TEXTJOIN(CHAR(10),TRUE,IF(Aula=base_de_datos[Aula],IF("x"=base_de_datos[Martes],IF(base_de_datos[Hora inicio]&lt;=$B17,IF(base_de_datos[Hora fin]&gt;=$C17,base_de_datos[Materia]&amp;" "&amp;base_de_datos[[Número de grupo ]],""),""),""),""),"")</f>
        <v/>
      </c>
      <c r="G17" s="28" t="str" cm="1">
        <f t="array" ref="G17">_xlfn.TEXTJOIN(CHAR(10),TRUE,IF(Aula=base_de_datos[Aula],IF("x"=base_de_datos[Martes],IF(base_de_datos[Hora inicio]&lt;=$B17,IF(base_de_datos[Hora fin]&gt;=$C17,base_de_datos[No clase],""),""),""),""),"")</f>
        <v/>
      </c>
      <c r="H17" s="28" t="str" cm="1">
        <f t="array" ref="H17">_xlfn.TEXTJOIN(CHAR(10),TRUE,IF(Aula=base_de_datos[Aula],IF("x"=base_de_datos[Miércoles],IF(base_de_datos[Hora inicio]&lt;=$B17,IF(base_de_datos[Hora fin]&gt;=$C17,base_de_datos[Materia]&amp;" "&amp;base_de_datos[[Número de grupo ]],""),""),""),""),"")</f>
        <v>Física 1</v>
      </c>
      <c r="I17" s="28" t="str" cm="1">
        <f t="array" ref="I17">_xlfn.TEXTJOIN(CHAR(10),TRUE,IF(Aula=base_de_datos[Aula],IF("x"=base_de_datos[Miércoles],IF(base_de_datos[Hora inicio]&lt;=$B17,IF(base_de_datos[Hora fin]&gt;=$C17,base_de_datos[No clase],""),""),""),""),"")</f>
        <v>1851/52, 1853/54, 1879/80</v>
      </c>
      <c r="J17" s="28" t="str" cm="1">
        <f t="array" ref="J17">_xlfn.TEXTJOIN(CHAR(10),TRUE,IF(Aula=base_de_datos[Aula],IF("x"=base_de_datos[Jueves],IF(base_de_datos[Hora inicio]&lt;=$B17,IF(base_de_datos[Hora fin]&gt;=$C17,base_de_datos[Materia]&amp;" "&amp;base_de_datos[[Número de grupo ]],""),""),""),""),"")</f>
        <v/>
      </c>
      <c r="K17" s="28" t="str" cm="1">
        <f t="array" ref="K17">_xlfn.TEXTJOIN(CHAR(10),TRUE,IF(Aula=base_de_datos[Aula],IF("x"=base_de_datos[Jueves],IF(base_de_datos[Hora inicio]&lt;=$B17,IF(base_de_datos[Hora fin]&gt;=$C17,base_de_datos[No clase],""),""),""),""),"")</f>
        <v/>
      </c>
      <c r="L17" s="28" t="str" cm="1">
        <f t="array" ref="L17">_xlfn.TEXTJOIN(CHAR(10),TRUE,IF(Aula=base_de_datos[Aula],IF("x"=base_de_datos[Viernes],IF(base_de_datos[Hora inicio]&lt;=$B17,IF(base_de_datos[Hora fin]&gt;=$C17,base_de_datos[Materia]&amp;" "&amp;base_de_datos[[Número de grupo ]],""),""),""),""),"")</f>
        <v>Taller de metodología del diseño 1</v>
      </c>
      <c r="M17" s="28" t="str" cm="1">
        <f t="array" ref="M17">_xlfn.TEXTJOIN(CHAR(10),TRUE,IF(Aula=base_de_datos[Aula],IF("x"=base_de_datos[Viernes],IF(base_de_datos[Hora inicio]&lt;=$B17,IF(base_de_datos[Hora fin]&gt;=$C17,base_de_datos[No clase],""),""),""),""),"")</f>
        <v>1814</v>
      </c>
      <c r="N17" s="28" t="str" cm="1">
        <f t="array" ref="N17">_xlfn.TEXTJOIN(CHAR(10),TRUE,IF(Aula=base_de_datos[Aula],IF("x"=base_de_datos[Sábado],IF(base_de_datos[Hora inicio]&lt;=$B17,IF(base_de_datos[Hora fin]&gt;=$C17,base_de_datos[Materia]&amp;" "&amp;base_de_datos[[Número de grupo ]],""),""),""),""),"")</f>
        <v/>
      </c>
      <c r="O17" s="28" t="str" cm="1">
        <f t="array" ref="O17">_xlfn.TEXTJOIN(CHAR(10),TRUE,IF(Aula=base_de_datos[Aula],IF("x"=base_de_datos[Sábado],IF(base_de_datos[Hora inicio]&lt;=$B17,IF(base_de_datos[Hora fin]&gt;=$C17,base_de_datos[No clase],""),""),""),""),"")</f>
        <v/>
      </c>
      <c r="V17" s="27"/>
      <c r="W17" s="27"/>
      <c r="X17" s="27"/>
    </row>
    <row r="18" spans="2:24" ht="39" x14ac:dyDescent="0.35">
      <c r="B18" s="92">
        <v>0.5625</v>
      </c>
      <c r="C18" s="92">
        <v>0.58333333333332904</v>
      </c>
      <c r="D18" s="28" t="str" cm="1">
        <f t="array" ref="D18">_xlfn.TEXTJOIN(CHAR(10),TRUE,IF(Aula=base_de_datos[Aula],IF("x"=base_de_datos[Lunes],IF(base_de_datos[Hora inicio]&lt;=$B18,IF(base_de_datos[Hora fin]&gt;=$C18,base_de_datos[Materia]&amp;" "&amp;base_de_datos[[Número de grupo ]],""),""),""),""),"")</f>
        <v>Física 1</v>
      </c>
      <c r="E18" s="28" t="str" cm="1">
        <f t="array" ref="E18">_xlfn.TEXTJOIN(CHAR(10),TRUE,IF(Aula=base_de_datos[Aula],IF("x"=base_de_datos[Lunes],IF(base_de_datos[Hora inicio]&lt;=$B18,IF(base_de_datos[Hora fin]&gt;=$C18,base_de_datos[No clase],""),""),""),""),"")</f>
        <v>1851/52, 1853/54, 1879/80</v>
      </c>
      <c r="F18" s="28" t="str" cm="1">
        <f t="array" ref="F18">_xlfn.TEXTJOIN(CHAR(10),TRUE,IF(Aula=base_de_datos[Aula],IF("x"=base_de_datos[Martes],IF(base_de_datos[Hora inicio]&lt;=$B18,IF(base_de_datos[Hora fin]&gt;=$C18,base_de_datos[Materia]&amp;" "&amp;base_de_datos[[Número de grupo ]],""),""),""),""),"")</f>
        <v/>
      </c>
      <c r="G18" s="28" t="str" cm="1">
        <f t="array" ref="G18">_xlfn.TEXTJOIN(CHAR(10),TRUE,IF(Aula=base_de_datos[Aula],IF("x"=base_de_datos[Martes],IF(base_de_datos[Hora inicio]&lt;=$B18,IF(base_de_datos[Hora fin]&gt;=$C18,base_de_datos[No clase],""),""),""),""),"")</f>
        <v/>
      </c>
      <c r="H18" s="28" t="str" cm="1">
        <f t="array" ref="H18">_xlfn.TEXTJOIN(CHAR(10),TRUE,IF(Aula=base_de_datos[Aula],IF("x"=base_de_datos[Miércoles],IF(base_de_datos[Hora inicio]&lt;=$B18,IF(base_de_datos[Hora fin]&gt;=$C18,base_de_datos[Materia]&amp;" "&amp;base_de_datos[[Número de grupo ]],""),""),""),""),"")</f>
        <v>Física 1</v>
      </c>
      <c r="I18" s="28" t="str" cm="1">
        <f t="array" ref="I18">_xlfn.TEXTJOIN(CHAR(10),TRUE,IF(Aula=base_de_datos[Aula],IF("x"=base_de_datos[Miércoles],IF(base_de_datos[Hora inicio]&lt;=$B18,IF(base_de_datos[Hora fin]&gt;=$C18,base_de_datos[No clase],""),""),""),""),"")</f>
        <v>1851/52, 1853/54, 1879/80</v>
      </c>
      <c r="J18" s="28" t="str" cm="1">
        <f t="array" ref="J18">_xlfn.TEXTJOIN(CHAR(10),TRUE,IF(Aula=base_de_datos[Aula],IF("x"=base_de_datos[Jueves],IF(base_de_datos[Hora inicio]&lt;=$B18,IF(base_de_datos[Hora fin]&gt;=$C18,base_de_datos[Materia]&amp;" "&amp;base_de_datos[[Número de grupo ]],""),""),""),""),"")</f>
        <v/>
      </c>
      <c r="K18" s="28" t="str" cm="1">
        <f t="array" ref="K18">_xlfn.TEXTJOIN(CHAR(10),TRUE,IF(Aula=base_de_datos[Aula],IF("x"=base_de_datos[Jueves],IF(base_de_datos[Hora inicio]&lt;=$B18,IF(base_de_datos[Hora fin]&gt;=$C18,base_de_datos[No clase],""),""),""),""),"")</f>
        <v/>
      </c>
      <c r="L18" s="28" t="str" cm="1">
        <f t="array" ref="L18">_xlfn.TEXTJOIN(CHAR(10),TRUE,IF(Aula=base_de_datos[Aula],IF("x"=base_de_datos[Viernes],IF(base_de_datos[Hora inicio]&lt;=$B18,IF(base_de_datos[Hora fin]&gt;=$C18,base_de_datos[Materia]&amp;" "&amp;base_de_datos[[Número de grupo ]],""),""),""),""),"")</f>
        <v>Taller de metodología del diseño 1</v>
      </c>
      <c r="M18" s="28" t="str" cm="1">
        <f t="array" ref="M18">_xlfn.TEXTJOIN(CHAR(10),TRUE,IF(Aula=base_de_datos[Aula],IF("x"=base_de_datos[Viernes],IF(base_de_datos[Hora inicio]&lt;=$B18,IF(base_de_datos[Hora fin]&gt;=$C18,base_de_datos[No clase],""),""),""),""),"")</f>
        <v>1814</v>
      </c>
      <c r="N18" s="28" t="str" cm="1">
        <f t="array" ref="N18">_xlfn.TEXTJOIN(CHAR(10),TRUE,IF(Aula=base_de_datos[Aula],IF("x"=base_de_datos[Sábado],IF(base_de_datos[Hora inicio]&lt;=$B18,IF(base_de_datos[Hora fin]&gt;=$C18,base_de_datos[Materia]&amp;" "&amp;base_de_datos[[Número de grupo ]],""),""),""),""),"")</f>
        <v/>
      </c>
      <c r="O18" s="28" t="str" cm="1">
        <f t="array" ref="O18">_xlfn.TEXTJOIN(CHAR(10),TRUE,IF(Aula=base_de_datos[Aula],IF("x"=base_de_datos[Sábado],IF(base_de_datos[Hora inicio]&lt;=$B18,IF(base_de_datos[Hora fin]&gt;=$C18,base_de_datos[No clase],""),""),""),""),"")</f>
        <v/>
      </c>
    </row>
    <row r="19" spans="2:24" ht="14.5" x14ac:dyDescent="0.35">
      <c r="B19" s="92">
        <v>0.58333333333333304</v>
      </c>
      <c r="C19" s="92">
        <v>0.60416666666666197</v>
      </c>
      <c r="D19" s="28" t="str" cm="1">
        <f t="array" ref="D19">_xlfn.TEXTJOIN(CHAR(10),TRUE,IF(Aula=base_de_datos[Aula],IF("x"=base_de_datos[Lunes],IF(base_de_datos[Hora inicio]&lt;=$B19,IF(base_de_datos[Hora fin]&gt;=$C19,base_de_datos[Materia]&amp;" "&amp;base_de_datos[[Número de grupo ]],""),""),""),""),"")</f>
        <v/>
      </c>
      <c r="E19" s="28" t="str" cm="1">
        <f t="array" ref="E19">_xlfn.TEXTJOIN(CHAR(10),TRUE,IF(Aula=base_de_datos[Aula],IF("x"=base_de_datos[Lunes],IF(base_de_datos[Hora inicio]&lt;=$B19,IF(base_de_datos[Hora fin]&gt;=$C19,base_de_datos[No clase],""),""),""),""),"")</f>
        <v/>
      </c>
      <c r="F19" s="28" t="str" cm="1">
        <f t="array" ref="F19">_xlfn.TEXTJOIN(CHAR(10),TRUE,IF(Aula=base_de_datos[Aula],IF("x"=base_de_datos[Martes],IF(base_de_datos[Hora inicio]&lt;=$B19,IF(base_de_datos[Hora fin]&gt;=$C19,base_de_datos[Materia]&amp;" "&amp;base_de_datos[[Número de grupo ]],""),""),""),""),"")</f>
        <v/>
      </c>
      <c r="G19" s="28" t="str" cm="1">
        <f t="array" ref="G19">_xlfn.TEXTJOIN(CHAR(10),TRUE,IF(Aula=base_de_datos[Aula],IF("x"=base_de_datos[Martes],IF(base_de_datos[Hora inicio]&lt;=$B19,IF(base_de_datos[Hora fin]&gt;=$C19,base_de_datos[No clase],""),""),""),""),"")</f>
        <v/>
      </c>
      <c r="H19" s="28" t="str" cm="1">
        <f t="array" ref="H19">_xlfn.TEXTJOIN(CHAR(10),TRUE,IF(Aula=base_de_datos[Aula],IF("x"=base_de_datos[Miércoles],IF(base_de_datos[Hora inicio]&lt;=$B19,IF(base_de_datos[Hora fin]&gt;=$C19,base_de_datos[Materia]&amp;" "&amp;base_de_datos[[Número de grupo ]],""),""),""),""),"")</f>
        <v/>
      </c>
      <c r="I19" s="28" t="str" cm="1">
        <f t="array" ref="I19">_xlfn.TEXTJOIN(CHAR(10),TRUE,IF(Aula=base_de_datos[Aula],IF("x"=base_de_datos[Miércoles],IF(base_de_datos[Hora inicio]&lt;=$B19,IF(base_de_datos[Hora fin]&gt;=$C19,base_de_datos[No clase],""),""),""),""),"")</f>
        <v/>
      </c>
      <c r="J19" s="28" t="str" cm="1">
        <f t="array" ref="J19">_xlfn.TEXTJOIN(CHAR(10),TRUE,IF(Aula=base_de_datos[Aula],IF("x"=base_de_datos[Jueves],IF(base_de_datos[Hora inicio]&lt;=$B19,IF(base_de_datos[Hora fin]&gt;=$C19,base_de_datos[Materia]&amp;" "&amp;base_de_datos[[Número de grupo ]],""),""),""),""),"")</f>
        <v/>
      </c>
      <c r="K19" s="28" t="str" cm="1">
        <f t="array" ref="K19">_xlfn.TEXTJOIN(CHAR(10),TRUE,IF(Aula=base_de_datos[Aula],IF("x"=base_de_datos[Jueves],IF(base_de_datos[Hora inicio]&lt;=$B19,IF(base_de_datos[Hora fin]&gt;=$C19,base_de_datos[No clase],""),""),""),""),"")</f>
        <v/>
      </c>
      <c r="L19" s="28" t="str" cm="1">
        <f t="array" ref="L19">_xlfn.TEXTJOIN(CHAR(10),TRUE,IF(Aula=base_de_datos[Aula],IF("x"=base_de_datos[Viernes],IF(base_de_datos[Hora inicio]&lt;=$B19,IF(base_de_datos[Hora fin]&gt;=$C19,base_de_datos[Materia]&amp;" "&amp;base_de_datos[[Número de grupo ]],""),""),""),""),"")</f>
        <v>Taller de metodología del diseño 1</v>
      </c>
      <c r="M19" s="28" t="str" cm="1">
        <f t="array" ref="M19">_xlfn.TEXTJOIN(CHAR(10),TRUE,IF(Aula=base_de_datos[Aula],IF("x"=base_de_datos[Viernes],IF(base_de_datos[Hora inicio]&lt;=$B19,IF(base_de_datos[Hora fin]&gt;=$C19,base_de_datos[No clase],""),""),""),""),"")</f>
        <v>1814</v>
      </c>
      <c r="N19" s="28" t="str" cm="1">
        <f t="array" ref="N19">_xlfn.TEXTJOIN(CHAR(10),TRUE,IF(Aula=base_de_datos[Aula],IF("x"=base_de_datos[Sábado],IF(base_de_datos[Hora inicio]&lt;=$B19,IF(base_de_datos[Hora fin]&gt;=$C19,base_de_datos[Materia]&amp;" "&amp;base_de_datos[[Número de grupo ]],""),""),""),""),"")</f>
        <v/>
      </c>
      <c r="O19" s="28" t="str" cm="1">
        <f t="array" ref="O19">_xlfn.TEXTJOIN(CHAR(10),TRUE,IF(Aula=base_de_datos[Aula],IF("x"=base_de_datos[Sábado],IF(base_de_datos[Hora inicio]&lt;=$B19,IF(base_de_datos[Hora fin]&gt;=$C19,base_de_datos[No clase],""),""),""),""),"")</f>
        <v/>
      </c>
    </row>
    <row r="20" spans="2:24" ht="14.5" x14ac:dyDescent="0.35">
      <c r="B20" s="92">
        <v>0.60416666666666696</v>
      </c>
      <c r="C20" s="92">
        <v>0.624999999999995</v>
      </c>
      <c r="D20" s="28" t="str" cm="1">
        <f t="array" ref="D20">_xlfn.TEXTJOIN(CHAR(10),TRUE,IF(Aula=base_de_datos[Aula],IF("x"=base_de_datos[Lunes],IF(base_de_datos[Hora inicio]&lt;=$B20,IF(base_de_datos[Hora fin]&gt;=$C20,base_de_datos[Materia]&amp;" "&amp;base_de_datos[[Número de grupo ]],""),""),""),""),"")</f>
        <v/>
      </c>
      <c r="E20" s="28" t="str" cm="1">
        <f t="array" ref="E20">_xlfn.TEXTJOIN(CHAR(10),TRUE,IF(Aula=base_de_datos[Aula],IF("x"=base_de_datos[Lunes],IF(base_de_datos[Hora inicio]&lt;=$B20,IF(base_de_datos[Hora fin]&gt;=$C20,base_de_datos[No clase],""),""),""),""),"")</f>
        <v/>
      </c>
      <c r="F20" s="28" t="str" cm="1">
        <f t="array" ref="F20">_xlfn.TEXTJOIN(CHAR(10),TRUE,IF(Aula=base_de_datos[Aula],IF("x"=base_de_datos[Martes],IF(base_de_datos[Hora inicio]&lt;=$B20,IF(base_de_datos[Hora fin]&gt;=$C20,base_de_datos[Materia]&amp;" "&amp;base_de_datos[[Número de grupo ]],""),""),""),""),"")</f>
        <v/>
      </c>
      <c r="G20" s="28" t="str" cm="1">
        <f t="array" ref="G20">_xlfn.TEXTJOIN(CHAR(10),TRUE,IF(Aula=base_de_datos[Aula],IF("x"=base_de_datos[Martes],IF(base_de_datos[Hora inicio]&lt;=$B20,IF(base_de_datos[Hora fin]&gt;=$C20,base_de_datos[No clase],""),""),""),""),"")</f>
        <v/>
      </c>
      <c r="H20" s="28" t="str" cm="1">
        <f t="array" ref="H20">_xlfn.TEXTJOIN(CHAR(10),TRUE,IF(Aula=base_de_datos[Aula],IF("x"=base_de_datos[Miércoles],IF(base_de_datos[Hora inicio]&lt;=$B20,IF(base_de_datos[Hora fin]&gt;=$C20,base_de_datos[Materia]&amp;" "&amp;base_de_datos[[Número de grupo ]],""),""),""),""),"")</f>
        <v/>
      </c>
      <c r="I20" s="28" t="str" cm="1">
        <f t="array" ref="I20">_xlfn.TEXTJOIN(CHAR(10),TRUE,IF(Aula=base_de_datos[Aula],IF("x"=base_de_datos[Miércoles],IF(base_de_datos[Hora inicio]&lt;=$B20,IF(base_de_datos[Hora fin]&gt;=$C20,base_de_datos[No clase],""),""),""),""),"")</f>
        <v/>
      </c>
      <c r="J20" s="28" t="str" cm="1">
        <f t="array" ref="J20">_xlfn.TEXTJOIN(CHAR(10),TRUE,IF(Aula=base_de_datos[Aula],IF("x"=base_de_datos[Jueves],IF(base_de_datos[Hora inicio]&lt;=$B20,IF(base_de_datos[Hora fin]&gt;=$C20,base_de_datos[Materia]&amp;" "&amp;base_de_datos[[Número de grupo ]],""),""),""),""),"")</f>
        <v/>
      </c>
      <c r="K20" s="28" t="str" cm="1">
        <f t="array" ref="K20">_xlfn.TEXTJOIN(CHAR(10),TRUE,IF(Aula=base_de_datos[Aula],IF("x"=base_de_datos[Jueves],IF(base_de_datos[Hora inicio]&lt;=$B20,IF(base_de_datos[Hora fin]&gt;=$C20,base_de_datos[No clase],""),""),""),""),"")</f>
        <v/>
      </c>
      <c r="L20" s="28" t="str" cm="1">
        <f t="array" ref="L20">_xlfn.TEXTJOIN(CHAR(10),TRUE,IF(Aula=base_de_datos[Aula],IF("x"=base_de_datos[Viernes],IF(base_de_datos[Hora inicio]&lt;=$B20,IF(base_de_datos[Hora fin]&gt;=$C20,base_de_datos[Materia]&amp;" "&amp;base_de_datos[[Número de grupo ]],""),""),""),""),"")</f>
        <v>Taller de metodología del diseño 1</v>
      </c>
      <c r="M20" s="28" t="str" cm="1">
        <f t="array" ref="M20">_xlfn.TEXTJOIN(CHAR(10),TRUE,IF(Aula=base_de_datos[Aula],IF("x"=base_de_datos[Viernes],IF(base_de_datos[Hora inicio]&lt;=$B20,IF(base_de_datos[Hora fin]&gt;=$C20,base_de_datos[No clase],""),""),""),""),"")</f>
        <v>1814</v>
      </c>
      <c r="N20" s="28" t="str" cm="1">
        <f t="array" ref="N20">_xlfn.TEXTJOIN(CHAR(10),TRUE,IF(Aula=base_de_datos[Aula],IF("x"=base_de_datos[Sábado],IF(base_de_datos[Hora inicio]&lt;=$B20,IF(base_de_datos[Hora fin]&gt;=$C20,base_de_datos[Materia]&amp;" "&amp;base_de_datos[[Número de grupo ]],""),""),""),""),"")</f>
        <v/>
      </c>
      <c r="O20" s="28" t="str" cm="1">
        <f t="array" ref="O20">_xlfn.TEXTJOIN(CHAR(10),TRUE,IF(Aula=base_de_datos[Aula],IF("x"=base_de_datos[Sábado],IF(base_de_datos[Hora inicio]&lt;=$B20,IF(base_de_datos[Hora fin]&gt;=$C20,base_de_datos[No clase],""),""),""),""),"")</f>
        <v/>
      </c>
    </row>
    <row r="21" spans="2:24" ht="14.5" x14ac:dyDescent="0.35">
      <c r="B21" s="92">
        <v>0.625</v>
      </c>
      <c r="C21" s="92">
        <v>0.64583333333332804</v>
      </c>
      <c r="D21" s="29" t="str" cm="1">
        <f t="array" ref="D21">_xlfn.TEXTJOIN(CHAR(10),TRUE,IF(Aula=base_de_datos[Aula],IF("x"=base_de_datos[Lunes],IF(base_de_datos[Hora inicio]&lt;=$B21,IF(base_de_datos[Hora fin]&gt;=$C21,base_de_datos[Materia]&amp;" "&amp;base_de_datos[[Número de grupo ]],""),""),""),""),"")</f>
        <v/>
      </c>
      <c r="E21" s="29" t="str" cm="1">
        <f t="array" ref="E21">_xlfn.TEXTJOIN(CHAR(10),TRUE,IF(Aula=base_de_datos[Aula],IF("x"=base_de_datos[Lunes],IF(base_de_datos[Hora inicio]&lt;=$B21,IF(base_de_datos[Hora fin]&gt;=$C21,base_de_datos[No clase],""),""),""),""),"")</f>
        <v/>
      </c>
      <c r="F21" s="28" t="str" cm="1">
        <f t="array" ref="F21">_xlfn.TEXTJOIN(CHAR(10),TRUE,IF(Aula=base_de_datos[Aula],IF("x"=base_de_datos[Martes],IF(base_de_datos[Hora inicio]&lt;=$B21,IF(base_de_datos[Hora fin]&gt;=$C21,base_de_datos[Materia]&amp;" "&amp;base_de_datos[[Número de grupo ]],""),""),""),""),"")</f>
        <v/>
      </c>
      <c r="G21" s="28" t="str" cm="1">
        <f t="array" ref="G21">_xlfn.TEXTJOIN(CHAR(10),TRUE,IF(Aula=base_de_datos[Aula],IF("x"=base_de_datos[Martes],IF(base_de_datos[Hora inicio]&lt;=$B21,IF(base_de_datos[Hora fin]&gt;=$C21,base_de_datos[No clase],""),""),""),""),"")</f>
        <v/>
      </c>
      <c r="H21" s="29" t="str" cm="1">
        <f t="array" ref="H21">_xlfn.TEXTJOIN(CHAR(10),TRUE,IF(Aula=base_de_datos[Aula],IF("x"=base_de_datos[Miércoles],IF(base_de_datos[Hora inicio]&lt;=$B21,IF(base_de_datos[Hora fin]&gt;=$C21,base_de_datos[Materia]&amp;" "&amp;base_de_datos[[Número de grupo ]],""),""),""),""),"")</f>
        <v/>
      </c>
      <c r="I21" s="29" t="str" cm="1">
        <f t="array" ref="I21">_xlfn.TEXTJOIN(CHAR(10),TRUE,IF(Aula=base_de_datos[Aula],IF("x"=base_de_datos[Miércoles],IF(base_de_datos[Hora inicio]&lt;=$B21,IF(base_de_datos[Hora fin]&gt;=$C21,base_de_datos[No clase],""),""),""),""),"")</f>
        <v/>
      </c>
      <c r="J21" s="28" t="str" cm="1">
        <f t="array" ref="J21">_xlfn.TEXTJOIN(CHAR(10),TRUE,IF(Aula=base_de_datos[Aula],IF("x"=base_de_datos[Jueves],IF(base_de_datos[Hora inicio]&lt;=$B21,IF(base_de_datos[Hora fin]&gt;=$C21,base_de_datos[Materia]&amp;" "&amp;base_de_datos[[Número de grupo ]],""),""),""),""),"")</f>
        <v/>
      </c>
      <c r="K21" s="28" t="str" cm="1">
        <f t="array" ref="K21">_xlfn.TEXTJOIN(CHAR(10),TRUE,IF(Aula=base_de_datos[Aula],IF("x"=base_de_datos[Jueves],IF(base_de_datos[Hora inicio]&lt;=$B21,IF(base_de_datos[Hora fin]&gt;=$C21,base_de_datos[No clase],""),""),""),""),"")</f>
        <v/>
      </c>
      <c r="L21" s="29" t="str" cm="1">
        <f t="array" ref="L21">_xlfn.TEXTJOIN(CHAR(10),TRUE,IF(Aula=base_de_datos[Aula],IF("x"=base_de_datos[Viernes],IF(base_de_datos[Hora inicio]&lt;=$B21,IF(base_de_datos[Hora fin]&gt;=$C21,base_de_datos[Materia]&amp;" "&amp;base_de_datos[[Número de grupo ]],""),""),""),""),"")</f>
        <v/>
      </c>
      <c r="M21" s="29" t="str" cm="1">
        <f t="array" ref="M21">_xlfn.TEXTJOIN(CHAR(10),TRUE,IF(Aula=base_de_datos[Aula],IF("x"=base_de_datos[Viernes],IF(base_de_datos[Hora inicio]&lt;=$B21,IF(base_de_datos[Hora fin]&gt;=$C21,base_de_datos[No clase],""),""),""),""),"")</f>
        <v/>
      </c>
      <c r="N21" s="28" t="str" cm="1">
        <f t="array" ref="N21">_xlfn.TEXTJOIN(CHAR(10),TRUE,IF(Aula=base_de_datos[Aula],IF("x"=base_de_datos[Sábado],IF(base_de_datos[Hora inicio]&lt;=$B21,IF(base_de_datos[Hora fin]&gt;=$C21,base_de_datos[Materia]&amp;" "&amp;base_de_datos[[Número de grupo ]],""),""),""),""),"")</f>
        <v/>
      </c>
      <c r="O21" s="28" t="str" cm="1">
        <f t="array" ref="O21">_xlfn.TEXTJOIN(CHAR(10),TRUE,IF(Aula=base_de_datos[Aula],IF("x"=base_de_datos[Sábado],IF(base_de_datos[Hora inicio]&lt;=$B21,IF(base_de_datos[Hora fin]&gt;=$C21,base_de_datos[No clase],""),""),""),""),"")</f>
        <v/>
      </c>
    </row>
    <row r="22" spans="2:24" ht="14.5" x14ac:dyDescent="0.35">
      <c r="B22" s="92">
        <v>0.64583333333333304</v>
      </c>
      <c r="C22" s="92">
        <v>0.66666666666666097</v>
      </c>
      <c r="D22" s="29" t="str" cm="1">
        <f t="array" ref="D22">_xlfn.TEXTJOIN(CHAR(10),TRUE,IF(Aula=base_de_datos[Aula],IF("x"=base_de_datos[Lunes],IF(base_de_datos[Hora inicio]&lt;=$B22,IF(base_de_datos[Hora fin]&gt;=$C22,base_de_datos[Materia]&amp;" "&amp;base_de_datos[[Número de grupo ]],""),""),""),""),"")</f>
        <v/>
      </c>
      <c r="E22" s="29" t="str" cm="1">
        <f t="array" ref="E22">_xlfn.TEXTJOIN(CHAR(10),TRUE,IF(Aula=base_de_datos[Aula],IF("x"=base_de_datos[Lunes],IF(base_de_datos[Hora inicio]&lt;=$B22,IF(base_de_datos[Hora fin]&gt;=$C22,base_de_datos[No clase],""),""),""),""),"")</f>
        <v/>
      </c>
      <c r="F22" s="28" t="str" cm="1">
        <f t="array" ref="F22">_xlfn.TEXTJOIN(CHAR(10),TRUE,IF(Aula=base_de_datos[Aula],IF("x"=base_de_datos[Martes],IF(base_de_datos[Hora inicio]&lt;=$B22,IF(base_de_datos[Hora fin]&gt;=$C22,base_de_datos[Materia]&amp;" "&amp;base_de_datos[[Número de grupo ]],""),""),""),""),"")</f>
        <v/>
      </c>
      <c r="G22" s="28" t="str" cm="1">
        <f t="array" ref="G22">_xlfn.TEXTJOIN(CHAR(10),TRUE,IF(Aula=base_de_datos[Aula],IF("x"=base_de_datos[Martes],IF(base_de_datos[Hora inicio]&lt;=$B22,IF(base_de_datos[Hora fin]&gt;=$C22,base_de_datos[No clase],""),""),""),""),"")</f>
        <v/>
      </c>
      <c r="H22" s="29" t="str" cm="1">
        <f t="array" ref="H22">_xlfn.TEXTJOIN(CHAR(10),TRUE,IF(Aula=base_de_datos[Aula],IF("x"=base_de_datos[Miércoles],IF(base_de_datos[Hora inicio]&lt;=$B22,IF(base_de_datos[Hora fin]&gt;=$C22,base_de_datos[Materia]&amp;" "&amp;base_de_datos[[Número de grupo ]],""),""),""),""),"")</f>
        <v/>
      </c>
      <c r="I22" s="29" t="str" cm="1">
        <f t="array" ref="I22">_xlfn.TEXTJOIN(CHAR(10),TRUE,IF(Aula=base_de_datos[Aula],IF("x"=base_de_datos[Miércoles],IF(base_de_datos[Hora inicio]&lt;=$B22,IF(base_de_datos[Hora fin]&gt;=$C22,base_de_datos[No clase],""),""),""),""),"")</f>
        <v/>
      </c>
      <c r="J22" s="28" t="str" cm="1">
        <f t="array" ref="J22">_xlfn.TEXTJOIN(CHAR(10),TRUE,IF(Aula=base_de_datos[Aula],IF("x"=base_de_datos[Jueves],IF(base_de_datos[Hora inicio]&lt;=$B22,IF(base_de_datos[Hora fin]&gt;=$C22,base_de_datos[Materia]&amp;" "&amp;base_de_datos[[Número de grupo ]],""),""),""),""),"")</f>
        <v/>
      </c>
      <c r="K22" s="28" t="str" cm="1">
        <f t="array" ref="K22">_xlfn.TEXTJOIN(CHAR(10),TRUE,IF(Aula=base_de_datos[Aula],IF("x"=base_de_datos[Jueves],IF(base_de_datos[Hora inicio]&lt;=$B22,IF(base_de_datos[Hora fin]&gt;=$C22,base_de_datos[No clase],""),""),""),""),"")</f>
        <v/>
      </c>
      <c r="L22" s="29" t="str" cm="1">
        <f t="array" ref="L22">_xlfn.TEXTJOIN(CHAR(10),TRUE,IF(Aula=base_de_datos[Aula],IF("x"=base_de_datos[Viernes],IF(base_de_datos[Hora inicio]&lt;=$B22,IF(base_de_datos[Hora fin]&gt;=$C22,base_de_datos[Materia]&amp;" "&amp;base_de_datos[[Número de grupo ]],""),""),""),""),"")</f>
        <v/>
      </c>
      <c r="M22" s="29" t="str" cm="1">
        <f t="array" ref="M22">_xlfn.TEXTJOIN(CHAR(10),TRUE,IF(Aula=base_de_datos[Aula],IF("x"=base_de_datos[Viernes],IF(base_de_datos[Hora inicio]&lt;=$B22,IF(base_de_datos[Hora fin]&gt;=$C22,base_de_datos[No clase],""),""),""),""),"")</f>
        <v/>
      </c>
      <c r="N22" s="28" t="str" cm="1">
        <f t="array" ref="N22">_xlfn.TEXTJOIN(CHAR(10),TRUE,IF(Aula=base_de_datos[Aula],IF("x"=base_de_datos[Sábado],IF(base_de_datos[Hora inicio]&lt;=$B22,IF(base_de_datos[Hora fin]&gt;=$C22,base_de_datos[Materia]&amp;" "&amp;base_de_datos[[Número de grupo ]],""),""),""),""),"")</f>
        <v/>
      </c>
      <c r="O22" s="28" t="str" cm="1">
        <f t="array" ref="O22">_xlfn.TEXTJOIN(CHAR(10),TRUE,IF(Aula=base_de_datos[Aula],IF("x"=base_de_datos[Sábado],IF(base_de_datos[Hora inicio]&lt;=$B22,IF(base_de_datos[Hora fin]&gt;=$C22,base_de_datos[No clase],""),""),""),""),"")</f>
        <v/>
      </c>
    </row>
    <row r="23" spans="2:24" ht="26" x14ac:dyDescent="0.35">
      <c r="B23" s="92">
        <v>0.66666666666666696</v>
      </c>
      <c r="C23" s="92">
        <v>0.687499999999994</v>
      </c>
      <c r="D23" s="29" t="str" cm="1">
        <f t="array" ref="D23">_xlfn.TEXTJOIN(CHAR(10),TRUE,IF(Aula=base_de_datos[Aula],IF("x"=base_de_datos[Lunes],IF(base_de_datos[Hora inicio]&lt;=$B23,IF(base_de_datos[Hora fin]&gt;=$C23,base_de_datos[Materia]&amp;" "&amp;base_de_datos[[Número de grupo ]],""),""),""),""),"")</f>
        <v/>
      </c>
      <c r="E23" s="29" t="str" cm="1">
        <f t="array" ref="E23">_xlfn.TEXTJOIN(CHAR(10),TRUE,IF(Aula=base_de_datos[Aula],IF("x"=base_de_datos[Lunes],IF(base_de_datos[Hora inicio]&lt;=$B23,IF(base_de_datos[Hora fin]&gt;=$C23,base_de_datos[No clase],""),""),""),""),"")</f>
        <v/>
      </c>
      <c r="F23" s="28" t="str" cm="1">
        <f t="array" ref="F23">_xlfn.TEXTJOIN(CHAR(10),TRUE,IF(Aula=base_de_datos[Aula],IF("x"=base_de_datos[Martes],IF(base_de_datos[Hora inicio]&lt;=$B23,IF(base_de_datos[Hora fin]&gt;=$C23,base_de_datos[Materia]&amp;" "&amp;base_de_datos[[Número de grupo ]],""),""),""),""),"")</f>
        <v/>
      </c>
      <c r="G23" s="28" t="str" cm="1">
        <f t="array" ref="G23">_xlfn.TEXTJOIN(CHAR(10),TRUE,IF(Aula=base_de_datos[Aula],IF("x"=base_de_datos[Martes],IF(base_de_datos[Hora inicio]&lt;=$B23,IF(base_de_datos[Hora fin]&gt;=$C23,base_de_datos[No clase],""),""),""),""),"")</f>
        <v/>
      </c>
      <c r="H23" s="29" t="str" cm="1">
        <f t="array" ref="H23">_xlfn.TEXTJOIN(CHAR(10),TRUE,IF(Aula=base_de_datos[Aula],IF("x"=base_de_datos[Miércoles],IF(base_de_datos[Hora inicio]&lt;=$B23,IF(base_de_datos[Hora fin]&gt;=$C23,base_de_datos[Materia]&amp;" "&amp;base_de_datos[[Número de grupo ]],""),""),""),""),"")</f>
        <v/>
      </c>
      <c r="I23" s="29" t="str" cm="1">
        <f t="array" ref="I23">_xlfn.TEXTJOIN(CHAR(10),TRUE,IF(Aula=base_de_datos[Aula],IF("x"=base_de_datos[Miércoles],IF(base_de_datos[Hora inicio]&lt;=$B23,IF(base_de_datos[Hora fin]&gt;=$C23,base_de_datos[No clase],""),""),""),""),"")</f>
        <v/>
      </c>
      <c r="J23" s="28" t="str" cm="1">
        <f t="array" ref="J23">_xlfn.TEXTJOIN(CHAR(10),TRUE,IF(Aula=base_de_datos[Aula],IF("x"=base_de_datos[Jueves],IF(base_de_datos[Hora inicio]&lt;=$B23,IF(base_de_datos[Hora fin]&gt;=$C23,base_de_datos[Materia]&amp;" "&amp;base_de_datos[[Número de grupo ]],""),""),""),""),"")</f>
        <v/>
      </c>
      <c r="K23" s="28" t="str" cm="1">
        <f t="array" ref="K23">_xlfn.TEXTJOIN(CHAR(10),TRUE,IF(Aula=base_de_datos[Aula],IF("x"=base_de_datos[Jueves],IF(base_de_datos[Hora inicio]&lt;=$B23,IF(base_de_datos[Hora fin]&gt;=$C23,base_de_datos[No clase],""),""),""),""),"")</f>
        <v/>
      </c>
      <c r="L23" s="28" t="str" cm="1">
        <f t="array" ref="L23">_xlfn.TEXTJOIN(CHAR(10),TRUE,IF(Aula=base_de_datos[Aula],IF("x"=base_de_datos[Viernes],IF(base_de_datos[Hora inicio]&lt;=$B23,IF(base_de_datos[Hora fin]&gt;=$C23,base_de_datos[Materia]&amp;" "&amp;base_de_datos[[Número de grupo ]],""),""),""),""),"")</f>
        <v>Procesos de manufactura 2</v>
      </c>
      <c r="M23" s="28" t="str" cm="1">
        <f t="array" ref="M23">_xlfn.TEXTJOIN(CHAR(10),TRUE,IF(Aula=base_de_datos[Aula],IF("x"=base_de_datos[Viernes],IF(base_de_datos[Hora inicio]&lt;=$B23,IF(base_de_datos[Hora fin]&gt;=$C23,base_de_datos[No clase],""),""),""),""),"")</f>
        <v>1842/ 1874, 1878</v>
      </c>
      <c r="N23" s="28" t="str" cm="1">
        <f t="array" ref="N23">_xlfn.TEXTJOIN(CHAR(10),TRUE,IF(Aula=base_de_datos[Aula],IF("x"=base_de_datos[Sábado],IF(base_de_datos[Hora inicio]&lt;=$B23,IF(base_de_datos[Hora fin]&gt;=$C23,base_de_datos[Materia]&amp;" "&amp;base_de_datos[[Número de grupo ]],""),""),""),""),"")</f>
        <v/>
      </c>
      <c r="O23" s="28" t="str" cm="1">
        <f t="array" ref="O23">_xlfn.TEXTJOIN(CHAR(10),TRUE,IF(Aula=base_de_datos[Aula],IF("x"=base_de_datos[Sábado],IF(base_de_datos[Hora inicio]&lt;=$B23,IF(base_de_datos[Hora fin]&gt;=$C23,base_de_datos[No clase],""),""),""),""),"")</f>
        <v/>
      </c>
    </row>
    <row r="24" spans="2:24" ht="26" x14ac:dyDescent="0.35">
      <c r="B24" s="92">
        <v>0.6875</v>
      </c>
      <c r="C24" s="92">
        <v>0.70833333333332704</v>
      </c>
      <c r="D24" s="29" t="str" cm="1">
        <f t="array" ref="D24">_xlfn.TEXTJOIN(CHAR(10),TRUE,IF(Aula=base_de_datos[Aula],IF("x"=base_de_datos[Lunes],IF(base_de_datos[Hora inicio]&lt;=$B24,IF(base_de_datos[Hora fin]&gt;=$C24,base_de_datos[Materia]&amp;" "&amp;base_de_datos[[Número de grupo ]],""),""),""),""),"")</f>
        <v/>
      </c>
      <c r="E24" s="29" t="str" cm="1">
        <f t="array" ref="E24">_xlfn.TEXTJOIN(CHAR(10),TRUE,IF(Aula=base_de_datos[Aula],IF("x"=base_de_datos[Lunes],IF(base_de_datos[Hora inicio]&lt;=$B24,IF(base_de_datos[Hora fin]&gt;=$C24,base_de_datos[No clase],""),""),""),""),"")</f>
        <v/>
      </c>
      <c r="F24" s="28" t="str" cm="1">
        <f t="array" ref="F24">_xlfn.TEXTJOIN(CHAR(10),TRUE,IF(Aula=base_de_datos[Aula],IF("x"=base_de_datos[Martes],IF(base_de_datos[Hora inicio]&lt;=$B24,IF(base_de_datos[Hora fin]&gt;=$C24,base_de_datos[Materia]&amp;" "&amp;base_de_datos[[Número de grupo ]],""),""),""),""),"")</f>
        <v>Taller avanzado de ingeniería para el diseño 1</v>
      </c>
      <c r="G24" s="28" t="str" cm="1">
        <f t="array" ref="G24">_xlfn.TEXTJOIN(CHAR(10),TRUE,IF(Aula=base_de_datos[Aula],IF("x"=base_de_datos[Martes],IF(base_de_datos[Hora inicio]&lt;=$B24,IF(base_de_datos[Hora fin]&gt;=$C24,base_de_datos[No clase],""),""),""),""),"")</f>
        <v>1907</v>
      </c>
      <c r="H24" s="29" t="str" cm="1">
        <f t="array" ref="H24">_xlfn.TEXTJOIN(CHAR(10),TRUE,IF(Aula=base_de_datos[Aula],IF("x"=base_de_datos[Miércoles],IF(base_de_datos[Hora inicio]&lt;=$B24,IF(base_de_datos[Hora fin]&gt;=$C24,base_de_datos[Materia]&amp;" "&amp;base_de_datos[[Número de grupo ]],""),""),""),""),"")</f>
        <v/>
      </c>
      <c r="I24" s="29" t="str" cm="1">
        <f t="array" ref="I24">_xlfn.TEXTJOIN(CHAR(10),TRUE,IF(Aula=base_de_datos[Aula],IF("x"=base_de_datos[Miércoles],IF(base_de_datos[Hora inicio]&lt;=$B24,IF(base_de_datos[Hora fin]&gt;=$C24,base_de_datos[No clase],""),""),""),""),"")</f>
        <v/>
      </c>
      <c r="J24" s="28" t="str" cm="1">
        <f t="array" ref="J24">_xlfn.TEXTJOIN(CHAR(10),TRUE,IF(Aula=base_de_datos[Aula],IF("x"=base_de_datos[Jueves],IF(base_de_datos[Hora inicio]&lt;=$B24,IF(base_de_datos[Hora fin]&gt;=$C24,base_de_datos[Materia]&amp;" "&amp;base_de_datos[[Número de grupo ]],""),""),""),""),"")</f>
        <v>Taller avanzado de ingeniería para el diseño 1</v>
      </c>
      <c r="K24" s="28" t="str" cm="1">
        <f t="array" ref="K24">_xlfn.TEXTJOIN(CHAR(10),TRUE,IF(Aula=base_de_datos[Aula],IF("x"=base_de_datos[Jueves],IF(base_de_datos[Hora inicio]&lt;=$B24,IF(base_de_datos[Hora fin]&gt;=$C24,base_de_datos[No clase],""),""),""),""),"")</f>
        <v>1907</v>
      </c>
      <c r="L24" s="28" t="str" cm="1">
        <f t="array" ref="L24">_xlfn.TEXTJOIN(CHAR(10),TRUE,IF(Aula=base_de_datos[Aula],IF("x"=base_de_datos[Viernes],IF(base_de_datos[Hora inicio]&lt;=$B24,IF(base_de_datos[Hora fin]&gt;=$C24,base_de_datos[Materia]&amp;" "&amp;base_de_datos[[Número de grupo ]],""),""),""),""),"")</f>
        <v>Procesos de manufactura 2</v>
      </c>
      <c r="M24" s="28" t="str" cm="1">
        <f t="array" ref="M24">_xlfn.TEXTJOIN(CHAR(10),TRUE,IF(Aula=base_de_datos[Aula],IF("x"=base_de_datos[Viernes],IF(base_de_datos[Hora inicio]&lt;=$B24,IF(base_de_datos[Hora fin]&gt;=$C24,base_de_datos[No clase],""),""),""),""),"")</f>
        <v>1842/ 1874, 1878</v>
      </c>
      <c r="N24" s="28" t="str" cm="1">
        <f t="array" ref="N24">_xlfn.TEXTJOIN(CHAR(10),TRUE,IF(Aula=base_de_datos[Aula],IF("x"=base_de_datos[Sábado],IF(base_de_datos[Hora inicio]&lt;=$B24,IF(base_de_datos[Hora fin]&gt;=$C24,base_de_datos[Materia]&amp;" "&amp;base_de_datos[[Número de grupo ]],""),""),""),""),"")</f>
        <v/>
      </c>
      <c r="O24" s="28" t="str" cm="1">
        <f t="array" ref="O24">_xlfn.TEXTJOIN(CHAR(10),TRUE,IF(Aula=base_de_datos[Aula],IF("x"=base_de_datos[Sábado],IF(base_de_datos[Hora inicio]&lt;=$B24,IF(base_de_datos[Hora fin]&gt;=$C24,base_de_datos[No clase],""),""),""),""),"")</f>
        <v/>
      </c>
    </row>
    <row r="25" spans="2:24" ht="26" x14ac:dyDescent="0.35">
      <c r="B25" s="92">
        <v>0.70833333333333304</v>
      </c>
      <c r="C25" s="92">
        <v>0.72916666666665997</v>
      </c>
      <c r="D25" s="28" t="str" cm="1">
        <f t="array" ref="D25">_xlfn.TEXTJOIN(CHAR(10),TRUE,IF(Aula=base_de_datos[Aula],IF("x"=base_de_datos[Lunes],IF(base_de_datos[Hora inicio]&lt;=$B25,IF(base_de_datos[Hora fin]&gt;=$C25,base_de_datos[Materia]&amp;" "&amp;base_de_datos[[Número de grupo ]],""),""),""),""),"")</f>
        <v/>
      </c>
      <c r="E25" s="28" t="str" cm="1">
        <f t="array" ref="E25">_xlfn.TEXTJOIN(CHAR(10),TRUE,IF(Aula=base_de_datos[Aula],IF("x"=base_de_datos[Lunes],IF(base_de_datos[Hora inicio]&lt;=$B25,IF(base_de_datos[Hora fin]&gt;=$C25,base_de_datos[No clase],""),""),""),""),"")</f>
        <v/>
      </c>
      <c r="F25" s="28" t="str" cm="1">
        <f t="array" ref="F25">_xlfn.TEXTJOIN(CHAR(10),TRUE,IF(Aula=base_de_datos[Aula],IF("x"=base_de_datos[Martes],IF(base_de_datos[Hora inicio]&lt;=$B25,IF(base_de_datos[Hora fin]&gt;=$C25,base_de_datos[Materia]&amp;" "&amp;base_de_datos[[Número de grupo ]],""),""),""),""),"")</f>
        <v>Taller avanzado de ingeniería para el diseño 1</v>
      </c>
      <c r="G25" s="28" t="str" cm="1">
        <f t="array" ref="G25">_xlfn.TEXTJOIN(CHAR(10),TRUE,IF(Aula=base_de_datos[Aula],IF("x"=base_de_datos[Martes],IF(base_de_datos[Hora inicio]&lt;=$B25,IF(base_de_datos[Hora fin]&gt;=$C25,base_de_datos[No clase],""),""),""),""),"")</f>
        <v>1907</v>
      </c>
      <c r="H25" s="28" t="str" cm="1">
        <f t="array" ref="H25">_xlfn.TEXTJOIN(CHAR(10),TRUE,IF(Aula=base_de_datos[Aula],IF("x"=base_de_datos[Miércoles],IF(base_de_datos[Hora inicio]&lt;=$B25,IF(base_de_datos[Hora fin]&gt;=$C25,base_de_datos[Materia]&amp;" "&amp;base_de_datos[[Número de grupo ]],""),""),""),""),"")</f>
        <v/>
      </c>
      <c r="I25" s="28" t="str" cm="1">
        <f t="array" ref="I25">_xlfn.TEXTJOIN(CHAR(10),TRUE,IF(Aula=base_de_datos[Aula],IF("x"=base_de_datos[Miércoles],IF(base_de_datos[Hora inicio]&lt;=$B25,IF(base_de_datos[Hora fin]&gt;=$C25,base_de_datos[No clase],""),""),""),""),"")</f>
        <v/>
      </c>
      <c r="J25" s="28" t="str" cm="1">
        <f t="array" ref="J25">_xlfn.TEXTJOIN(CHAR(10),TRUE,IF(Aula=base_de_datos[Aula],IF("x"=base_de_datos[Jueves],IF(base_de_datos[Hora inicio]&lt;=$B25,IF(base_de_datos[Hora fin]&gt;=$C25,base_de_datos[Materia]&amp;" "&amp;base_de_datos[[Número de grupo ]],""),""),""),""),"")</f>
        <v>Taller avanzado de ingeniería para el diseño 1</v>
      </c>
      <c r="K25" s="28" t="str" cm="1">
        <f t="array" ref="K25">_xlfn.TEXTJOIN(CHAR(10),TRUE,IF(Aula=base_de_datos[Aula],IF("x"=base_de_datos[Jueves],IF(base_de_datos[Hora inicio]&lt;=$B25,IF(base_de_datos[Hora fin]&gt;=$C25,base_de_datos[No clase],""),""),""),""),"")</f>
        <v>1907</v>
      </c>
      <c r="L25" s="28" t="str" cm="1">
        <f t="array" ref="L25">_xlfn.TEXTJOIN(CHAR(10),TRUE,IF(Aula=base_de_datos[Aula],IF("x"=base_de_datos[Viernes],IF(base_de_datos[Hora inicio]&lt;=$B25,IF(base_de_datos[Hora fin]&gt;=$C25,base_de_datos[Materia]&amp;" "&amp;base_de_datos[[Número de grupo ]],""),""),""),""),"")</f>
        <v>Procesos de manufactura 2</v>
      </c>
      <c r="M25" s="28" t="str" cm="1">
        <f t="array" ref="M25">_xlfn.TEXTJOIN(CHAR(10),TRUE,IF(Aula=base_de_datos[Aula],IF("x"=base_de_datos[Viernes],IF(base_de_datos[Hora inicio]&lt;=$B25,IF(base_de_datos[Hora fin]&gt;=$C25,base_de_datos[No clase],""),""),""),""),"")</f>
        <v>1842/ 1874, 1878</v>
      </c>
      <c r="N25" s="28" t="str" cm="1">
        <f t="array" ref="N25">_xlfn.TEXTJOIN(CHAR(10),TRUE,IF(Aula=base_de_datos[Aula],IF("x"=base_de_datos[Sábado],IF(base_de_datos[Hora inicio]&lt;=$B25,IF(base_de_datos[Hora fin]&gt;=$C25,base_de_datos[Materia]&amp;" "&amp;base_de_datos[[Número de grupo ]],""),""),""),""),"")</f>
        <v/>
      </c>
      <c r="O25" s="28" t="str" cm="1">
        <f t="array" ref="O25">_xlfn.TEXTJOIN(CHAR(10),TRUE,IF(Aula=base_de_datos[Aula],IF("x"=base_de_datos[Sábado],IF(base_de_datos[Hora inicio]&lt;=$B25,IF(base_de_datos[Hora fin]&gt;=$C25,base_de_datos[No clase],""),""),""),""),"")</f>
        <v/>
      </c>
    </row>
    <row r="26" spans="2:24" ht="26" x14ac:dyDescent="0.35">
      <c r="B26" s="92">
        <v>0.72916666666666696</v>
      </c>
      <c r="C26" s="92">
        <v>0.74999999999999301</v>
      </c>
      <c r="D26" s="28" t="str" cm="1">
        <f t="array" ref="D26">_xlfn.TEXTJOIN(CHAR(10),TRUE,IF(Aula=base_de_datos[Aula],IF("x"=base_de_datos[Lunes],IF(base_de_datos[Hora inicio]&lt;=$B26,IF(base_de_datos[Hora fin]&gt;=$C26,base_de_datos[Materia]&amp;" "&amp;base_de_datos[[Número de grupo ]],""),""),""),""),"")</f>
        <v/>
      </c>
      <c r="E26" s="28" t="str" cm="1">
        <f t="array" ref="E26">_xlfn.TEXTJOIN(CHAR(10),TRUE,IF(Aula=base_de_datos[Aula],IF("x"=base_de_datos[Lunes],IF(base_de_datos[Hora inicio]&lt;=$B26,IF(base_de_datos[Hora fin]&gt;=$C26,base_de_datos[No clase],""),""),""),""),"")</f>
        <v/>
      </c>
      <c r="F26" s="28" t="str" cm="1">
        <f t="array" ref="F26">_xlfn.TEXTJOIN(CHAR(10),TRUE,IF(Aula=base_de_datos[Aula],IF("x"=base_de_datos[Martes],IF(base_de_datos[Hora inicio]&lt;=$B26,IF(base_de_datos[Hora fin]&gt;=$C26,base_de_datos[Materia]&amp;" "&amp;base_de_datos[[Número de grupo ]],""),""),""),""),"")</f>
        <v>Taller avanzado de ingeniería para el diseño 1</v>
      </c>
      <c r="G26" s="28" t="str" cm="1">
        <f t="array" ref="G26">_xlfn.TEXTJOIN(CHAR(10),TRUE,IF(Aula=base_de_datos[Aula],IF("x"=base_de_datos[Martes],IF(base_de_datos[Hora inicio]&lt;=$B26,IF(base_de_datos[Hora fin]&gt;=$C26,base_de_datos[No clase],""),""),""),""),"")</f>
        <v>1907</v>
      </c>
      <c r="H26" s="28" t="str" cm="1">
        <f t="array" ref="H26">_xlfn.TEXTJOIN(CHAR(10),TRUE,IF(Aula=base_de_datos[Aula],IF("x"=base_de_datos[Miércoles],IF(base_de_datos[Hora inicio]&lt;=$B26,IF(base_de_datos[Hora fin]&gt;=$C26,base_de_datos[Materia]&amp;" "&amp;base_de_datos[[Número de grupo ]],""),""),""),""),"")</f>
        <v/>
      </c>
      <c r="I26" s="28" t="str" cm="1">
        <f t="array" ref="I26">_xlfn.TEXTJOIN(CHAR(10),TRUE,IF(Aula=base_de_datos[Aula],IF("x"=base_de_datos[Miércoles],IF(base_de_datos[Hora inicio]&lt;=$B26,IF(base_de_datos[Hora fin]&gt;=$C26,base_de_datos[No clase],""),""),""),""),"")</f>
        <v/>
      </c>
      <c r="J26" s="28" t="str" cm="1">
        <f t="array" ref="J26">_xlfn.TEXTJOIN(CHAR(10),TRUE,IF(Aula=base_de_datos[Aula],IF("x"=base_de_datos[Jueves],IF(base_de_datos[Hora inicio]&lt;=$B26,IF(base_de_datos[Hora fin]&gt;=$C26,base_de_datos[Materia]&amp;" "&amp;base_de_datos[[Número de grupo ]],""),""),""),""),"")</f>
        <v>Taller avanzado de ingeniería para el diseño 1</v>
      </c>
      <c r="K26" s="28" t="str" cm="1">
        <f t="array" ref="K26">_xlfn.TEXTJOIN(CHAR(10),TRUE,IF(Aula=base_de_datos[Aula],IF("x"=base_de_datos[Jueves],IF(base_de_datos[Hora inicio]&lt;=$B26,IF(base_de_datos[Hora fin]&gt;=$C26,base_de_datos[No clase],""),""),""),""),"")</f>
        <v>1907</v>
      </c>
      <c r="L26" s="28" t="str" cm="1">
        <f t="array" ref="L26">_xlfn.TEXTJOIN(CHAR(10),TRUE,IF(Aula=base_de_datos[Aula],IF("x"=base_de_datos[Viernes],IF(base_de_datos[Hora inicio]&lt;=$B26,IF(base_de_datos[Hora fin]&gt;=$C26,base_de_datos[Materia]&amp;" "&amp;base_de_datos[[Número de grupo ]],""),""),""),""),"")</f>
        <v>Procesos de manufactura 2</v>
      </c>
      <c r="M26" s="28" t="str" cm="1">
        <f t="array" ref="M26">_xlfn.TEXTJOIN(CHAR(10),TRUE,IF(Aula=base_de_datos[Aula],IF("x"=base_de_datos[Viernes],IF(base_de_datos[Hora inicio]&lt;=$B26,IF(base_de_datos[Hora fin]&gt;=$C26,base_de_datos[No clase],""),""),""),""),"")</f>
        <v>1842/ 1874, 1878</v>
      </c>
      <c r="N26" s="28" t="str" cm="1">
        <f t="array" ref="N26">_xlfn.TEXTJOIN(CHAR(10),TRUE,IF(Aula=base_de_datos[Aula],IF("x"=base_de_datos[Sábado],IF(base_de_datos[Hora inicio]&lt;=$B26,IF(base_de_datos[Hora fin]&gt;=$C26,base_de_datos[Materia]&amp;" "&amp;base_de_datos[[Número de grupo ]],""),""),""),""),"")</f>
        <v/>
      </c>
      <c r="O26" s="28" t="str" cm="1">
        <f t="array" ref="O26">_xlfn.TEXTJOIN(CHAR(10),TRUE,IF(Aula=base_de_datos[Aula],IF("x"=base_de_datos[Sábado],IF(base_de_datos[Hora inicio]&lt;=$B26,IF(base_de_datos[Hora fin]&gt;=$C26,base_de_datos[No clase],""),""),""),""),"")</f>
        <v/>
      </c>
    </row>
    <row r="27" spans="2:24" ht="26" x14ac:dyDescent="0.35">
      <c r="B27" s="92">
        <v>0.75</v>
      </c>
      <c r="C27" s="92">
        <v>0.77083333333332604</v>
      </c>
      <c r="D27" s="28" t="str" cm="1">
        <f t="array" ref="D27">_xlfn.TEXTJOIN(CHAR(10),TRUE,IF(Aula=base_de_datos[Aula],IF("x"=base_de_datos[Lunes],IF(base_de_datos[Hora inicio]&lt;=$B27,IF(base_de_datos[Hora fin]&gt;=$C27,base_de_datos[Materia]&amp;" "&amp;base_de_datos[[Número de grupo ]],""),""),""),""),"")</f>
        <v/>
      </c>
      <c r="E27" s="28" t="str" cm="1">
        <f t="array" ref="E27">_xlfn.TEXTJOIN(CHAR(10),TRUE,IF(Aula=base_de_datos[Aula],IF("x"=base_de_datos[Lunes],IF(base_de_datos[Hora inicio]&lt;=$B27,IF(base_de_datos[Hora fin]&gt;=$C27,base_de_datos[No clase],""),""),""),""),"")</f>
        <v/>
      </c>
      <c r="F27" s="28" t="str" cm="1">
        <f t="array" ref="F27">_xlfn.TEXTJOIN(CHAR(10),TRUE,IF(Aula=base_de_datos[Aula],IF("x"=base_de_datos[Martes],IF(base_de_datos[Hora inicio]&lt;=$B27,IF(base_de_datos[Hora fin]&gt;=$C27,base_de_datos[Materia]&amp;" "&amp;base_de_datos[[Número de grupo ]],""),""),""),""),"")</f>
        <v>Taller avanzado de ingeniería para el diseño 1</v>
      </c>
      <c r="G27" s="28" t="str" cm="1">
        <f t="array" ref="G27">_xlfn.TEXTJOIN(CHAR(10),TRUE,IF(Aula=base_de_datos[Aula],IF("x"=base_de_datos[Martes],IF(base_de_datos[Hora inicio]&lt;=$B27,IF(base_de_datos[Hora fin]&gt;=$C27,base_de_datos[No clase],""),""),""),""),"")</f>
        <v>1907</v>
      </c>
      <c r="H27" s="28" t="str" cm="1">
        <f t="array" ref="H27">_xlfn.TEXTJOIN(CHAR(10),TRUE,IF(Aula=base_de_datos[Aula],IF("x"=base_de_datos[Miércoles],IF(base_de_datos[Hora inicio]&lt;=$B27,IF(base_de_datos[Hora fin]&gt;=$C27,base_de_datos[Materia]&amp;" "&amp;base_de_datos[[Número de grupo ]],""),""),""),""),"")</f>
        <v/>
      </c>
      <c r="I27" s="28" t="str" cm="1">
        <f t="array" ref="I27">_xlfn.TEXTJOIN(CHAR(10),TRUE,IF(Aula=base_de_datos[Aula],IF("x"=base_de_datos[Miércoles],IF(base_de_datos[Hora inicio]&lt;=$B27,IF(base_de_datos[Hora fin]&gt;=$C27,base_de_datos[No clase],""),""),""),""),"")</f>
        <v/>
      </c>
      <c r="J27" s="28" t="str" cm="1">
        <f t="array" ref="J27">_xlfn.TEXTJOIN(CHAR(10),TRUE,IF(Aula=base_de_datos[Aula],IF("x"=base_de_datos[Jueves],IF(base_de_datos[Hora inicio]&lt;=$B27,IF(base_de_datos[Hora fin]&gt;=$C27,base_de_datos[Materia]&amp;" "&amp;base_de_datos[[Número de grupo ]],""),""),""),""),"")</f>
        <v>Taller avanzado de ingeniería para el diseño 1</v>
      </c>
      <c r="K27" s="28" t="str" cm="1">
        <f t="array" ref="K27">_xlfn.TEXTJOIN(CHAR(10),TRUE,IF(Aula=base_de_datos[Aula],IF("x"=base_de_datos[Jueves],IF(base_de_datos[Hora inicio]&lt;=$B27,IF(base_de_datos[Hora fin]&gt;=$C27,base_de_datos[No clase],""),""),""),""),"")</f>
        <v>1907</v>
      </c>
      <c r="L27" s="28" t="str" cm="1">
        <f t="array" ref="L27">_xlfn.TEXTJOIN(CHAR(10),TRUE,IF(Aula=base_de_datos[Aula],IF("x"=base_de_datos[Viernes],IF(base_de_datos[Hora inicio]&lt;=$B27,IF(base_de_datos[Hora fin]&gt;=$C27,base_de_datos[Materia]&amp;" "&amp;base_de_datos[[Número de grupo ]],""),""),""),""),"")</f>
        <v>Administración de operaciones 2</v>
      </c>
      <c r="M27" s="28" t="str" cm="1">
        <f t="array" ref="M27">_xlfn.TEXTJOIN(CHAR(10),TRUE,IF(Aula=base_de_datos[Aula],IF("x"=base_de_datos[Viernes],IF(base_de_datos[Hora inicio]&lt;=$B27,IF(base_de_datos[Hora fin]&gt;=$C27,base_de_datos[No clase],""),""),""),""),"")</f>
        <v>4161 (6IM)</v>
      </c>
      <c r="N27" s="28" t="str" cm="1">
        <f t="array" ref="N27">_xlfn.TEXTJOIN(CHAR(10),TRUE,IF(Aula=base_de_datos[Aula],IF("x"=base_de_datos[Sábado],IF(base_de_datos[Hora inicio]&lt;=$B27,IF(base_de_datos[Hora fin]&gt;=$C27,base_de_datos[Materia]&amp;" "&amp;base_de_datos[[Número de grupo ]],""),""),""),""),"")</f>
        <v/>
      </c>
      <c r="O27" s="28" t="str" cm="1">
        <f t="array" ref="O27">_xlfn.TEXTJOIN(CHAR(10),TRUE,IF(Aula=base_de_datos[Aula],IF("x"=base_de_datos[Sábado],IF(base_de_datos[Hora inicio]&lt;=$B27,IF(base_de_datos[Hora fin]&gt;=$C27,base_de_datos[No clase],""),""),""),""),"")</f>
        <v/>
      </c>
    </row>
    <row r="28" spans="2:24" ht="26" x14ac:dyDescent="0.35">
      <c r="B28" s="92">
        <v>0.77083333333333304</v>
      </c>
      <c r="C28" s="92">
        <v>0.79166666666665897</v>
      </c>
      <c r="D28" s="28" t="str" cm="1">
        <f t="array" ref="D28">_xlfn.TEXTJOIN(CHAR(10),TRUE,IF(Aula=base_de_datos[Aula],IF("x"=base_de_datos[Lunes],IF(base_de_datos[Hora inicio]&lt;=$B28,IF(base_de_datos[Hora fin]&gt;=$C28,base_de_datos[Materia]&amp;" "&amp;base_de_datos[[Número de grupo ]],""),""),""),""),"")</f>
        <v/>
      </c>
      <c r="E28" s="28" t="str" cm="1">
        <f t="array" ref="E28">_xlfn.TEXTJOIN(CHAR(10),TRUE,IF(Aula=base_de_datos[Aula],IF("x"=base_de_datos[Lunes],IF(base_de_datos[Hora inicio]&lt;=$B28,IF(base_de_datos[Hora fin]&gt;=$C28,base_de_datos[No clase],""),""),""),""),"")</f>
        <v/>
      </c>
      <c r="F28" s="28" t="str" cm="1">
        <f t="array" ref="F28">_xlfn.TEXTJOIN(CHAR(10),TRUE,IF(Aula=base_de_datos[Aula],IF("x"=base_de_datos[Martes],IF(base_de_datos[Hora inicio]&lt;=$B28,IF(base_de_datos[Hora fin]&gt;=$C28,base_de_datos[Materia]&amp;" "&amp;base_de_datos[[Número de grupo ]],""),""),""),""),"")</f>
        <v>Taller avanzado de ingeniería para el diseño 1</v>
      </c>
      <c r="G28" s="28" t="str" cm="1">
        <f t="array" ref="G28">_xlfn.TEXTJOIN(CHAR(10),TRUE,IF(Aula=base_de_datos[Aula],IF("x"=base_de_datos[Martes],IF(base_de_datos[Hora inicio]&lt;=$B28,IF(base_de_datos[Hora fin]&gt;=$C28,base_de_datos[No clase],""),""),""),""),"")</f>
        <v>1907</v>
      </c>
      <c r="H28" s="28" t="str" cm="1">
        <f t="array" ref="H28">_xlfn.TEXTJOIN(CHAR(10),TRUE,IF(Aula=base_de_datos[Aula],IF("x"=base_de_datos[Miércoles],IF(base_de_datos[Hora inicio]&lt;=$B28,IF(base_de_datos[Hora fin]&gt;=$C28,base_de_datos[Materia]&amp;" "&amp;base_de_datos[[Número de grupo ]],""),""),""),""),"")</f>
        <v/>
      </c>
      <c r="I28" s="28" t="str" cm="1">
        <f t="array" ref="I28">_xlfn.TEXTJOIN(CHAR(10),TRUE,IF(Aula=base_de_datos[Aula],IF("x"=base_de_datos[Miércoles],IF(base_de_datos[Hora inicio]&lt;=$B28,IF(base_de_datos[Hora fin]&gt;=$C28,base_de_datos[No clase],""),""),""),""),"")</f>
        <v/>
      </c>
      <c r="J28" s="28" t="str" cm="1">
        <f t="array" ref="J28">_xlfn.TEXTJOIN(CHAR(10),TRUE,IF(Aula=base_de_datos[Aula],IF("x"=base_de_datos[Jueves],IF(base_de_datos[Hora inicio]&lt;=$B28,IF(base_de_datos[Hora fin]&gt;=$C28,base_de_datos[Materia]&amp;" "&amp;base_de_datos[[Número de grupo ]],""),""),""),""),"")</f>
        <v>Taller avanzado de ingeniería para el diseño 1</v>
      </c>
      <c r="K28" s="28" t="str" cm="1">
        <f t="array" ref="K28">_xlfn.TEXTJOIN(CHAR(10),TRUE,IF(Aula=base_de_datos[Aula],IF("x"=base_de_datos[Jueves],IF(base_de_datos[Hora inicio]&lt;=$B28,IF(base_de_datos[Hora fin]&gt;=$C28,base_de_datos[No clase],""),""),""),""),"")</f>
        <v>1907</v>
      </c>
      <c r="L28" s="28" t="str" cm="1">
        <f t="array" ref="L28">_xlfn.TEXTJOIN(CHAR(10),TRUE,IF(Aula=base_de_datos[Aula],IF("x"=base_de_datos[Viernes],IF(base_de_datos[Hora inicio]&lt;=$B28,IF(base_de_datos[Hora fin]&gt;=$C28,base_de_datos[Materia]&amp;" "&amp;base_de_datos[[Número de grupo ]],""),""),""),""),"")</f>
        <v>Administración de operaciones 2</v>
      </c>
      <c r="M28" s="28" t="str" cm="1">
        <f t="array" ref="M28">_xlfn.TEXTJOIN(CHAR(10),TRUE,IF(Aula=base_de_datos[Aula],IF("x"=base_de_datos[Viernes],IF(base_de_datos[Hora inicio]&lt;=$B28,IF(base_de_datos[Hora fin]&gt;=$C28,base_de_datos[No clase],""),""),""),""),"")</f>
        <v>4161 (6IM)</v>
      </c>
      <c r="N28" s="28" t="str" cm="1">
        <f t="array" ref="N28">_xlfn.TEXTJOIN(CHAR(10),TRUE,IF(Aula=base_de_datos[Aula],IF("x"=base_de_datos[Sábado],IF(base_de_datos[Hora inicio]&lt;=$B28,IF(base_de_datos[Hora fin]&gt;=$C28,base_de_datos[Materia]&amp;" "&amp;base_de_datos[[Número de grupo ]],""),""),""),""),"")</f>
        <v/>
      </c>
      <c r="O28" s="28" t="str" cm="1">
        <f t="array" ref="O28">_xlfn.TEXTJOIN(CHAR(10),TRUE,IF(Aula=base_de_datos[Aula],IF("x"=base_de_datos[Sábado],IF(base_de_datos[Hora inicio]&lt;=$B28,IF(base_de_datos[Hora fin]&gt;=$C28,base_de_datos[No clase],""),""),""),""),"")</f>
        <v/>
      </c>
    </row>
    <row r="29" spans="2:24" ht="14.5" x14ac:dyDescent="0.35">
      <c r="B29" s="92">
        <v>0.79166666666666696</v>
      </c>
      <c r="C29" s="92">
        <v>0.81249999999999201</v>
      </c>
      <c r="D29" s="28" t="str" cm="1">
        <f t="array" ref="D29">_xlfn.TEXTJOIN(CHAR(10),TRUE,IF(Aula=base_de_datos[Aula],IF("x"=base_de_datos[Lunes],IF(base_de_datos[Hora inicio]&lt;=$B29,IF(base_de_datos[Hora fin]&gt;=$C29,base_de_datos[Materia]&amp;" "&amp;base_de_datos[[Número de grupo ]],""),""),""),""),"")</f>
        <v/>
      </c>
      <c r="E29" s="28" t="str" cm="1">
        <f t="array" ref="E29">_xlfn.TEXTJOIN(CHAR(10),TRUE,IF(Aula=base_de_datos[Aula],IF("x"=base_de_datos[Lunes],IF(base_de_datos[Hora inicio]&lt;=$B29,IF(base_de_datos[Hora fin]&gt;=$C29,base_de_datos[No clase],""),""),""),""),"")</f>
        <v/>
      </c>
      <c r="F29" s="28" t="str" cm="1">
        <f t="array" ref="F29">_xlfn.TEXTJOIN(CHAR(10),TRUE,IF(Aula=base_de_datos[Aula],IF("x"=base_de_datos[Martes],IF(base_de_datos[Hora inicio]&lt;=$B29,IF(base_de_datos[Hora fin]&gt;=$C29,base_de_datos[Materia]&amp;" "&amp;base_de_datos[[Número de grupo ]],""),""),""),""),"")</f>
        <v/>
      </c>
      <c r="G29" s="28" t="str" cm="1">
        <f t="array" ref="G29">_xlfn.TEXTJOIN(CHAR(10),TRUE,IF(Aula=base_de_datos[Aula],IF("x"=base_de_datos[Martes],IF(base_de_datos[Hora inicio]&lt;=$B29,IF(base_de_datos[Hora fin]&gt;=$C29,base_de_datos[No clase],""),""),""),""),"")</f>
        <v/>
      </c>
      <c r="H29" s="28" t="str" cm="1">
        <f t="array" ref="H29">_xlfn.TEXTJOIN(CHAR(10),TRUE,IF(Aula=base_de_datos[Aula],IF("x"=base_de_datos[Miércoles],IF(base_de_datos[Hora inicio]&lt;=$B29,IF(base_de_datos[Hora fin]&gt;=$C29,base_de_datos[Materia]&amp;" "&amp;base_de_datos[[Número de grupo ]],""),""),""),""),"")</f>
        <v/>
      </c>
      <c r="I29" s="28" t="str" cm="1">
        <f t="array" ref="I29">_xlfn.TEXTJOIN(CHAR(10),TRUE,IF(Aula=base_de_datos[Aula],IF("x"=base_de_datos[Miércoles],IF(base_de_datos[Hora inicio]&lt;=$B29,IF(base_de_datos[Hora fin]&gt;=$C29,base_de_datos[No clase],""),""),""),""),"")</f>
        <v/>
      </c>
      <c r="J29" s="28" t="str" cm="1">
        <f t="array" ref="J29">_xlfn.TEXTJOIN(CHAR(10),TRUE,IF(Aula=base_de_datos[Aula],IF("x"=base_de_datos[Jueves],IF(base_de_datos[Hora inicio]&lt;=$B29,IF(base_de_datos[Hora fin]&gt;=$C29,base_de_datos[Materia]&amp;" "&amp;base_de_datos[[Número de grupo ]],""),""),""),""),"")</f>
        <v/>
      </c>
      <c r="K29" s="28" t="str" cm="1">
        <f t="array" ref="K29">_xlfn.TEXTJOIN(CHAR(10),TRUE,IF(Aula=base_de_datos[Aula],IF("x"=base_de_datos[Jueves],IF(base_de_datos[Hora inicio]&lt;=$B29,IF(base_de_datos[Hora fin]&gt;=$C29,base_de_datos[No clase],""),""),""),""),"")</f>
        <v/>
      </c>
      <c r="L29" s="28" t="str" cm="1">
        <f t="array" ref="L29">_xlfn.TEXTJOIN(CHAR(10),TRUE,IF(Aula=base_de_datos[Aula],IF("x"=base_de_datos[Viernes],IF(base_de_datos[Hora inicio]&lt;=$B29,IF(base_de_datos[Hora fin]&gt;=$C29,base_de_datos[Materia]&amp;" "&amp;base_de_datos[[Número de grupo ]],""),""),""),""),"")</f>
        <v>Administración de operaciones 2</v>
      </c>
      <c r="M29" s="28" t="str" cm="1">
        <f t="array" ref="M29">_xlfn.TEXTJOIN(CHAR(10),TRUE,IF(Aula=base_de_datos[Aula],IF("x"=base_de_datos[Viernes],IF(base_de_datos[Hora inicio]&lt;=$B29,IF(base_de_datos[Hora fin]&gt;=$C29,base_de_datos[No clase],""),""),""),""),"")</f>
        <v>4161 (6IM)</v>
      </c>
      <c r="N29" s="28" t="str" cm="1">
        <f t="array" ref="N29">_xlfn.TEXTJOIN(CHAR(10),TRUE,IF(Aula=base_de_datos[Aula],IF("x"=base_de_datos[Sábado],IF(base_de_datos[Hora inicio]&lt;=$B29,IF(base_de_datos[Hora fin]&gt;=$C29,base_de_datos[Materia]&amp;" "&amp;base_de_datos[[Número de grupo ]],""),""),""),""),"")</f>
        <v/>
      </c>
      <c r="O29" s="28" t="str" cm="1">
        <f t="array" ref="O29">_xlfn.TEXTJOIN(CHAR(10),TRUE,IF(Aula=base_de_datos[Aula],IF("x"=base_de_datos[Sábado],IF(base_de_datos[Hora inicio]&lt;=$B29,IF(base_de_datos[Hora fin]&gt;=$C29,base_de_datos[No clase],""),""),""),""),"")</f>
        <v/>
      </c>
    </row>
    <row r="30" spans="2:24" ht="14.5" x14ac:dyDescent="0.35">
      <c r="B30" s="92">
        <v>0.8125</v>
      </c>
      <c r="C30" s="92">
        <v>0.83333333333332504</v>
      </c>
      <c r="D30" s="28" t="str" cm="1">
        <f t="array" ref="D30">_xlfn.TEXTJOIN(CHAR(10),TRUE,IF(Aula=base_de_datos[Aula],IF("x"=base_de_datos[Lunes],IF(base_de_datos[Hora inicio]&lt;=$B30,IF(base_de_datos[Hora fin]&gt;=$C30,base_de_datos[Materia]&amp;" "&amp;base_de_datos[[Número de grupo ]],""),""),""),""),"")</f>
        <v/>
      </c>
      <c r="E30" s="28" t="str" cm="1">
        <f t="array" ref="E30">_xlfn.TEXTJOIN(CHAR(10),TRUE,IF(Aula=base_de_datos[Aula],IF("x"=base_de_datos[Lunes],IF(base_de_datos[Hora inicio]&lt;=$B30,IF(base_de_datos[Hora fin]&gt;=$C30,base_de_datos[No clase],""),""),""),""),"")</f>
        <v/>
      </c>
      <c r="F30" s="28" t="str" cm="1">
        <f t="array" ref="F30">_xlfn.TEXTJOIN(CHAR(10),TRUE,IF(Aula=base_de_datos[Aula],IF("x"=base_de_datos[Martes],IF(base_de_datos[Hora inicio]&lt;=$B30,IF(base_de_datos[Hora fin]&gt;=$C30,base_de_datos[Materia]&amp;" "&amp;base_de_datos[[Número de grupo ]],""),""),""),""),"")</f>
        <v/>
      </c>
      <c r="G30" s="28" t="str" cm="1">
        <f t="array" ref="G30">_xlfn.TEXTJOIN(CHAR(10),TRUE,IF(Aula=base_de_datos[Aula],IF("x"=base_de_datos[Martes],IF(base_de_datos[Hora inicio]&lt;=$B30,IF(base_de_datos[Hora fin]&gt;=$C30,base_de_datos[No clase],""),""),""),""),"")</f>
        <v/>
      </c>
      <c r="H30" s="28" t="str" cm="1">
        <f t="array" ref="H30">_xlfn.TEXTJOIN(CHAR(10),TRUE,IF(Aula=base_de_datos[Aula],IF("x"=base_de_datos[Miércoles],IF(base_de_datos[Hora inicio]&lt;=$B30,IF(base_de_datos[Hora fin]&gt;=$C30,base_de_datos[Materia]&amp;" "&amp;base_de_datos[[Número de grupo ]],""),""),""),""),"")</f>
        <v/>
      </c>
      <c r="I30" s="28" t="str" cm="1">
        <f t="array" ref="I30">_xlfn.TEXTJOIN(CHAR(10),TRUE,IF(Aula=base_de_datos[Aula],IF("x"=base_de_datos[Miércoles],IF(base_de_datos[Hora inicio]&lt;=$B30,IF(base_de_datos[Hora fin]&gt;=$C30,base_de_datos[No clase],""),""),""),""),"")</f>
        <v/>
      </c>
      <c r="J30" s="28" t="str" cm="1">
        <f t="array" ref="J30">_xlfn.TEXTJOIN(CHAR(10),TRUE,IF(Aula=base_de_datos[Aula],IF("x"=base_de_datos[Jueves],IF(base_de_datos[Hora inicio]&lt;=$B30,IF(base_de_datos[Hora fin]&gt;=$C30,base_de_datos[Materia]&amp;" "&amp;base_de_datos[[Número de grupo ]],""),""),""),""),"")</f>
        <v/>
      </c>
      <c r="K30" s="28" t="str" cm="1">
        <f t="array" ref="K30">_xlfn.TEXTJOIN(CHAR(10),TRUE,IF(Aula=base_de_datos[Aula],IF("x"=base_de_datos[Jueves],IF(base_de_datos[Hora inicio]&lt;=$B30,IF(base_de_datos[Hora fin]&gt;=$C30,base_de_datos[No clase],""),""),""),""),"")</f>
        <v/>
      </c>
      <c r="L30" s="28" t="str" cm="1">
        <f t="array" ref="L30">_xlfn.TEXTJOIN(CHAR(10),TRUE,IF(Aula=base_de_datos[Aula],IF("x"=base_de_datos[Viernes],IF(base_de_datos[Hora inicio]&lt;=$B30,IF(base_de_datos[Hora fin]&gt;=$C30,base_de_datos[Materia]&amp;" "&amp;base_de_datos[[Número de grupo ]],""),""),""),""),"")</f>
        <v>Administración de operaciones 2</v>
      </c>
      <c r="M30" s="28" t="str" cm="1">
        <f t="array" ref="M30">_xlfn.TEXTJOIN(CHAR(10),TRUE,IF(Aula=base_de_datos[Aula],IF("x"=base_de_datos[Viernes],IF(base_de_datos[Hora inicio]&lt;=$B30,IF(base_de_datos[Hora fin]&gt;=$C30,base_de_datos[No clase],""),""),""),""),"")</f>
        <v>4161 (6IM)</v>
      </c>
      <c r="N30" s="28" t="str" cm="1">
        <f t="array" ref="N30">_xlfn.TEXTJOIN(CHAR(10),TRUE,IF(Aula=base_de_datos[Aula],IF("x"=base_de_datos[Sábado],IF(base_de_datos[Hora inicio]&lt;=$B30,IF(base_de_datos[Hora fin]&gt;=$C30,base_de_datos[Materia]&amp;" "&amp;base_de_datos[[Número de grupo ]],""),""),""),""),"")</f>
        <v/>
      </c>
      <c r="O30" s="28" t="str" cm="1">
        <f t="array" ref="O30">_xlfn.TEXTJOIN(CHAR(10),TRUE,IF(Aula=base_de_datos[Aula],IF("x"=base_de_datos[Sábado],IF(base_de_datos[Hora inicio]&lt;=$B30,IF(base_de_datos[Hora fin]&gt;=$C30,base_de_datos[No clase],""),""),""),""),"")</f>
        <v/>
      </c>
    </row>
    <row r="31" spans="2:24" ht="14.5" x14ac:dyDescent="0.35">
      <c r="B31" s="92">
        <v>0.83333333333333304</v>
      </c>
      <c r="C31" s="92">
        <v>0.85416666666665797</v>
      </c>
      <c r="D31" s="28" t="str" cm="1">
        <f t="array" ref="D31">_xlfn.TEXTJOIN(CHAR(10),TRUE,IF(Aula=base_de_datos[Aula],IF("x"=base_de_datos[Lunes],IF(base_de_datos[Hora inicio]&lt;=$B31,IF(base_de_datos[Hora fin]&gt;=$C31,base_de_datos[Materia]&amp;" "&amp;base_de_datos[[Número de grupo ]],""),""),""),""),"")</f>
        <v/>
      </c>
      <c r="E31" s="28" t="str" cm="1">
        <f t="array" ref="E31">_xlfn.TEXTJOIN(CHAR(10),TRUE,IF(Aula=base_de_datos[Aula],IF("x"=base_de_datos[Lunes],IF(base_de_datos[Hora inicio]&lt;=$B31,IF(base_de_datos[Hora fin]&gt;=$C31,base_de_datos[No clase],""),""),""),""),"")</f>
        <v/>
      </c>
      <c r="F31" s="28" t="str" cm="1">
        <f t="array" ref="F31">_xlfn.TEXTJOIN(CHAR(10),TRUE,IF(Aula=base_de_datos[Aula],IF("x"=base_de_datos[Martes],IF(base_de_datos[Hora inicio]&lt;=$B31,IF(base_de_datos[Hora fin]&gt;=$C31,base_de_datos[Materia]&amp;" "&amp;base_de_datos[[Número de grupo ]],""),""),""),""),"")</f>
        <v/>
      </c>
      <c r="G31" s="28" t="str" cm="1">
        <f t="array" ref="G31">_xlfn.TEXTJOIN(CHAR(10),TRUE,IF(Aula=base_de_datos[Aula],IF("x"=base_de_datos[Martes],IF(base_de_datos[Hora inicio]&lt;=$B31,IF(base_de_datos[Hora fin]&gt;=$C31,base_de_datos[No clase],""),""),""),""),"")</f>
        <v/>
      </c>
      <c r="H31" s="28" t="str" cm="1">
        <f t="array" ref="H31">_xlfn.TEXTJOIN(CHAR(10),TRUE,IF(Aula=base_de_datos[Aula],IF("x"=base_de_datos[Miércoles],IF(base_de_datos[Hora inicio]&lt;=$B31,IF(base_de_datos[Hora fin]&gt;=$C31,base_de_datos[Materia]&amp;" "&amp;base_de_datos[[Número de grupo ]],""),""),""),""),"")</f>
        <v/>
      </c>
      <c r="I31" s="28" t="str" cm="1">
        <f t="array" ref="I31">_xlfn.TEXTJOIN(CHAR(10),TRUE,IF(Aula=base_de_datos[Aula],IF("x"=base_de_datos[Miércoles],IF(base_de_datos[Hora inicio]&lt;=$B31,IF(base_de_datos[Hora fin]&gt;=$C31,base_de_datos[No clase],""),""),""),""),"")</f>
        <v/>
      </c>
      <c r="J31" s="28" t="str" cm="1">
        <f t="array" ref="J31">_xlfn.TEXTJOIN(CHAR(10),TRUE,IF(Aula=base_de_datos[Aula],IF("x"=base_de_datos[Jueves],IF(base_de_datos[Hora inicio]&lt;=$B31,IF(base_de_datos[Hora fin]&gt;=$C31,base_de_datos[Materia]&amp;" "&amp;base_de_datos[[Número de grupo ]],""),""),""),""),"")</f>
        <v/>
      </c>
      <c r="K31" s="28" t="str" cm="1">
        <f t="array" ref="K31">_xlfn.TEXTJOIN(CHAR(10),TRUE,IF(Aula=base_de_datos[Aula],IF("x"=base_de_datos[Jueves],IF(base_de_datos[Hora inicio]&lt;=$B31,IF(base_de_datos[Hora fin]&gt;=$C31,base_de_datos[No clase],""),""),""),""),"")</f>
        <v/>
      </c>
      <c r="L31" s="28" t="str" cm="1">
        <f t="array" ref="L31">_xlfn.TEXTJOIN(CHAR(10),TRUE,IF(Aula=base_de_datos[Aula],IF("x"=base_de_datos[Viernes],IF(base_de_datos[Hora inicio]&lt;=$B31,IF(base_de_datos[Hora fin]&gt;=$C31,base_de_datos[Materia]&amp;" "&amp;base_de_datos[[Número de grupo ]],""),""),""),""),"")</f>
        <v>Administración de operaciones 2</v>
      </c>
      <c r="M31" s="28" t="str" cm="1">
        <f t="array" ref="M31">_xlfn.TEXTJOIN(CHAR(10),TRUE,IF(Aula=base_de_datos[Aula],IF("x"=base_de_datos[Viernes],IF(base_de_datos[Hora inicio]&lt;=$B31,IF(base_de_datos[Hora fin]&gt;=$C31,base_de_datos[No clase],""),""),""),""),"")</f>
        <v>4161 (6IM)</v>
      </c>
      <c r="N31" s="28" t="str" cm="1">
        <f t="array" ref="N31">_xlfn.TEXTJOIN(CHAR(10),TRUE,IF(Aula=base_de_datos[Aula],IF("x"=base_de_datos[Sábado],IF(base_de_datos[Hora inicio]&lt;=$B31,IF(base_de_datos[Hora fin]&gt;=$C31,base_de_datos[Materia]&amp;" "&amp;base_de_datos[[Número de grupo ]],""),""),""),""),"")</f>
        <v/>
      </c>
      <c r="O31" s="28" t="str" cm="1">
        <f t="array" ref="O31">_xlfn.TEXTJOIN(CHAR(10),TRUE,IF(Aula=base_de_datos[Aula],IF("x"=base_de_datos[Sábado],IF(base_de_datos[Hora inicio]&lt;=$B31,IF(base_de_datos[Hora fin]&gt;=$C31,base_de_datos[No clase],""),""),""),""),"")</f>
        <v/>
      </c>
    </row>
    <row r="32" spans="2:24" ht="14.5" x14ac:dyDescent="0.35">
      <c r="B32" s="92">
        <v>0.85416666666666696</v>
      </c>
      <c r="C32" s="92">
        <v>0.87499999999999001</v>
      </c>
      <c r="D32" s="28" t="str" cm="1">
        <f t="array" ref="D32">_xlfn.TEXTJOIN(CHAR(10),TRUE,IF(Aula=base_de_datos[Aula],IF("x"=base_de_datos[Lunes],IF(base_de_datos[Hora inicio]&lt;=$B32,IF(base_de_datos[Hora fin]&gt;=$C32,base_de_datos[Materia]&amp;" "&amp;base_de_datos[[Número de grupo ]],""),""),""),""),"")</f>
        <v/>
      </c>
      <c r="E32" s="28" t="str" cm="1">
        <f t="array" ref="E32">_xlfn.TEXTJOIN(CHAR(10),TRUE,IF(Aula=base_de_datos[Aula],IF("x"=base_de_datos[Lunes],IF(base_de_datos[Hora inicio]&lt;=$B32,IF(base_de_datos[Hora fin]&gt;=$C32,base_de_datos[No clase],""),""),""),""),"")</f>
        <v/>
      </c>
      <c r="F32" s="28" t="str" cm="1">
        <f t="array" ref="F32">_xlfn.TEXTJOIN(CHAR(10),TRUE,IF(Aula=base_de_datos[Aula],IF("x"=base_de_datos[Martes],IF(base_de_datos[Hora inicio]&lt;=$B32,IF(base_de_datos[Hora fin]&gt;=$C32,base_de_datos[Materia]&amp;" "&amp;base_de_datos[[Número de grupo ]],""),""),""),""),"")</f>
        <v/>
      </c>
      <c r="G32" s="28" t="str" cm="1">
        <f t="array" ref="G32">_xlfn.TEXTJOIN(CHAR(10),TRUE,IF(Aula=base_de_datos[Aula],IF("x"=base_de_datos[Martes],IF(base_de_datos[Hora inicio]&lt;=$B32,IF(base_de_datos[Hora fin]&gt;=$C32,base_de_datos[No clase],""),""),""),""),"")</f>
        <v/>
      </c>
      <c r="H32" s="28" t="str" cm="1">
        <f t="array" ref="H32">_xlfn.TEXTJOIN(CHAR(10),TRUE,IF(Aula=base_de_datos[Aula],IF("x"=base_de_datos[Miércoles],IF(base_de_datos[Hora inicio]&lt;=$B32,IF(base_de_datos[Hora fin]&gt;=$C32,base_de_datos[Materia]&amp;" "&amp;base_de_datos[[Número de grupo ]],""),""),""),""),"")</f>
        <v/>
      </c>
      <c r="I32" s="28" t="str" cm="1">
        <f t="array" ref="I32">_xlfn.TEXTJOIN(CHAR(10),TRUE,IF(Aula=base_de_datos[Aula],IF("x"=base_de_datos[Miércoles],IF(base_de_datos[Hora inicio]&lt;=$B32,IF(base_de_datos[Hora fin]&gt;=$C32,base_de_datos[No clase],""),""),""),""),"")</f>
        <v/>
      </c>
      <c r="J32" s="28" t="str" cm="1">
        <f t="array" ref="J32">_xlfn.TEXTJOIN(CHAR(10),TRUE,IF(Aula=base_de_datos[Aula],IF("x"=base_de_datos[Jueves],IF(base_de_datos[Hora inicio]&lt;=$B32,IF(base_de_datos[Hora fin]&gt;=$C32,base_de_datos[Materia]&amp;" "&amp;base_de_datos[[Número de grupo ]],""),""),""),""),"")</f>
        <v/>
      </c>
      <c r="K32" s="28" t="str" cm="1">
        <f t="array" ref="K32">_xlfn.TEXTJOIN(CHAR(10),TRUE,IF(Aula=base_de_datos[Aula],IF("x"=base_de_datos[Jueves],IF(base_de_datos[Hora inicio]&lt;=$B32,IF(base_de_datos[Hora fin]&gt;=$C32,base_de_datos[No clase],""),""),""),""),"")</f>
        <v/>
      </c>
      <c r="L32" s="28" t="str" cm="1">
        <f t="array" ref="L32">_xlfn.TEXTJOIN(CHAR(10),TRUE,IF(Aula=base_de_datos[Aula],IF("x"=base_de_datos[Viernes],IF(base_de_datos[Hora inicio]&lt;=$B32,IF(base_de_datos[Hora fin]&gt;=$C32,base_de_datos[Materia]&amp;" "&amp;base_de_datos[[Número de grupo ]],""),""),""),""),"")</f>
        <v>Administración de operaciones 2</v>
      </c>
      <c r="M32" s="28" t="str" cm="1">
        <f t="array" ref="M32">_xlfn.TEXTJOIN(CHAR(10),TRUE,IF(Aula=base_de_datos[Aula],IF("x"=base_de_datos[Viernes],IF(base_de_datos[Hora inicio]&lt;=$B32,IF(base_de_datos[Hora fin]&gt;=$C32,base_de_datos[No clase],""),""),""),""),"")</f>
        <v>4161 (6IM)</v>
      </c>
      <c r="N32" s="28" t="str" cm="1">
        <f t="array" ref="N32">_xlfn.TEXTJOIN(CHAR(10),TRUE,IF(Aula=base_de_datos[Aula],IF("x"=base_de_datos[Sábado],IF(base_de_datos[Hora inicio]&lt;=$B32,IF(base_de_datos[Hora fin]&gt;=$C32,base_de_datos[Materia]&amp;" "&amp;base_de_datos[[Número de grupo ]],""),""),""),""),"")</f>
        <v/>
      </c>
      <c r="O32" s="28" t="str" cm="1">
        <f t="array" ref="O32">_xlfn.TEXTJOIN(CHAR(10),TRUE,IF(Aula=base_de_datos[Aula],IF("x"=base_de_datos[Sábado],IF(base_de_datos[Hora inicio]&lt;=$B32,IF(base_de_datos[Hora fin]&gt;=$C32,base_de_datos[No clase],""),""),""),""),"")</f>
        <v/>
      </c>
    </row>
    <row r="33" spans="2:24" ht="14.5" x14ac:dyDescent="0.35">
      <c r="B33" s="92">
        <v>0.875</v>
      </c>
      <c r="C33" s="92">
        <v>0.89583333333332305</v>
      </c>
      <c r="D33" s="28" t="str" cm="1">
        <f t="array" ref="D33">_xlfn.TEXTJOIN(CHAR(10),TRUE,IF(Aula=base_de_datos[Aula],IF("x"=base_de_datos[Lunes],IF(base_de_datos[Hora inicio]&lt;=$B33,IF(base_de_datos[Hora fin]&gt;=$C33,base_de_datos[Materia]&amp;" "&amp;base_de_datos[[Número de grupo ]],""),""),""),""),"")</f>
        <v/>
      </c>
      <c r="E33" s="28" t="str" cm="1">
        <f t="array" ref="E33">_xlfn.TEXTJOIN(CHAR(10),TRUE,IF(Aula=base_de_datos[Aula],IF("x"=base_de_datos[Lunes],IF(base_de_datos[Hora inicio]&lt;=$B33,IF(base_de_datos[Hora fin]&gt;=$C33,base_de_datos[No clase],""),""),""),""),"")</f>
        <v/>
      </c>
      <c r="F33" s="28" t="str" cm="1">
        <f t="array" ref="F33">_xlfn.TEXTJOIN(CHAR(10),TRUE,IF(Aula=base_de_datos[Aula],IF("x"=base_de_datos[Martes],IF(base_de_datos[Hora inicio]&lt;=$B33,IF(base_de_datos[Hora fin]&gt;=$C33,base_de_datos[Materia]&amp;" "&amp;base_de_datos[[Número de grupo ]],""),""),""),""),"")</f>
        <v/>
      </c>
      <c r="G33" s="28" t="str" cm="1">
        <f t="array" ref="G33">_xlfn.TEXTJOIN(CHAR(10),TRUE,IF(Aula=base_de_datos[Aula],IF("x"=base_de_datos[Martes],IF(base_de_datos[Hora inicio]&lt;=$B33,IF(base_de_datos[Hora fin]&gt;=$C33,base_de_datos[No clase],""),""),""),""),"")</f>
        <v/>
      </c>
      <c r="H33" s="28" t="str" cm="1">
        <f t="array" ref="H33">_xlfn.TEXTJOIN(CHAR(10),TRUE,IF(Aula=base_de_datos[Aula],IF("x"=base_de_datos[Miércoles],IF(base_de_datos[Hora inicio]&lt;=$B33,IF(base_de_datos[Hora fin]&gt;=$C33,base_de_datos[Materia]&amp;" "&amp;base_de_datos[[Número de grupo ]],""),""),""),""),"")</f>
        <v/>
      </c>
      <c r="I33" s="28" t="str" cm="1">
        <f t="array" ref="I33">_xlfn.TEXTJOIN(CHAR(10),TRUE,IF(Aula=base_de_datos[Aula],IF("x"=base_de_datos[Miércoles],IF(base_de_datos[Hora inicio]&lt;=$B33,IF(base_de_datos[Hora fin]&gt;=$C33,base_de_datos[No clase],""),""),""),""),"")</f>
        <v/>
      </c>
      <c r="J33" s="28" t="str" cm="1">
        <f t="array" ref="J33">_xlfn.TEXTJOIN(CHAR(10),TRUE,IF(Aula=base_de_datos[Aula],IF("x"=base_de_datos[Jueves],IF(base_de_datos[Hora inicio]&lt;=$B33,IF(base_de_datos[Hora fin]&gt;=$C33,base_de_datos[Materia]&amp;" "&amp;base_de_datos[[Número de grupo ]],""),""),""),""),"")</f>
        <v/>
      </c>
      <c r="K33" s="28" t="str" cm="1">
        <f t="array" ref="K33">_xlfn.TEXTJOIN(CHAR(10),TRUE,IF(Aula=base_de_datos[Aula],IF("x"=base_de_datos[Jueves],IF(base_de_datos[Hora inicio]&lt;=$B33,IF(base_de_datos[Hora fin]&gt;=$C33,base_de_datos[No clase],""),""),""),""),"")</f>
        <v/>
      </c>
      <c r="L33" s="28" t="str" cm="1">
        <f t="array" ref="L33">_xlfn.TEXTJOIN(CHAR(10),TRUE,IF(Aula=base_de_datos[Aula],IF("x"=base_de_datos[Viernes],IF(base_de_datos[Hora inicio]&lt;=$B33,IF(base_de_datos[Hora fin]&gt;=$C33,base_de_datos[Materia]&amp;" "&amp;base_de_datos[[Número de grupo ]],""),""),""),""),"")</f>
        <v/>
      </c>
      <c r="M33" s="28" t="str" cm="1">
        <f t="array" ref="M33">_xlfn.TEXTJOIN(CHAR(10),TRUE,IF(Aula=base_de_datos[Aula],IF("x"=base_de_datos[Viernes],IF(base_de_datos[Hora inicio]&lt;=$B33,IF(base_de_datos[Hora fin]&gt;=$C33,base_de_datos[No clase],""),""),""),""),"")</f>
        <v/>
      </c>
      <c r="N33" s="28" t="str" cm="1">
        <f t="array" ref="N33">_xlfn.TEXTJOIN(CHAR(10),TRUE,IF(Aula=base_de_datos[Aula],IF("x"=base_de_datos[Sábado],IF(base_de_datos[Hora inicio]&lt;=$B33,IF(base_de_datos[Hora fin]&gt;=$C33,base_de_datos[Materia]&amp;" "&amp;base_de_datos[[Número de grupo ]],""),""),""),""),"")</f>
        <v/>
      </c>
      <c r="O33" s="28" t="str" cm="1">
        <f t="array" ref="O33">_xlfn.TEXTJOIN(CHAR(10),TRUE,IF(Aula=base_de_datos[Aula],IF("x"=base_de_datos[Sábado],IF(base_de_datos[Hora inicio]&lt;=$B33,IF(base_de_datos[Hora fin]&gt;=$C33,base_de_datos[No clase],""),""),""),""),"")</f>
        <v/>
      </c>
    </row>
    <row r="34" spans="2:24" ht="14.5" x14ac:dyDescent="0.35">
      <c r="B34" s="92">
        <v>0.89583333333333304</v>
      </c>
      <c r="C34" s="92">
        <v>0.91666666666665697</v>
      </c>
      <c r="D34" s="28" t="str" cm="1">
        <f t="array" ref="D34">_xlfn.TEXTJOIN(CHAR(10),TRUE,IF(Aula=base_de_datos[Aula],IF("x"=base_de_datos[Lunes],IF(base_de_datos[Hora inicio]&lt;=$B34,IF(base_de_datos[Hora fin]&gt;=$C34,base_de_datos[Materia]&amp;" "&amp;base_de_datos[[Número de grupo ]],""),""),""),""),"")</f>
        <v/>
      </c>
      <c r="E34" s="28" t="str" cm="1">
        <f t="array" ref="E34">_xlfn.TEXTJOIN(CHAR(10),TRUE,IF(Aula=base_de_datos[Aula],IF("x"=base_de_datos[Lunes],IF(base_de_datos[Hora inicio]&lt;=$B34,IF(base_de_datos[Hora fin]&gt;=$C34,base_de_datos[No clase],""),""),""),""),"")</f>
        <v/>
      </c>
      <c r="F34" s="28" t="str" cm="1">
        <f t="array" ref="F34">_xlfn.TEXTJOIN(CHAR(10),TRUE,IF(Aula=base_de_datos[Aula],IF("x"=base_de_datos[Martes],IF(base_de_datos[Hora inicio]&lt;=$B34,IF(base_de_datos[Hora fin]&gt;=$C34,base_de_datos[Materia]&amp;" "&amp;base_de_datos[[Número de grupo ]],""),""),""),""),"")</f>
        <v/>
      </c>
      <c r="G34" s="28" t="str" cm="1">
        <f t="array" ref="G34">_xlfn.TEXTJOIN(CHAR(10),TRUE,IF(Aula=base_de_datos[Aula],IF("x"=base_de_datos[Martes],IF(base_de_datos[Hora inicio]&lt;=$B34,IF(base_de_datos[Hora fin]&gt;=$C34,base_de_datos[No clase],""),""),""),""),"")</f>
        <v/>
      </c>
      <c r="H34" s="28" t="str" cm="1">
        <f t="array" ref="H34">_xlfn.TEXTJOIN(CHAR(10),TRUE,IF(Aula=base_de_datos[Aula],IF("x"=base_de_datos[Miércoles],IF(base_de_datos[Hora inicio]&lt;=$B34,IF(base_de_datos[Hora fin]&gt;=$C34,base_de_datos[Materia]&amp;" "&amp;base_de_datos[[Número de grupo ]],""),""),""),""),"")</f>
        <v/>
      </c>
      <c r="I34" s="28" t="str" cm="1">
        <f t="array" ref="I34">_xlfn.TEXTJOIN(CHAR(10),TRUE,IF(Aula=base_de_datos[Aula],IF("x"=base_de_datos[Miércoles],IF(base_de_datos[Hora inicio]&lt;=$B34,IF(base_de_datos[Hora fin]&gt;=$C34,base_de_datos[No clase],""),""),""),""),"")</f>
        <v/>
      </c>
      <c r="J34" s="28" t="str" cm="1">
        <f t="array" ref="J34">_xlfn.TEXTJOIN(CHAR(10),TRUE,IF(Aula=base_de_datos[Aula],IF("x"=base_de_datos[Jueves],IF(base_de_datos[Hora inicio]&lt;=$B34,IF(base_de_datos[Hora fin]&gt;=$C34,base_de_datos[Materia]&amp;" "&amp;base_de_datos[[Número de grupo ]],""),""),""),""),"")</f>
        <v/>
      </c>
      <c r="K34" s="28" t="str" cm="1">
        <f t="array" ref="K34">_xlfn.TEXTJOIN(CHAR(10),TRUE,IF(Aula=base_de_datos[Aula],IF("x"=base_de_datos[Jueves],IF(base_de_datos[Hora inicio]&lt;=$B34,IF(base_de_datos[Hora fin]&gt;=$C34,base_de_datos[No clase],""),""),""),""),"")</f>
        <v/>
      </c>
      <c r="L34" s="28" t="str" cm="1">
        <f t="array" ref="L34">_xlfn.TEXTJOIN(CHAR(10),TRUE,IF(Aula=base_de_datos[Aula],IF("x"=base_de_datos[Viernes],IF(base_de_datos[Hora inicio]&lt;=$B34,IF(base_de_datos[Hora fin]&gt;=$C34,base_de_datos[Materia]&amp;" "&amp;base_de_datos[[Número de grupo ]],""),""),""),""),"")</f>
        <v/>
      </c>
      <c r="M34" s="28" t="str" cm="1">
        <f t="array" ref="M34">_xlfn.TEXTJOIN(CHAR(10),TRUE,IF(Aula=base_de_datos[Aula],IF("x"=base_de_datos[Viernes],IF(base_de_datos[Hora inicio]&lt;=$B34,IF(base_de_datos[Hora fin]&gt;=$C34,base_de_datos[No clase],""),""),""),""),"")</f>
        <v/>
      </c>
      <c r="N34" s="28" t="str" cm="1">
        <f t="array" ref="N34">_xlfn.TEXTJOIN(CHAR(10),TRUE,IF(Aula=base_de_datos[Aula],IF("x"=base_de_datos[Sábado],IF(base_de_datos[Hora inicio]&lt;=$B34,IF(base_de_datos[Hora fin]&gt;=$C34,base_de_datos[Materia]&amp;" "&amp;base_de_datos[[Número de grupo ]],""),""),""),""),"")</f>
        <v/>
      </c>
      <c r="O34" s="28" t="str" cm="1">
        <f t="array" ref="O34">_xlfn.TEXTJOIN(CHAR(10),TRUE,IF(Aula=base_de_datos[Aula],IF("x"=base_de_datos[Sábado],IF(base_de_datos[Hora inicio]&lt;=$B34,IF(base_de_datos[Hora fin]&gt;=$C34,base_de_datos[No clase],""),""),""),""),"")</f>
        <v/>
      </c>
      <c r="V34" s="27"/>
      <c r="W34" s="27"/>
      <c r="X34" s="27"/>
    </row>
    <row r="35" spans="2:24" x14ac:dyDescent="0.3">
      <c r="C35" s="3"/>
      <c r="D35" s="27"/>
      <c r="E35" s="27"/>
      <c r="F35" s="27"/>
      <c r="G35" s="27"/>
      <c r="H35" s="30"/>
      <c r="I35" s="27"/>
      <c r="J35" s="27"/>
      <c r="K35" s="27"/>
      <c r="L35" s="27"/>
      <c r="M35" s="27"/>
      <c r="N35" s="27"/>
      <c r="O35" s="27"/>
      <c r="V35" s="27"/>
      <c r="W35" s="27"/>
      <c r="X35" s="27"/>
    </row>
    <row r="36" spans="2:24" x14ac:dyDescent="0.3">
      <c r="C36" s="3"/>
      <c r="D36" s="27"/>
      <c r="E36" s="27"/>
      <c r="F36" s="27"/>
      <c r="G36" s="27"/>
      <c r="H36" s="30"/>
      <c r="I36" s="27"/>
      <c r="J36" s="27"/>
      <c r="K36" s="27"/>
      <c r="L36" s="27"/>
      <c r="M36" s="27"/>
      <c r="N36" s="27"/>
      <c r="O36" s="27"/>
      <c r="V36" s="27"/>
      <c r="W36" s="27"/>
      <c r="X36" s="27"/>
    </row>
    <row r="37" spans="2:24" x14ac:dyDescent="0.3">
      <c r="C37" s="3"/>
      <c r="D37" s="27"/>
      <c r="E37" s="27"/>
      <c r="F37" s="27"/>
      <c r="G37" s="27"/>
      <c r="H37" s="30"/>
      <c r="I37" s="27"/>
      <c r="J37" s="27"/>
      <c r="K37" s="27"/>
      <c r="L37" s="27"/>
      <c r="M37" s="27"/>
      <c r="N37" s="27"/>
      <c r="O37" s="27"/>
      <c r="V37" s="27"/>
      <c r="W37" s="27"/>
      <c r="X37" s="27"/>
    </row>
    <row r="38" spans="2:24" x14ac:dyDescent="0.3">
      <c r="C38" s="3"/>
      <c r="D38" s="27"/>
      <c r="E38" s="27"/>
      <c r="F38" s="27"/>
      <c r="G38" s="27"/>
      <c r="H38" s="30"/>
      <c r="I38" s="27"/>
      <c r="J38" s="27"/>
      <c r="K38" s="27"/>
      <c r="L38" s="27"/>
      <c r="M38" s="27"/>
      <c r="N38" s="27"/>
      <c r="O38" s="27"/>
      <c r="V38" s="27"/>
      <c r="W38" s="27"/>
      <c r="X38" s="27"/>
    </row>
    <row r="39" spans="2:24" x14ac:dyDescent="0.3">
      <c r="C39" s="3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V39" s="27"/>
      <c r="W39" s="27"/>
      <c r="X39" s="27"/>
    </row>
    <row r="40" spans="2:24" x14ac:dyDescent="0.3">
      <c r="C40" s="3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V40" s="27"/>
      <c r="W40" s="27"/>
      <c r="X40" s="27"/>
    </row>
    <row r="41" spans="2:24" x14ac:dyDescent="0.3">
      <c r="C41" s="3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V41" s="27"/>
      <c r="W41" s="27"/>
      <c r="X41" s="27"/>
    </row>
    <row r="42" spans="2:24" x14ac:dyDescent="0.3">
      <c r="C42" s="3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V42" s="27"/>
      <c r="W42" s="27"/>
      <c r="X42" s="27"/>
    </row>
    <row r="43" spans="2:24" x14ac:dyDescent="0.3">
      <c r="C43" s="3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V43" s="27"/>
      <c r="W43" s="27"/>
      <c r="X43" s="27"/>
    </row>
    <row r="44" spans="2:24" x14ac:dyDescent="0.3">
      <c r="C44" s="3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V44" s="27"/>
      <c r="W44" s="27"/>
      <c r="X44" s="27"/>
    </row>
    <row r="45" spans="2:24" x14ac:dyDescent="0.3">
      <c r="C45" s="3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V45" s="27"/>
      <c r="W45" s="27"/>
      <c r="X45" s="27"/>
    </row>
    <row r="46" spans="2:24" x14ac:dyDescent="0.3">
      <c r="C46" s="3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V46" s="27"/>
      <c r="W46" s="27"/>
      <c r="X46" s="27"/>
    </row>
    <row r="47" spans="2:24" x14ac:dyDescent="0.3">
      <c r="C47" s="3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V47" s="27"/>
      <c r="W47" s="27"/>
      <c r="X47" s="27"/>
    </row>
    <row r="48" spans="2:24" x14ac:dyDescent="0.3">
      <c r="C48" s="3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V48" s="27"/>
      <c r="W48" s="27"/>
      <c r="X48" s="27"/>
    </row>
    <row r="49" spans="3:24" x14ac:dyDescent="0.3">
      <c r="C49" s="3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V49" s="27"/>
      <c r="W49" s="27"/>
      <c r="X49" s="27"/>
    </row>
    <row r="50" spans="3:24" x14ac:dyDescent="0.3">
      <c r="C50" s="3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V50" s="27"/>
      <c r="W50" s="27"/>
      <c r="X50" s="27"/>
    </row>
    <row r="51" spans="3:24" x14ac:dyDescent="0.3">
      <c r="C51" s="3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V51" s="27"/>
      <c r="W51" s="27"/>
      <c r="X51" s="27"/>
    </row>
    <row r="52" spans="3:24" x14ac:dyDescent="0.3">
      <c r="C52" s="3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V52" s="27"/>
      <c r="W52" s="27"/>
      <c r="X52" s="27"/>
    </row>
    <row r="53" spans="3:24" x14ac:dyDescent="0.3">
      <c r="C53" s="3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V53" s="27"/>
      <c r="W53" s="27"/>
      <c r="X53" s="27"/>
    </row>
    <row r="54" spans="3:24" x14ac:dyDescent="0.3">
      <c r="C54" s="3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V54" s="27"/>
      <c r="W54" s="27"/>
      <c r="X54" s="27"/>
    </row>
    <row r="55" spans="3:24" x14ac:dyDescent="0.3">
      <c r="C55" s="3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V55" s="27"/>
      <c r="W55" s="27"/>
      <c r="X55" s="27"/>
    </row>
    <row r="56" spans="3:24" x14ac:dyDescent="0.3">
      <c r="C56" s="3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V56" s="27"/>
      <c r="W56" s="27"/>
      <c r="X56" s="27"/>
    </row>
    <row r="57" spans="3:24" x14ac:dyDescent="0.3">
      <c r="C57" s="3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V57" s="27"/>
      <c r="W57" s="27"/>
      <c r="X57" s="27"/>
    </row>
    <row r="58" spans="3:24" x14ac:dyDescent="0.3">
      <c r="C58" s="3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V58" s="27"/>
      <c r="W58" s="27"/>
      <c r="X58" s="27"/>
    </row>
    <row r="59" spans="3:24" x14ac:dyDescent="0.3">
      <c r="C59" s="3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V59" s="27"/>
      <c r="W59" s="27"/>
      <c r="X59" s="27"/>
    </row>
    <row r="60" spans="3:24" x14ac:dyDescent="0.3">
      <c r="C60" s="3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V60" s="27"/>
      <c r="W60" s="27"/>
      <c r="X60" s="27"/>
    </row>
    <row r="61" spans="3:24" x14ac:dyDescent="0.3">
      <c r="C61" s="3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V61" s="27"/>
      <c r="W61" s="27"/>
      <c r="X61" s="27"/>
    </row>
    <row r="62" spans="3:24" x14ac:dyDescent="0.3">
      <c r="C62" s="3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V62" s="27"/>
      <c r="W62" s="27"/>
      <c r="X62" s="27"/>
    </row>
    <row r="63" spans="3:24" x14ac:dyDescent="0.3">
      <c r="C63" s="3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V63" s="27"/>
      <c r="W63" s="27"/>
      <c r="X63" s="27"/>
    </row>
    <row r="64" spans="3:24" x14ac:dyDescent="0.3">
      <c r="C64" s="3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V64" s="27"/>
      <c r="W64" s="27"/>
      <c r="X64" s="27"/>
    </row>
    <row r="65" spans="3:24" x14ac:dyDescent="0.3">
      <c r="C65" s="3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V65" s="27"/>
      <c r="W65" s="27"/>
      <c r="X65" s="27"/>
    </row>
    <row r="66" spans="3:24" x14ac:dyDescent="0.3">
      <c r="C66" s="3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V66" s="27"/>
      <c r="W66" s="27"/>
      <c r="X66" s="27"/>
    </row>
    <row r="67" spans="3:24" x14ac:dyDescent="0.3">
      <c r="C67" s="3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V67" s="27"/>
      <c r="W67" s="27"/>
      <c r="X67" s="27"/>
    </row>
    <row r="68" spans="3:24" x14ac:dyDescent="0.3">
      <c r="C68" s="3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V68" s="27"/>
      <c r="W68" s="27"/>
      <c r="X68" s="27"/>
    </row>
    <row r="69" spans="3:24" x14ac:dyDescent="0.3">
      <c r="C69" s="3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V69" s="27"/>
      <c r="W69" s="27"/>
      <c r="X69" s="27"/>
    </row>
    <row r="70" spans="3:24" x14ac:dyDescent="0.3">
      <c r="C70" s="3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V70" s="27"/>
      <c r="W70" s="27"/>
      <c r="X70" s="27"/>
    </row>
    <row r="71" spans="3:24" x14ac:dyDescent="0.3">
      <c r="C71" s="3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V71" s="27"/>
      <c r="W71" s="27"/>
      <c r="X71" s="27"/>
    </row>
    <row r="72" spans="3:24" x14ac:dyDescent="0.3">
      <c r="C72" s="3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V72" s="27"/>
      <c r="W72" s="27"/>
      <c r="X72" s="27"/>
    </row>
    <row r="73" spans="3:24" x14ac:dyDescent="0.3">
      <c r="C73" s="3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V73" s="27"/>
      <c r="W73" s="27"/>
      <c r="X73" s="27"/>
    </row>
    <row r="74" spans="3:24" x14ac:dyDescent="0.3">
      <c r="C74" s="3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V74" s="27"/>
      <c r="W74" s="27"/>
      <c r="X74" s="27"/>
    </row>
    <row r="75" spans="3:24" x14ac:dyDescent="0.3">
      <c r="C75" s="3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V75" s="27"/>
      <c r="W75" s="27"/>
      <c r="X75" s="27"/>
    </row>
    <row r="76" spans="3:24" x14ac:dyDescent="0.3">
      <c r="C76" s="3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V76" s="27"/>
      <c r="W76" s="27"/>
      <c r="X76" s="27"/>
    </row>
    <row r="77" spans="3:24" x14ac:dyDescent="0.3">
      <c r="C77" s="3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V77" s="27"/>
      <c r="W77" s="27"/>
      <c r="X77" s="27"/>
    </row>
    <row r="78" spans="3:24" x14ac:dyDescent="0.3">
      <c r="C78" s="3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V78" s="27"/>
      <c r="W78" s="27"/>
      <c r="X78" s="27"/>
    </row>
    <row r="79" spans="3:24" x14ac:dyDescent="0.3">
      <c r="C79" s="3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V79" s="27"/>
      <c r="W79" s="27"/>
      <c r="X79" s="27"/>
    </row>
    <row r="80" spans="3:24" x14ac:dyDescent="0.3">
      <c r="C80" s="3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V80" s="27"/>
      <c r="W80" s="27"/>
      <c r="X80" s="27"/>
    </row>
    <row r="81" spans="3:24" x14ac:dyDescent="0.3">
      <c r="C81" s="3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V81" s="27"/>
      <c r="W81" s="27"/>
      <c r="X81" s="27"/>
    </row>
    <row r="82" spans="3:24" x14ac:dyDescent="0.3">
      <c r="C82" s="3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V82" s="27"/>
      <c r="W82" s="27"/>
      <c r="X82" s="27"/>
    </row>
    <row r="83" spans="3:24" x14ac:dyDescent="0.3">
      <c r="C83" s="3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V83" s="27"/>
      <c r="W83" s="27"/>
      <c r="X83" s="27"/>
    </row>
    <row r="84" spans="3:24" x14ac:dyDescent="0.3">
      <c r="C84" s="3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V84" s="27"/>
      <c r="W84" s="27"/>
      <c r="X84" s="27"/>
    </row>
    <row r="85" spans="3:24" x14ac:dyDescent="0.3">
      <c r="C85" s="3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V85" s="27"/>
      <c r="W85" s="27"/>
      <c r="X85" s="27"/>
    </row>
    <row r="86" spans="3:24" x14ac:dyDescent="0.3">
      <c r="C86" s="3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V86" s="27"/>
      <c r="W86" s="27"/>
      <c r="X86" s="27"/>
    </row>
    <row r="87" spans="3:24" x14ac:dyDescent="0.3">
      <c r="C87" s="3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V87" s="27"/>
      <c r="W87" s="27"/>
      <c r="X87" s="27"/>
    </row>
    <row r="88" spans="3:24" x14ac:dyDescent="0.3">
      <c r="C88" s="3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V88" s="27"/>
      <c r="W88" s="27"/>
      <c r="X88" s="27"/>
    </row>
    <row r="89" spans="3:24" x14ac:dyDescent="0.3">
      <c r="C89" s="3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V89" s="27"/>
      <c r="W89" s="27"/>
      <c r="X89" s="27"/>
    </row>
    <row r="90" spans="3:24" x14ac:dyDescent="0.3">
      <c r="C90" s="3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V90" s="27"/>
      <c r="W90" s="27"/>
      <c r="X90" s="27"/>
    </row>
    <row r="91" spans="3:24" x14ac:dyDescent="0.3">
      <c r="C91" s="3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V91" s="27"/>
      <c r="W91" s="27"/>
      <c r="X91" s="27"/>
    </row>
    <row r="92" spans="3:24" x14ac:dyDescent="0.3">
      <c r="C92" s="3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V92" s="27"/>
      <c r="W92" s="27"/>
      <c r="X92" s="27"/>
    </row>
    <row r="93" spans="3:24" x14ac:dyDescent="0.3">
      <c r="C93" s="3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V93" s="27"/>
      <c r="W93" s="27"/>
      <c r="X93" s="27"/>
    </row>
    <row r="94" spans="3:24" x14ac:dyDescent="0.3">
      <c r="C94" s="3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V94" s="27"/>
      <c r="W94" s="27"/>
      <c r="X94" s="27"/>
    </row>
    <row r="95" spans="3:24" x14ac:dyDescent="0.3">
      <c r="C95" s="3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V95" s="27"/>
      <c r="W95" s="27"/>
      <c r="X95" s="27"/>
    </row>
    <row r="96" spans="3:24" x14ac:dyDescent="0.3">
      <c r="C96" s="3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V96" s="27"/>
      <c r="W96" s="27"/>
      <c r="X96" s="27"/>
    </row>
    <row r="97" spans="3:24" x14ac:dyDescent="0.3">
      <c r="C97" s="3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V97" s="27"/>
      <c r="W97" s="27"/>
      <c r="X97" s="27"/>
    </row>
    <row r="98" spans="3:24" x14ac:dyDescent="0.3">
      <c r="C98" s="3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V98" s="27"/>
      <c r="W98" s="27"/>
      <c r="X98" s="27"/>
    </row>
    <row r="99" spans="3:24" x14ac:dyDescent="0.3">
      <c r="C99" s="3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V99" s="27"/>
      <c r="W99" s="27"/>
      <c r="X99" s="27"/>
    </row>
    <row r="100" spans="3:24" x14ac:dyDescent="0.3">
      <c r="C100" s="3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V100" s="27"/>
      <c r="W100" s="27"/>
      <c r="X100" s="27"/>
    </row>
    <row r="101" spans="3:24" x14ac:dyDescent="0.3">
      <c r="C101" s="3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V101" s="27"/>
      <c r="W101" s="27"/>
      <c r="X101" s="27"/>
    </row>
    <row r="102" spans="3:24" x14ac:dyDescent="0.3">
      <c r="C102" s="3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V102" s="27"/>
      <c r="W102" s="27"/>
      <c r="X102" s="27"/>
    </row>
    <row r="103" spans="3:24" x14ac:dyDescent="0.3">
      <c r="C103" s="3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V103" s="27"/>
      <c r="W103" s="27"/>
      <c r="X103" s="27"/>
    </row>
    <row r="104" spans="3:24" x14ac:dyDescent="0.3">
      <c r="C104" s="3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V104" s="27"/>
      <c r="W104" s="27"/>
      <c r="X104" s="27"/>
    </row>
    <row r="105" spans="3:24" x14ac:dyDescent="0.3">
      <c r="C105" s="3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V105" s="27"/>
      <c r="W105" s="27"/>
      <c r="X105" s="27"/>
    </row>
    <row r="106" spans="3:24" x14ac:dyDescent="0.3">
      <c r="C106" s="3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V106" s="27"/>
      <c r="W106" s="27"/>
      <c r="X106" s="27"/>
    </row>
    <row r="107" spans="3:24" x14ac:dyDescent="0.3">
      <c r="C107" s="3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V107" s="27"/>
      <c r="W107" s="27"/>
      <c r="X107" s="27"/>
    </row>
    <row r="108" spans="3:24" x14ac:dyDescent="0.3">
      <c r="C108" s="3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V108" s="27"/>
      <c r="W108" s="27"/>
      <c r="X108" s="27"/>
    </row>
    <row r="109" spans="3:24" x14ac:dyDescent="0.3">
      <c r="C109" s="3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V109" s="27"/>
      <c r="W109" s="27"/>
      <c r="X109" s="27"/>
    </row>
    <row r="110" spans="3:24" x14ac:dyDescent="0.3">
      <c r="C110" s="3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V110" s="27"/>
      <c r="W110" s="27"/>
      <c r="X110" s="27"/>
    </row>
    <row r="111" spans="3:24" x14ac:dyDescent="0.3">
      <c r="C111" s="3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V111" s="27"/>
      <c r="W111" s="27"/>
      <c r="X111" s="27"/>
    </row>
    <row r="112" spans="3:24" x14ac:dyDescent="0.3">
      <c r="C112" s="3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V112" s="27"/>
      <c r="W112" s="27"/>
      <c r="X112" s="27"/>
    </row>
    <row r="113" spans="3:24" x14ac:dyDescent="0.3">
      <c r="C113" s="3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V113" s="27"/>
      <c r="W113" s="27"/>
      <c r="X113" s="27"/>
    </row>
    <row r="114" spans="3:24" x14ac:dyDescent="0.3">
      <c r="C114" s="3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V114" s="27"/>
      <c r="W114" s="27"/>
      <c r="X114" s="27"/>
    </row>
    <row r="115" spans="3:24" x14ac:dyDescent="0.3">
      <c r="C115" s="3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V115" s="27"/>
      <c r="W115" s="27"/>
      <c r="X115" s="27"/>
    </row>
    <row r="116" spans="3:24" x14ac:dyDescent="0.3">
      <c r="C116" s="3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V116" s="27"/>
      <c r="W116" s="27"/>
      <c r="X116" s="27"/>
    </row>
    <row r="117" spans="3:24" x14ac:dyDescent="0.3">
      <c r="C117" s="3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V117" s="27"/>
      <c r="W117" s="27"/>
      <c r="X117" s="27"/>
    </row>
    <row r="118" spans="3:24" x14ac:dyDescent="0.3">
      <c r="C118" s="3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V118" s="27"/>
      <c r="W118" s="27"/>
      <c r="X118" s="27"/>
    </row>
    <row r="119" spans="3:24" x14ac:dyDescent="0.3">
      <c r="C119" s="3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V119" s="27"/>
      <c r="W119" s="27"/>
      <c r="X119" s="27"/>
    </row>
    <row r="120" spans="3:24" x14ac:dyDescent="0.3">
      <c r="C120" s="3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V120" s="27"/>
      <c r="W120" s="27"/>
      <c r="X120" s="27"/>
    </row>
    <row r="121" spans="3:24" x14ac:dyDescent="0.3">
      <c r="C121" s="3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V121" s="27"/>
      <c r="W121" s="27"/>
      <c r="X121" s="27"/>
    </row>
    <row r="122" spans="3:24" x14ac:dyDescent="0.3">
      <c r="C122" s="3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V122" s="27"/>
      <c r="W122" s="27"/>
      <c r="X122" s="27"/>
    </row>
    <row r="123" spans="3:24" x14ac:dyDescent="0.3">
      <c r="C123" s="3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V123" s="27"/>
      <c r="W123" s="27"/>
      <c r="X123" s="27"/>
    </row>
    <row r="124" spans="3:24" x14ac:dyDescent="0.3">
      <c r="C124" s="3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V124" s="27"/>
      <c r="W124" s="27"/>
      <c r="X124" s="27"/>
    </row>
    <row r="125" spans="3:24" x14ac:dyDescent="0.3">
      <c r="C125" s="3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V125" s="27"/>
      <c r="W125" s="27"/>
      <c r="X125" s="27"/>
    </row>
    <row r="126" spans="3:24" x14ac:dyDescent="0.3">
      <c r="C126" s="3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V126" s="27"/>
      <c r="W126" s="27"/>
      <c r="X126" s="27"/>
    </row>
    <row r="127" spans="3:24" x14ac:dyDescent="0.3">
      <c r="C127" s="3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V127" s="27"/>
      <c r="W127" s="27"/>
      <c r="X127" s="27"/>
    </row>
    <row r="128" spans="3:24" x14ac:dyDescent="0.3">
      <c r="C128" s="3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V128" s="27"/>
      <c r="W128" s="27"/>
      <c r="X128" s="27"/>
    </row>
    <row r="129" spans="3:24" x14ac:dyDescent="0.3">
      <c r="C129" s="3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V129" s="27"/>
      <c r="W129" s="27"/>
      <c r="X129" s="27"/>
    </row>
    <row r="130" spans="3:24" x14ac:dyDescent="0.3">
      <c r="C130" s="3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V130" s="27"/>
      <c r="W130" s="27"/>
      <c r="X130" s="27"/>
    </row>
    <row r="131" spans="3:24" x14ac:dyDescent="0.3">
      <c r="C131" s="3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V131" s="27"/>
      <c r="W131" s="27"/>
      <c r="X131" s="27"/>
    </row>
    <row r="132" spans="3:24" x14ac:dyDescent="0.3">
      <c r="C132" s="3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V132" s="27"/>
      <c r="W132" s="27"/>
      <c r="X132" s="27"/>
    </row>
    <row r="133" spans="3:24" x14ac:dyDescent="0.3">
      <c r="C133" s="3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V133" s="27"/>
      <c r="W133" s="27"/>
      <c r="X133" s="27"/>
    </row>
    <row r="134" spans="3:24" x14ac:dyDescent="0.3">
      <c r="C134" s="3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V134" s="27"/>
      <c r="W134" s="27"/>
      <c r="X134" s="27"/>
    </row>
    <row r="135" spans="3:24" x14ac:dyDescent="0.3">
      <c r="C135" s="3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V135" s="27"/>
      <c r="W135" s="27"/>
      <c r="X135" s="27"/>
    </row>
    <row r="136" spans="3:24" x14ac:dyDescent="0.3">
      <c r="C136" s="3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V136" s="27"/>
      <c r="W136" s="27"/>
      <c r="X136" s="27"/>
    </row>
    <row r="137" spans="3:24" x14ac:dyDescent="0.3">
      <c r="C137" s="3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V137" s="27"/>
      <c r="W137" s="27"/>
      <c r="X137" s="27"/>
    </row>
    <row r="138" spans="3:24" x14ac:dyDescent="0.3">
      <c r="C138" s="3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V138" s="27"/>
      <c r="W138" s="27"/>
      <c r="X138" s="27"/>
    </row>
    <row r="139" spans="3:24" x14ac:dyDescent="0.3">
      <c r="C139" s="3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V139" s="27"/>
      <c r="W139" s="27"/>
      <c r="X139" s="27"/>
    </row>
    <row r="140" spans="3:24" x14ac:dyDescent="0.3">
      <c r="C140" s="3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V140" s="27"/>
      <c r="W140" s="27"/>
      <c r="X140" s="27"/>
    </row>
    <row r="141" spans="3:24" x14ac:dyDescent="0.3">
      <c r="C141" s="3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V141" s="27"/>
      <c r="W141" s="27"/>
      <c r="X141" s="27"/>
    </row>
    <row r="142" spans="3:24" x14ac:dyDescent="0.3">
      <c r="C142" s="3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V142" s="27"/>
      <c r="W142" s="27"/>
      <c r="X142" s="27"/>
    </row>
    <row r="143" spans="3:24" x14ac:dyDescent="0.3">
      <c r="C143" s="3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V143" s="27"/>
      <c r="W143" s="27"/>
      <c r="X143" s="27"/>
    </row>
    <row r="144" spans="3:24" x14ac:dyDescent="0.3">
      <c r="C144" s="3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V144" s="27"/>
      <c r="W144" s="27"/>
      <c r="X144" s="27"/>
    </row>
    <row r="145" spans="3:24" x14ac:dyDescent="0.3">
      <c r="C145" s="3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V145" s="27"/>
      <c r="W145" s="27"/>
      <c r="X145" s="27"/>
    </row>
    <row r="146" spans="3:24" x14ac:dyDescent="0.3">
      <c r="C146" s="3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V146" s="27"/>
      <c r="W146" s="27"/>
      <c r="X146" s="27"/>
    </row>
    <row r="147" spans="3:24" x14ac:dyDescent="0.3">
      <c r="C147" s="3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V147" s="27"/>
      <c r="W147" s="27"/>
      <c r="X147" s="27"/>
    </row>
    <row r="148" spans="3:24" x14ac:dyDescent="0.3">
      <c r="C148" s="3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V148" s="27"/>
      <c r="W148" s="27"/>
      <c r="X148" s="27"/>
    </row>
    <row r="149" spans="3:24" x14ac:dyDescent="0.3">
      <c r="C149" s="3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V149" s="27"/>
      <c r="W149" s="27"/>
      <c r="X149" s="27"/>
    </row>
    <row r="150" spans="3:24" x14ac:dyDescent="0.3">
      <c r="C150" s="3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V150" s="27"/>
      <c r="W150" s="27"/>
      <c r="X150" s="27"/>
    </row>
    <row r="151" spans="3:24" x14ac:dyDescent="0.3">
      <c r="C151" s="3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V151" s="27"/>
      <c r="W151" s="27"/>
      <c r="X151" s="27"/>
    </row>
    <row r="152" spans="3:24" x14ac:dyDescent="0.3">
      <c r="C152" s="3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V152" s="27"/>
      <c r="W152" s="27"/>
      <c r="X152" s="27"/>
    </row>
    <row r="153" spans="3:24" x14ac:dyDescent="0.3">
      <c r="C153" s="3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V153" s="27"/>
      <c r="W153" s="27"/>
      <c r="X153" s="27"/>
    </row>
    <row r="154" spans="3:24" x14ac:dyDescent="0.3">
      <c r="C154" s="3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V154" s="27"/>
      <c r="W154" s="27"/>
      <c r="X154" s="27"/>
    </row>
    <row r="155" spans="3:24" x14ac:dyDescent="0.3">
      <c r="C155" s="3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V155" s="27"/>
      <c r="W155" s="27"/>
      <c r="X155" s="27"/>
    </row>
    <row r="156" spans="3:24" x14ac:dyDescent="0.3">
      <c r="C156" s="3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V156" s="27"/>
      <c r="W156" s="27"/>
      <c r="X156" s="27"/>
    </row>
    <row r="157" spans="3:24" x14ac:dyDescent="0.3">
      <c r="C157" s="3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V157" s="27"/>
      <c r="W157" s="27"/>
      <c r="X157" s="27"/>
    </row>
    <row r="158" spans="3:24" x14ac:dyDescent="0.3">
      <c r="C158" s="3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V158" s="27"/>
      <c r="W158" s="27"/>
      <c r="X158" s="27"/>
    </row>
    <row r="159" spans="3:24" x14ac:dyDescent="0.3">
      <c r="C159" s="3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V159" s="27"/>
      <c r="W159" s="27"/>
      <c r="X159" s="27"/>
    </row>
    <row r="160" spans="3:24" x14ac:dyDescent="0.3">
      <c r="C160" s="3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V160" s="27"/>
      <c r="W160" s="27"/>
      <c r="X160" s="27"/>
    </row>
    <row r="161" spans="3:24" x14ac:dyDescent="0.3">
      <c r="C161" s="3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V161" s="27"/>
      <c r="W161" s="27"/>
      <c r="X161" s="27"/>
    </row>
    <row r="162" spans="3:24" x14ac:dyDescent="0.3">
      <c r="C162" s="3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V162" s="27"/>
      <c r="W162" s="27"/>
      <c r="X162" s="27"/>
    </row>
    <row r="163" spans="3:24" x14ac:dyDescent="0.3">
      <c r="C163" s="3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V163" s="27"/>
      <c r="W163" s="27"/>
      <c r="X163" s="27"/>
    </row>
    <row r="164" spans="3:24" x14ac:dyDescent="0.3">
      <c r="C164" s="3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V164" s="27"/>
      <c r="W164" s="27"/>
      <c r="X164" s="27"/>
    </row>
    <row r="165" spans="3:24" x14ac:dyDescent="0.3">
      <c r="C165" s="3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V165" s="27"/>
      <c r="W165" s="27"/>
      <c r="X165" s="27"/>
    </row>
    <row r="166" spans="3:24" x14ac:dyDescent="0.3">
      <c r="C166" s="3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V166" s="27"/>
      <c r="W166" s="27"/>
      <c r="X166" s="27"/>
    </row>
    <row r="167" spans="3:24" x14ac:dyDescent="0.3">
      <c r="C167" s="3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V167" s="27"/>
      <c r="W167" s="27"/>
      <c r="X167" s="27"/>
    </row>
    <row r="168" spans="3:24" x14ac:dyDescent="0.3">
      <c r="C168" s="3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V168" s="27"/>
      <c r="W168" s="27"/>
      <c r="X168" s="27"/>
    </row>
    <row r="169" spans="3:24" x14ac:dyDescent="0.3">
      <c r="C169" s="3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V169" s="27"/>
      <c r="W169" s="27"/>
      <c r="X169" s="27"/>
    </row>
    <row r="170" spans="3:24" x14ac:dyDescent="0.3">
      <c r="C170" s="3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V170" s="27"/>
      <c r="W170" s="27"/>
      <c r="X170" s="27"/>
    </row>
    <row r="171" spans="3:24" x14ac:dyDescent="0.3">
      <c r="C171" s="3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V171" s="27"/>
      <c r="W171" s="27"/>
      <c r="X171" s="27"/>
    </row>
    <row r="172" spans="3:24" x14ac:dyDescent="0.3">
      <c r="C172" s="3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V172" s="27"/>
      <c r="W172" s="27"/>
      <c r="X172" s="27"/>
    </row>
    <row r="173" spans="3:24" x14ac:dyDescent="0.3">
      <c r="C173" s="3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V173" s="27"/>
      <c r="W173" s="27"/>
      <c r="X173" s="27"/>
    </row>
    <row r="174" spans="3:24" x14ac:dyDescent="0.3">
      <c r="C174" s="3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V174" s="27"/>
      <c r="W174" s="27"/>
      <c r="X174" s="27"/>
    </row>
    <row r="175" spans="3:24" x14ac:dyDescent="0.3">
      <c r="C175" s="3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V175" s="27"/>
      <c r="W175" s="27"/>
      <c r="X175" s="27"/>
    </row>
    <row r="176" spans="3:24" x14ac:dyDescent="0.3">
      <c r="C176" s="3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V176" s="27"/>
      <c r="W176" s="27"/>
      <c r="X176" s="27"/>
    </row>
    <row r="177" spans="3:24" x14ac:dyDescent="0.3">
      <c r="C177" s="3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V177" s="27"/>
      <c r="W177" s="27"/>
      <c r="X177" s="27"/>
    </row>
    <row r="178" spans="3:24" x14ac:dyDescent="0.3">
      <c r="C178" s="3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V178" s="27"/>
      <c r="W178" s="27"/>
      <c r="X178" s="27"/>
    </row>
    <row r="179" spans="3:24" x14ac:dyDescent="0.3">
      <c r="C179" s="3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V179" s="27"/>
      <c r="W179" s="27"/>
      <c r="X179" s="27"/>
    </row>
    <row r="180" spans="3:24" x14ac:dyDescent="0.3">
      <c r="C180" s="3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V180" s="27"/>
      <c r="W180" s="27"/>
      <c r="X180" s="27"/>
    </row>
    <row r="181" spans="3:24" x14ac:dyDescent="0.3">
      <c r="C181" s="3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V181" s="27"/>
      <c r="W181" s="27"/>
      <c r="X181" s="27"/>
    </row>
    <row r="182" spans="3:24" x14ac:dyDescent="0.3">
      <c r="C182" s="3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V182" s="27"/>
      <c r="W182" s="27"/>
      <c r="X182" s="27"/>
    </row>
    <row r="183" spans="3:24" x14ac:dyDescent="0.3">
      <c r="C183" s="3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V183" s="27"/>
      <c r="W183" s="27"/>
      <c r="X183" s="27"/>
    </row>
    <row r="184" spans="3:24" x14ac:dyDescent="0.3">
      <c r="C184" s="3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V184" s="27"/>
      <c r="W184" s="27"/>
      <c r="X184" s="27"/>
    </row>
    <row r="185" spans="3:24" x14ac:dyDescent="0.3">
      <c r="C185" s="3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V185" s="27"/>
      <c r="W185" s="27"/>
      <c r="X185" s="27"/>
    </row>
    <row r="186" spans="3:24" x14ac:dyDescent="0.3">
      <c r="C186" s="3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V186" s="27"/>
      <c r="W186" s="27"/>
      <c r="X186" s="27"/>
    </row>
    <row r="187" spans="3:24" x14ac:dyDescent="0.3">
      <c r="C187" s="3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V187" s="27"/>
      <c r="W187" s="27"/>
      <c r="X187" s="27"/>
    </row>
    <row r="188" spans="3:24" x14ac:dyDescent="0.3">
      <c r="C188" s="3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V188" s="27"/>
      <c r="W188" s="27"/>
      <c r="X188" s="27"/>
    </row>
    <row r="189" spans="3:24" x14ac:dyDescent="0.3">
      <c r="C189" s="3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V189" s="27"/>
      <c r="W189" s="27"/>
      <c r="X189" s="27"/>
    </row>
    <row r="190" spans="3:24" x14ac:dyDescent="0.3">
      <c r="C190" s="3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V190" s="27"/>
      <c r="W190" s="27"/>
      <c r="X190" s="27"/>
    </row>
    <row r="191" spans="3:24" x14ac:dyDescent="0.3">
      <c r="C191" s="3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V191" s="27"/>
      <c r="W191" s="27"/>
      <c r="X191" s="27"/>
    </row>
    <row r="192" spans="3:24" x14ac:dyDescent="0.3">
      <c r="C192" s="3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V192" s="27"/>
      <c r="W192" s="27"/>
      <c r="X192" s="27"/>
    </row>
    <row r="193" spans="3:24" x14ac:dyDescent="0.3">
      <c r="C193" s="3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V193" s="27"/>
      <c r="W193" s="27"/>
      <c r="X193" s="27"/>
    </row>
    <row r="194" spans="3:24" x14ac:dyDescent="0.3">
      <c r="C194" s="3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V194" s="27"/>
      <c r="W194" s="27"/>
      <c r="X194" s="27"/>
    </row>
    <row r="195" spans="3:24" x14ac:dyDescent="0.3">
      <c r="C195" s="3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V195" s="27"/>
      <c r="W195" s="27"/>
      <c r="X195" s="27"/>
    </row>
    <row r="196" spans="3:24" x14ac:dyDescent="0.3">
      <c r="C196" s="3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V196" s="27"/>
      <c r="W196" s="27"/>
      <c r="X196" s="27"/>
    </row>
    <row r="197" spans="3:24" x14ac:dyDescent="0.3">
      <c r="C197" s="3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V197" s="27"/>
      <c r="W197" s="27"/>
      <c r="X197" s="27"/>
    </row>
    <row r="198" spans="3:24" x14ac:dyDescent="0.3">
      <c r="C198" s="3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V198" s="27"/>
      <c r="W198" s="27"/>
      <c r="X198" s="27"/>
    </row>
    <row r="199" spans="3:24" x14ac:dyDescent="0.3">
      <c r="C199" s="3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V199" s="27"/>
      <c r="W199" s="27"/>
      <c r="X199" s="27"/>
    </row>
    <row r="200" spans="3:24" x14ac:dyDescent="0.3">
      <c r="C200" s="3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V200" s="27"/>
      <c r="W200" s="27"/>
      <c r="X200" s="27"/>
    </row>
    <row r="201" spans="3:24" x14ac:dyDescent="0.3">
      <c r="C201" s="3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V201" s="27"/>
      <c r="W201" s="27"/>
      <c r="X201" s="27"/>
    </row>
    <row r="202" spans="3:24" x14ac:dyDescent="0.3">
      <c r="C202" s="3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V202" s="27"/>
      <c r="W202" s="27"/>
      <c r="X202" s="27"/>
    </row>
    <row r="203" spans="3:24" x14ac:dyDescent="0.3">
      <c r="C203" s="3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V203" s="27"/>
      <c r="W203" s="27"/>
      <c r="X203" s="27"/>
    </row>
    <row r="204" spans="3:24" x14ac:dyDescent="0.3">
      <c r="C204" s="3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V204" s="27"/>
      <c r="W204" s="27"/>
      <c r="X204" s="27"/>
    </row>
    <row r="205" spans="3:24" x14ac:dyDescent="0.3">
      <c r="C205" s="3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V205" s="27"/>
      <c r="W205" s="27"/>
      <c r="X205" s="27"/>
    </row>
    <row r="206" spans="3:24" x14ac:dyDescent="0.3">
      <c r="C206" s="3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V206" s="27"/>
      <c r="W206" s="27"/>
      <c r="X206" s="27"/>
    </row>
    <row r="207" spans="3:24" x14ac:dyDescent="0.3">
      <c r="C207" s="3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V207" s="27"/>
      <c r="W207" s="27"/>
      <c r="X207" s="27"/>
    </row>
    <row r="208" spans="3:24" x14ac:dyDescent="0.3">
      <c r="C208" s="3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V208" s="27"/>
      <c r="W208" s="27"/>
      <c r="X208" s="27"/>
    </row>
    <row r="209" spans="3:24" x14ac:dyDescent="0.3">
      <c r="C209" s="3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V209" s="27"/>
      <c r="W209" s="27"/>
      <c r="X209" s="27"/>
    </row>
    <row r="210" spans="3:24" x14ac:dyDescent="0.3">
      <c r="C210" s="3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V210" s="27"/>
      <c r="W210" s="27"/>
      <c r="X210" s="27"/>
    </row>
    <row r="211" spans="3:24" x14ac:dyDescent="0.3">
      <c r="C211" s="3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V211" s="27"/>
      <c r="W211" s="27"/>
      <c r="X211" s="27"/>
    </row>
    <row r="212" spans="3:24" x14ac:dyDescent="0.3">
      <c r="C212" s="3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V212" s="27"/>
      <c r="W212" s="27"/>
      <c r="X212" s="27"/>
    </row>
    <row r="213" spans="3:24" x14ac:dyDescent="0.3">
      <c r="C213" s="3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V213" s="27"/>
      <c r="W213" s="27"/>
      <c r="X213" s="27"/>
    </row>
    <row r="214" spans="3:24" x14ac:dyDescent="0.3">
      <c r="C214" s="3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V214" s="27"/>
      <c r="W214" s="27"/>
      <c r="X214" s="27"/>
    </row>
    <row r="215" spans="3:24" x14ac:dyDescent="0.3">
      <c r="C215" s="3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V215" s="27"/>
      <c r="W215" s="27"/>
      <c r="X215" s="27"/>
    </row>
    <row r="216" spans="3:24" x14ac:dyDescent="0.3">
      <c r="C216" s="3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V216" s="27"/>
      <c r="W216" s="27"/>
      <c r="X216" s="27"/>
    </row>
    <row r="217" spans="3:24" x14ac:dyDescent="0.3">
      <c r="C217" s="3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V217" s="27"/>
      <c r="W217" s="27"/>
      <c r="X217" s="27"/>
    </row>
    <row r="218" spans="3:24" x14ac:dyDescent="0.3">
      <c r="C218" s="3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V218" s="27"/>
      <c r="W218" s="27"/>
      <c r="X218" s="27"/>
    </row>
    <row r="219" spans="3:24" x14ac:dyDescent="0.3">
      <c r="C219" s="3"/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V219" s="27"/>
      <c r="W219" s="27"/>
      <c r="X219" s="27"/>
    </row>
    <row r="220" spans="3:24" x14ac:dyDescent="0.3">
      <c r="C220" s="3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V220" s="27"/>
      <c r="W220" s="27"/>
      <c r="X220" s="27"/>
    </row>
    <row r="221" spans="3:24" x14ac:dyDescent="0.3">
      <c r="C221" s="3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V221" s="27"/>
      <c r="W221" s="27"/>
      <c r="X221" s="27"/>
    </row>
    <row r="222" spans="3:24" x14ac:dyDescent="0.3">
      <c r="C222" s="3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V222" s="27"/>
      <c r="W222" s="27"/>
      <c r="X222" s="27"/>
    </row>
    <row r="223" spans="3:24" x14ac:dyDescent="0.3">
      <c r="C223" s="3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V223" s="27"/>
      <c r="W223" s="27"/>
      <c r="X223" s="27"/>
    </row>
    <row r="224" spans="3:24" x14ac:dyDescent="0.3">
      <c r="C224" s="3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V224" s="27"/>
      <c r="W224" s="27"/>
      <c r="X224" s="27"/>
    </row>
    <row r="225" spans="3:24" x14ac:dyDescent="0.3">
      <c r="C225" s="3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V225" s="27"/>
      <c r="W225" s="27"/>
      <c r="X225" s="27"/>
    </row>
    <row r="226" spans="3:24" x14ac:dyDescent="0.3">
      <c r="C226" s="3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V226" s="27"/>
      <c r="W226" s="27"/>
      <c r="X226" s="27"/>
    </row>
    <row r="227" spans="3:24" x14ac:dyDescent="0.3">
      <c r="C227" s="3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V227" s="27"/>
      <c r="W227" s="27"/>
      <c r="X227" s="27"/>
    </row>
    <row r="228" spans="3:24" x14ac:dyDescent="0.3">
      <c r="C228" s="3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V228" s="27"/>
      <c r="W228" s="27"/>
      <c r="X228" s="27"/>
    </row>
    <row r="229" spans="3:24" x14ac:dyDescent="0.3">
      <c r="C229" s="3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V229" s="27"/>
      <c r="W229" s="27"/>
      <c r="X229" s="27"/>
    </row>
    <row r="230" spans="3:24" x14ac:dyDescent="0.3">
      <c r="C230" s="3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V230" s="27"/>
      <c r="W230" s="27"/>
      <c r="X230" s="27"/>
    </row>
    <row r="231" spans="3:24" x14ac:dyDescent="0.3">
      <c r="C231" s="3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V231" s="27"/>
      <c r="W231" s="27"/>
      <c r="X231" s="27"/>
    </row>
    <row r="232" spans="3:24" x14ac:dyDescent="0.3">
      <c r="C232" s="3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V232" s="27"/>
      <c r="W232" s="27"/>
      <c r="X232" s="27"/>
    </row>
    <row r="233" spans="3:24" x14ac:dyDescent="0.3">
      <c r="C233" s="3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V233" s="27"/>
      <c r="W233" s="27"/>
      <c r="X233" s="27"/>
    </row>
    <row r="234" spans="3:24" x14ac:dyDescent="0.3">
      <c r="C234" s="3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V234" s="27"/>
      <c r="W234" s="27"/>
      <c r="X234" s="27"/>
    </row>
    <row r="235" spans="3:24" x14ac:dyDescent="0.3">
      <c r="C235" s="3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V235" s="27"/>
      <c r="W235" s="27"/>
      <c r="X235" s="27"/>
    </row>
    <row r="236" spans="3:24" x14ac:dyDescent="0.3">
      <c r="C236" s="3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V236" s="27"/>
      <c r="W236" s="27"/>
      <c r="X236" s="27"/>
    </row>
    <row r="237" spans="3:24" x14ac:dyDescent="0.3">
      <c r="C237" s="3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V237" s="27"/>
      <c r="W237" s="27"/>
      <c r="X237" s="27"/>
    </row>
    <row r="238" spans="3:24" x14ac:dyDescent="0.3">
      <c r="C238" s="3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V238" s="27"/>
      <c r="W238" s="27"/>
      <c r="X238" s="27"/>
    </row>
    <row r="239" spans="3:24" x14ac:dyDescent="0.3">
      <c r="C239" s="3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V239" s="27"/>
      <c r="W239" s="27"/>
      <c r="X239" s="27"/>
    </row>
    <row r="240" spans="3:24" x14ac:dyDescent="0.3">
      <c r="C240" s="3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V240" s="27"/>
      <c r="W240" s="27"/>
      <c r="X240" s="27"/>
    </row>
    <row r="241" spans="3:24" x14ac:dyDescent="0.3">
      <c r="C241" s="3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V241" s="27"/>
      <c r="W241" s="27"/>
      <c r="X241" s="27"/>
    </row>
    <row r="242" spans="3:24" x14ac:dyDescent="0.3">
      <c r="C242" s="3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V242" s="27"/>
      <c r="W242" s="27"/>
      <c r="X242" s="27"/>
    </row>
    <row r="243" spans="3:24" x14ac:dyDescent="0.3">
      <c r="C243" s="3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V243" s="27"/>
      <c r="W243" s="27"/>
      <c r="X243" s="27"/>
    </row>
    <row r="244" spans="3:24" x14ac:dyDescent="0.3">
      <c r="C244" s="3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V244" s="27"/>
      <c r="W244" s="27"/>
      <c r="X244" s="27"/>
    </row>
    <row r="245" spans="3:24" x14ac:dyDescent="0.3">
      <c r="C245" s="3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V245" s="27"/>
      <c r="W245" s="27"/>
      <c r="X245" s="27"/>
    </row>
    <row r="246" spans="3:24" x14ac:dyDescent="0.3">
      <c r="C246" s="3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V246" s="27"/>
      <c r="W246" s="27"/>
      <c r="X246" s="27"/>
    </row>
    <row r="247" spans="3:24" x14ac:dyDescent="0.3">
      <c r="C247" s="3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V247" s="27"/>
      <c r="W247" s="27"/>
      <c r="X247" s="27"/>
    </row>
    <row r="248" spans="3:24" x14ac:dyDescent="0.3">
      <c r="C248" s="3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V248" s="27"/>
      <c r="W248" s="27"/>
      <c r="X248" s="27"/>
    </row>
    <row r="249" spans="3:24" x14ac:dyDescent="0.3">
      <c r="C249" s="3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V249" s="27"/>
      <c r="W249" s="27"/>
      <c r="X249" s="27"/>
    </row>
    <row r="250" spans="3:24" x14ac:dyDescent="0.3">
      <c r="C250" s="3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V250" s="27"/>
      <c r="W250" s="27"/>
      <c r="X250" s="27"/>
    </row>
    <row r="251" spans="3:24" x14ac:dyDescent="0.3">
      <c r="C251" s="3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V251" s="27"/>
      <c r="W251" s="27"/>
      <c r="X251" s="27"/>
    </row>
    <row r="252" spans="3:24" x14ac:dyDescent="0.3">
      <c r="C252" s="3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V252" s="27"/>
      <c r="W252" s="27"/>
      <c r="X252" s="27"/>
    </row>
    <row r="253" spans="3:24" x14ac:dyDescent="0.3">
      <c r="C253" s="3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V253" s="27"/>
      <c r="W253" s="27"/>
      <c r="X253" s="27"/>
    </row>
    <row r="254" spans="3:24" x14ac:dyDescent="0.3">
      <c r="C254" s="3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V254" s="27"/>
      <c r="W254" s="27"/>
      <c r="X254" s="27"/>
    </row>
    <row r="255" spans="3:24" x14ac:dyDescent="0.3">
      <c r="C255" s="3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V255" s="27"/>
      <c r="W255" s="27"/>
      <c r="X255" s="27"/>
    </row>
    <row r="256" spans="3:24" x14ac:dyDescent="0.3">
      <c r="C256" s="3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V256" s="27"/>
      <c r="W256" s="27"/>
      <c r="X256" s="27"/>
    </row>
    <row r="257" spans="3:24" x14ac:dyDescent="0.3">
      <c r="C257" s="3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V257" s="27"/>
      <c r="W257" s="27"/>
      <c r="X257" s="27"/>
    </row>
    <row r="258" spans="3:24" x14ac:dyDescent="0.3">
      <c r="C258" s="3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V258" s="27"/>
      <c r="W258" s="27"/>
      <c r="X258" s="27"/>
    </row>
    <row r="259" spans="3:24" x14ac:dyDescent="0.3">
      <c r="C259" s="3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V259" s="27"/>
      <c r="W259" s="27"/>
      <c r="X259" s="27"/>
    </row>
    <row r="260" spans="3:24" x14ac:dyDescent="0.3">
      <c r="C260" s="3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V260" s="27"/>
      <c r="W260" s="27"/>
      <c r="X260" s="27"/>
    </row>
    <row r="261" spans="3:24" x14ac:dyDescent="0.3">
      <c r="C261" s="3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V261" s="27"/>
      <c r="W261" s="27"/>
      <c r="X261" s="27"/>
    </row>
    <row r="262" spans="3:24" x14ac:dyDescent="0.3">
      <c r="C262" s="3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V262" s="27"/>
      <c r="W262" s="27"/>
      <c r="X262" s="27"/>
    </row>
    <row r="263" spans="3:24" x14ac:dyDescent="0.3">
      <c r="C263" s="3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V263" s="27"/>
      <c r="W263" s="27"/>
      <c r="X263" s="27"/>
    </row>
    <row r="264" spans="3:24" x14ac:dyDescent="0.3">
      <c r="C264" s="3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V264" s="27"/>
      <c r="W264" s="27"/>
      <c r="X264" s="27"/>
    </row>
    <row r="265" spans="3:24" x14ac:dyDescent="0.3">
      <c r="C265" s="3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V265" s="27"/>
      <c r="W265" s="27"/>
      <c r="X265" s="27"/>
    </row>
    <row r="266" spans="3:24" x14ac:dyDescent="0.3">
      <c r="C266" s="3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V266" s="27"/>
      <c r="W266" s="27"/>
      <c r="X266" s="27"/>
    </row>
    <row r="267" spans="3:24" x14ac:dyDescent="0.3">
      <c r="C267" s="3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V267" s="27"/>
      <c r="W267" s="27"/>
      <c r="X267" s="27"/>
    </row>
    <row r="268" spans="3:24" x14ac:dyDescent="0.3">
      <c r="C268" s="3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V268" s="27"/>
      <c r="W268" s="27"/>
      <c r="X268" s="27"/>
    </row>
    <row r="269" spans="3:24" x14ac:dyDescent="0.3">
      <c r="C269" s="3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V269" s="27"/>
      <c r="W269" s="27"/>
      <c r="X269" s="27"/>
    </row>
    <row r="270" spans="3:24" x14ac:dyDescent="0.3">
      <c r="C270" s="3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V270" s="27"/>
      <c r="W270" s="27"/>
      <c r="X270" s="27"/>
    </row>
    <row r="271" spans="3:24" x14ac:dyDescent="0.3">
      <c r="C271" s="3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V271" s="27"/>
      <c r="W271" s="27"/>
      <c r="X271" s="27"/>
    </row>
    <row r="272" spans="3:24" x14ac:dyDescent="0.3">
      <c r="C272" s="3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V272" s="27"/>
      <c r="W272" s="27"/>
      <c r="X272" s="27"/>
    </row>
    <row r="273" spans="3:24" x14ac:dyDescent="0.3">
      <c r="C273" s="3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V273" s="27"/>
      <c r="W273" s="27"/>
      <c r="X273" s="27"/>
    </row>
    <row r="274" spans="3:24" x14ac:dyDescent="0.3">
      <c r="C274" s="3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V274" s="27"/>
      <c r="W274" s="27"/>
      <c r="X274" s="27"/>
    </row>
    <row r="275" spans="3:24" x14ac:dyDescent="0.3">
      <c r="C275" s="3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V275" s="27"/>
      <c r="W275" s="27"/>
      <c r="X275" s="27"/>
    </row>
    <row r="276" spans="3:24" x14ac:dyDescent="0.3">
      <c r="C276" s="3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V276" s="27"/>
      <c r="W276" s="27"/>
      <c r="X276" s="27"/>
    </row>
    <row r="277" spans="3:24" x14ac:dyDescent="0.3">
      <c r="C277" s="3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V277" s="27"/>
      <c r="W277" s="27"/>
      <c r="X277" s="27"/>
    </row>
    <row r="278" spans="3:24" x14ac:dyDescent="0.3">
      <c r="C278" s="3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V278" s="27"/>
      <c r="W278" s="27"/>
      <c r="X278" s="27"/>
    </row>
    <row r="279" spans="3:24" x14ac:dyDescent="0.3">
      <c r="C279" s="3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V279" s="27"/>
      <c r="W279" s="27"/>
      <c r="X279" s="27"/>
    </row>
    <row r="280" spans="3:24" x14ac:dyDescent="0.3">
      <c r="C280" s="3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V280" s="27"/>
      <c r="W280" s="27"/>
      <c r="X280" s="27"/>
    </row>
    <row r="281" spans="3:24" x14ac:dyDescent="0.3">
      <c r="C281" s="3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V281" s="27"/>
      <c r="W281" s="27"/>
      <c r="X281" s="27"/>
    </row>
    <row r="282" spans="3:24" x14ac:dyDescent="0.3">
      <c r="C282" s="3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V282" s="27"/>
      <c r="W282" s="27"/>
      <c r="X282" s="27"/>
    </row>
    <row r="283" spans="3:24" x14ac:dyDescent="0.3">
      <c r="C283" s="3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V283" s="27"/>
      <c r="W283" s="27"/>
      <c r="X283" s="27"/>
    </row>
    <row r="284" spans="3:24" x14ac:dyDescent="0.3">
      <c r="C284" s="3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V284" s="27"/>
      <c r="W284" s="27"/>
      <c r="X284" s="27"/>
    </row>
    <row r="285" spans="3:24" x14ac:dyDescent="0.3">
      <c r="C285" s="3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V285" s="27"/>
      <c r="W285" s="27"/>
      <c r="X285" s="27"/>
    </row>
    <row r="286" spans="3:24" x14ac:dyDescent="0.3">
      <c r="C286" s="3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V286" s="27"/>
      <c r="W286" s="27"/>
      <c r="X286" s="27"/>
    </row>
    <row r="287" spans="3:24" x14ac:dyDescent="0.3">
      <c r="C287" s="3"/>
      <c r="D287" s="27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V287" s="27"/>
      <c r="W287" s="27"/>
      <c r="X287" s="27"/>
    </row>
    <row r="288" spans="3:24" x14ac:dyDescent="0.3">
      <c r="C288" s="3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V288" s="27"/>
      <c r="W288" s="27"/>
      <c r="X288" s="27"/>
    </row>
    <row r="289" spans="3:24" x14ac:dyDescent="0.3">
      <c r="C289" s="3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V289" s="27"/>
      <c r="W289" s="27"/>
      <c r="X289" s="27"/>
    </row>
    <row r="290" spans="3:24" x14ac:dyDescent="0.3">
      <c r="C290" s="3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V290" s="27"/>
      <c r="W290" s="27"/>
      <c r="X290" s="27"/>
    </row>
    <row r="291" spans="3:24" x14ac:dyDescent="0.3">
      <c r="C291" s="3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V291" s="27"/>
      <c r="W291" s="27"/>
      <c r="X291" s="27"/>
    </row>
    <row r="292" spans="3:24" x14ac:dyDescent="0.3">
      <c r="C292" s="3"/>
      <c r="D292" s="27"/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V292" s="27"/>
      <c r="W292" s="27"/>
      <c r="X292" s="27"/>
    </row>
    <row r="293" spans="3:24" x14ac:dyDescent="0.3">
      <c r="C293" s="3"/>
      <c r="D293" s="27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V293" s="27"/>
      <c r="W293" s="27"/>
      <c r="X293" s="27"/>
    </row>
    <row r="294" spans="3:24" x14ac:dyDescent="0.3">
      <c r="C294" s="3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V294" s="27"/>
      <c r="W294" s="27"/>
      <c r="X294" s="27"/>
    </row>
    <row r="295" spans="3:24" x14ac:dyDescent="0.3">
      <c r="C295" s="3"/>
      <c r="D295" s="27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V295" s="27"/>
      <c r="W295" s="27"/>
      <c r="X295" s="27"/>
    </row>
    <row r="296" spans="3:24" x14ac:dyDescent="0.3">
      <c r="C296" s="3"/>
      <c r="D296" s="27"/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V296" s="27"/>
      <c r="W296" s="27"/>
      <c r="X296" s="27"/>
    </row>
    <row r="297" spans="3:24" x14ac:dyDescent="0.3">
      <c r="C297" s="3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V297" s="27"/>
      <c r="W297" s="27"/>
      <c r="X297" s="27"/>
    </row>
    <row r="298" spans="3:24" x14ac:dyDescent="0.3">
      <c r="C298" s="3"/>
      <c r="D298" s="27"/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V298" s="27"/>
      <c r="W298" s="27"/>
      <c r="X298" s="27"/>
    </row>
    <row r="299" spans="3:24" x14ac:dyDescent="0.3">
      <c r="C299" s="3"/>
      <c r="D299" s="27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V299" s="27"/>
      <c r="W299" s="27"/>
      <c r="X299" s="27"/>
    </row>
    <row r="300" spans="3:24" x14ac:dyDescent="0.3">
      <c r="C300" s="3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V300" s="27"/>
      <c r="W300" s="27"/>
      <c r="X300" s="27"/>
    </row>
    <row r="301" spans="3:24" x14ac:dyDescent="0.3">
      <c r="C301" s="3"/>
      <c r="D301" s="27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V301" s="27"/>
      <c r="W301" s="27"/>
      <c r="X301" s="27"/>
    </row>
    <row r="302" spans="3:24" x14ac:dyDescent="0.3">
      <c r="C302" s="3"/>
      <c r="D302" s="27"/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V302" s="27"/>
      <c r="W302" s="27"/>
      <c r="X302" s="27"/>
    </row>
    <row r="303" spans="3:24" x14ac:dyDescent="0.3">
      <c r="C303" s="3"/>
      <c r="D303" s="27"/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V303" s="27"/>
      <c r="W303" s="27"/>
      <c r="X303" s="27"/>
    </row>
    <row r="304" spans="3:24" x14ac:dyDescent="0.3">
      <c r="C304" s="3"/>
      <c r="D304" s="27"/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V304" s="27"/>
      <c r="W304" s="27"/>
      <c r="X304" s="27"/>
    </row>
    <row r="305" spans="3:24" x14ac:dyDescent="0.3">
      <c r="C305" s="3"/>
      <c r="D305" s="27"/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V305" s="27"/>
      <c r="W305" s="27"/>
      <c r="X305" s="27"/>
    </row>
    <row r="306" spans="3:24" x14ac:dyDescent="0.3">
      <c r="C306" s="3"/>
      <c r="D306" s="27"/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V306" s="27"/>
      <c r="W306" s="27"/>
      <c r="X306" s="27"/>
    </row>
    <row r="307" spans="3:24" x14ac:dyDescent="0.3">
      <c r="C307" s="3"/>
      <c r="D307" s="27"/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V307" s="27"/>
      <c r="W307" s="27"/>
      <c r="X307" s="27"/>
    </row>
    <row r="308" spans="3:24" x14ac:dyDescent="0.3">
      <c r="C308" s="3"/>
      <c r="D308" s="27"/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V308" s="27"/>
      <c r="W308" s="27"/>
      <c r="X308" s="27"/>
    </row>
    <row r="309" spans="3:24" x14ac:dyDescent="0.3">
      <c r="C309" s="3"/>
      <c r="D309" s="27"/>
      <c r="E309" s="27"/>
      <c r="F309" s="27"/>
      <c r="G309" s="27"/>
      <c r="H309" s="27"/>
      <c r="I309" s="27"/>
      <c r="J309" s="27"/>
      <c r="K309" s="27"/>
      <c r="L309" s="27"/>
      <c r="M309" s="27"/>
      <c r="N309" s="27"/>
      <c r="O309" s="27"/>
      <c r="V309" s="27"/>
      <c r="W309" s="27"/>
      <c r="X309" s="27"/>
    </row>
    <row r="310" spans="3:24" x14ac:dyDescent="0.3">
      <c r="C310" s="3"/>
      <c r="D310" s="27"/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V310" s="27"/>
      <c r="W310" s="27"/>
      <c r="X310" s="27"/>
    </row>
    <row r="311" spans="3:24" x14ac:dyDescent="0.3">
      <c r="C311" s="3"/>
      <c r="D311" s="27"/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V311" s="27"/>
      <c r="W311" s="27"/>
      <c r="X311" s="27"/>
    </row>
    <row r="312" spans="3:24" x14ac:dyDescent="0.3">
      <c r="C312" s="3"/>
      <c r="D312" s="27"/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V312" s="27"/>
      <c r="W312" s="27"/>
      <c r="X312" s="27"/>
    </row>
    <row r="313" spans="3:24" x14ac:dyDescent="0.3">
      <c r="C313" s="3"/>
      <c r="D313" s="27"/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V313" s="27"/>
      <c r="W313" s="27"/>
      <c r="X313" s="27"/>
    </row>
    <row r="314" spans="3:24" x14ac:dyDescent="0.3">
      <c r="C314" s="3"/>
      <c r="D314" s="27"/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V314" s="27"/>
      <c r="W314" s="27"/>
      <c r="X314" s="27"/>
    </row>
    <row r="315" spans="3:24" x14ac:dyDescent="0.3">
      <c r="C315" s="3"/>
      <c r="D315" s="27"/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V315" s="27"/>
      <c r="W315" s="27"/>
      <c r="X315" s="27"/>
    </row>
    <row r="316" spans="3:24" x14ac:dyDescent="0.3">
      <c r="C316" s="3"/>
      <c r="D316" s="27"/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V316" s="27"/>
      <c r="W316" s="27"/>
      <c r="X316" s="27"/>
    </row>
    <row r="317" spans="3:24" x14ac:dyDescent="0.3">
      <c r="C317" s="3"/>
      <c r="D317" s="27"/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V317" s="27"/>
      <c r="W317" s="27"/>
      <c r="X317" s="27"/>
    </row>
    <row r="318" spans="3:24" x14ac:dyDescent="0.3">
      <c r="C318" s="3"/>
      <c r="D318" s="27"/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V318" s="27"/>
      <c r="W318" s="27"/>
      <c r="X318" s="27"/>
    </row>
    <row r="319" spans="3:24" x14ac:dyDescent="0.3">
      <c r="C319" s="3"/>
      <c r="D319" s="27"/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V319" s="27"/>
      <c r="W319" s="27"/>
      <c r="X319" s="27"/>
    </row>
    <row r="320" spans="3:24" x14ac:dyDescent="0.3">
      <c r="C320" s="3"/>
      <c r="D320" s="27"/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V320" s="27"/>
      <c r="W320" s="27"/>
      <c r="X320" s="27"/>
    </row>
    <row r="321" spans="3:24" x14ac:dyDescent="0.3">
      <c r="C321" s="3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V321" s="27"/>
      <c r="W321" s="27"/>
      <c r="X321" s="27"/>
    </row>
    <row r="322" spans="3:24" x14ac:dyDescent="0.3">
      <c r="C322" s="3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V322" s="27"/>
      <c r="W322" s="27"/>
      <c r="X322" s="27"/>
    </row>
    <row r="323" spans="3:24" x14ac:dyDescent="0.3">
      <c r="C323" s="3"/>
      <c r="D323" s="27"/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V323" s="27"/>
      <c r="W323" s="27"/>
      <c r="X323" s="27"/>
    </row>
    <row r="324" spans="3:24" x14ac:dyDescent="0.3">
      <c r="C324" s="3"/>
      <c r="D324" s="27"/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V324" s="27"/>
      <c r="W324" s="27"/>
      <c r="X324" s="27"/>
    </row>
    <row r="325" spans="3:24" x14ac:dyDescent="0.3">
      <c r="C325" s="3"/>
      <c r="D325" s="27"/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V325" s="27"/>
      <c r="W325" s="27"/>
      <c r="X325" s="27"/>
    </row>
    <row r="326" spans="3:24" x14ac:dyDescent="0.3">
      <c r="C326" s="3"/>
      <c r="D326" s="27"/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V326" s="27"/>
      <c r="W326" s="27"/>
      <c r="X326" s="27"/>
    </row>
    <row r="327" spans="3:24" x14ac:dyDescent="0.3">
      <c r="C327" s="3"/>
      <c r="D327" s="27"/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V327" s="27"/>
      <c r="W327" s="27"/>
      <c r="X327" s="27"/>
    </row>
    <row r="328" spans="3:24" x14ac:dyDescent="0.3">
      <c r="C328" s="3"/>
      <c r="D328" s="27"/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V328" s="27"/>
      <c r="W328" s="27"/>
      <c r="X328" s="27"/>
    </row>
    <row r="329" spans="3:24" x14ac:dyDescent="0.3">
      <c r="C329" s="3"/>
      <c r="D329" s="27"/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V329" s="27"/>
      <c r="W329" s="27"/>
      <c r="X329" s="27"/>
    </row>
    <row r="330" spans="3:24" x14ac:dyDescent="0.3">
      <c r="C330" s="3"/>
      <c r="D330" s="27"/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V330" s="27"/>
      <c r="W330" s="27"/>
      <c r="X330" s="27"/>
    </row>
    <row r="331" spans="3:24" x14ac:dyDescent="0.3">
      <c r="C331" s="3"/>
      <c r="D331" s="27"/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V331" s="27"/>
      <c r="W331" s="27"/>
      <c r="X331" s="27"/>
    </row>
    <row r="332" spans="3:24" x14ac:dyDescent="0.3">
      <c r="C332" s="3"/>
      <c r="D332" s="27"/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V332" s="27"/>
      <c r="W332" s="27"/>
      <c r="X332" s="27"/>
    </row>
    <row r="333" spans="3:24" x14ac:dyDescent="0.3">
      <c r="C333" s="3"/>
      <c r="D333" s="27"/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V333" s="27"/>
      <c r="W333" s="27"/>
      <c r="X333" s="27"/>
    </row>
    <row r="334" spans="3:24" x14ac:dyDescent="0.3">
      <c r="C334" s="3"/>
      <c r="D334" s="27"/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V334" s="27"/>
      <c r="W334" s="27"/>
      <c r="X334" s="27"/>
    </row>
    <row r="335" spans="3:24" x14ac:dyDescent="0.3">
      <c r="C335" s="3"/>
      <c r="D335" s="27"/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V335" s="27"/>
      <c r="W335" s="27"/>
      <c r="X335" s="27"/>
    </row>
    <row r="336" spans="3:24" x14ac:dyDescent="0.3">
      <c r="C336" s="3"/>
      <c r="D336" s="27"/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V336" s="27"/>
      <c r="W336" s="27"/>
      <c r="X336" s="27"/>
    </row>
    <row r="337" spans="3:24" x14ac:dyDescent="0.3">
      <c r="C337" s="3"/>
      <c r="D337" s="27"/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V337" s="27"/>
      <c r="W337" s="27"/>
      <c r="X337" s="27"/>
    </row>
    <row r="338" spans="3:24" x14ac:dyDescent="0.3">
      <c r="C338" s="3"/>
      <c r="D338" s="27"/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V338" s="27"/>
      <c r="W338" s="27"/>
      <c r="X338" s="27"/>
    </row>
    <row r="339" spans="3:24" x14ac:dyDescent="0.3">
      <c r="C339" s="3"/>
      <c r="D339" s="27"/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V339" s="27"/>
      <c r="W339" s="27"/>
      <c r="X339" s="27"/>
    </row>
    <row r="340" spans="3:24" x14ac:dyDescent="0.3">
      <c r="C340" s="3"/>
      <c r="D340" s="27"/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V340" s="27"/>
      <c r="W340" s="27"/>
      <c r="X340" s="27"/>
    </row>
    <row r="341" spans="3:24" x14ac:dyDescent="0.3">
      <c r="C341" s="3"/>
      <c r="D341" s="27"/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V341" s="27"/>
      <c r="W341" s="27"/>
      <c r="X341" s="27"/>
    </row>
    <row r="342" spans="3:24" x14ac:dyDescent="0.3">
      <c r="C342" s="3"/>
      <c r="D342" s="27"/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V342" s="27"/>
      <c r="W342" s="27"/>
      <c r="X342" s="27"/>
    </row>
    <row r="343" spans="3:24" x14ac:dyDescent="0.3">
      <c r="C343" s="3"/>
      <c r="D343" s="27"/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V343" s="27"/>
      <c r="W343" s="27"/>
      <c r="X343" s="27"/>
    </row>
    <row r="344" spans="3:24" x14ac:dyDescent="0.3">
      <c r="C344" s="3"/>
      <c r="D344" s="27"/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V344" s="27"/>
      <c r="W344" s="27"/>
      <c r="X344" s="27"/>
    </row>
    <row r="345" spans="3:24" x14ac:dyDescent="0.3">
      <c r="C345" s="3"/>
      <c r="D345" s="27"/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V345" s="27"/>
      <c r="W345" s="27"/>
      <c r="X345" s="27"/>
    </row>
    <row r="346" spans="3:24" x14ac:dyDescent="0.3">
      <c r="C346" s="3"/>
      <c r="D346" s="27"/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V346" s="27"/>
      <c r="W346" s="27"/>
      <c r="X346" s="27"/>
    </row>
    <row r="347" spans="3:24" x14ac:dyDescent="0.3">
      <c r="C347" s="3"/>
      <c r="D347" s="27"/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V347" s="27"/>
      <c r="W347" s="27"/>
      <c r="X347" s="27"/>
    </row>
    <row r="348" spans="3:24" x14ac:dyDescent="0.3">
      <c r="C348" s="3"/>
      <c r="D348" s="27"/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V348" s="27"/>
      <c r="W348" s="27"/>
      <c r="X348" s="27"/>
    </row>
    <row r="349" spans="3:24" x14ac:dyDescent="0.3">
      <c r="C349" s="3"/>
      <c r="D349" s="27"/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V349" s="27"/>
      <c r="W349" s="27"/>
      <c r="X349" s="27"/>
    </row>
    <row r="350" spans="3:24" x14ac:dyDescent="0.3">
      <c r="C350" s="3"/>
      <c r="D350" s="27"/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V350" s="27"/>
      <c r="W350" s="27"/>
      <c r="X350" s="27"/>
    </row>
    <row r="351" spans="3:24" x14ac:dyDescent="0.3">
      <c r="C351" s="3"/>
      <c r="D351" s="27"/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V351" s="27"/>
      <c r="W351" s="27"/>
      <c r="X351" s="27"/>
    </row>
    <row r="352" spans="3:24" x14ac:dyDescent="0.3">
      <c r="C352" s="3"/>
      <c r="D352" s="27"/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V352" s="27"/>
      <c r="W352" s="27"/>
      <c r="X352" s="27"/>
    </row>
    <row r="353" spans="3:24" x14ac:dyDescent="0.3">
      <c r="C353" s="3"/>
      <c r="D353" s="27"/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V353" s="27"/>
      <c r="W353" s="27"/>
      <c r="X353" s="27"/>
    </row>
    <row r="354" spans="3:24" x14ac:dyDescent="0.3">
      <c r="C354" s="3"/>
      <c r="D354" s="27"/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V354" s="27"/>
      <c r="W354" s="27"/>
      <c r="X354" s="27"/>
    </row>
    <row r="355" spans="3:24" x14ac:dyDescent="0.3">
      <c r="C355" s="3"/>
      <c r="D355" s="27"/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V355" s="27"/>
      <c r="W355" s="27"/>
      <c r="X355" s="27"/>
    </row>
    <row r="356" spans="3:24" x14ac:dyDescent="0.3">
      <c r="C356" s="3"/>
      <c r="D356" s="27"/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V356" s="27"/>
      <c r="W356" s="27"/>
      <c r="X356" s="27"/>
    </row>
    <row r="357" spans="3:24" x14ac:dyDescent="0.3">
      <c r="C357" s="3"/>
      <c r="D357" s="27"/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V357" s="27"/>
      <c r="W357" s="27"/>
      <c r="X357" s="27"/>
    </row>
    <row r="358" spans="3:24" x14ac:dyDescent="0.3">
      <c r="C358" s="3"/>
      <c r="D358" s="27"/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V358" s="27"/>
      <c r="W358" s="27"/>
      <c r="X358" s="27"/>
    </row>
    <row r="359" spans="3:24" x14ac:dyDescent="0.3">
      <c r="C359" s="3"/>
      <c r="D359" s="27"/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V359" s="27"/>
      <c r="W359" s="27"/>
      <c r="X359" s="27"/>
    </row>
    <row r="360" spans="3:24" x14ac:dyDescent="0.3">
      <c r="C360" s="3"/>
      <c r="D360" s="27"/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V360" s="27"/>
      <c r="W360" s="27"/>
      <c r="X360" s="27"/>
    </row>
    <row r="361" spans="3:24" x14ac:dyDescent="0.3">
      <c r="C361" s="3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V361" s="27"/>
      <c r="W361" s="27"/>
      <c r="X361" s="27"/>
    </row>
    <row r="362" spans="3:24" x14ac:dyDescent="0.3">
      <c r="C362" s="3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V362" s="27"/>
      <c r="W362" s="27"/>
      <c r="X362" s="27"/>
    </row>
    <row r="363" spans="3:24" x14ac:dyDescent="0.3">
      <c r="C363" s="3"/>
      <c r="D363" s="27"/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V363" s="27"/>
      <c r="W363" s="27"/>
      <c r="X363" s="27"/>
    </row>
    <row r="364" spans="3:24" x14ac:dyDescent="0.3">
      <c r="C364" s="3"/>
      <c r="D364" s="27"/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V364" s="27"/>
      <c r="W364" s="27"/>
      <c r="X364" s="27"/>
    </row>
    <row r="365" spans="3:24" x14ac:dyDescent="0.3">
      <c r="C365" s="3"/>
      <c r="D365" s="27"/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V365" s="27"/>
      <c r="W365" s="27"/>
      <c r="X365" s="27"/>
    </row>
    <row r="366" spans="3:24" x14ac:dyDescent="0.3">
      <c r="C366" s="3"/>
      <c r="D366" s="27"/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V366" s="27"/>
      <c r="W366" s="27"/>
      <c r="X366" s="27"/>
    </row>
    <row r="367" spans="3:24" x14ac:dyDescent="0.3">
      <c r="C367" s="3"/>
      <c r="D367" s="27"/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V367" s="27"/>
      <c r="W367" s="27"/>
      <c r="X367" s="27"/>
    </row>
    <row r="368" spans="3:24" x14ac:dyDescent="0.3">
      <c r="C368" s="3"/>
      <c r="D368" s="27"/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V368" s="27"/>
      <c r="W368" s="27"/>
      <c r="X368" s="27"/>
    </row>
    <row r="369" spans="3:24" x14ac:dyDescent="0.3">
      <c r="C369" s="3"/>
      <c r="D369" s="27"/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V369" s="27"/>
      <c r="W369" s="27"/>
      <c r="X369" s="27"/>
    </row>
    <row r="370" spans="3:24" x14ac:dyDescent="0.3">
      <c r="C370" s="3"/>
      <c r="D370" s="27"/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V370" s="27"/>
      <c r="W370" s="27"/>
      <c r="X370" s="27"/>
    </row>
    <row r="371" spans="3:24" x14ac:dyDescent="0.3">
      <c r="C371" s="3"/>
      <c r="D371" s="27"/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V371" s="27"/>
      <c r="W371" s="27"/>
      <c r="X371" s="27"/>
    </row>
    <row r="372" spans="3:24" x14ac:dyDescent="0.3">
      <c r="C372" s="3"/>
      <c r="D372" s="27"/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V372" s="27"/>
      <c r="W372" s="27"/>
      <c r="X372" s="27"/>
    </row>
    <row r="373" spans="3:24" x14ac:dyDescent="0.3">
      <c r="C373" s="3"/>
      <c r="D373" s="27"/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V373" s="27"/>
      <c r="W373" s="27"/>
      <c r="X373" s="27"/>
    </row>
    <row r="374" spans="3:24" x14ac:dyDescent="0.3">
      <c r="C374" s="3"/>
      <c r="D374" s="27"/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V374" s="27"/>
      <c r="W374" s="27"/>
      <c r="X374" s="27"/>
    </row>
    <row r="375" spans="3:24" x14ac:dyDescent="0.3">
      <c r="C375" s="3"/>
      <c r="D375" s="27"/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V375" s="27"/>
      <c r="W375" s="27"/>
      <c r="X375" s="27"/>
    </row>
    <row r="376" spans="3:24" x14ac:dyDescent="0.3">
      <c r="C376" s="3"/>
      <c r="D376" s="27"/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V376" s="27"/>
      <c r="W376" s="27"/>
      <c r="X376" s="27"/>
    </row>
    <row r="377" spans="3:24" x14ac:dyDescent="0.3">
      <c r="C377" s="3"/>
      <c r="D377" s="27"/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V377" s="27"/>
      <c r="W377" s="27"/>
      <c r="X377" s="27"/>
    </row>
    <row r="378" spans="3:24" x14ac:dyDescent="0.3">
      <c r="C378" s="3"/>
      <c r="D378" s="27"/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V378" s="27"/>
      <c r="W378" s="27"/>
      <c r="X378" s="27"/>
    </row>
    <row r="379" spans="3:24" x14ac:dyDescent="0.3">
      <c r="C379" s="3"/>
      <c r="D379" s="27"/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V379" s="27"/>
      <c r="W379" s="27"/>
      <c r="X379" s="27"/>
    </row>
    <row r="380" spans="3:24" x14ac:dyDescent="0.3">
      <c r="C380" s="3"/>
      <c r="D380" s="27"/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V380" s="27"/>
      <c r="W380" s="27"/>
      <c r="X380" s="27"/>
    </row>
    <row r="381" spans="3:24" x14ac:dyDescent="0.3">
      <c r="C381" s="3"/>
      <c r="D381" s="27"/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V381" s="27"/>
      <c r="W381" s="27"/>
      <c r="X381" s="27"/>
    </row>
    <row r="382" spans="3:24" x14ac:dyDescent="0.3">
      <c r="C382" s="3"/>
      <c r="D382" s="27"/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V382" s="27"/>
      <c r="W382" s="27"/>
      <c r="X382" s="27"/>
    </row>
    <row r="383" spans="3:24" x14ac:dyDescent="0.3">
      <c r="C383" s="3"/>
      <c r="D383" s="27"/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V383" s="27"/>
      <c r="W383" s="27"/>
      <c r="X383" s="27"/>
    </row>
    <row r="384" spans="3:24" x14ac:dyDescent="0.3">
      <c r="C384" s="3"/>
      <c r="D384" s="27"/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V384" s="27"/>
      <c r="W384" s="27"/>
      <c r="X384" s="27"/>
    </row>
    <row r="385" spans="3:24" x14ac:dyDescent="0.3">
      <c r="C385" s="3"/>
      <c r="D385" s="27"/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V385" s="27"/>
      <c r="W385" s="27"/>
      <c r="X385" s="27"/>
    </row>
    <row r="386" spans="3:24" x14ac:dyDescent="0.3">
      <c r="C386" s="3"/>
      <c r="D386" s="27"/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V386" s="27"/>
      <c r="W386" s="27"/>
      <c r="X386" s="27"/>
    </row>
    <row r="387" spans="3:24" x14ac:dyDescent="0.3">
      <c r="C387" s="3"/>
      <c r="D387" s="27"/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V387" s="27"/>
      <c r="W387" s="27"/>
      <c r="X387" s="27"/>
    </row>
    <row r="388" spans="3:24" x14ac:dyDescent="0.3">
      <c r="C388" s="3"/>
      <c r="D388" s="27"/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V388" s="27"/>
      <c r="W388" s="27"/>
      <c r="X388" s="27"/>
    </row>
    <row r="389" spans="3:24" x14ac:dyDescent="0.3">
      <c r="C389" s="3"/>
      <c r="D389" s="27"/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  <c r="V389" s="27"/>
      <c r="W389" s="27"/>
      <c r="X389" s="27"/>
    </row>
    <row r="390" spans="3:24" x14ac:dyDescent="0.3">
      <c r="C390" s="3"/>
      <c r="D390" s="27"/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V390" s="27"/>
      <c r="W390" s="27"/>
      <c r="X390" s="27"/>
    </row>
    <row r="391" spans="3:24" x14ac:dyDescent="0.3">
      <c r="C391" s="3"/>
      <c r="D391" s="27"/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V391" s="27"/>
      <c r="W391" s="27"/>
      <c r="X391" s="27"/>
    </row>
    <row r="392" spans="3:24" x14ac:dyDescent="0.3">
      <c r="C392" s="3"/>
      <c r="D392" s="27"/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V392" s="27"/>
      <c r="W392" s="27"/>
      <c r="X392" s="27"/>
    </row>
    <row r="393" spans="3:24" x14ac:dyDescent="0.3">
      <c r="C393" s="3"/>
      <c r="D393" s="27"/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V393" s="27"/>
      <c r="W393" s="27"/>
      <c r="X393" s="27"/>
    </row>
    <row r="394" spans="3:24" x14ac:dyDescent="0.3">
      <c r="C394" s="3"/>
      <c r="D394" s="27"/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V394" s="27"/>
      <c r="W394" s="27"/>
      <c r="X394" s="27"/>
    </row>
    <row r="395" spans="3:24" x14ac:dyDescent="0.3">
      <c r="C395" s="3"/>
      <c r="D395" s="27"/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V395" s="27"/>
      <c r="W395" s="27"/>
      <c r="X395" s="27"/>
    </row>
    <row r="396" spans="3:24" x14ac:dyDescent="0.3">
      <c r="C396" s="3"/>
      <c r="D396" s="27"/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V396" s="27"/>
      <c r="W396" s="27"/>
      <c r="X396" s="27"/>
    </row>
    <row r="397" spans="3:24" x14ac:dyDescent="0.3">
      <c r="C397" s="3"/>
      <c r="D397" s="27"/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V397" s="27"/>
      <c r="W397" s="27"/>
      <c r="X397" s="27"/>
    </row>
    <row r="398" spans="3:24" x14ac:dyDescent="0.3">
      <c r="C398" s="3"/>
      <c r="D398" s="27"/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V398" s="27"/>
      <c r="W398" s="27"/>
      <c r="X398" s="27"/>
    </row>
    <row r="399" spans="3:24" x14ac:dyDescent="0.3">
      <c r="C399" s="3"/>
      <c r="D399" s="27"/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V399" s="27"/>
      <c r="W399" s="27"/>
      <c r="X399" s="27"/>
    </row>
    <row r="400" spans="3:24" x14ac:dyDescent="0.3">
      <c r="C400" s="3"/>
      <c r="D400" s="27"/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V400" s="27"/>
      <c r="W400" s="27"/>
      <c r="X400" s="27"/>
    </row>
    <row r="401" spans="3:24" x14ac:dyDescent="0.3">
      <c r="C401" s="3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V401" s="27"/>
      <c r="W401" s="27"/>
      <c r="X401" s="27"/>
    </row>
    <row r="402" spans="3:24" x14ac:dyDescent="0.3">
      <c r="C402" s="3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V402" s="27"/>
      <c r="W402" s="27"/>
      <c r="X402" s="27"/>
    </row>
    <row r="403" spans="3:24" x14ac:dyDescent="0.3">
      <c r="C403" s="3"/>
      <c r="D403" s="27"/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V403" s="27"/>
      <c r="W403" s="27"/>
      <c r="X403" s="27"/>
    </row>
    <row r="404" spans="3:24" x14ac:dyDescent="0.3">
      <c r="C404" s="3"/>
      <c r="D404" s="27"/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V404" s="27"/>
      <c r="W404" s="27"/>
      <c r="X404" s="27"/>
    </row>
    <row r="405" spans="3:24" x14ac:dyDescent="0.3">
      <c r="C405" s="3"/>
      <c r="D405" s="27"/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V405" s="27"/>
      <c r="W405" s="27"/>
      <c r="X405" s="27"/>
    </row>
    <row r="406" spans="3:24" x14ac:dyDescent="0.3">
      <c r="C406" s="3"/>
      <c r="D406" s="27"/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V406" s="27"/>
      <c r="W406" s="27"/>
      <c r="X406" s="27"/>
    </row>
    <row r="407" spans="3:24" x14ac:dyDescent="0.3">
      <c r="C407" s="3"/>
      <c r="D407" s="27"/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V407" s="27"/>
      <c r="W407" s="27"/>
      <c r="X407" s="27"/>
    </row>
    <row r="408" spans="3:24" x14ac:dyDescent="0.3">
      <c r="C408" s="3"/>
      <c r="D408" s="27"/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V408" s="27"/>
      <c r="W408" s="27"/>
      <c r="X408" s="27"/>
    </row>
    <row r="409" spans="3:24" x14ac:dyDescent="0.3">
      <c r="C409" s="3"/>
      <c r="D409" s="27"/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V409" s="27"/>
      <c r="W409" s="27"/>
      <c r="X409" s="27"/>
    </row>
    <row r="410" spans="3:24" x14ac:dyDescent="0.3">
      <c r="C410" s="3"/>
      <c r="D410" s="27"/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V410" s="27"/>
      <c r="W410" s="27"/>
      <c r="X410" s="27"/>
    </row>
    <row r="411" spans="3:24" x14ac:dyDescent="0.3">
      <c r="C411" s="3"/>
      <c r="D411" s="27"/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V411" s="27"/>
      <c r="W411" s="27"/>
      <c r="X411" s="27"/>
    </row>
    <row r="412" spans="3:24" x14ac:dyDescent="0.3">
      <c r="C412" s="3"/>
      <c r="D412" s="27"/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V412" s="27"/>
      <c r="W412" s="27"/>
      <c r="X412" s="27"/>
    </row>
    <row r="413" spans="3:24" x14ac:dyDescent="0.3">
      <c r="C413" s="3"/>
      <c r="D413" s="27"/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V413" s="27"/>
      <c r="W413" s="27"/>
      <c r="X413" s="27"/>
    </row>
    <row r="414" spans="3:24" x14ac:dyDescent="0.3">
      <c r="C414" s="3"/>
      <c r="D414" s="27"/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V414" s="27"/>
      <c r="W414" s="27"/>
      <c r="X414" s="27"/>
    </row>
    <row r="415" spans="3:24" x14ac:dyDescent="0.3">
      <c r="C415" s="3"/>
      <c r="D415" s="27"/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V415" s="27"/>
      <c r="W415" s="27"/>
      <c r="X415" s="27"/>
    </row>
    <row r="416" spans="3:24" x14ac:dyDescent="0.3">
      <c r="C416" s="3"/>
      <c r="D416" s="27"/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V416" s="27"/>
      <c r="W416" s="27"/>
      <c r="X416" s="27"/>
    </row>
    <row r="417" spans="3:24" x14ac:dyDescent="0.3">
      <c r="C417" s="3"/>
      <c r="D417" s="27"/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V417" s="27"/>
      <c r="W417" s="27"/>
      <c r="X417" s="27"/>
    </row>
    <row r="418" spans="3:24" x14ac:dyDescent="0.3">
      <c r="C418" s="3"/>
      <c r="D418" s="27"/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V418" s="27"/>
      <c r="W418" s="27"/>
      <c r="X418" s="27"/>
    </row>
    <row r="419" spans="3:24" x14ac:dyDescent="0.3">
      <c r="C419" s="3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V419" s="27"/>
      <c r="W419" s="27"/>
      <c r="X419" s="27"/>
    </row>
    <row r="420" spans="3:24" x14ac:dyDescent="0.3">
      <c r="C420" s="3"/>
      <c r="D420" s="27"/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V420" s="27"/>
      <c r="W420" s="27"/>
      <c r="X420" s="27"/>
    </row>
    <row r="421" spans="3:24" x14ac:dyDescent="0.3">
      <c r="C421" s="3"/>
      <c r="D421" s="27"/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V421" s="27"/>
      <c r="W421" s="27"/>
      <c r="X421" s="27"/>
    </row>
    <row r="422" spans="3:24" x14ac:dyDescent="0.3">
      <c r="C422" s="3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V422" s="27"/>
      <c r="W422" s="27"/>
      <c r="X422" s="27"/>
    </row>
    <row r="423" spans="3:24" x14ac:dyDescent="0.3">
      <c r="C423" s="3"/>
      <c r="D423" s="27"/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V423" s="27"/>
      <c r="W423" s="27"/>
      <c r="X423" s="27"/>
    </row>
    <row r="424" spans="3:24" x14ac:dyDescent="0.3">
      <c r="C424" s="3"/>
      <c r="D424" s="27"/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V424" s="27"/>
      <c r="W424" s="27"/>
      <c r="X424" s="27"/>
    </row>
    <row r="425" spans="3:24" x14ac:dyDescent="0.3">
      <c r="C425" s="3"/>
      <c r="D425" s="27"/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V425" s="27"/>
      <c r="W425" s="27"/>
      <c r="X425" s="27"/>
    </row>
    <row r="426" spans="3:24" x14ac:dyDescent="0.3">
      <c r="C426" s="3"/>
      <c r="D426" s="27"/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V426" s="27"/>
      <c r="W426" s="27"/>
      <c r="X426" s="27"/>
    </row>
    <row r="427" spans="3:24" x14ac:dyDescent="0.3">
      <c r="C427" s="3"/>
      <c r="D427" s="27"/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V427" s="27"/>
      <c r="W427" s="27"/>
      <c r="X427" s="27"/>
    </row>
    <row r="428" spans="3:24" x14ac:dyDescent="0.3">
      <c r="C428" s="3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V428" s="27"/>
      <c r="W428" s="27"/>
      <c r="X428" s="27"/>
    </row>
    <row r="429" spans="3:24" x14ac:dyDescent="0.3">
      <c r="C429" s="3"/>
      <c r="D429" s="27"/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V429" s="27"/>
      <c r="W429" s="27"/>
      <c r="X429" s="27"/>
    </row>
    <row r="430" spans="3:24" x14ac:dyDescent="0.3">
      <c r="C430" s="3"/>
      <c r="D430" s="27"/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V430" s="27"/>
      <c r="W430" s="27"/>
      <c r="X430" s="27"/>
    </row>
    <row r="431" spans="3:24" x14ac:dyDescent="0.3">
      <c r="C431" s="3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V431" s="27"/>
      <c r="W431" s="27"/>
      <c r="X431" s="27"/>
    </row>
    <row r="432" spans="3:24" x14ac:dyDescent="0.3">
      <c r="C432" s="3"/>
      <c r="D432" s="27"/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V432" s="27"/>
      <c r="W432" s="27"/>
      <c r="X432" s="27"/>
    </row>
    <row r="433" spans="3:24" x14ac:dyDescent="0.3">
      <c r="C433" s="3"/>
      <c r="D433" s="27"/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V433" s="27"/>
      <c r="W433" s="27"/>
      <c r="X433" s="27"/>
    </row>
    <row r="434" spans="3:24" x14ac:dyDescent="0.3">
      <c r="C434" s="3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V434" s="27"/>
      <c r="W434" s="27"/>
      <c r="X434" s="27"/>
    </row>
    <row r="435" spans="3:24" x14ac:dyDescent="0.3">
      <c r="C435" s="3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V435" s="27"/>
      <c r="W435" s="27"/>
      <c r="X435" s="27"/>
    </row>
    <row r="436" spans="3:24" x14ac:dyDescent="0.3">
      <c r="C436" s="3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V436" s="27"/>
      <c r="W436" s="27"/>
      <c r="X436" s="27"/>
    </row>
    <row r="437" spans="3:24" x14ac:dyDescent="0.3">
      <c r="C437" s="3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V437" s="27"/>
      <c r="W437" s="27"/>
      <c r="X437" s="27"/>
    </row>
    <row r="438" spans="3:24" x14ac:dyDescent="0.3">
      <c r="C438" s="3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V438" s="27"/>
      <c r="W438" s="27"/>
      <c r="X438" s="27"/>
    </row>
    <row r="439" spans="3:24" x14ac:dyDescent="0.3">
      <c r="C439" s="3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V439" s="27"/>
      <c r="W439" s="27"/>
      <c r="X439" s="27"/>
    </row>
    <row r="440" spans="3:24" x14ac:dyDescent="0.3">
      <c r="C440" s="3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V440" s="27"/>
      <c r="W440" s="27"/>
      <c r="X440" s="27"/>
    </row>
    <row r="441" spans="3:24" x14ac:dyDescent="0.3">
      <c r="C441" s="3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V441" s="27"/>
      <c r="W441" s="27"/>
      <c r="X441" s="27"/>
    </row>
    <row r="442" spans="3:24" x14ac:dyDescent="0.3">
      <c r="C442" s="3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V442" s="27"/>
      <c r="W442" s="27"/>
      <c r="X442" s="27"/>
    </row>
    <row r="443" spans="3:24" x14ac:dyDescent="0.3">
      <c r="C443" s="3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V443" s="27"/>
      <c r="W443" s="27"/>
      <c r="X443" s="27"/>
    </row>
    <row r="444" spans="3:24" x14ac:dyDescent="0.3">
      <c r="C444" s="3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V444" s="27"/>
      <c r="W444" s="27"/>
      <c r="X444" s="27"/>
    </row>
    <row r="445" spans="3:24" x14ac:dyDescent="0.3">
      <c r="C445" s="3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V445" s="27"/>
      <c r="W445" s="27"/>
      <c r="X445" s="27"/>
    </row>
    <row r="446" spans="3:24" x14ac:dyDescent="0.3">
      <c r="C446" s="3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V446" s="27"/>
      <c r="W446" s="27"/>
      <c r="X446" s="27"/>
    </row>
    <row r="447" spans="3:24" x14ac:dyDescent="0.3">
      <c r="C447" s="3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V447" s="27"/>
      <c r="W447" s="27"/>
      <c r="X447" s="27"/>
    </row>
    <row r="448" spans="3:24" x14ac:dyDescent="0.3">
      <c r="C448" s="3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V448" s="27"/>
      <c r="W448" s="27"/>
      <c r="X448" s="27"/>
    </row>
    <row r="449" spans="3:24" x14ac:dyDescent="0.3">
      <c r="C449" s="3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V449" s="27"/>
      <c r="W449" s="27"/>
      <c r="X449" s="27"/>
    </row>
    <row r="450" spans="3:24" x14ac:dyDescent="0.3">
      <c r="C450" s="3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V450" s="27"/>
      <c r="W450" s="27"/>
      <c r="X450" s="27"/>
    </row>
    <row r="451" spans="3:24" x14ac:dyDescent="0.3">
      <c r="C451" s="3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V451" s="27"/>
      <c r="W451" s="27"/>
      <c r="X451" s="27"/>
    </row>
    <row r="452" spans="3:24" x14ac:dyDescent="0.3">
      <c r="C452" s="3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V452" s="27"/>
      <c r="W452" s="27"/>
      <c r="X452" s="27"/>
    </row>
    <row r="453" spans="3:24" x14ac:dyDescent="0.3">
      <c r="C453" s="3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V453" s="27"/>
      <c r="W453" s="27"/>
      <c r="X453" s="27"/>
    </row>
    <row r="454" spans="3:24" x14ac:dyDescent="0.3">
      <c r="C454" s="3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V454" s="27"/>
      <c r="W454" s="27"/>
      <c r="X454" s="27"/>
    </row>
    <row r="455" spans="3:24" x14ac:dyDescent="0.3">
      <c r="C455" s="3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V455" s="27"/>
      <c r="W455" s="27"/>
      <c r="X455" s="27"/>
    </row>
    <row r="456" spans="3:24" x14ac:dyDescent="0.3">
      <c r="C456" s="3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V456" s="27"/>
      <c r="W456" s="27"/>
      <c r="X456" s="27"/>
    </row>
    <row r="457" spans="3:24" x14ac:dyDescent="0.3">
      <c r="C457" s="3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V457" s="27"/>
      <c r="W457" s="27"/>
      <c r="X457" s="27"/>
    </row>
    <row r="458" spans="3:24" x14ac:dyDescent="0.3">
      <c r="C458" s="3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V458" s="27"/>
      <c r="W458" s="27"/>
      <c r="X458" s="27"/>
    </row>
    <row r="459" spans="3:24" x14ac:dyDescent="0.3">
      <c r="C459" s="3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V459" s="27"/>
      <c r="W459" s="27"/>
      <c r="X459" s="27"/>
    </row>
    <row r="460" spans="3:24" x14ac:dyDescent="0.3">
      <c r="C460" s="3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V460" s="27"/>
      <c r="W460" s="27"/>
      <c r="X460" s="27"/>
    </row>
    <row r="461" spans="3:24" x14ac:dyDescent="0.3">
      <c r="C461" s="3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V461" s="27"/>
      <c r="W461" s="27"/>
      <c r="X461" s="27"/>
    </row>
    <row r="462" spans="3:24" x14ac:dyDescent="0.3">
      <c r="C462" s="3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V462" s="27"/>
      <c r="W462" s="27"/>
      <c r="X462" s="27"/>
    </row>
    <row r="463" spans="3:24" x14ac:dyDescent="0.3">
      <c r="C463" s="3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V463" s="27"/>
      <c r="W463" s="27"/>
      <c r="X463" s="27"/>
    </row>
    <row r="464" spans="3:24" x14ac:dyDescent="0.3">
      <c r="C464" s="3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V464" s="27"/>
      <c r="W464" s="27"/>
      <c r="X464" s="27"/>
    </row>
    <row r="465" spans="3:24" x14ac:dyDescent="0.3">
      <c r="C465" s="3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V465" s="27"/>
      <c r="W465" s="27"/>
      <c r="X465" s="27"/>
    </row>
    <row r="466" spans="3:24" x14ac:dyDescent="0.3">
      <c r="C466" s="3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V466" s="27"/>
      <c r="W466" s="27"/>
      <c r="X466" s="27"/>
    </row>
    <row r="467" spans="3:24" x14ac:dyDescent="0.3">
      <c r="C467" s="3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V467" s="27"/>
      <c r="W467" s="27"/>
      <c r="X467" s="27"/>
    </row>
    <row r="468" spans="3:24" x14ac:dyDescent="0.3">
      <c r="C468" s="3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V468" s="27"/>
      <c r="W468" s="27"/>
      <c r="X468" s="27"/>
    </row>
    <row r="469" spans="3:24" x14ac:dyDescent="0.3">
      <c r="C469" s="3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V469" s="27"/>
      <c r="W469" s="27"/>
      <c r="X469" s="27"/>
    </row>
    <row r="470" spans="3:24" x14ac:dyDescent="0.3">
      <c r="C470" s="3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V470" s="27"/>
      <c r="W470" s="27"/>
      <c r="X470" s="27"/>
    </row>
    <row r="471" spans="3:24" x14ac:dyDescent="0.3">
      <c r="C471" s="3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V471" s="27"/>
      <c r="W471" s="27"/>
      <c r="X471" s="27"/>
    </row>
    <row r="472" spans="3:24" x14ac:dyDescent="0.3">
      <c r="C472" s="3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V472" s="27"/>
      <c r="W472" s="27"/>
      <c r="X472" s="27"/>
    </row>
    <row r="473" spans="3:24" x14ac:dyDescent="0.3">
      <c r="C473" s="3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V473" s="27"/>
      <c r="W473" s="27"/>
      <c r="X473" s="27"/>
    </row>
    <row r="474" spans="3:24" x14ac:dyDescent="0.3">
      <c r="C474" s="3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V474" s="27"/>
      <c r="W474" s="27"/>
      <c r="X474" s="27"/>
    </row>
    <row r="475" spans="3:24" x14ac:dyDescent="0.3">
      <c r="C475" s="3"/>
      <c r="D475" s="27"/>
      <c r="E475" s="27"/>
      <c r="F475" s="27"/>
      <c r="G475" s="27"/>
      <c r="H475" s="27"/>
      <c r="I475" s="27"/>
      <c r="J475" s="27"/>
      <c r="K475" s="27"/>
      <c r="L475" s="27"/>
      <c r="M475" s="27"/>
      <c r="N475" s="27"/>
      <c r="O475" s="27"/>
      <c r="V475" s="27"/>
      <c r="W475" s="27"/>
      <c r="X475" s="27"/>
    </row>
    <row r="476" spans="3:24" x14ac:dyDescent="0.3">
      <c r="C476" s="3"/>
      <c r="D476" s="27"/>
      <c r="E476" s="27"/>
      <c r="F476" s="27"/>
      <c r="G476" s="27"/>
      <c r="H476" s="27"/>
      <c r="I476" s="27"/>
      <c r="J476" s="27"/>
      <c r="K476" s="27"/>
      <c r="L476" s="27"/>
      <c r="M476" s="27"/>
      <c r="N476" s="27"/>
      <c r="O476" s="27"/>
      <c r="V476" s="27"/>
      <c r="W476" s="27"/>
      <c r="X476" s="27"/>
    </row>
    <row r="477" spans="3:24" x14ac:dyDescent="0.3">
      <c r="C477" s="3"/>
      <c r="D477" s="27"/>
      <c r="E477" s="27"/>
      <c r="F477" s="27"/>
      <c r="G477" s="27"/>
      <c r="H477" s="27"/>
      <c r="I477" s="27"/>
      <c r="J477" s="27"/>
      <c r="K477" s="27"/>
      <c r="L477" s="27"/>
      <c r="M477" s="27"/>
      <c r="N477" s="27"/>
      <c r="O477" s="27"/>
      <c r="V477" s="27"/>
      <c r="W477" s="27"/>
      <c r="X477" s="27"/>
    </row>
    <row r="478" spans="3:24" x14ac:dyDescent="0.3">
      <c r="C478" s="3"/>
      <c r="D478" s="27"/>
      <c r="E478" s="27"/>
      <c r="F478" s="27"/>
      <c r="G478" s="27"/>
      <c r="H478" s="27"/>
      <c r="I478" s="27"/>
      <c r="J478" s="27"/>
      <c r="K478" s="27"/>
      <c r="L478" s="27"/>
      <c r="M478" s="27"/>
      <c r="N478" s="27"/>
      <c r="O478" s="27"/>
      <c r="V478" s="27"/>
      <c r="W478" s="27"/>
      <c r="X478" s="27"/>
    </row>
    <row r="479" spans="3:24" x14ac:dyDescent="0.3">
      <c r="C479" s="3"/>
      <c r="D479" s="27"/>
      <c r="E479" s="27"/>
      <c r="F479" s="27"/>
      <c r="G479" s="27"/>
      <c r="H479" s="27"/>
      <c r="I479" s="27"/>
      <c r="J479" s="27"/>
      <c r="K479" s="27"/>
      <c r="L479" s="27"/>
      <c r="M479" s="27"/>
      <c r="N479" s="27"/>
      <c r="O479" s="27"/>
      <c r="V479" s="27"/>
      <c r="W479" s="27"/>
      <c r="X479" s="27"/>
    </row>
    <row r="480" spans="3:24" x14ac:dyDescent="0.3">
      <c r="C480" s="3"/>
      <c r="D480" s="27"/>
      <c r="E480" s="27"/>
      <c r="F480" s="27"/>
      <c r="G480" s="27"/>
      <c r="H480" s="27"/>
      <c r="I480" s="27"/>
      <c r="J480" s="27"/>
      <c r="K480" s="27"/>
      <c r="L480" s="27"/>
      <c r="M480" s="27"/>
      <c r="N480" s="27"/>
      <c r="O480" s="27"/>
      <c r="V480" s="27"/>
      <c r="W480" s="27"/>
      <c r="X480" s="27"/>
    </row>
    <row r="481" spans="3:24" x14ac:dyDescent="0.3">
      <c r="C481" s="3"/>
      <c r="D481" s="27"/>
      <c r="E481" s="27"/>
      <c r="F481" s="27"/>
      <c r="G481" s="27"/>
      <c r="H481" s="27"/>
      <c r="I481" s="27"/>
      <c r="J481" s="27"/>
      <c r="K481" s="27"/>
      <c r="L481" s="27"/>
      <c r="M481" s="27"/>
      <c r="N481" s="27"/>
      <c r="O481" s="27"/>
      <c r="V481" s="27"/>
      <c r="W481" s="27"/>
      <c r="X481" s="27"/>
    </row>
    <row r="482" spans="3:24" x14ac:dyDescent="0.3">
      <c r="C482" s="3"/>
      <c r="D482" s="27"/>
      <c r="E482" s="27"/>
      <c r="F482" s="27"/>
      <c r="G482" s="27"/>
      <c r="H482" s="27"/>
      <c r="I482" s="27"/>
      <c r="J482" s="27"/>
      <c r="K482" s="27"/>
      <c r="L482" s="27"/>
      <c r="M482" s="27"/>
      <c r="N482" s="27"/>
      <c r="O482" s="27"/>
      <c r="V482" s="27"/>
      <c r="W482" s="27"/>
      <c r="X482" s="27"/>
    </row>
    <row r="483" spans="3:24" x14ac:dyDescent="0.3">
      <c r="C483" s="3"/>
      <c r="D483" s="27"/>
      <c r="E483" s="27"/>
      <c r="F483" s="27"/>
      <c r="G483" s="27"/>
      <c r="H483" s="27"/>
      <c r="I483" s="27"/>
      <c r="J483" s="27"/>
      <c r="K483" s="27"/>
      <c r="L483" s="27"/>
      <c r="M483" s="27"/>
      <c r="N483" s="27"/>
      <c r="O483" s="27"/>
      <c r="V483" s="27"/>
      <c r="W483" s="27"/>
      <c r="X483" s="27"/>
    </row>
    <row r="484" spans="3:24" x14ac:dyDescent="0.3">
      <c r="C484" s="3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N484" s="27"/>
      <c r="O484" s="27"/>
      <c r="V484" s="27"/>
      <c r="W484" s="27"/>
      <c r="X484" s="27"/>
    </row>
    <row r="485" spans="3:24" x14ac:dyDescent="0.3">
      <c r="C485" s="3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N485" s="27"/>
      <c r="O485" s="27"/>
      <c r="V485" s="27"/>
      <c r="W485" s="27"/>
      <c r="X485" s="27"/>
    </row>
    <row r="486" spans="3:24" x14ac:dyDescent="0.3">
      <c r="C486" s="3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N486" s="27"/>
      <c r="O486" s="27"/>
      <c r="V486" s="27"/>
      <c r="W486" s="27"/>
      <c r="X486" s="27"/>
    </row>
    <row r="487" spans="3:24" x14ac:dyDescent="0.3">
      <c r="C487" s="3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N487" s="27"/>
      <c r="O487" s="27"/>
      <c r="V487" s="27"/>
      <c r="W487" s="27"/>
      <c r="X487" s="27"/>
    </row>
    <row r="488" spans="3:24" x14ac:dyDescent="0.3">
      <c r="C488" s="3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N488" s="27"/>
      <c r="O488" s="27"/>
      <c r="V488" s="27"/>
      <c r="W488" s="27"/>
      <c r="X488" s="27"/>
    </row>
    <row r="489" spans="3:24" x14ac:dyDescent="0.3">
      <c r="C489" s="3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N489" s="27"/>
      <c r="O489" s="27"/>
      <c r="V489" s="27"/>
      <c r="W489" s="27"/>
      <c r="X489" s="27"/>
    </row>
    <row r="490" spans="3:24" x14ac:dyDescent="0.3">
      <c r="C490" s="3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N490" s="27"/>
      <c r="O490" s="27"/>
      <c r="V490" s="27"/>
      <c r="W490" s="27"/>
      <c r="X490" s="27"/>
    </row>
    <row r="491" spans="3:24" x14ac:dyDescent="0.3">
      <c r="C491" s="3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N491" s="27"/>
      <c r="O491" s="27"/>
      <c r="V491" s="27"/>
      <c r="W491" s="27"/>
      <c r="X491" s="27"/>
    </row>
    <row r="492" spans="3:24" x14ac:dyDescent="0.3">
      <c r="C492" s="3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N492" s="27"/>
      <c r="O492" s="27"/>
      <c r="V492" s="27"/>
      <c r="W492" s="27"/>
      <c r="X492" s="27"/>
    </row>
    <row r="493" spans="3:24" x14ac:dyDescent="0.3">
      <c r="C493" s="3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N493" s="27"/>
      <c r="O493" s="27"/>
      <c r="V493" s="27"/>
      <c r="W493" s="27"/>
      <c r="X493" s="27"/>
    </row>
    <row r="494" spans="3:24" x14ac:dyDescent="0.3">
      <c r="C494" s="3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N494" s="27"/>
      <c r="O494" s="27"/>
      <c r="V494" s="27"/>
      <c r="W494" s="27"/>
      <c r="X494" s="27"/>
    </row>
    <row r="495" spans="3:24" x14ac:dyDescent="0.3">
      <c r="C495" s="3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N495" s="27"/>
      <c r="O495" s="27"/>
      <c r="V495" s="27"/>
      <c r="W495" s="27"/>
      <c r="X495" s="27"/>
    </row>
    <row r="496" spans="3:24" x14ac:dyDescent="0.3">
      <c r="C496" s="3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N496" s="27"/>
      <c r="O496" s="27"/>
      <c r="V496" s="27"/>
      <c r="W496" s="27"/>
      <c r="X496" s="27"/>
    </row>
    <row r="497" spans="3:24" x14ac:dyDescent="0.3">
      <c r="C497" s="3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N497" s="27"/>
      <c r="O497" s="27"/>
      <c r="V497" s="27"/>
      <c r="W497" s="27"/>
      <c r="X497" s="27"/>
    </row>
    <row r="498" spans="3:24" x14ac:dyDescent="0.3">
      <c r="C498" s="3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N498" s="27"/>
      <c r="O498" s="27"/>
      <c r="V498" s="27"/>
      <c r="W498" s="27"/>
      <c r="X498" s="27"/>
    </row>
    <row r="499" spans="3:24" x14ac:dyDescent="0.3">
      <c r="C499" s="3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N499" s="27"/>
      <c r="O499" s="27"/>
      <c r="V499" s="27"/>
      <c r="W499" s="27"/>
      <c r="X499" s="27"/>
    </row>
    <row r="500" spans="3:24" x14ac:dyDescent="0.3">
      <c r="C500" s="3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N500" s="27"/>
      <c r="O500" s="27"/>
      <c r="V500" s="27"/>
      <c r="W500" s="27"/>
      <c r="X500" s="27"/>
    </row>
    <row r="501" spans="3:24" x14ac:dyDescent="0.3">
      <c r="C501" s="3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N501" s="27"/>
      <c r="O501" s="27"/>
      <c r="V501" s="27"/>
      <c r="W501" s="27"/>
      <c r="X501" s="27"/>
    </row>
    <row r="502" spans="3:24" x14ac:dyDescent="0.3">
      <c r="C502" s="3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N502" s="27"/>
      <c r="O502" s="27"/>
      <c r="V502" s="27"/>
      <c r="W502" s="27"/>
      <c r="X502" s="27"/>
    </row>
    <row r="503" spans="3:24" x14ac:dyDescent="0.3">
      <c r="C503" s="3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N503" s="27"/>
      <c r="O503" s="27"/>
      <c r="V503" s="27"/>
      <c r="W503" s="27"/>
      <c r="X503" s="27"/>
    </row>
    <row r="504" spans="3:24" x14ac:dyDescent="0.3">
      <c r="C504" s="3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N504" s="27"/>
      <c r="O504" s="27"/>
      <c r="V504" s="27"/>
      <c r="W504" s="27"/>
      <c r="X504" s="27"/>
    </row>
    <row r="505" spans="3:24" x14ac:dyDescent="0.3">
      <c r="C505" s="3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N505" s="27"/>
      <c r="O505" s="27"/>
      <c r="V505" s="27"/>
      <c r="W505" s="27"/>
      <c r="X505" s="27"/>
    </row>
    <row r="506" spans="3:24" x14ac:dyDescent="0.3">
      <c r="C506" s="3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N506" s="27"/>
      <c r="O506" s="27"/>
      <c r="V506" s="27"/>
      <c r="W506" s="27"/>
      <c r="X506" s="27"/>
    </row>
    <row r="507" spans="3:24" x14ac:dyDescent="0.3">
      <c r="C507" s="3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N507" s="27"/>
      <c r="O507" s="27"/>
      <c r="V507" s="27"/>
      <c r="W507" s="27"/>
      <c r="X507" s="27"/>
    </row>
    <row r="508" spans="3:24" x14ac:dyDescent="0.3">
      <c r="C508" s="3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N508" s="27"/>
      <c r="O508" s="27"/>
      <c r="V508" s="27"/>
      <c r="W508" s="27"/>
      <c r="X508" s="27"/>
    </row>
    <row r="509" spans="3:24" x14ac:dyDescent="0.3">
      <c r="C509" s="3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N509" s="27"/>
      <c r="O509" s="27"/>
      <c r="V509" s="27"/>
      <c r="W509" s="27"/>
      <c r="X509" s="27"/>
    </row>
    <row r="510" spans="3:24" x14ac:dyDescent="0.3">
      <c r="C510" s="3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N510" s="27"/>
      <c r="O510" s="27"/>
      <c r="V510" s="27"/>
      <c r="W510" s="27"/>
      <c r="X510" s="27"/>
    </row>
    <row r="511" spans="3:24" x14ac:dyDescent="0.3">
      <c r="C511" s="3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N511" s="27"/>
      <c r="O511" s="27"/>
      <c r="V511" s="27"/>
      <c r="W511" s="27"/>
      <c r="X511" s="27"/>
    </row>
    <row r="512" spans="3:24" x14ac:dyDescent="0.3">
      <c r="C512" s="3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N512" s="27"/>
      <c r="O512" s="27"/>
      <c r="V512" s="27"/>
      <c r="W512" s="27"/>
      <c r="X512" s="27"/>
    </row>
    <row r="513" spans="3:24" x14ac:dyDescent="0.3">
      <c r="C513" s="3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N513" s="27"/>
      <c r="O513" s="27"/>
      <c r="V513" s="27"/>
      <c r="W513" s="27"/>
      <c r="X513" s="27"/>
    </row>
    <row r="514" spans="3:24" x14ac:dyDescent="0.3">
      <c r="C514" s="3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N514" s="27"/>
      <c r="O514" s="27"/>
      <c r="V514" s="27"/>
      <c r="W514" s="27"/>
      <c r="X514" s="27"/>
    </row>
    <row r="515" spans="3:24" x14ac:dyDescent="0.3">
      <c r="C515" s="3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N515" s="27"/>
      <c r="O515" s="27"/>
      <c r="V515" s="27"/>
      <c r="W515" s="27"/>
      <c r="X515" s="27"/>
    </row>
    <row r="516" spans="3:24" x14ac:dyDescent="0.3">
      <c r="C516" s="3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N516" s="27"/>
      <c r="O516" s="27"/>
      <c r="V516" s="27"/>
      <c r="W516" s="27"/>
      <c r="X516" s="27"/>
    </row>
    <row r="517" spans="3:24" x14ac:dyDescent="0.3">
      <c r="C517" s="3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N517" s="27"/>
      <c r="O517" s="27"/>
      <c r="V517" s="27"/>
      <c r="W517" s="27"/>
      <c r="X517" s="27"/>
    </row>
    <row r="518" spans="3:24" x14ac:dyDescent="0.3">
      <c r="C518" s="3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N518" s="27"/>
      <c r="O518" s="27"/>
      <c r="V518" s="27"/>
      <c r="W518" s="27"/>
      <c r="X518" s="27"/>
    </row>
    <row r="519" spans="3:24" x14ac:dyDescent="0.3">
      <c r="C519" s="3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N519" s="27"/>
      <c r="O519" s="27"/>
      <c r="V519" s="27"/>
      <c r="W519" s="27"/>
      <c r="X519" s="27"/>
    </row>
    <row r="520" spans="3:24" x14ac:dyDescent="0.3">
      <c r="C520" s="3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N520" s="27"/>
      <c r="O520" s="27"/>
      <c r="V520" s="27"/>
      <c r="W520" s="27"/>
      <c r="X520" s="27"/>
    </row>
    <row r="521" spans="3:24" x14ac:dyDescent="0.3">
      <c r="C521" s="3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N521" s="27"/>
      <c r="O521" s="27"/>
      <c r="V521" s="27"/>
      <c r="W521" s="27"/>
      <c r="X521" s="27"/>
    </row>
    <row r="522" spans="3:24" x14ac:dyDescent="0.3">
      <c r="C522" s="3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N522" s="27"/>
      <c r="O522" s="27"/>
      <c r="V522" s="27"/>
      <c r="W522" s="27"/>
      <c r="X522" s="27"/>
    </row>
    <row r="523" spans="3:24" x14ac:dyDescent="0.3">
      <c r="C523" s="3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N523" s="27"/>
      <c r="O523" s="27"/>
      <c r="V523" s="27"/>
      <c r="W523" s="27"/>
      <c r="X523" s="27"/>
    </row>
    <row r="524" spans="3:24" x14ac:dyDescent="0.3">
      <c r="C524" s="3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N524" s="27"/>
      <c r="O524" s="27"/>
      <c r="V524" s="27"/>
      <c r="W524" s="27"/>
      <c r="X524" s="27"/>
    </row>
    <row r="525" spans="3:24" x14ac:dyDescent="0.3">
      <c r="C525" s="3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N525" s="27"/>
      <c r="O525" s="27"/>
      <c r="V525" s="27"/>
      <c r="W525" s="27"/>
      <c r="X525" s="27"/>
    </row>
    <row r="526" spans="3:24" x14ac:dyDescent="0.3">
      <c r="C526" s="3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N526" s="27"/>
      <c r="O526" s="27"/>
      <c r="V526" s="27"/>
      <c r="W526" s="27"/>
      <c r="X526" s="27"/>
    </row>
    <row r="527" spans="3:24" x14ac:dyDescent="0.3">
      <c r="C527" s="3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N527" s="27"/>
      <c r="O527" s="27"/>
      <c r="V527" s="27"/>
      <c r="W527" s="27"/>
      <c r="X527" s="27"/>
    </row>
    <row r="528" spans="3:24" x14ac:dyDescent="0.3">
      <c r="C528" s="3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N528" s="27"/>
      <c r="O528" s="27"/>
      <c r="V528" s="27"/>
      <c r="W528" s="27"/>
      <c r="X528" s="27"/>
    </row>
    <row r="529" spans="3:24" x14ac:dyDescent="0.3">
      <c r="C529" s="3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N529" s="27"/>
      <c r="O529" s="27"/>
      <c r="V529" s="27"/>
      <c r="W529" s="27"/>
      <c r="X529" s="27"/>
    </row>
    <row r="530" spans="3:24" x14ac:dyDescent="0.3">
      <c r="C530" s="3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N530" s="27"/>
      <c r="O530" s="27"/>
      <c r="V530" s="27"/>
      <c r="W530" s="27"/>
      <c r="X530" s="27"/>
    </row>
    <row r="531" spans="3:24" x14ac:dyDescent="0.3">
      <c r="C531" s="3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N531" s="27"/>
      <c r="O531" s="27"/>
      <c r="V531" s="27"/>
      <c r="W531" s="27"/>
      <c r="X531" s="27"/>
    </row>
    <row r="532" spans="3:24" x14ac:dyDescent="0.3">
      <c r="C532" s="3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N532" s="27"/>
      <c r="O532" s="27"/>
      <c r="V532" s="27"/>
      <c r="W532" s="27"/>
      <c r="X532" s="27"/>
    </row>
    <row r="533" spans="3:24" x14ac:dyDescent="0.3">
      <c r="C533" s="3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N533" s="27"/>
      <c r="O533" s="27"/>
      <c r="V533" s="27"/>
      <c r="W533" s="27"/>
      <c r="X533" s="27"/>
    </row>
    <row r="534" spans="3:24" x14ac:dyDescent="0.3">
      <c r="C534" s="3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N534" s="27"/>
      <c r="O534" s="27"/>
      <c r="V534" s="27"/>
      <c r="W534" s="27"/>
      <c r="X534" s="27"/>
    </row>
    <row r="535" spans="3:24" x14ac:dyDescent="0.3">
      <c r="C535" s="3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N535" s="27"/>
      <c r="O535" s="27"/>
      <c r="V535" s="27"/>
      <c r="W535" s="27"/>
      <c r="X535" s="27"/>
    </row>
    <row r="536" spans="3:24" x14ac:dyDescent="0.3">
      <c r="C536" s="3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N536" s="27"/>
      <c r="O536" s="27"/>
      <c r="V536" s="27"/>
      <c r="W536" s="27"/>
      <c r="X536" s="27"/>
    </row>
    <row r="537" spans="3:24" x14ac:dyDescent="0.3">
      <c r="C537" s="3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N537" s="27"/>
      <c r="O537" s="27"/>
      <c r="V537" s="27"/>
      <c r="W537" s="27"/>
      <c r="X537" s="27"/>
    </row>
    <row r="538" spans="3:24" x14ac:dyDescent="0.3">
      <c r="C538" s="3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N538" s="27"/>
      <c r="O538" s="27"/>
      <c r="V538" s="27"/>
      <c r="W538" s="27"/>
      <c r="X538" s="27"/>
    </row>
    <row r="539" spans="3:24" x14ac:dyDescent="0.3">
      <c r="C539" s="3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N539" s="27"/>
      <c r="O539" s="27"/>
      <c r="V539" s="27"/>
      <c r="W539" s="27"/>
      <c r="X539" s="27"/>
    </row>
    <row r="540" spans="3:24" x14ac:dyDescent="0.3">
      <c r="C540" s="3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N540" s="27"/>
      <c r="O540" s="27"/>
      <c r="V540" s="27"/>
      <c r="W540" s="27"/>
      <c r="X540" s="27"/>
    </row>
    <row r="541" spans="3:24" x14ac:dyDescent="0.3">
      <c r="C541" s="3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N541" s="27"/>
      <c r="O541" s="27"/>
      <c r="V541" s="27"/>
      <c r="W541" s="27"/>
      <c r="X541" s="27"/>
    </row>
    <row r="542" spans="3:24" x14ac:dyDescent="0.3">
      <c r="C542" s="3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N542" s="27"/>
      <c r="O542" s="27"/>
      <c r="V542" s="27"/>
      <c r="W542" s="27"/>
      <c r="X542" s="27"/>
    </row>
    <row r="543" spans="3:24" x14ac:dyDescent="0.3">
      <c r="C543" s="3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N543" s="27"/>
      <c r="O543" s="27"/>
      <c r="V543" s="27"/>
      <c r="W543" s="27"/>
      <c r="X543" s="27"/>
    </row>
    <row r="544" spans="3:24" x14ac:dyDescent="0.3">
      <c r="C544" s="3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N544" s="27"/>
      <c r="O544" s="27"/>
      <c r="V544" s="27"/>
      <c r="W544" s="27"/>
      <c r="X544" s="27"/>
    </row>
    <row r="545" spans="3:24" x14ac:dyDescent="0.3">
      <c r="C545" s="3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N545" s="27"/>
      <c r="O545" s="27"/>
      <c r="V545" s="27"/>
      <c r="W545" s="27"/>
      <c r="X545" s="27"/>
    </row>
    <row r="546" spans="3:24" x14ac:dyDescent="0.3">
      <c r="C546" s="3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N546" s="27"/>
      <c r="O546" s="27"/>
      <c r="V546" s="27"/>
      <c r="W546" s="27"/>
      <c r="X546" s="27"/>
    </row>
    <row r="547" spans="3:24" x14ac:dyDescent="0.3">
      <c r="C547" s="3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N547" s="27"/>
      <c r="O547" s="27"/>
      <c r="V547" s="27"/>
      <c r="W547" s="27"/>
      <c r="X547" s="27"/>
    </row>
    <row r="548" spans="3:24" x14ac:dyDescent="0.3">
      <c r="C548" s="3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N548" s="27"/>
      <c r="O548" s="27"/>
      <c r="V548" s="27"/>
      <c r="W548" s="27"/>
      <c r="X548" s="27"/>
    </row>
    <row r="549" spans="3:24" x14ac:dyDescent="0.3">
      <c r="C549" s="3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N549" s="27"/>
      <c r="O549" s="27"/>
      <c r="V549" s="27"/>
      <c r="W549" s="27"/>
      <c r="X549" s="27"/>
    </row>
    <row r="550" spans="3:24" x14ac:dyDescent="0.3">
      <c r="C550" s="3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N550" s="27"/>
      <c r="O550" s="27"/>
      <c r="V550" s="27"/>
      <c r="W550" s="27"/>
      <c r="X550" s="27"/>
    </row>
    <row r="551" spans="3:24" x14ac:dyDescent="0.3">
      <c r="C551" s="3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N551" s="27"/>
      <c r="O551" s="27"/>
      <c r="V551" s="27"/>
      <c r="W551" s="27"/>
      <c r="X551" s="27"/>
    </row>
    <row r="552" spans="3:24" x14ac:dyDescent="0.3">
      <c r="C552" s="3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N552" s="27"/>
      <c r="O552" s="27"/>
      <c r="V552" s="27"/>
      <c r="W552" s="27"/>
      <c r="X552" s="27"/>
    </row>
    <row r="553" spans="3:24" x14ac:dyDescent="0.3">
      <c r="C553" s="3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N553" s="27"/>
      <c r="O553" s="27"/>
      <c r="V553" s="27"/>
      <c r="W553" s="27"/>
      <c r="X553" s="27"/>
    </row>
    <row r="554" spans="3:24" x14ac:dyDescent="0.3">
      <c r="C554" s="3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N554" s="27"/>
      <c r="O554" s="27"/>
      <c r="V554" s="27"/>
      <c r="W554" s="27"/>
      <c r="X554" s="27"/>
    </row>
    <row r="555" spans="3:24" x14ac:dyDescent="0.3">
      <c r="C555" s="3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N555" s="27"/>
      <c r="O555" s="27"/>
      <c r="V555" s="27"/>
      <c r="W555" s="27"/>
      <c r="X555" s="27"/>
    </row>
    <row r="556" spans="3:24" x14ac:dyDescent="0.3">
      <c r="C556" s="3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N556" s="27"/>
      <c r="O556" s="27"/>
      <c r="V556" s="27"/>
      <c r="W556" s="27"/>
      <c r="X556" s="27"/>
    </row>
    <row r="557" spans="3:24" x14ac:dyDescent="0.3">
      <c r="C557" s="3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N557" s="27"/>
      <c r="O557" s="27"/>
      <c r="V557" s="27"/>
      <c r="W557" s="27"/>
      <c r="X557" s="27"/>
    </row>
    <row r="558" spans="3:24" x14ac:dyDescent="0.3">
      <c r="C558" s="3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N558" s="27"/>
      <c r="O558" s="27"/>
      <c r="V558" s="27"/>
      <c r="W558" s="27"/>
      <c r="X558" s="27"/>
    </row>
    <row r="559" spans="3:24" x14ac:dyDescent="0.3">
      <c r="C559" s="3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N559" s="27"/>
      <c r="O559" s="27"/>
      <c r="V559" s="27"/>
      <c r="W559" s="27"/>
      <c r="X559" s="27"/>
    </row>
    <row r="560" spans="3:24" x14ac:dyDescent="0.3">
      <c r="C560" s="3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N560" s="27"/>
      <c r="O560" s="27"/>
      <c r="V560" s="27"/>
      <c r="W560" s="27"/>
      <c r="X560" s="27"/>
    </row>
    <row r="561" spans="3:24" x14ac:dyDescent="0.3">
      <c r="C561" s="3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N561" s="27"/>
      <c r="O561" s="27"/>
      <c r="V561" s="27"/>
      <c r="W561" s="27"/>
      <c r="X561" s="27"/>
    </row>
    <row r="562" spans="3:24" x14ac:dyDescent="0.3">
      <c r="C562" s="3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N562" s="27"/>
      <c r="O562" s="27"/>
      <c r="V562" s="27"/>
      <c r="W562" s="27"/>
      <c r="X562" s="27"/>
    </row>
    <row r="563" spans="3:24" x14ac:dyDescent="0.3">
      <c r="C563" s="3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N563" s="27"/>
      <c r="O563" s="27"/>
      <c r="V563" s="27"/>
      <c r="W563" s="27"/>
      <c r="X563" s="27"/>
    </row>
    <row r="564" spans="3:24" x14ac:dyDescent="0.3">
      <c r="C564" s="3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N564" s="27"/>
      <c r="O564" s="27"/>
      <c r="V564" s="27"/>
      <c r="W564" s="27"/>
      <c r="X564" s="27"/>
    </row>
    <row r="565" spans="3:24" x14ac:dyDescent="0.3">
      <c r="C565" s="3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N565" s="27"/>
      <c r="O565" s="27"/>
      <c r="V565" s="27"/>
      <c r="W565" s="27"/>
      <c r="X565" s="27"/>
    </row>
    <row r="566" spans="3:24" x14ac:dyDescent="0.3">
      <c r="C566" s="3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N566" s="27"/>
      <c r="O566" s="27"/>
      <c r="V566" s="27"/>
      <c r="W566" s="27"/>
      <c r="X566" s="27"/>
    </row>
    <row r="567" spans="3:24" x14ac:dyDescent="0.3">
      <c r="C567" s="3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N567" s="27"/>
      <c r="O567" s="27"/>
      <c r="V567" s="27"/>
      <c r="W567" s="27"/>
      <c r="X567" s="27"/>
    </row>
    <row r="568" spans="3:24" x14ac:dyDescent="0.3">
      <c r="C568" s="3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N568" s="27"/>
      <c r="O568" s="27"/>
      <c r="V568" s="27"/>
      <c r="W568" s="27"/>
      <c r="X568" s="27"/>
    </row>
    <row r="569" spans="3:24" x14ac:dyDescent="0.3">
      <c r="C569" s="3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N569" s="27"/>
      <c r="O569" s="27"/>
      <c r="V569" s="27"/>
      <c r="W569" s="27"/>
      <c r="X569" s="27"/>
    </row>
    <row r="570" spans="3:24" x14ac:dyDescent="0.3">
      <c r="C570" s="3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N570" s="27"/>
      <c r="O570" s="27"/>
      <c r="V570" s="27"/>
      <c r="W570" s="27"/>
      <c r="X570" s="27"/>
    </row>
    <row r="571" spans="3:24" x14ac:dyDescent="0.3">
      <c r="C571" s="3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N571" s="27"/>
      <c r="O571" s="27"/>
      <c r="V571" s="27"/>
      <c r="W571" s="27"/>
      <c r="X571" s="27"/>
    </row>
    <row r="572" spans="3:24" x14ac:dyDescent="0.3">
      <c r="C572" s="3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N572" s="27"/>
      <c r="O572" s="27"/>
      <c r="V572" s="27"/>
      <c r="W572" s="27"/>
      <c r="X572" s="27"/>
    </row>
    <row r="573" spans="3:24" x14ac:dyDescent="0.3">
      <c r="C573" s="3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N573" s="27"/>
      <c r="O573" s="27"/>
      <c r="V573" s="27"/>
      <c r="W573" s="27"/>
      <c r="X573" s="27"/>
    </row>
    <row r="574" spans="3:24" x14ac:dyDescent="0.3">
      <c r="C574" s="3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N574" s="27"/>
      <c r="O574" s="27"/>
      <c r="V574" s="27"/>
      <c r="W574" s="27"/>
      <c r="X574" s="27"/>
    </row>
    <row r="575" spans="3:24" x14ac:dyDescent="0.3">
      <c r="C575" s="3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N575" s="27"/>
      <c r="O575" s="27"/>
      <c r="V575" s="27"/>
      <c r="W575" s="27"/>
      <c r="X575" s="27"/>
    </row>
    <row r="576" spans="3:24" x14ac:dyDescent="0.3">
      <c r="C576" s="3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N576" s="27"/>
      <c r="O576" s="27"/>
      <c r="V576" s="27"/>
      <c r="W576" s="27"/>
      <c r="X576" s="27"/>
    </row>
    <row r="577" spans="3:24" x14ac:dyDescent="0.3">
      <c r="C577" s="3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N577" s="27"/>
      <c r="O577" s="27"/>
      <c r="V577" s="27"/>
      <c r="W577" s="27"/>
      <c r="X577" s="27"/>
    </row>
    <row r="578" spans="3:24" x14ac:dyDescent="0.3">
      <c r="C578" s="3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N578" s="27"/>
      <c r="O578" s="27"/>
      <c r="V578" s="27"/>
      <c r="W578" s="27"/>
      <c r="X578" s="27"/>
    </row>
    <row r="579" spans="3:24" x14ac:dyDescent="0.3">
      <c r="C579" s="3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N579" s="27"/>
      <c r="O579" s="27"/>
      <c r="V579" s="27"/>
      <c r="W579" s="27"/>
      <c r="X579" s="27"/>
    </row>
    <row r="580" spans="3:24" x14ac:dyDescent="0.3">
      <c r="C580" s="3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N580" s="27"/>
      <c r="O580" s="27"/>
      <c r="V580" s="27"/>
      <c r="W580" s="27"/>
      <c r="X580" s="27"/>
    </row>
    <row r="581" spans="3:24" x14ac:dyDescent="0.3">
      <c r="C581" s="3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N581" s="27"/>
      <c r="O581" s="27"/>
      <c r="V581" s="27"/>
      <c r="W581" s="27"/>
      <c r="X581" s="27"/>
    </row>
    <row r="582" spans="3:24" x14ac:dyDescent="0.3">
      <c r="C582" s="3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N582" s="27"/>
      <c r="O582" s="27"/>
      <c r="V582" s="27"/>
      <c r="W582" s="27"/>
      <c r="X582" s="27"/>
    </row>
    <row r="583" spans="3:24" x14ac:dyDescent="0.3">
      <c r="C583" s="3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N583" s="27"/>
      <c r="O583" s="27"/>
      <c r="V583" s="27"/>
      <c r="W583" s="27"/>
      <c r="X583" s="27"/>
    </row>
    <row r="584" spans="3:24" x14ac:dyDescent="0.3">
      <c r="C584" s="3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N584" s="27"/>
      <c r="O584" s="27"/>
      <c r="V584" s="27"/>
      <c r="W584" s="27"/>
      <c r="X584" s="27"/>
    </row>
    <row r="585" spans="3:24" x14ac:dyDescent="0.3">
      <c r="C585" s="3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N585" s="27"/>
      <c r="O585" s="27"/>
      <c r="V585" s="27"/>
      <c r="W585" s="27"/>
      <c r="X585" s="27"/>
    </row>
    <row r="586" spans="3:24" x14ac:dyDescent="0.3">
      <c r="C586" s="3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N586" s="27"/>
      <c r="O586" s="27"/>
      <c r="V586" s="27"/>
      <c r="W586" s="27"/>
      <c r="X586" s="27"/>
    </row>
    <row r="587" spans="3:24" x14ac:dyDescent="0.3">
      <c r="C587" s="3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N587" s="27"/>
      <c r="O587" s="27"/>
      <c r="V587" s="27"/>
      <c r="W587" s="27"/>
      <c r="X587" s="27"/>
    </row>
    <row r="588" spans="3:24" x14ac:dyDescent="0.3">
      <c r="C588" s="3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N588" s="27"/>
      <c r="O588" s="27"/>
      <c r="V588" s="27"/>
      <c r="W588" s="27"/>
      <c r="X588" s="27"/>
    </row>
    <row r="589" spans="3:24" x14ac:dyDescent="0.3">
      <c r="C589" s="3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N589" s="27"/>
      <c r="O589" s="27"/>
      <c r="V589" s="27"/>
      <c r="W589" s="27"/>
      <c r="X589" s="27"/>
    </row>
    <row r="590" spans="3:24" x14ac:dyDescent="0.3">
      <c r="C590" s="3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N590" s="27"/>
      <c r="O590" s="27"/>
      <c r="V590" s="27"/>
      <c r="W590" s="27"/>
      <c r="X590" s="27"/>
    </row>
    <row r="591" spans="3:24" x14ac:dyDescent="0.3">
      <c r="C591" s="3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N591" s="27"/>
      <c r="O591" s="27"/>
      <c r="V591" s="27"/>
      <c r="W591" s="27"/>
      <c r="X591" s="27"/>
    </row>
    <row r="592" spans="3:24" x14ac:dyDescent="0.3">
      <c r="C592" s="3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N592" s="27"/>
      <c r="O592" s="27"/>
      <c r="V592" s="27"/>
      <c r="W592" s="27"/>
      <c r="X592" s="27"/>
    </row>
    <row r="593" spans="3:24" x14ac:dyDescent="0.3">
      <c r="C593" s="3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N593" s="27"/>
      <c r="O593" s="27"/>
      <c r="V593" s="27"/>
      <c r="W593" s="27"/>
      <c r="X593" s="27"/>
    </row>
    <row r="594" spans="3:24" x14ac:dyDescent="0.3">
      <c r="C594" s="3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N594" s="27"/>
      <c r="O594" s="27"/>
      <c r="V594" s="27"/>
      <c r="W594" s="27"/>
      <c r="X594" s="27"/>
    </row>
    <row r="595" spans="3:24" x14ac:dyDescent="0.3">
      <c r="C595" s="3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N595" s="27"/>
      <c r="O595" s="27"/>
      <c r="V595" s="27"/>
      <c r="W595" s="27"/>
      <c r="X595" s="27"/>
    </row>
    <row r="596" spans="3:24" x14ac:dyDescent="0.3">
      <c r="C596" s="3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N596" s="27"/>
      <c r="O596" s="27"/>
      <c r="V596" s="27"/>
      <c r="W596" s="27"/>
      <c r="X596" s="27"/>
    </row>
    <row r="597" spans="3:24" x14ac:dyDescent="0.3">
      <c r="C597" s="3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N597" s="27"/>
      <c r="O597" s="27"/>
      <c r="V597" s="27"/>
      <c r="W597" s="27"/>
      <c r="X597" s="27"/>
    </row>
    <row r="598" spans="3:24" x14ac:dyDescent="0.3">
      <c r="C598" s="3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N598" s="27"/>
      <c r="O598" s="27"/>
      <c r="V598" s="27"/>
      <c r="W598" s="27"/>
      <c r="X598" s="27"/>
    </row>
    <row r="599" spans="3:24" x14ac:dyDescent="0.3">
      <c r="C599" s="3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N599" s="27"/>
      <c r="O599" s="27"/>
      <c r="V599" s="27"/>
      <c r="W599" s="27"/>
      <c r="X599" s="27"/>
    </row>
    <row r="600" spans="3:24" x14ac:dyDescent="0.3">
      <c r="C600" s="3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N600" s="27"/>
      <c r="O600" s="27"/>
      <c r="V600" s="27"/>
      <c r="W600" s="27"/>
      <c r="X600" s="27"/>
    </row>
    <row r="601" spans="3:24" x14ac:dyDescent="0.3">
      <c r="C601" s="3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N601" s="27"/>
      <c r="O601" s="27"/>
      <c r="V601" s="27"/>
      <c r="W601" s="27"/>
      <c r="X601" s="27"/>
    </row>
    <row r="602" spans="3:24" x14ac:dyDescent="0.3">
      <c r="C602" s="3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N602" s="27"/>
      <c r="O602" s="27"/>
      <c r="V602" s="27"/>
      <c r="W602" s="27"/>
      <c r="X602" s="27"/>
    </row>
    <row r="603" spans="3:24" x14ac:dyDescent="0.3">
      <c r="C603" s="3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N603" s="27"/>
      <c r="O603" s="27"/>
      <c r="V603" s="27"/>
      <c r="W603" s="27"/>
      <c r="X603" s="27"/>
    </row>
    <row r="604" spans="3:24" x14ac:dyDescent="0.3">
      <c r="C604" s="3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N604" s="27"/>
      <c r="O604" s="27"/>
      <c r="V604" s="27"/>
      <c r="W604" s="27"/>
      <c r="X604" s="27"/>
    </row>
    <row r="605" spans="3:24" x14ac:dyDescent="0.3">
      <c r="C605" s="3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N605" s="27"/>
      <c r="O605" s="27"/>
      <c r="V605" s="27"/>
      <c r="W605" s="27"/>
      <c r="X605" s="27"/>
    </row>
    <row r="606" spans="3:24" x14ac:dyDescent="0.3">
      <c r="C606" s="3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N606" s="27"/>
      <c r="O606" s="27"/>
      <c r="V606" s="27"/>
      <c r="W606" s="27"/>
      <c r="X606" s="27"/>
    </row>
    <row r="607" spans="3:24" x14ac:dyDescent="0.3">
      <c r="C607" s="3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N607" s="27"/>
      <c r="O607" s="27"/>
      <c r="V607" s="27"/>
      <c r="W607" s="27"/>
      <c r="X607" s="27"/>
    </row>
    <row r="608" spans="3:24" x14ac:dyDescent="0.3">
      <c r="C608" s="3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N608" s="27"/>
      <c r="O608" s="27"/>
      <c r="V608" s="27"/>
      <c r="W608" s="27"/>
      <c r="X608" s="27"/>
    </row>
    <row r="609" spans="3:24" x14ac:dyDescent="0.3">
      <c r="C609" s="3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N609" s="27"/>
      <c r="O609" s="27"/>
      <c r="V609" s="27"/>
      <c r="W609" s="27"/>
      <c r="X609" s="27"/>
    </row>
    <row r="610" spans="3:24" x14ac:dyDescent="0.3">
      <c r="C610" s="3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N610" s="27"/>
      <c r="O610" s="27"/>
      <c r="V610" s="27"/>
      <c r="W610" s="27"/>
      <c r="X610" s="27"/>
    </row>
    <row r="611" spans="3:24" x14ac:dyDescent="0.3">
      <c r="C611" s="3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N611" s="27"/>
      <c r="O611" s="27"/>
      <c r="V611" s="27"/>
      <c r="W611" s="27"/>
      <c r="X611" s="27"/>
    </row>
    <row r="612" spans="3:24" x14ac:dyDescent="0.3">
      <c r="C612" s="3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N612" s="27"/>
      <c r="O612" s="27"/>
      <c r="V612" s="27"/>
      <c r="W612" s="27"/>
      <c r="X612" s="27"/>
    </row>
    <row r="613" spans="3:24" x14ac:dyDescent="0.3">
      <c r="C613" s="3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N613" s="27"/>
      <c r="O613" s="27"/>
      <c r="V613" s="27"/>
      <c r="W613" s="27"/>
      <c r="X613" s="27"/>
    </row>
    <row r="614" spans="3:24" x14ac:dyDescent="0.3">
      <c r="C614" s="3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N614" s="27"/>
      <c r="O614" s="27"/>
      <c r="V614" s="27"/>
      <c r="W614" s="27"/>
      <c r="X614" s="27"/>
    </row>
    <row r="615" spans="3:24" x14ac:dyDescent="0.3">
      <c r="C615" s="3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N615" s="27"/>
      <c r="O615" s="27"/>
      <c r="V615" s="27"/>
      <c r="W615" s="27"/>
      <c r="X615" s="27"/>
    </row>
    <row r="616" spans="3:24" x14ac:dyDescent="0.3">
      <c r="C616" s="3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N616" s="27"/>
      <c r="O616" s="27"/>
      <c r="V616" s="27"/>
      <c r="W616" s="27"/>
      <c r="X616" s="27"/>
    </row>
    <row r="617" spans="3:24" x14ac:dyDescent="0.3">
      <c r="C617" s="3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N617" s="27"/>
      <c r="O617" s="27"/>
      <c r="V617" s="27"/>
      <c r="W617" s="27"/>
      <c r="X617" s="27"/>
    </row>
    <row r="618" spans="3:24" x14ac:dyDescent="0.3">
      <c r="C618" s="3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N618" s="27"/>
      <c r="O618" s="27"/>
      <c r="V618" s="27"/>
      <c r="W618" s="27"/>
      <c r="X618" s="27"/>
    </row>
    <row r="619" spans="3:24" x14ac:dyDescent="0.3">
      <c r="C619" s="3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N619" s="27"/>
      <c r="O619" s="27"/>
      <c r="V619" s="27"/>
      <c r="W619" s="27"/>
      <c r="X619" s="27"/>
    </row>
    <row r="620" spans="3:24" x14ac:dyDescent="0.3">
      <c r="C620" s="3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N620" s="27"/>
      <c r="O620" s="27"/>
      <c r="V620" s="27"/>
      <c r="W620" s="27"/>
      <c r="X620" s="27"/>
    </row>
    <row r="621" spans="3:24" x14ac:dyDescent="0.3">
      <c r="C621" s="3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N621" s="27"/>
      <c r="O621" s="27"/>
      <c r="V621" s="27"/>
      <c r="W621" s="27"/>
      <c r="X621" s="27"/>
    </row>
    <row r="622" spans="3:24" x14ac:dyDescent="0.3">
      <c r="C622" s="3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N622" s="27"/>
      <c r="O622" s="27"/>
      <c r="V622" s="27"/>
      <c r="W622" s="27"/>
      <c r="X622" s="27"/>
    </row>
    <row r="623" spans="3:24" x14ac:dyDescent="0.3">
      <c r="C623" s="3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N623" s="27"/>
      <c r="O623" s="27"/>
      <c r="V623" s="27"/>
      <c r="W623" s="27"/>
      <c r="X623" s="27"/>
    </row>
    <row r="624" spans="3:24" x14ac:dyDescent="0.3">
      <c r="C624" s="3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N624" s="27"/>
      <c r="O624" s="27"/>
      <c r="V624" s="27"/>
      <c r="W624" s="27"/>
      <c r="X624" s="27"/>
    </row>
    <row r="625" spans="3:24" x14ac:dyDescent="0.3">
      <c r="C625" s="3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N625" s="27"/>
      <c r="O625" s="27"/>
      <c r="V625" s="27"/>
      <c r="W625" s="27"/>
      <c r="X625" s="27"/>
    </row>
    <row r="626" spans="3:24" x14ac:dyDescent="0.3">
      <c r="C626" s="3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N626" s="27"/>
      <c r="O626" s="27"/>
      <c r="V626" s="27"/>
      <c r="W626" s="27"/>
      <c r="X626" s="27"/>
    </row>
    <row r="627" spans="3:24" x14ac:dyDescent="0.3">
      <c r="C627" s="3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N627" s="27"/>
      <c r="O627" s="27"/>
      <c r="V627" s="27"/>
      <c r="W627" s="27"/>
      <c r="X627" s="27"/>
    </row>
    <row r="628" spans="3:24" x14ac:dyDescent="0.3">
      <c r="C628" s="3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N628" s="27"/>
      <c r="O628" s="27"/>
      <c r="V628" s="27"/>
      <c r="W628" s="27"/>
      <c r="X628" s="27"/>
    </row>
    <row r="629" spans="3:24" x14ac:dyDescent="0.3">
      <c r="C629" s="3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N629" s="27"/>
      <c r="O629" s="27"/>
      <c r="V629" s="27"/>
      <c r="W629" s="27"/>
      <c r="X629" s="27"/>
    </row>
    <row r="630" spans="3:24" x14ac:dyDescent="0.3">
      <c r="C630" s="3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N630" s="27"/>
      <c r="O630" s="27"/>
      <c r="V630" s="27"/>
      <c r="W630" s="27"/>
      <c r="X630" s="27"/>
    </row>
    <row r="631" spans="3:24" x14ac:dyDescent="0.3">
      <c r="C631" s="3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N631" s="27"/>
      <c r="O631" s="27"/>
      <c r="V631" s="27"/>
      <c r="W631" s="27"/>
      <c r="X631" s="27"/>
    </row>
    <row r="632" spans="3:24" x14ac:dyDescent="0.3">
      <c r="C632" s="3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N632" s="27"/>
      <c r="O632" s="27"/>
      <c r="V632" s="27"/>
      <c r="W632" s="27"/>
      <c r="X632" s="27"/>
    </row>
    <row r="633" spans="3:24" x14ac:dyDescent="0.3">
      <c r="C633" s="3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N633" s="27"/>
      <c r="O633" s="27"/>
      <c r="V633" s="27"/>
      <c r="W633" s="27"/>
      <c r="X633" s="27"/>
    </row>
    <row r="634" spans="3:24" x14ac:dyDescent="0.3">
      <c r="C634" s="3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N634" s="27"/>
      <c r="O634" s="27"/>
      <c r="V634" s="27"/>
      <c r="W634" s="27"/>
      <c r="X634" s="27"/>
    </row>
    <row r="635" spans="3:24" x14ac:dyDescent="0.3">
      <c r="C635" s="3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N635" s="27"/>
      <c r="O635" s="27"/>
      <c r="V635" s="27"/>
      <c r="W635" s="27"/>
      <c r="X635" s="27"/>
    </row>
    <row r="636" spans="3:24" x14ac:dyDescent="0.3">
      <c r="C636" s="3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N636" s="27"/>
      <c r="O636" s="27"/>
      <c r="V636" s="27"/>
      <c r="W636" s="27"/>
      <c r="X636" s="27"/>
    </row>
    <row r="637" spans="3:24" x14ac:dyDescent="0.3">
      <c r="C637" s="3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N637" s="27"/>
      <c r="O637" s="27"/>
      <c r="V637" s="27"/>
      <c r="W637" s="27"/>
      <c r="X637" s="27"/>
    </row>
    <row r="638" spans="3:24" x14ac:dyDescent="0.3">
      <c r="C638" s="3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N638" s="27"/>
      <c r="O638" s="27"/>
      <c r="V638" s="27"/>
      <c r="W638" s="27"/>
      <c r="X638" s="27"/>
    </row>
    <row r="639" spans="3:24" x14ac:dyDescent="0.3">
      <c r="C639" s="3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N639" s="27"/>
      <c r="O639" s="27"/>
      <c r="V639" s="27"/>
      <c r="W639" s="27"/>
      <c r="X639" s="27"/>
    </row>
    <row r="640" spans="3:24" x14ac:dyDescent="0.3">
      <c r="C640" s="3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N640" s="27"/>
      <c r="O640" s="27"/>
      <c r="V640" s="27"/>
      <c r="W640" s="27"/>
      <c r="X640" s="27"/>
    </row>
    <row r="641" spans="3:24" x14ac:dyDescent="0.3">
      <c r="C641" s="3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N641" s="27"/>
      <c r="O641" s="27"/>
      <c r="V641" s="27"/>
      <c r="W641" s="27"/>
      <c r="X641" s="27"/>
    </row>
    <row r="642" spans="3:24" x14ac:dyDescent="0.3">
      <c r="C642" s="3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N642" s="27"/>
      <c r="O642" s="27"/>
      <c r="V642" s="27"/>
      <c r="W642" s="27"/>
      <c r="X642" s="27"/>
    </row>
    <row r="643" spans="3:24" x14ac:dyDescent="0.3">
      <c r="C643" s="3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N643" s="27"/>
      <c r="O643" s="27"/>
      <c r="V643" s="27"/>
      <c r="W643" s="27"/>
      <c r="X643" s="27"/>
    </row>
    <row r="644" spans="3:24" x14ac:dyDescent="0.3">
      <c r="C644" s="3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N644" s="27"/>
      <c r="O644" s="27"/>
      <c r="V644" s="27"/>
      <c r="W644" s="27"/>
      <c r="X644" s="27"/>
    </row>
    <row r="645" spans="3:24" x14ac:dyDescent="0.3">
      <c r="C645" s="3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N645" s="27"/>
      <c r="O645" s="27"/>
      <c r="V645" s="27"/>
      <c r="W645" s="27"/>
      <c r="X645" s="27"/>
    </row>
    <row r="646" spans="3:24" x14ac:dyDescent="0.3">
      <c r="C646" s="3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N646" s="27"/>
      <c r="O646" s="27"/>
      <c r="V646" s="27"/>
      <c r="W646" s="27"/>
      <c r="X646" s="27"/>
    </row>
    <row r="647" spans="3:24" x14ac:dyDescent="0.3">
      <c r="C647" s="3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N647" s="27"/>
      <c r="O647" s="27"/>
      <c r="V647" s="27"/>
      <c r="W647" s="27"/>
      <c r="X647" s="27"/>
    </row>
    <row r="648" spans="3:24" x14ac:dyDescent="0.3">
      <c r="C648" s="3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N648" s="27"/>
      <c r="O648" s="27"/>
      <c r="V648" s="27"/>
      <c r="W648" s="27"/>
      <c r="X648" s="27"/>
    </row>
    <row r="649" spans="3:24" x14ac:dyDescent="0.3">
      <c r="C649" s="3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N649" s="27"/>
      <c r="O649" s="27"/>
      <c r="V649" s="27"/>
      <c r="W649" s="27"/>
      <c r="X649" s="27"/>
    </row>
    <row r="650" spans="3:24" x14ac:dyDescent="0.3">
      <c r="C650" s="3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N650" s="27"/>
      <c r="O650" s="27"/>
      <c r="V650" s="27"/>
      <c r="W650" s="27"/>
      <c r="X650" s="27"/>
    </row>
    <row r="651" spans="3:24" x14ac:dyDescent="0.3">
      <c r="C651" s="3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N651" s="27"/>
      <c r="O651" s="27"/>
      <c r="V651" s="27"/>
      <c r="W651" s="27"/>
      <c r="X651" s="27"/>
    </row>
    <row r="652" spans="3:24" x14ac:dyDescent="0.3">
      <c r="C652" s="3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N652" s="27"/>
      <c r="O652" s="27"/>
      <c r="V652" s="27"/>
      <c r="W652" s="27"/>
      <c r="X652" s="27"/>
    </row>
    <row r="653" spans="3:24" x14ac:dyDescent="0.3">
      <c r="C653" s="3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N653" s="27"/>
      <c r="O653" s="27"/>
      <c r="V653" s="27"/>
      <c r="W653" s="27"/>
      <c r="X653" s="27"/>
    </row>
    <row r="654" spans="3:24" x14ac:dyDescent="0.3">
      <c r="C654" s="3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N654" s="27"/>
      <c r="O654" s="27"/>
      <c r="V654" s="27"/>
      <c r="W654" s="27"/>
      <c r="X654" s="27"/>
    </row>
    <row r="655" spans="3:24" x14ac:dyDescent="0.3">
      <c r="C655" s="3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N655" s="27"/>
      <c r="O655" s="27"/>
      <c r="V655" s="27"/>
      <c r="W655" s="27"/>
      <c r="X655" s="27"/>
    </row>
    <row r="656" spans="3:24" x14ac:dyDescent="0.3">
      <c r="C656" s="3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N656" s="27"/>
      <c r="O656" s="27"/>
      <c r="V656" s="27"/>
      <c r="W656" s="27"/>
      <c r="X656" s="27"/>
    </row>
    <row r="657" spans="3:24" x14ac:dyDescent="0.3">
      <c r="C657" s="3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N657" s="27"/>
      <c r="O657" s="27"/>
      <c r="V657" s="27"/>
      <c r="W657" s="27"/>
      <c r="X657" s="27"/>
    </row>
    <row r="658" spans="3:24" x14ac:dyDescent="0.3">
      <c r="C658" s="3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N658" s="27"/>
      <c r="O658" s="27"/>
      <c r="V658" s="27"/>
      <c r="W658" s="27"/>
      <c r="X658" s="27"/>
    </row>
    <row r="659" spans="3:24" x14ac:dyDescent="0.3">
      <c r="C659" s="3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N659" s="27"/>
      <c r="O659" s="27"/>
      <c r="V659" s="27"/>
      <c r="W659" s="27"/>
      <c r="X659" s="27"/>
    </row>
    <row r="660" spans="3:24" x14ac:dyDescent="0.3">
      <c r="C660" s="3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N660" s="27"/>
      <c r="O660" s="27"/>
      <c r="V660" s="27"/>
      <c r="W660" s="27"/>
      <c r="X660" s="27"/>
    </row>
    <row r="661" spans="3:24" x14ac:dyDescent="0.3">
      <c r="C661" s="3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N661" s="27"/>
      <c r="O661" s="27"/>
      <c r="V661" s="27"/>
      <c r="W661" s="27"/>
      <c r="X661" s="27"/>
    </row>
    <row r="662" spans="3:24" x14ac:dyDescent="0.3">
      <c r="C662" s="3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N662" s="27"/>
      <c r="O662" s="27"/>
      <c r="V662" s="27"/>
      <c r="W662" s="27"/>
      <c r="X662" s="27"/>
    </row>
    <row r="663" spans="3:24" x14ac:dyDescent="0.3">
      <c r="C663" s="3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N663" s="27"/>
      <c r="O663" s="27"/>
      <c r="V663" s="27"/>
      <c r="W663" s="27"/>
      <c r="X663" s="27"/>
    </row>
    <row r="664" spans="3:24" x14ac:dyDescent="0.3">
      <c r="C664" s="3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N664" s="27"/>
      <c r="O664" s="27"/>
      <c r="V664" s="27"/>
      <c r="W664" s="27"/>
      <c r="X664" s="27"/>
    </row>
    <row r="665" spans="3:24" x14ac:dyDescent="0.3">
      <c r="C665" s="3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N665" s="27"/>
      <c r="O665" s="27"/>
      <c r="V665" s="27"/>
      <c r="W665" s="27"/>
      <c r="X665" s="27"/>
    </row>
    <row r="666" spans="3:24" x14ac:dyDescent="0.3">
      <c r="C666" s="3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N666" s="27"/>
      <c r="O666" s="27"/>
      <c r="V666" s="27"/>
      <c r="W666" s="27"/>
      <c r="X666" s="27"/>
    </row>
    <row r="667" spans="3:24" x14ac:dyDescent="0.3">
      <c r="C667" s="3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N667" s="27"/>
      <c r="O667" s="27"/>
      <c r="V667" s="27"/>
      <c r="W667" s="27"/>
      <c r="X667" s="27"/>
    </row>
    <row r="668" spans="3:24" x14ac:dyDescent="0.3">
      <c r="C668" s="3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N668" s="27"/>
      <c r="O668" s="27"/>
      <c r="V668" s="27"/>
      <c r="W668" s="27"/>
      <c r="X668" s="27"/>
    </row>
    <row r="669" spans="3:24" x14ac:dyDescent="0.3">
      <c r="C669" s="3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N669" s="27"/>
      <c r="O669" s="27"/>
      <c r="V669" s="27"/>
      <c r="W669" s="27"/>
      <c r="X669" s="27"/>
    </row>
    <row r="670" spans="3:24" x14ac:dyDescent="0.3">
      <c r="C670" s="3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N670" s="27"/>
      <c r="O670" s="27"/>
      <c r="V670" s="27"/>
      <c r="W670" s="27"/>
      <c r="X670" s="27"/>
    </row>
    <row r="671" spans="3:24" x14ac:dyDescent="0.3">
      <c r="C671" s="3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N671" s="27"/>
      <c r="O671" s="27"/>
      <c r="V671" s="27"/>
      <c r="W671" s="27"/>
      <c r="X671" s="27"/>
    </row>
    <row r="672" spans="3:24" x14ac:dyDescent="0.3">
      <c r="C672" s="3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N672" s="27"/>
      <c r="O672" s="27"/>
      <c r="V672" s="27"/>
      <c r="W672" s="27"/>
      <c r="X672" s="27"/>
    </row>
    <row r="673" spans="3:24" x14ac:dyDescent="0.3">
      <c r="C673" s="3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N673" s="27"/>
      <c r="O673" s="27"/>
      <c r="V673" s="27"/>
      <c r="W673" s="27"/>
      <c r="X673" s="27"/>
    </row>
    <row r="674" spans="3:24" x14ac:dyDescent="0.3">
      <c r="C674" s="3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N674" s="27"/>
      <c r="O674" s="27"/>
      <c r="V674" s="27"/>
      <c r="W674" s="27"/>
      <c r="X674" s="27"/>
    </row>
    <row r="675" spans="3:24" x14ac:dyDescent="0.3">
      <c r="C675" s="3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N675" s="27"/>
      <c r="O675" s="27"/>
      <c r="V675" s="27"/>
      <c r="W675" s="27"/>
      <c r="X675" s="27"/>
    </row>
    <row r="676" spans="3:24" x14ac:dyDescent="0.3">
      <c r="C676" s="3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N676" s="27"/>
      <c r="O676" s="27"/>
      <c r="V676" s="27"/>
      <c r="W676" s="27"/>
      <c r="X676" s="27"/>
    </row>
    <row r="677" spans="3:24" x14ac:dyDescent="0.3">
      <c r="C677" s="3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N677" s="27"/>
      <c r="O677" s="27"/>
      <c r="V677" s="27"/>
      <c r="W677" s="27"/>
      <c r="X677" s="27"/>
    </row>
    <row r="678" spans="3:24" x14ac:dyDescent="0.3">
      <c r="C678" s="3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N678" s="27"/>
      <c r="O678" s="27"/>
      <c r="V678" s="27"/>
      <c r="W678" s="27"/>
      <c r="X678" s="27"/>
    </row>
    <row r="679" spans="3:24" x14ac:dyDescent="0.3">
      <c r="C679" s="3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N679" s="27"/>
      <c r="O679" s="27"/>
      <c r="V679" s="27"/>
      <c r="W679" s="27"/>
      <c r="X679" s="27"/>
    </row>
    <row r="680" spans="3:24" x14ac:dyDescent="0.3">
      <c r="C680" s="3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N680" s="27"/>
      <c r="O680" s="27"/>
      <c r="V680" s="27"/>
      <c r="W680" s="27"/>
      <c r="X680" s="27"/>
    </row>
    <row r="681" spans="3:24" x14ac:dyDescent="0.3">
      <c r="C681" s="3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N681" s="27"/>
      <c r="O681" s="27"/>
      <c r="V681" s="27"/>
      <c r="W681" s="27"/>
      <c r="X681" s="27"/>
    </row>
    <row r="682" spans="3:24" x14ac:dyDescent="0.3">
      <c r="C682" s="3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N682" s="27"/>
      <c r="O682" s="27"/>
      <c r="V682" s="27"/>
      <c r="W682" s="27"/>
      <c r="X682" s="27"/>
    </row>
    <row r="683" spans="3:24" x14ac:dyDescent="0.3">
      <c r="C683" s="3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N683" s="27"/>
      <c r="O683" s="27"/>
      <c r="V683" s="27"/>
      <c r="W683" s="27"/>
      <c r="X683" s="27"/>
    </row>
    <row r="684" spans="3:24" x14ac:dyDescent="0.3">
      <c r="C684" s="3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N684" s="27"/>
      <c r="O684" s="27"/>
      <c r="V684" s="27"/>
      <c r="W684" s="27"/>
      <c r="X684" s="27"/>
    </row>
    <row r="685" spans="3:24" x14ac:dyDescent="0.3">
      <c r="C685" s="3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N685" s="27"/>
      <c r="O685" s="27"/>
      <c r="V685" s="27"/>
      <c r="W685" s="27"/>
      <c r="X685" s="27"/>
    </row>
    <row r="686" spans="3:24" x14ac:dyDescent="0.3">
      <c r="C686" s="3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N686" s="27"/>
      <c r="O686" s="27"/>
      <c r="V686" s="27"/>
      <c r="W686" s="27"/>
      <c r="X686" s="27"/>
    </row>
    <row r="687" spans="3:24" x14ac:dyDescent="0.3">
      <c r="C687" s="3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N687" s="27"/>
      <c r="O687" s="27"/>
      <c r="V687" s="27"/>
      <c r="W687" s="27"/>
      <c r="X687" s="27"/>
    </row>
    <row r="688" spans="3:24" x14ac:dyDescent="0.3">
      <c r="C688" s="3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N688" s="27"/>
      <c r="O688" s="27"/>
      <c r="V688" s="27"/>
      <c r="W688" s="27"/>
      <c r="X688" s="27"/>
    </row>
    <row r="689" spans="3:24" x14ac:dyDescent="0.3">
      <c r="C689" s="3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N689" s="27"/>
      <c r="O689" s="27"/>
      <c r="V689" s="27"/>
      <c r="W689" s="27"/>
      <c r="X689" s="27"/>
    </row>
    <row r="690" spans="3:24" x14ac:dyDescent="0.3">
      <c r="C690" s="3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N690" s="27"/>
      <c r="O690" s="27"/>
      <c r="V690" s="27"/>
      <c r="W690" s="27"/>
      <c r="X690" s="27"/>
    </row>
    <row r="691" spans="3:24" x14ac:dyDescent="0.3">
      <c r="C691" s="3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N691" s="27"/>
      <c r="O691" s="27"/>
      <c r="V691" s="27"/>
      <c r="W691" s="27"/>
      <c r="X691" s="27"/>
    </row>
    <row r="692" spans="3:24" x14ac:dyDescent="0.3">
      <c r="C692" s="3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N692" s="27"/>
      <c r="O692" s="27"/>
      <c r="V692" s="27"/>
      <c r="W692" s="27"/>
      <c r="X692" s="27"/>
    </row>
    <row r="693" spans="3:24" x14ac:dyDescent="0.3">
      <c r="C693" s="3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N693" s="27"/>
      <c r="O693" s="27"/>
      <c r="V693" s="27"/>
      <c r="W693" s="27"/>
      <c r="X693" s="27"/>
    </row>
    <row r="694" spans="3:24" x14ac:dyDescent="0.3">
      <c r="C694" s="3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N694" s="27"/>
      <c r="O694" s="27"/>
      <c r="V694" s="27"/>
      <c r="W694" s="27"/>
      <c r="X694" s="27"/>
    </row>
    <row r="695" spans="3:24" x14ac:dyDescent="0.3">
      <c r="C695" s="3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N695" s="27"/>
      <c r="O695" s="27"/>
      <c r="V695" s="27"/>
      <c r="W695" s="27"/>
      <c r="X695" s="27"/>
    </row>
    <row r="696" spans="3:24" x14ac:dyDescent="0.3">
      <c r="C696" s="3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N696" s="27"/>
      <c r="O696" s="27"/>
      <c r="V696" s="27"/>
      <c r="W696" s="27"/>
      <c r="X696" s="27"/>
    </row>
    <row r="697" spans="3:24" x14ac:dyDescent="0.3">
      <c r="C697" s="3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N697" s="27"/>
      <c r="O697" s="27"/>
      <c r="V697" s="27"/>
      <c r="W697" s="27"/>
      <c r="X697" s="27"/>
    </row>
    <row r="698" spans="3:24" x14ac:dyDescent="0.3">
      <c r="C698" s="3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N698" s="27"/>
      <c r="O698" s="27"/>
      <c r="V698" s="27"/>
      <c r="W698" s="27"/>
      <c r="X698" s="27"/>
    </row>
    <row r="699" spans="3:24" x14ac:dyDescent="0.3">
      <c r="C699" s="3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N699" s="27"/>
      <c r="O699" s="27"/>
      <c r="V699" s="27"/>
      <c r="W699" s="27"/>
      <c r="X699" s="27"/>
    </row>
    <row r="700" spans="3:24" x14ac:dyDescent="0.3">
      <c r="C700" s="3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N700" s="27"/>
      <c r="O700" s="27"/>
      <c r="V700" s="27"/>
      <c r="W700" s="27"/>
      <c r="X700" s="27"/>
    </row>
    <row r="701" spans="3:24" x14ac:dyDescent="0.3">
      <c r="C701" s="3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N701" s="27"/>
      <c r="O701" s="27"/>
      <c r="V701" s="27"/>
      <c r="W701" s="27"/>
      <c r="X701" s="27"/>
    </row>
    <row r="702" spans="3:24" x14ac:dyDescent="0.3">
      <c r="C702" s="3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N702" s="27"/>
      <c r="O702" s="27"/>
      <c r="V702" s="27"/>
      <c r="W702" s="27"/>
      <c r="X702" s="27"/>
    </row>
    <row r="703" spans="3:24" x14ac:dyDescent="0.3">
      <c r="C703" s="3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N703" s="27"/>
      <c r="O703" s="27"/>
      <c r="V703" s="27"/>
      <c r="W703" s="27"/>
      <c r="X703" s="27"/>
    </row>
    <row r="704" spans="3:24" x14ac:dyDescent="0.3">
      <c r="C704" s="3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N704" s="27"/>
      <c r="O704" s="27"/>
      <c r="V704" s="27"/>
      <c r="W704" s="27"/>
      <c r="X704" s="27"/>
    </row>
    <row r="705" spans="3:24" x14ac:dyDescent="0.3">
      <c r="C705" s="3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N705" s="27"/>
      <c r="O705" s="27"/>
      <c r="V705" s="27"/>
      <c r="W705" s="27"/>
      <c r="X705" s="27"/>
    </row>
    <row r="706" spans="3:24" x14ac:dyDescent="0.3">
      <c r="C706" s="3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N706" s="27"/>
      <c r="O706" s="27"/>
      <c r="V706" s="27"/>
      <c r="W706" s="27"/>
      <c r="X706" s="27"/>
    </row>
    <row r="707" spans="3:24" x14ac:dyDescent="0.3">
      <c r="C707" s="3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N707" s="27"/>
      <c r="O707" s="27"/>
      <c r="V707" s="27"/>
      <c r="W707" s="27"/>
      <c r="X707" s="27"/>
    </row>
    <row r="708" spans="3:24" x14ac:dyDescent="0.3">
      <c r="C708" s="3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N708" s="27"/>
      <c r="O708" s="27"/>
      <c r="V708" s="27"/>
      <c r="W708" s="27"/>
      <c r="X708" s="27"/>
    </row>
    <row r="709" spans="3:24" x14ac:dyDescent="0.3">
      <c r="C709" s="3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N709" s="27"/>
      <c r="O709" s="27"/>
      <c r="V709" s="27"/>
      <c r="W709" s="27"/>
      <c r="X709" s="27"/>
    </row>
    <row r="710" spans="3:24" x14ac:dyDescent="0.3">
      <c r="C710" s="3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N710" s="27"/>
      <c r="O710" s="27"/>
      <c r="V710" s="27"/>
      <c r="W710" s="27"/>
      <c r="X710" s="27"/>
    </row>
    <row r="711" spans="3:24" x14ac:dyDescent="0.3">
      <c r="C711" s="3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N711" s="27"/>
      <c r="O711" s="27"/>
      <c r="V711" s="27"/>
      <c r="W711" s="27"/>
      <c r="X711" s="27"/>
    </row>
    <row r="712" spans="3:24" x14ac:dyDescent="0.3">
      <c r="C712" s="3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N712" s="27"/>
      <c r="O712" s="27"/>
      <c r="V712" s="27"/>
      <c r="W712" s="27"/>
      <c r="X712" s="27"/>
    </row>
    <row r="713" spans="3:24" x14ac:dyDescent="0.3">
      <c r="C713" s="3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N713" s="27"/>
      <c r="O713" s="27"/>
      <c r="V713" s="27"/>
      <c r="W713" s="27"/>
      <c r="X713" s="27"/>
    </row>
    <row r="714" spans="3:24" x14ac:dyDescent="0.3">
      <c r="C714" s="3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N714" s="27"/>
      <c r="O714" s="27"/>
      <c r="V714" s="27"/>
      <c r="W714" s="27"/>
      <c r="X714" s="27"/>
    </row>
    <row r="715" spans="3:24" x14ac:dyDescent="0.3">
      <c r="C715" s="3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N715" s="27"/>
      <c r="O715" s="27"/>
      <c r="V715" s="27"/>
      <c r="W715" s="27"/>
      <c r="X715" s="27"/>
    </row>
    <row r="716" spans="3:24" x14ac:dyDescent="0.3">
      <c r="C716" s="3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N716" s="27"/>
      <c r="O716" s="27"/>
      <c r="V716" s="27"/>
      <c r="W716" s="27"/>
      <c r="X716" s="27"/>
    </row>
    <row r="717" spans="3:24" x14ac:dyDescent="0.3">
      <c r="C717" s="3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N717" s="27"/>
      <c r="O717" s="27"/>
      <c r="V717" s="27"/>
      <c r="W717" s="27"/>
      <c r="X717" s="27"/>
    </row>
    <row r="718" spans="3:24" x14ac:dyDescent="0.3">
      <c r="C718" s="3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N718" s="27"/>
      <c r="O718" s="27"/>
      <c r="V718" s="27"/>
      <c r="W718" s="27"/>
      <c r="X718" s="27"/>
    </row>
    <row r="719" spans="3:24" x14ac:dyDescent="0.3">
      <c r="C719" s="3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N719" s="27"/>
      <c r="O719" s="27"/>
      <c r="V719" s="27"/>
      <c r="W719" s="27"/>
      <c r="X719" s="27"/>
    </row>
    <row r="720" spans="3:24" x14ac:dyDescent="0.3">
      <c r="C720" s="3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N720" s="27"/>
      <c r="O720" s="27"/>
      <c r="V720" s="27"/>
      <c r="W720" s="27"/>
      <c r="X720" s="27"/>
    </row>
    <row r="721" spans="3:24" x14ac:dyDescent="0.3">
      <c r="C721" s="3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N721" s="27"/>
      <c r="O721" s="27"/>
      <c r="V721" s="27"/>
      <c r="W721" s="27"/>
      <c r="X721" s="27"/>
    </row>
    <row r="722" spans="3:24" x14ac:dyDescent="0.3">
      <c r="C722" s="3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N722" s="27"/>
      <c r="O722" s="27"/>
      <c r="V722" s="27"/>
      <c r="W722" s="27"/>
      <c r="X722" s="27"/>
    </row>
    <row r="723" spans="3:24" x14ac:dyDescent="0.3">
      <c r="C723" s="3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N723" s="27"/>
      <c r="O723" s="27"/>
      <c r="V723" s="27"/>
      <c r="W723" s="27"/>
      <c r="X723" s="27"/>
    </row>
    <row r="724" spans="3:24" x14ac:dyDescent="0.3">
      <c r="C724" s="3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N724" s="27"/>
      <c r="O724" s="27"/>
      <c r="V724" s="27"/>
      <c r="W724" s="27"/>
      <c r="X724" s="27"/>
    </row>
    <row r="725" spans="3:24" x14ac:dyDescent="0.3">
      <c r="C725" s="3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N725" s="27"/>
      <c r="O725" s="27"/>
      <c r="V725" s="27"/>
      <c r="W725" s="27"/>
      <c r="X725" s="27"/>
    </row>
    <row r="726" spans="3:24" x14ac:dyDescent="0.3">
      <c r="C726" s="3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N726" s="27"/>
      <c r="O726" s="27"/>
      <c r="V726" s="27"/>
      <c r="W726" s="27"/>
      <c r="X726" s="27"/>
    </row>
    <row r="727" spans="3:24" x14ac:dyDescent="0.3">
      <c r="C727" s="3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N727" s="27"/>
      <c r="O727" s="27"/>
      <c r="V727" s="27"/>
      <c r="W727" s="27"/>
      <c r="X727" s="27"/>
    </row>
    <row r="728" spans="3:24" x14ac:dyDescent="0.3">
      <c r="C728" s="3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N728" s="27"/>
      <c r="O728" s="27"/>
      <c r="V728" s="27"/>
      <c r="W728" s="27"/>
      <c r="X728" s="27"/>
    </row>
    <row r="729" spans="3:24" x14ac:dyDescent="0.3">
      <c r="C729" s="3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N729" s="27"/>
      <c r="O729" s="27"/>
      <c r="V729" s="27"/>
      <c r="W729" s="27"/>
      <c r="X729" s="27"/>
    </row>
    <row r="730" spans="3:24" x14ac:dyDescent="0.3">
      <c r="C730" s="3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N730" s="27"/>
      <c r="O730" s="27"/>
      <c r="V730" s="27"/>
      <c r="W730" s="27"/>
      <c r="X730" s="27"/>
    </row>
    <row r="731" spans="3:24" x14ac:dyDescent="0.3">
      <c r="C731" s="3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N731" s="27"/>
      <c r="O731" s="27"/>
      <c r="V731" s="27"/>
      <c r="W731" s="27"/>
      <c r="X731" s="27"/>
    </row>
    <row r="732" spans="3:24" x14ac:dyDescent="0.3">
      <c r="C732" s="3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N732" s="27"/>
      <c r="O732" s="27"/>
      <c r="V732" s="27"/>
      <c r="W732" s="27"/>
      <c r="X732" s="27"/>
    </row>
    <row r="733" spans="3:24" x14ac:dyDescent="0.3">
      <c r="C733" s="3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N733" s="27"/>
      <c r="O733" s="27"/>
      <c r="V733" s="27"/>
      <c r="W733" s="27"/>
      <c r="X733" s="27"/>
    </row>
    <row r="734" spans="3:24" x14ac:dyDescent="0.3">
      <c r="C734" s="3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N734" s="27"/>
      <c r="O734" s="27"/>
      <c r="V734" s="27"/>
      <c r="W734" s="27"/>
      <c r="X734" s="27"/>
    </row>
    <row r="735" spans="3:24" x14ac:dyDescent="0.3">
      <c r="C735" s="3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N735" s="27"/>
      <c r="O735" s="27"/>
      <c r="V735" s="27"/>
      <c r="W735" s="27"/>
      <c r="X735" s="27"/>
    </row>
    <row r="736" spans="3:24" x14ac:dyDescent="0.3">
      <c r="C736" s="3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N736" s="27"/>
      <c r="O736" s="27"/>
      <c r="V736" s="27"/>
      <c r="W736" s="27"/>
      <c r="X736" s="27"/>
    </row>
    <row r="737" spans="3:24" x14ac:dyDescent="0.3">
      <c r="C737" s="3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N737" s="27"/>
      <c r="O737" s="27"/>
      <c r="V737" s="27"/>
      <c r="W737" s="27"/>
      <c r="X737" s="27"/>
    </row>
    <row r="738" spans="3:24" x14ac:dyDescent="0.3">
      <c r="C738" s="3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N738" s="27"/>
      <c r="O738" s="27"/>
      <c r="V738" s="27"/>
      <c r="W738" s="27"/>
      <c r="X738" s="27"/>
    </row>
    <row r="739" spans="3:24" x14ac:dyDescent="0.3">
      <c r="C739" s="3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N739" s="27"/>
      <c r="O739" s="27"/>
      <c r="V739" s="27"/>
      <c r="W739" s="27"/>
      <c r="X739" s="27"/>
    </row>
    <row r="740" spans="3:24" x14ac:dyDescent="0.3">
      <c r="C740" s="3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N740" s="27"/>
      <c r="O740" s="27"/>
      <c r="V740" s="27"/>
      <c r="W740" s="27"/>
      <c r="X740" s="27"/>
    </row>
    <row r="741" spans="3:24" x14ac:dyDescent="0.3">
      <c r="C741" s="3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N741" s="27"/>
      <c r="O741" s="27"/>
      <c r="V741" s="27"/>
      <c r="W741" s="27"/>
      <c r="X741" s="27"/>
    </row>
    <row r="742" spans="3:24" x14ac:dyDescent="0.3">
      <c r="C742" s="3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N742" s="27"/>
      <c r="O742" s="27"/>
      <c r="V742" s="27"/>
      <c r="W742" s="27"/>
      <c r="X742" s="27"/>
    </row>
    <row r="743" spans="3:24" x14ac:dyDescent="0.3">
      <c r="C743" s="3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N743" s="27"/>
      <c r="O743" s="27"/>
      <c r="V743" s="27"/>
      <c r="W743" s="27"/>
      <c r="X743" s="27"/>
    </row>
    <row r="744" spans="3:24" x14ac:dyDescent="0.3">
      <c r="C744" s="3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N744" s="27"/>
      <c r="O744" s="27"/>
      <c r="V744" s="27"/>
      <c r="W744" s="27"/>
      <c r="X744" s="27"/>
    </row>
    <row r="745" spans="3:24" x14ac:dyDescent="0.3">
      <c r="C745" s="3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N745" s="27"/>
      <c r="O745" s="27"/>
      <c r="V745" s="27"/>
      <c r="W745" s="27"/>
      <c r="X745" s="27"/>
    </row>
    <row r="746" spans="3:24" x14ac:dyDescent="0.3">
      <c r="C746" s="3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N746" s="27"/>
      <c r="O746" s="27"/>
      <c r="V746" s="27"/>
      <c r="W746" s="27"/>
      <c r="X746" s="27"/>
    </row>
    <row r="747" spans="3:24" x14ac:dyDescent="0.3">
      <c r="C747" s="3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N747" s="27"/>
      <c r="O747" s="27"/>
      <c r="V747" s="27"/>
      <c r="W747" s="27"/>
      <c r="X747" s="27"/>
    </row>
    <row r="748" spans="3:24" x14ac:dyDescent="0.3">
      <c r="C748" s="3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N748" s="27"/>
      <c r="O748" s="27"/>
      <c r="V748" s="27"/>
      <c r="W748" s="27"/>
      <c r="X748" s="27"/>
    </row>
    <row r="749" spans="3:24" x14ac:dyDescent="0.3">
      <c r="C749" s="3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N749" s="27"/>
      <c r="O749" s="27"/>
      <c r="V749" s="27"/>
      <c r="W749" s="27"/>
      <c r="X749" s="27"/>
    </row>
    <row r="750" spans="3:24" x14ac:dyDescent="0.3">
      <c r="C750" s="3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N750" s="27"/>
      <c r="O750" s="27"/>
      <c r="V750" s="27"/>
      <c r="W750" s="27"/>
      <c r="X750" s="27"/>
    </row>
    <row r="751" spans="3:24" x14ac:dyDescent="0.3">
      <c r="C751" s="3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N751" s="27"/>
      <c r="O751" s="27"/>
      <c r="V751" s="27"/>
      <c r="W751" s="27"/>
      <c r="X751" s="27"/>
    </row>
    <row r="752" spans="3:24" x14ac:dyDescent="0.3">
      <c r="C752" s="3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N752" s="27"/>
      <c r="O752" s="27"/>
      <c r="V752" s="27"/>
      <c r="W752" s="27"/>
      <c r="X752" s="27"/>
    </row>
    <row r="753" spans="3:24" x14ac:dyDescent="0.3">
      <c r="C753" s="3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N753" s="27"/>
      <c r="O753" s="27"/>
      <c r="V753" s="27"/>
      <c r="W753" s="27"/>
      <c r="X753" s="27"/>
    </row>
    <row r="754" spans="3:24" x14ac:dyDescent="0.3">
      <c r="C754" s="3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N754" s="27"/>
      <c r="O754" s="27"/>
      <c r="V754" s="27"/>
      <c r="W754" s="27"/>
      <c r="X754" s="27"/>
    </row>
    <row r="755" spans="3:24" x14ac:dyDescent="0.3">
      <c r="C755" s="3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N755" s="27"/>
      <c r="O755" s="27"/>
      <c r="V755" s="27"/>
      <c r="W755" s="27"/>
      <c r="X755" s="27"/>
    </row>
    <row r="756" spans="3:24" x14ac:dyDescent="0.3">
      <c r="C756" s="3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N756" s="27"/>
      <c r="O756" s="27"/>
      <c r="V756" s="27"/>
      <c r="W756" s="27"/>
      <c r="X756" s="27"/>
    </row>
    <row r="757" spans="3:24" x14ac:dyDescent="0.3">
      <c r="C757" s="3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N757" s="27"/>
      <c r="O757" s="27"/>
      <c r="V757" s="27"/>
      <c r="W757" s="27"/>
      <c r="X757" s="27"/>
    </row>
    <row r="758" spans="3:24" x14ac:dyDescent="0.3">
      <c r="C758" s="3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N758" s="27"/>
      <c r="O758" s="27"/>
      <c r="V758" s="27"/>
      <c r="W758" s="27"/>
      <c r="X758" s="27"/>
    </row>
    <row r="759" spans="3:24" x14ac:dyDescent="0.3">
      <c r="C759" s="3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N759" s="27"/>
      <c r="O759" s="27"/>
      <c r="V759" s="27"/>
      <c r="W759" s="27"/>
      <c r="X759" s="27"/>
    </row>
    <row r="760" spans="3:24" x14ac:dyDescent="0.3">
      <c r="C760" s="3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N760" s="27"/>
      <c r="O760" s="27"/>
      <c r="V760" s="27"/>
      <c r="W760" s="27"/>
      <c r="X760" s="27"/>
    </row>
    <row r="761" spans="3:24" x14ac:dyDescent="0.3">
      <c r="C761" s="3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N761" s="27"/>
      <c r="O761" s="27"/>
      <c r="V761" s="27"/>
      <c r="W761" s="27"/>
      <c r="X761" s="27"/>
    </row>
    <row r="762" spans="3:24" x14ac:dyDescent="0.3">
      <c r="C762" s="3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N762" s="27"/>
      <c r="O762" s="27"/>
      <c r="V762" s="27"/>
      <c r="W762" s="27"/>
      <c r="X762" s="27"/>
    </row>
    <row r="763" spans="3:24" x14ac:dyDescent="0.3">
      <c r="C763" s="3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N763" s="27"/>
      <c r="O763" s="27"/>
      <c r="V763" s="27"/>
      <c r="W763" s="27"/>
      <c r="X763" s="27"/>
    </row>
    <row r="764" spans="3:24" x14ac:dyDescent="0.3">
      <c r="C764" s="3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N764" s="27"/>
      <c r="O764" s="27"/>
      <c r="V764" s="27"/>
      <c r="W764" s="27"/>
      <c r="X764" s="27"/>
    </row>
    <row r="765" spans="3:24" x14ac:dyDescent="0.3">
      <c r="C765" s="3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N765" s="27"/>
      <c r="O765" s="27"/>
      <c r="V765" s="27"/>
      <c r="W765" s="27"/>
      <c r="X765" s="27"/>
    </row>
    <row r="766" spans="3:24" x14ac:dyDescent="0.3">
      <c r="C766" s="3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N766" s="27"/>
      <c r="O766" s="27"/>
      <c r="V766" s="27"/>
      <c r="W766" s="27"/>
      <c r="X766" s="27"/>
    </row>
    <row r="767" spans="3:24" x14ac:dyDescent="0.3">
      <c r="C767" s="3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N767" s="27"/>
      <c r="O767" s="27"/>
      <c r="V767" s="27"/>
      <c r="W767" s="27"/>
      <c r="X767" s="27"/>
    </row>
    <row r="768" spans="3:24" x14ac:dyDescent="0.3">
      <c r="C768" s="3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N768" s="27"/>
      <c r="O768" s="27"/>
      <c r="V768" s="27"/>
      <c r="W768" s="27"/>
      <c r="X768" s="27"/>
    </row>
    <row r="769" spans="3:24" x14ac:dyDescent="0.3">
      <c r="C769" s="3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N769" s="27"/>
      <c r="O769" s="27"/>
      <c r="V769" s="27"/>
      <c r="W769" s="27"/>
      <c r="X769" s="27"/>
    </row>
    <row r="770" spans="3:24" x14ac:dyDescent="0.3">
      <c r="C770" s="3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N770" s="27"/>
      <c r="O770" s="27"/>
      <c r="V770" s="27"/>
      <c r="W770" s="27"/>
      <c r="X770" s="27"/>
    </row>
    <row r="771" spans="3:24" x14ac:dyDescent="0.3">
      <c r="C771" s="3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N771" s="27"/>
      <c r="O771" s="27"/>
      <c r="V771" s="27"/>
      <c r="W771" s="27"/>
      <c r="X771" s="27"/>
    </row>
    <row r="772" spans="3:24" x14ac:dyDescent="0.3">
      <c r="C772" s="3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N772" s="27"/>
      <c r="O772" s="27"/>
      <c r="V772" s="27"/>
      <c r="W772" s="27"/>
      <c r="X772" s="27"/>
    </row>
    <row r="773" spans="3:24" x14ac:dyDescent="0.3">
      <c r="C773" s="3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N773" s="27"/>
      <c r="O773" s="27"/>
      <c r="V773" s="27"/>
      <c r="W773" s="27"/>
      <c r="X773" s="27"/>
    </row>
    <row r="774" spans="3:24" x14ac:dyDescent="0.3">
      <c r="C774" s="3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N774" s="27"/>
      <c r="O774" s="27"/>
      <c r="V774" s="27"/>
      <c r="W774" s="27"/>
      <c r="X774" s="27"/>
    </row>
    <row r="775" spans="3:24" x14ac:dyDescent="0.3">
      <c r="C775" s="3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N775" s="27"/>
      <c r="O775" s="27"/>
      <c r="V775" s="27"/>
      <c r="W775" s="27"/>
      <c r="X775" s="27"/>
    </row>
    <row r="776" spans="3:24" x14ac:dyDescent="0.3">
      <c r="C776" s="3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N776" s="27"/>
      <c r="O776" s="27"/>
      <c r="V776" s="27"/>
      <c r="W776" s="27"/>
      <c r="X776" s="27"/>
    </row>
    <row r="777" spans="3:24" x14ac:dyDescent="0.3">
      <c r="C777" s="3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N777" s="27"/>
      <c r="O777" s="27"/>
      <c r="V777" s="27"/>
      <c r="W777" s="27"/>
      <c r="X777" s="27"/>
    </row>
    <row r="778" spans="3:24" x14ac:dyDescent="0.3">
      <c r="C778" s="3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N778" s="27"/>
      <c r="O778" s="27"/>
      <c r="V778" s="27"/>
      <c r="W778" s="27"/>
      <c r="X778" s="27"/>
    </row>
    <row r="779" spans="3:24" x14ac:dyDescent="0.3">
      <c r="C779" s="3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N779" s="27"/>
      <c r="O779" s="27"/>
      <c r="V779" s="27"/>
      <c r="W779" s="27"/>
      <c r="X779" s="27"/>
    </row>
    <row r="780" spans="3:24" x14ac:dyDescent="0.3">
      <c r="C780" s="3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N780" s="27"/>
      <c r="O780" s="27"/>
      <c r="V780" s="27"/>
      <c r="W780" s="27"/>
      <c r="X780" s="27"/>
    </row>
    <row r="781" spans="3:24" x14ac:dyDescent="0.3">
      <c r="C781" s="3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N781" s="27"/>
      <c r="O781" s="27"/>
      <c r="V781" s="27"/>
      <c r="W781" s="27"/>
      <c r="X781" s="27"/>
    </row>
    <row r="782" spans="3:24" x14ac:dyDescent="0.3">
      <c r="C782" s="3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N782" s="27"/>
      <c r="O782" s="27"/>
      <c r="V782" s="27"/>
      <c r="W782" s="27"/>
      <c r="X782" s="27"/>
    </row>
    <row r="783" spans="3:24" x14ac:dyDescent="0.3">
      <c r="C783" s="3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N783" s="27"/>
      <c r="O783" s="27"/>
      <c r="V783" s="27"/>
      <c r="W783" s="27"/>
      <c r="X783" s="27"/>
    </row>
    <row r="784" spans="3:24" x14ac:dyDescent="0.3">
      <c r="C784" s="3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N784" s="27"/>
      <c r="O784" s="27"/>
      <c r="V784" s="27"/>
      <c r="W784" s="27"/>
      <c r="X784" s="27"/>
    </row>
    <row r="785" spans="3:24" x14ac:dyDescent="0.3">
      <c r="C785" s="3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N785" s="27"/>
      <c r="O785" s="27"/>
      <c r="V785" s="27"/>
      <c r="W785" s="27"/>
      <c r="X785" s="27"/>
    </row>
    <row r="786" spans="3:24" x14ac:dyDescent="0.3">
      <c r="C786" s="3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N786" s="27"/>
      <c r="O786" s="27"/>
      <c r="V786" s="27"/>
      <c r="W786" s="27"/>
      <c r="X786" s="27"/>
    </row>
    <row r="787" spans="3:24" x14ac:dyDescent="0.3">
      <c r="C787" s="3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N787" s="27"/>
      <c r="O787" s="27"/>
      <c r="V787" s="27"/>
      <c r="W787" s="27"/>
      <c r="X787" s="27"/>
    </row>
    <row r="788" spans="3:24" x14ac:dyDescent="0.3">
      <c r="C788" s="3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N788" s="27"/>
      <c r="O788" s="27"/>
      <c r="V788" s="27"/>
      <c r="W788" s="27"/>
      <c r="X788" s="27"/>
    </row>
    <row r="789" spans="3:24" x14ac:dyDescent="0.3">
      <c r="C789" s="3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N789" s="27"/>
      <c r="O789" s="27"/>
      <c r="V789" s="27"/>
      <c r="W789" s="27"/>
      <c r="X789" s="27"/>
    </row>
    <row r="790" spans="3:24" x14ac:dyDescent="0.3">
      <c r="C790" s="3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N790" s="27"/>
      <c r="O790" s="27"/>
      <c r="V790" s="27"/>
      <c r="W790" s="27"/>
      <c r="X790" s="27"/>
    </row>
    <row r="791" spans="3:24" x14ac:dyDescent="0.3">
      <c r="C791" s="3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N791" s="27"/>
      <c r="O791" s="27"/>
      <c r="V791" s="27"/>
      <c r="W791" s="27"/>
      <c r="X791" s="27"/>
    </row>
    <row r="792" spans="3:24" x14ac:dyDescent="0.3">
      <c r="C792" s="3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N792" s="27"/>
      <c r="O792" s="27"/>
      <c r="V792" s="27"/>
      <c r="W792" s="27"/>
      <c r="X792" s="27"/>
    </row>
    <row r="793" spans="3:24" x14ac:dyDescent="0.3">
      <c r="C793" s="3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N793" s="27"/>
      <c r="O793" s="27"/>
      <c r="V793" s="27"/>
      <c r="W793" s="27"/>
      <c r="X793" s="27"/>
    </row>
    <row r="794" spans="3:24" x14ac:dyDescent="0.3">
      <c r="C794" s="3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N794" s="27"/>
      <c r="O794" s="27"/>
      <c r="V794" s="27"/>
      <c r="W794" s="27"/>
      <c r="X794" s="27"/>
    </row>
    <row r="795" spans="3:24" x14ac:dyDescent="0.3">
      <c r="C795" s="3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N795" s="27"/>
      <c r="O795" s="27"/>
      <c r="V795" s="27"/>
      <c r="W795" s="27"/>
      <c r="X795" s="27"/>
    </row>
    <row r="796" spans="3:24" x14ac:dyDescent="0.3">
      <c r="C796" s="3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N796" s="27"/>
      <c r="O796" s="27"/>
      <c r="V796" s="27"/>
      <c r="W796" s="27"/>
      <c r="X796" s="27"/>
    </row>
    <row r="797" spans="3:24" x14ac:dyDescent="0.3">
      <c r="C797" s="3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N797" s="27"/>
      <c r="O797" s="27"/>
      <c r="V797" s="27"/>
      <c r="W797" s="27"/>
      <c r="X797" s="27"/>
    </row>
    <row r="798" spans="3:24" x14ac:dyDescent="0.3">
      <c r="C798" s="3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N798" s="27"/>
      <c r="O798" s="27"/>
      <c r="V798" s="27"/>
      <c r="W798" s="27"/>
      <c r="X798" s="27"/>
    </row>
    <row r="799" spans="3:24" x14ac:dyDescent="0.3">
      <c r="C799" s="3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N799" s="27"/>
      <c r="O799" s="27"/>
      <c r="V799" s="27"/>
      <c r="W799" s="27"/>
      <c r="X799" s="27"/>
    </row>
    <row r="800" spans="3:24" x14ac:dyDescent="0.3">
      <c r="C800" s="3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N800" s="27"/>
      <c r="O800" s="27"/>
      <c r="V800" s="27"/>
      <c r="W800" s="27"/>
      <c r="X800" s="27"/>
    </row>
    <row r="801" spans="3:24" x14ac:dyDescent="0.3">
      <c r="C801" s="3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N801" s="27"/>
      <c r="O801" s="27"/>
      <c r="V801" s="27"/>
      <c r="W801" s="27"/>
      <c r="X801" s="27"/>
    </row>
    <row r="802" spans="3:24" x14ac:dyDescent="0.3">
      <c r="C802" s="3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N802" s="27"/>
      <c r="O802" s="27"/>
      <c r="V802" s="27"/>
      <c r="W802" s="27"/>
      <c r="X802" s="27"/>
    </row>
    <row r="803" spans="3:24" x14ac:dyDescent="0.3">
      <c r="C803" s="3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N803" s="27"/>
      <c r="O803" s="27"/>
      <c r="V803" s="27"/>
      <c r="W803" s="27"/>
      <c r="X803" s="27"/>
    </row>
    <row r="804" spans="3:24" x14ac:dyDescent="0.3">
      <c r="C804" s="3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N804" s="27"/>
      <c r="O804" s="27"/>
      <c r="V804" s="27"/>
      <c r="W804" s="27"/>
      <c r="X804" s="27"/>
    </row>
    <row r="805" spans="3:24" x14ac:dyDescent="0.3">
      <c r="C805" s="3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N805" s="27"/>
      <c r="O805" s="27"/>
      <c r="V805" s="27"/>
      <c r="W805" s="27"/>
      <c r="X805" s="27"/>
    </row>
    <row r="806" spans="3:24" x14ac:dyDescent="0.3">
      <c r="C806" s="3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N806" s="27"/>
      <c r="O806" s="27"/>
      <c r="V806" s="27"/>
      <c r="W806" s="27"/>
      <c r="X806" s="27"/>
    </row>
    <row r="807" spans="3:24" x14ac:dyDescent="0.3">
      <c r="C807" s="3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N807" s="27"/>
      <c r="O807" s="27"/>
      <c r="V807" s="27"/>
      <c r="W807" s="27"/>
      <c r="X807" s="27"/>
    </row>
    <row r="808" spans="3:24" x14ac:dyDescent="0.3">
      <c r="C808" s="3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N808" s="27"/>
      <c r="O808" s="27"/>
      <c r="V808" s="27"/>
      <c r="W808" s="27"/>
      <c r="X808" s="27"/>
    </row>
    <row r="809" spans="3:24" x14ac:dyDescent="0.3">
      <c r="C809" s="3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N809" s="27"/>
      <c r="O809" s="27"/>
      <c r="V809" s="27"/>
      <c r="W809" s="27"/>
      <c r="X809" s="27"/>
    </row>
    <row r="810" spans="3:24" x14ac:dyDescent="0.3">
      <c r="C810" s="3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N810" s="27"/>
      <c r="O810" s="27"/>
      <c r="V810" s="27"/>
      <c r="W810" s="27"/>
      <c r="X810" s="27"/>
    </row>
    <row r="811" spans="3:24" x14ac:dyDescent="0.3">
      <c r="C811" s="3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N811" s="27"/>
      <c r="O811" s="27"/>
      <c r="V811" s="27"/>
      <c r="W811" s="27"/>
      <c r="X811" s="27"/>
    </row>
    <row r="812" spans="3:24" x14ac:dyDescent="0.3">
      <c r="C812" s="3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N812" s="27"/>
      <c r="O812" s="27"/>
      <c r="V812" s="27"/>
      <c r="W812" s="27"/>
      <c r="X812" s="27"/>
    </row>
    <row r="813" spans="3:24" x14ac:dyDescent="0.3">
      <c r="C813" s="3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N813" s="27"/>
      <c r="O813" s="27"/>
      <c r="V813" s="27"/>
      <c r="W813" s="27"/>
      <c r="X813" s="27"/>
    </row>
    <row r="814" spans="3:24" x14ac:dyDescent="0.3">
      <c r="C814" s="3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N814" s="27"/>
      <c r="O814" s="27"/>
      <c r="V814" s="27"/>
      <c r="W814" s="27"/>
      <c r="X814" s="27"/>
    </row>
    <row r="815" spans="3:24" x14ac:dyDescent="0.3">
      <c r="C815" s="3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N815" s="27"/>
      <c r="O815" s="27"/>
      <c r="V815" s="27"/>
      <c r="W815" s="27"/>
      <c r="X815" s="27"/>
    </row>
    <row r="816" spans="3:24" x14ac:dyDescent="0.3">
      <c r="C816" s="3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N816" s="27"/>
      <c r="O816" s="27"/>
      <c r="V816" s="27"/>
      <c r="W816" s="27"/>
      <c r="X816" s="27"/>
    </row>
    <row r="817" spans="3:24" x14ac:dyDescent="0.3">
      <c r="C817" s="3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N817" s="27"/>
      <c r="O817" s="27"/>
      <c r="V817" s="27"/>
      <c r="W817" s="27"/>
      <c r="X817" s="27"/>
    </row>
    <row r="818" spans="3:24" x14ac:dyDescent="0.3">
      <c r="C818" s="3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N818" s="27"/>
      <c r="O818" s="27"/>
      <c r="V818" s="27"/>
      <c r="W818" s="27"/>
      <c r="X818" s="27"/>
    </row>
    <row r="819" spans="3:24" x14ac:dyDescent="0.3">
      <c r="C819" s="3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N819" s="27"/>
      <c r="O819" s="27"/>
      <c r="V819" s="27"/>
      <c r="W819" s="27"/>
      <c r="X819" s="27"/>
    </row>
    <row r="820" spans="3:24" x14ac:dyDescent="0.3">
      <c r="C820" s="3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N820" s="27"/>
      <c r="O820" s="27"/>
      <c r="V820" s="27"/>
      <c r="W820" s="27"/>
      <c r="X820" s="27"/>
    </row>
    <row r="821" spans="3:24" x14ac:dyDescent="0.3">
      <c r="C821" s="3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N821" s="27"/>
      <c r="O821" s="27"/>
      <c r="V821" s="27"/>
      <c r="W821" s="27"/>
      <c r="X821" s="27"/>
    </row>
    <row r="822" spans="3:24" x14ac:dyDescent="0.3">
      <c r="C822" s="3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N822" s="27"/>
      <c r="O822" s="27"/>
      <c r="V822" s="27"/>
      <c r="W822" s="27"/>
      <c r="X822" s="27"/>
    </row>
    <row r="823" spans="3:24" x14ac:dyDescent="0.3">
      <c r="C823" s="3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N823" s="27"/>
      <c r="O823" s="27"/>
      <c r="V823" s="27"/>
      <c r="W823" s="27"/>
      <c r="X823" s="27"/>
    </row>
    <row r="824" spans="3:24" x14ac:dyDescent="0.3">
      <c r="C824" s="3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N824" s="27"/>
      <c r="O824" s="27"/>
      <c r="V824" s="27"/>
      <c r="W824" s="27"/>
      <c r="X824" s="27"/>
    </row>
    <row r="825" spans="3:24" x14ac:dyDescent="0.3">
      <c r="C825" s="3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N825" s="27"/>
      <c r="O825" s="27"/>
      <c r="V825" s="27"/>
      <c r="W825" s="27"/>
      <c r="X825" s="27"/>
    </row>
    <row r="826" spans="3:24" x14ac:dyDescent="0.3">
      <c r="C826" s="3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N826" s="27"/>
      <c r="O826" s="27"/>
      <c r="V826" s="27"/>
      <c r="W826" s="27"/>
      <c r="X826" s="27"/>
    </row>
    <row r="827" spans="3:24" x14ac:dyDescent="0.3">
      <c r="C827" s="3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N827" s="27"/>
      <c r="O827" s="27"/>
      <c r="V827" s="27"/>
      <c r="W827" s="27"/>
      <c r="X827" s="27"/>
    </row>
    <row r="828" spans="3:24" x14ac:dyDescent="0.3">
      <c r="C828" s="3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N828" s="27"/>
      <c r="O828" s="27"/>
      <c r="V828" s="27"/>
      <c r="W828" s="27"/>
      <c r="X828" s="27"/>
    </row>
    <row r="829" spans="3:24" x14ac:dyDescent="0.3">
      <c r="C829" s="3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N829" s="27"/>
      <c r="O829" s="27"/>
      <c r="V829" s="27"/>
      <c r="W829" s="27"/>
      <c r="X829" s="27"/>
    </row>
    <row r="830" spans="3:24" x14ac:dyDescent="0.3">
      <c r="C830" s="3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N830" s="27"/>
      <c r="O830" s="27"/>
      <c r="V830" s="27"/>
      <c r="W830" s="27"/>
      <c r="X830" s="27"/>
    </row>
    <row r="831" spans="3:24" x14ac:dyDescent="0.3">
      <c r="C831" s="3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N831" s="27"/>
      <c r="O831" s="27"/>
      <c r="V831" s="27"/>
      <c r="W831" s="27"/>
      <c r="X831" s="27"/>
    </row>
    <row r="832" spans="3:24" x14ac:dyDescent="0.3">
      <c r="C832" s="3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N832" s="27"/>
      <c r="O832" s="27"/>
      <c r="V832" s="27"/>
      <c r="W832" s="27"/>
      <c r="X832" s="27"/>
    </row>
    <row r="833" spans="3:24" x14ac:dyDescent="0.3">
      <c r="C833" s="3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N833" s="27"/>
      <c r="O833" s="27"/>
      <c r="V833" s="27"/>
      <c r="W833" s="27"/>
      <c r="X833" s="27"/>
    </row>
    <row r="834" spans="3:24" x14ac:dyDescent="0.3">
      <c r="C834" s="3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N834" s="27"/>
      <c r="O834" s="27"/>
      <c r="V834" s="27"/>
      <c r="W834" s="27"/>
      <c r="X834" s="27"/>
    </row>
    <row r="835" spans="3:24" x14ac:dyDescent="0.3">
      <c r="C835" s="3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N835" s="27"/>
      <c r="O835" s="27"/>
      <c r="V835" s="27"/>
      <c r="W835" s="27"/>
      <c r="X835" s="27"/>
    </row>
    <row r="836" spans="3:24" x14ac:dyDescent="0.3">
      <c r="C836" s="3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N836" s="27"/>
      <c r="O836" s="27"/>
      <c r="V836" s="27"/>
      <c r="W836" s="27"/>
      <c r="X836" s="27"/>
    </row>
    <row r="837" spans="3:24" x14ac:dyDescent="0.3">
      <c r="C837" s="3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N837" s="27"/>
      <c r="O837" s="27"/>
      <c r="V837" s="27"/>
      <c r="W837" s="27"/>
      <c r="X837" s="27"/>
    </row>
    <row r="838" spans="3:24" x14ac:dyDescent="0.3">
      <c r="C838" s="3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N838" s="27"/>
      <c r="O838" s="27"/>
      <c r="V838" s="27"/>
      <c r="W838" s="27"/>
      <c r="X838" s="27"/>
    </row>
    <row r="839" spans="3:24" x14ac:dyDescent="0.3">
      <c r="C839" s="3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N839" s="27"/>
      <c r="O839" s="27"/>
      <c r="V839" s="27"/>
      <c r="W839" s="27"/>
      <c r="X839" s="27"/>
    </row>
    <row r="840" spans="3:24" x14ac:dyDescent="0.3">
      <c r="C840" s="3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N840" s="27"/>
      <c r="O840" s="27"/>
      <c r="V840" s="27"/>
      <c r="W840" s="27"/>
      <c r="X840" s="27"/>
    </row>
    <row r="841" spans="3:24" x14ac:dyDescent="0.3">
      <c r="C841" s="3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N841" s="27"/>
      <c r="O841" s="27"/>
      <c r="V841" s="27"/>
      <c r="W841" s="27"/>
      <c r="X841" s="27"/>
    </row>
    <row r="842" spans="3:24" x14ac:dyDescent="0.3">
      <c r="C842" s="3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N842" s="27"/>
      <c r="O842" s="27"/>
      <c r="V842" s="27"/>
      <c r="W842" s="27"/>
      <c r="X842" s="27"/>
    </row>
    <row r="843" spans="3:24" x14ac:dyDescent="0.3">
      <c r="C843" s="3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N843" s="27"/>
      <c r="O843" s="27"/>
      <c r="V843" s="27"/>
      <c r="W843" s="27"/>
      <c r="X843" s="27"/>
    </row>
    <row r="844" spans="3:24" x14ac:dyDescent="0.3">
      <c r="C844" s="3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N844" s="27"/>
      <c r="O844" s="27"/>
      <c r="V844" s="27"/>
      <c r="W844" s="27"/>
      <c r="X844" s="27"/>
    </row>
    <row r="845" spans="3:24" x14ac:dyDescent="0.3">
      <c r="C845" s="3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N845" s="27"/>
      <c r="O845" s="27"/>
      <c r="V845" s="27"/>
      <c r="W845" s="27"/>
      <c r="X845" s="27"/>
    </row>
    <row r="846" spans="3:24" x14ac:dyDescent="0.3">
      <c r="C846" s="3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N846" s="27"/>
      <c r="O846" s="27"/>
      <c r="V846" s="27"/>
      <c r="W846" s="27"/>
      <c r="X846" s="27"/>
    </row>
    <row r="847" spans="3:24" x14ac:dyDescent="0.3">
      <c r="C847" s="3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N847" s="27"/>
      <c r="O847" s="27"/>
      <c r="V847" s="27"/>
      <c r="W847" s="27"/>
      <c r="X847" s="27"/>
    </row>
    <row r="848" spans="3:24" x14ac:dyDescent="0.3">
      <c r="C848" s="3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N848" s="27"/>
      <c r="O848" s="27"/>
      <c r="V848" s="27"/>
      <c r="W848" s="27"/>
      <c r="X848" s="27"/>
    </row>
    <row r="849" spans="3:24" x14ac:dyDescent="0.3">
      <c r="C849" s="3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N849" s="27"/>
      <c r="O849" s="27"/>
      <c r="V849" s="27"/>
      <c r="W849" s="27"/>
      <c r="X849" s="27"/>
    </row>
    <row r="850" spans="3:24" x14ac:dyDescent="0.3">
      <c r="C850" s="3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N850" s="27"/>
      <c r="O850" s="27"/>
      <c r="V850" s="27"/>
      <c r="W850" s="27"/>
      <c r="X850" s="27"/>
    </row>
    <row r="851" spans="3:24" x14ac:dyDescent="0.3">
      <c r="C851" s="3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N851" s="27"/>
      <c r="O851" s="27"/>
      <c r="V851" s="27"/>
      <c r="W851" s="27"/>
      <c r="X851" s="27"/>
    </row>
    <row r="852" spans="3:24" x14ac:dyDescent="0.3">
      <c r="C852" s="3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N852" s="27"/>
      <c r="O852" s="27"/>
      <c r="V852" s="27"/>
      <c r="W852" s="27"/>
      <c r="X852" s="27"/>
    </row>
    <row r="853" spans="3:24" x14ac:dyDescent="0.3">
      <c r="C853" s="3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N853" s="27"/>
      <c r="O853" s="27"/>
      <c r="V853" s="27"/>
      <c r="W853" s="27"/>
      <c r="X853" s="27"/>
    </row>
    <row r="854" spans="3:24" x14ac:dyDescent="0.3">
      <c r="C854" s="3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N854" s="27"/>
      <c r="O854" s="27"/>
      <c r="V854" s="27"/>
      <c r="W854" s="27"/>
      <c r="X854" s="27"/>
    </row>
    <row r="855" spans="3:24" x14ac:dyDescent="0.3">
      <c r="C855" s="3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N855" s="27"/>
      <c r="O855" s="27"/>
      <c r="V855" s="27"/>
      <c r="W855" s="27"/>
      <c r="X855" s="27"/>
    </row>
    <row r="856" spans="3:24" x14ac:dyDescent="0.3">
      <c r="C856" s="3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N856" s="27"/>
      <c r="O856" s="27"/>
      <c r="V856" s="27"/>
      <c r="W856" s="27"/>
      <c r="X856" s="27"/>
    </row>
    <row r="857" spans="3:24" x14ac:dyDescent="0.3">
      <c r="C857" s="3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N857" s="27"/>
      <c r="O857" s="27"/>
      <c r="V857" s="27"/>
      <c r="W857" s="27"/>
      <c r="X857" s="27"/>
    </row>
    <row r="858" spans="3:24" x14ac:dyDescent="0.3">
      <c r="C858" s="3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N858" s="27"/>
      <c r="O858" s="27"/>
      <c r="V858" s="27"/>
      <c r="W858" s="27"/>
      <c r="X858" s="27"/>
    </row>
    <row r="859" spans="3:24" x14ac:dyDescent="0.3">
      <c r="C859" s="3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N859" s="27"/>
      <c r="O859" s="27"/>
      <c r="V859" s="27"/>
      <c r="W859" s="27"/>
      <c r="X859" s="27"/>
    </row>
    <row r="860" spans="3:24" x14ac:dyDescent="0.3">
      <c r="C860" s="3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N860" s="27"/>
      <c r="O860" s="27"/>
      <c r="V860" s="27"/>
      <c r="W860" s="27"/>
      <c r="X860" s="27"/>
    </row>
    <row r="861" spans="3:24" x14ac:dyDescent="0.3">
      <c r="C861" s="3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N861" s="27"/>
      <c r="O861" s="27"/>
      <c r="V861" s="27"/>
      <c r="W861" s="27"/>
      <c r="X861" s="27"/>
    </row>
    <row r="862" spans="3:24" x14ac:dyDescent="0.3">
      <c r="C862" s="3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N862" s="27"/>
      <c r="O862" s="27"/>
      <c r="V862" s="27"/>
      <c r="W862" s="27"/>
      <c r="X862" s="27"/>
    </row>
    <row r="863" spans="3:24" x14ac:dyDescent="0.3">
      <c r="C863" s="3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N863" s="27"/>
      <c r="O863" s="27"/>
      <c r="V863" s="27"/>
      <c r="W863" s="27"/>
      <c r="X863" s="27"/>
    </row>
    <row r="864" spans="3:24" x14ac:dyDescent="0.3">
      <c r="C864" s="3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N864" s="27"/>
      <c r="O864" s="27"/>
      <c r="V864" s="27"/>
      <c r="W864" s="27"/>
      <c r="X864" s="27"/>
    </row>
    <row r="865" spans="3:24" x14ac:dyDescent="0.3">
      <c r="C865" s="3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N865" s="27"/>
      <c r="O865" s="27"/>
      <c r="V865" s="27"/>
      <c r="W865" s="27"/>
      <c r="X865" s="27"/>
    </row>
    <row r="866" spans="3:24" x14ac:dyDescent="0.3">
      <c r="C866" s="3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N866" s="27"/>
      <c r="O866" s="27"/>
      <c r="V866" s="27"/>
      <c r="W866" s="27"/>
      <c r="X866" s="27"/>
    </row>
    <row r="867" spans="3:24" x14ac:dyDescent="0.3">
      <c r="C867" s="3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N867" s="27"/>
      <c r="O867" s="27"/>
      <c r="V867" s="27"/>
      <c r="W867" s="27"/>
      <c r="X867" s="27"/>
    </row>
    <row r="868" spans="3:24" x14ac:dyDescent="0.3">
      <c r="C868" s="3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N868" s="27"/>
      <c r="O868" s="27"/>
      <c r="V868" s="27"/>
      <c r="W868" s="27"/>
      <c r="X868" s="27"/>
    </row>
    <row r="869" spans="3:24" x14ac:dyDescent="0.3">
      <c r="C869" s="3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N869" s="27"/>
      <c r="O869" s="27"/>
      <c r="V869" s="27"/>
      <c r="W869" s="27"/>
      <c r="X869" s="27"/>
    </row>
    <row r="870" spans="3:24" x14ac:dyDescent="0.3">
      <c r="C870" s="3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N870" s="27"/>
      <c r="O870" s="27"/>
      <c r="V870" s="27"/>
      <c r="W870" s="27"/>
      <c r="X870" s="27"/>
    </row>
    <row r="871" spans="3:24" x14ac:dyDescent="0.3">
      <c r="C871" s="3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N871" s="27"/>
      <c r="O871" s="27"/>
      <c r="V871" s="27"/>
      <c r="W871" s="27"/>
      <c r="X871" s="27"/>
    </row>
    <row r="872" spans="3:24" x14ac:dyDescent="0.3">
      <c r="C872" s="3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N872" s="27"/>
      <c r="O872" s="27"/>
      <c r="V872" s="27"/>
      <c r="W872" s="27"/>
      <c r="X872" s="27"/>
    </row>
    <row r="873" spans="3:24" x14ac:dyDescent="0.3">
      <c r="C873" s="3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N873" s="27"/>
      <c r="O873" s="27"/>
      <c r="V873" s="27"/>
      <c r="W873" s="27"/>
      <c r="X873" s="27"/>
    </row>
    <row r="874" spans="3:24" x14ac:dyDescent="0.3">
      <c r="C874" s="3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N874" s="27"/>
      <c r="O874" s="27"/>
      <c r="V874" s="27"/>
      <c r="W874" s="27"/>
      <c r="X874" s="27"/>
    </row>
    <row r="875" spans="3:24" x14ac:dyDescent="0.3">
      <c r="C875" s="3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N875" s="27"/>
      <c r="O875" s="27"/>
      <c r="V875" s="27"/>
      <c r="W875" s="27"/>
      <c r="X875" s="27"/>
    </row>
    <row r="876" spans="3:24" x14ac:dyDescent="0.3">
      <c r="C876" s="3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N876" s="27"/>
      <c r="O876" s="27"/>
      <c r="V876" s="27"/>
      <c r="W876" s="27"/>
      <c r="X876" s="27"/>
    </row>
    <row r="877" spans="3:24" x14ac:dyDescent="0.3">
      <c r="C877" s="3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N877" s="27"/>
      <c r="O877" s="27"/>
      <c r="V877" s="27"/>
      <c r="W877" s="27"/>
      <c r="X877" s="27"/>
    </row>
    <row r="878" spans="3:24" x14ac:dyDescent="0.3">
      <c r="C878" s="3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N878" s="27"/>
      <c r="O878" s="27"/>
      <c r="V878" s="27"/>
      <c r="W878" s="27"/>
      <c r="X878" s="27"/>
    </row>
    <row r="879" spans="3:24" x14ac:dyDescent="0.3">
      <c r="C879" s="3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N879" s="27"/>
      <c r="O879" s="27"/>
      <c r="V879" s="27"/>
      <c r="W879" s="27"/>
      <c r="X879" s="27"/>
    </row>
    <row r="880" spans="3:24" x14ac:dyDescent="0.3">
      <c r="C880" s="3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N880" s="27"/>
      <c r="O880" s="27"/>
      <c r="V880" s="27"/>
      <c r="W880" s="27"/>
      <c r="X880" s="27"/>
    </row>
    <row r="881" spans="3:24" x14ac:dyDescent="0.3">
      <c r="C881" s="3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N881" s="27"/>
      <c r="O881" s="27"/>
      <c r="V881" s="27"/>
      <c r="W881" s="27"/>
      <c r="X881" s="27"/>
    </row>
    <row r="882" spans="3:24" x14ac:dyDescent="0.3">
      <c r="C882" s="3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N882" s="27"/>
      <c r="O882" s="27"/>
      <c r="V882" s="27"/>
      <c r="W882" s="27"/>
      <c r="X882" s="27"/>
    </row>
    <row r="883" spans="3:24" x14ac:dyDescent="0.3">
      <c r="C883" s="3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N883" s="27"/>
      <c r="O883" s="27"/>
      <c r="V883" s="27"/>
      <c r="W883" s="27"/>
      <c r="X883" s="27"/>
    </row>
    <row r="884" spans="3:24" x14ac:dyDescent="0.3">
      <c r="C884" s="3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N884" s="27"/>
      <c r="O884" s="27"/>
      <c r="V884" s="27"/>
      <c r="W884" s="27"/>
      <c r="X884" s="27"/>
    </row>
    <row r="885" spans="3:24" x14ac:dyDescent="0.3">
      <c r="C885" s="3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N885" s="27"/>
      <c r="O885" s="27"/>
      <c r="V885" s="27"/>
      <c r="W885" s="27"/>
      <c r="X885" s="27"/>
    </row>
    <row r="886" spans="3:24" x14ac:dyDescent="0.3">
      <c r="C886" s="3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N886" s="27"/>
      <c r="O886" s="27"/>
      <c r="V886" s="27"/>
      <c r="W886" s="27"/>
      <c r="X886" s="27"/>
    </row>
    <row r="887" spans="3:24" x14ac:dyDescent="0.3">
      <c r="C887" s="3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N887" s="27"/>
      <c r="O887" s="27"/>
      <c r="V887" s="27"/>
      <c r="W887" s="27"/>
      <c r="X887" s="27"/>
    </row>
    <row r="888" spans="3:24" x14ac:dyDescent="0.3">
      <c r="C888" s="3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N888" s="27"/>
      <c r="O888" s="27"/>
      <c r="V888" s="27"/>
      <c r="W888" s="27"/>
      <c r="X888" s="27"/>
    </row>
    <row r="889" spans="3:24" x14ac:dyDescent="0.3">
      <c r="C889" s="3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N889" s="27"/>
      <c r="O889" s="27"/>
      <c r="V889" s="27"/>
      <c r="W889" s="27"/>
      <c r="X889" s="27"/>
    </row>
    <row r="890" spans="3:24" x14ac:dyDescent="0.3">
      <c r="C890" s="3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N890" s="27"/>
      <c r="O890" s="27"/>
      <c r="V890" s="27"/>
      <c r="W890" s="27"/>
      <c r="X890" s="27"/>
    </row>
    <row r="891" spans="3:24" x14ac:dyDescent="0.3">
      <c r="C891" s="3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N891" s="27"/>
      <c r="O891" s="27"/>
      <c r="V891" s="27"/>
      <c r="W891" s="27"/>
      <c r="X891" s="27"/>
    </row>
    <row r="892" spans="3:24" x14ac:dyDescent="0.3">
      <c r="C892" s="3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N892" s="27"/>
      <c r="O892" s="27"/>
      <c r="V892" s="27"/>
      <c r="W892" s="27"/>
      <c r="X892" s="27"/>
    </row>
    <row r="893" spans="3:24" x14ac:dyDescent="0.3">
      <c r="C893" s="3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N893" s="27"/>
      <c r="O893" s="27"/>
      <c r="V893" s="27"/>
      <c r="W893" s="27"/>
      <c r="X893" s="27"/>
    </row>
    <row r="894" spans="3:24" x14ac:dyDescent="0.3">
      <c r="C894" s="3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N894" s="27"/>
      <c r="O894" s="27"/>
      <c r="V894" s="27"/>
      <c r="W894" s="27"/>
      <c r="X894" s="27"/>
    </row>
    <row r="895" spans="3:24" x14ac:dyDescent="0.3">
      <c r="C895" s="3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N895" s="27"/>
      <c r="O895" s="27"/>
      <c r="V895" s="27"/>
      <c r="W895" s="27"/>
      <c r="X895" s="27"/>
    </row>
    <row r="896" spans="3:24" x14ac:dyDescent="0.3">
      <c r="C896" s="3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N896" s="27"/>
      <c r="O896" s="27"/>
      <c r="V896" s="27"/>
      <c r="W896" s="27"/>
      <c r="X896" s="27"/>
    </row>
    <row r="897" spans="3:24" x14ac:dyDescent="0.3">
      <c r="C897" s="3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N897" s="27"/>
      <c r="O897" s="27"/>
      <c r="V897" s="27"/>
      <c r="W897" s="27"/>
      <c r="X897" s="27"/>
    </row>
    <row r="898" spans="3:24" x14ac:dyDescent="0.3">
      <c r="C898" s="3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N898" s="27"/>
      <c r="O898" s="27"/>
      <c r="V898" s="27"/>
      <c r="W898" s="27"/>
      <c r="X898" s="27"/>
    </row>
    <row r="899" spans="3:24" x14ac:dyDescent="0.3">
      <c r="C899" s="3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N899" s="27"/>
      <c r="O899" s="27"/>
      <c r="V899" s="27"/>
      <c r="W899" s="27"/>
      <c r="X899" s="27"/>
    </row>
    <row r="900" spans="3:24" x14ac:dyDescent="0.3">
      <c r="C900" s="3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N900" s="27"/>
      <c r="O900" s="27"/>
      <c r="V900" s="27"/>
      <c r="W900" s="27"/>
      <c r="X900" s="27"/>
    </row>
    <row r="901" spans="3:24" x14ac:dyDescent="0.3">
      <c r="C901" s="3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N901" s="27"/>
      <c r="O901" s="27"/>
      <c r="V901" s="27"/>
      <c r="W901" s="27"/>
      <c r="X901" s="27"/>
    </row>
    <row r="902" spans="3:24" x14ac:dyDescent="0.3">
      <c r="C902" s="3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N902" s="27"/>
      <c r="O902" s="27"/>
      <c r="V902" s="27"/>
      <c r="W902" s="27"/>
      <c r="X902" s="27"/>
    </row>
    <row r="903" spans="3:24" x14ac:dyDescent="0.3">
      <c r="C903" s="3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N903" s="27"/>
      <c r="O903" s="27"/>
      <c r="V903" s="27"/>
      <c r="W903" s="27"/>
      <c r="X903" s="27"/>
    </row>
    <row r="904" spans="3:24" x14ac:dyDescent="0.3">
      <c r="C904" s="3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N904" s="27"/>
      <c r="O904" s="27"/>
      <c r="V904" s="27"/>
      <c r="W904" s="27"/>
      <c r="X904" s="27"/>
    </row>
    <row r="905" spans="3:24" x14ac:dyDescent="0.3">
      <c r="C905" s="3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N905" s="27"/>
      <c r="O905" s="27"/>
      <c r="V905" s="27"/>
      <c r="W905" s="27"/>
      <c r="X905" s="27"/>
    </row>
    <row r="906" spans="3:24" x14ac:dyDescent="0.3">
      <c r="C906" s="3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N906" s="27"/>
      <c r="O906" s="27"/>
      <c r="V906" s="27"/>
      <c r="W906" s="27"/>
      <c r="X906" s="27"/>
    </row>
    <row r="907" spans="3:24" x14ac:dyDescent="0.3">
      <c r="C907" s="3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N907" s="27"/>
      <c r="O907" s="27"/>
      <c r="V907" s="27"/>
      <c r="W907" s="27"/>
      <c r="X907" s="27"/>
    </row>
    <row r="908" spans="3:24" x14ac:dyDescent="0.3">
      <c r="C908" s="3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N908" s="27"/>
      <c r="O908" s="27"/>
      <c r="V908" s="27"/>
      <c r="W908" s="27"/>
      <c r="X908" s="27"/>
    </row>
    <row r="909" spans="3:24" x14ac:dyDescent="0.3">
      <c r="C909" s="3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N909" s="27"/>
      <c r="O909" s="27"/>
      <c r="V909" s="27"/>
      <c r="W909" s="27"/>
      <c r="X909" s="27"/>
    </row>
    <row r="910" spans="3:24" x14ac:dyDescent="0.3">
      <c r="C910" s="3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N910" s="27"/>
      <c r="O910" s="27"/>
      <c r="V910" s="27"/>
      <c r="W910" s="27"/>
      <c r="X910" s="27"/>
    </row>
    <row r="911" spans="3:24" x14ac:dyDescent="0.3">
      <c r="C911" s="3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N911" s="27"/>
      <c r="O911" s="27"/>
      <c r="V911" s="27"/>
      <c r="W911" s="27"/>
      <c r="X911" s="27"/>
    </row>
    <row r="912" spans="3:24" x14ac:dyDescent="0.3">
      <c r="C912" s="3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N912" s="27"/>
      <c r="O912" s="27"/>
      <c r="V912" s="27"/>
      <c r="W912" s="27"/>
      <c r="X912" s="27"/>
    </row>
    <row r="913" spans="3:24" x14ac:dyDescent="0.3">
      <c r="C913" s="3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N913" s="27"/>
      <c r="O913" s="27"/>
      <c r="V913" s="27"/>
      <c r="W913" s="27"/>
      <c r="X913" s="27"/>
    </row>
    <row r="914" spans="3:24" x14ac:dyDescent="0.3">
      <c r="C914" s="3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N914" s="27"/>
      <c r="O914" s="27"/>
      <c r="V914" s="27"/>
      <c r="W914" s="27"/>
      <c r="X914" s="27"/>
    </row>
    <row r="915" spans="3:24" x14ac:dyDescent="0.3">
      <c r="C915" s="3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N915" s="27"/>
      <c r="O915" s="27"/>
      <c r="V915" s="27"/>
      <c r="W915" s="27"/>
      <c r="X915" s="27"/>
    </row>
    <row r="916" spans="3:24" x14ac:dyDescent="0.3"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N916" s="27"/>
      <c r="O916" s="27"/>
      <c r="V916" s="27"/>
      <c r="W916" s="27"/>
      <c r="X916" s="27"/>
    </row>
    <row r="917" spans="3:24" x14ac:dyDescent="0.3"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N917" s="27"/>
      <c r="O917" s="27"/>
      <c r="V917" s="27"/>
      <c r="W917" s="27"/>
      <c r="X917" s="27"/>
    </row>
    <row r="918" spans="3:24" x14ac:dyDescent="0.3"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N918" s="27"/>
      <c r="O918" s="27"/>
      <c r="V918" s="27"/>
      <c r="W918" s="27"/>
      <c r="X918" s="27"/>
    </row>
    <row r="919" spans="3:24" x14ac:dyDescent="0.3"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N919" s="27"/>
      <c r="O919" s="27"/>
      <c r="V919" s="27"/>
      <c r="W919" s="27"/>
      <c r="X919" s="27"/>
    </row>
    <row r="920" spans="3:24" x14ac:dyDescent="0.3"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N920" s="27"/>
      <c r="O920" s="27"/>
      <c r="V920" s="27"/>
      <c r="W920" s="27"/>
      <c r="X920" s="27"/>
    </row>
    <row r="921" spans="3:24" x14ac:dyDescent="0.3"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N921" s="27"/>
      <c r="O921" s="27"/>
      <c r="V921" s="27"/>
      <c r="W921" s="27"/>
      <c r="X921" s="27"/>
    </row>
    <row r="922" spans="3:24" x14ac:dyDescent="0.3"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N922" s="27"/>
      <c r="O922" s="27"/>
      <c r="V922" s="27"/>
      <c r="W922" s="27"/>
      <c r="X922" s="27"/>
    </row>
    <row r="923" spans="3:24" x14ac:dyDescent="0.3"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N923" s="27"/>
      <c r="O923" s="27"/>
      <c r="V923" s="27"/>
      <c r="W923" s="27"/>
      <c r="X923" s="27"/>
    </row>
    <row r="924" spans="3:24" x14ac:dyDescent="0.3"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N924" s="27"/>
      <c r="O924" s="27"/>
      <c r="V924" s="27"/>
      <c r="W924" s="27"/>
      <c r="X924" s="27"/>
    </row>
    <row r="925" spans="3:24" x14ac:dyDescent="0.3"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N925" s="27"/>
      <c r="O925" s="27"/>
      <c r="V925" s="27"/>
      <c r="W925" s="27"/>
      <c r="X925" s="27"/>
    </row>
    <row r="926" spans="3:24" x14ac:dyDescent="0.3"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N926" s="27"/>
      <c r="O926" s="27"/>
      <c r="V926" s="27"/>
      <c r="W926" s="27"/>
      <c r="X926" s="27"/>
    </row>
    <row r="927" spans="3:24" x14ac:dyDescent="0.3"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N927" s="27"/>
      <c r="O927" s="27"/>
      <c r="V927" s="27"/>
      <c r="W927" s="27"/>
      <c r="X927" s="27"/>
    </row>
    <row r="928" spans="3:24" x14ac:dyDescent="0.3"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N928" s="27"/>
      <c r="O928" s="27"/>
      <c r="V928" s="27"/>
      <c r="W928" s="27"/>
      <c r="X928" s="27"/>
    </row>
    <row r="929" spans="4:24" x14ac:dyDescent="0.3"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N929" s="27"/>
      <c r="O929" s="27"/>
      <c r="V929" s="27"/>
      <c r="W929" s="27"/>
      <c r="X929" s="27"/>
    </row>
    <row r="930" spans="4:24" x14ac:dyDescent="0.3"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N930" s="27"/>
      <c r="O930" s="27"/>
      <c r="V930" s="27"/>
      <c r="W930" s="27"/>
      <c r="X930" s="27"/>
    </row>
    <row r="931" spans="4:24" x14ac:dyDescent="0.3"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N931" s="27"/>
      <c r="O931" s="27"/>
      <c r="V931" s="27"/>
      <c r="W931" s="27"/>
      <c r="X931" s="27"/>
    </row>
    <row r="932" spans="4:24" x14ac:dyDescent="0.3"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N932" s="27"/>
      <c r="O932" s="27"/>
      <c r="V932" s="27"/>
      <c r="W932" s="27"/>
      <c r="X932" s="27"/>
    </row>
    <row r="933" spans="4:24" x14ac:dyDescent="0.3"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N933" s="27"/>
      <c r="O933" s="27"/>
      <c r="V933" s="27"/>
      <c r="W933" s="27"/>
      <c r="X933" s="27"/>
    </row>
    <row r="934" spans="4:24" x14ac:dyDescent="0.3"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N934" s="27"/>
      <c r="O934" s="27"/>
      <c r="V934" s="27"/>
      <c r="W934" s="27"/>
      <c r="X934" s="27"/>
    </row>
    <row r="935" spans="4:24" x14ac:dyDescent="0.3"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N935" s="27"/>
      <c r="O935" s="27"/>
      <c r="V935" s="27"/>
      <c r="W935" s="27"/>
      <c r="X935" s="27"/>
    </row>
    <row r="936" spans="4:24" x14ac:dyDescent="0.3"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N936" s="27"/>
      <c r="O936" s="27"/>
      <c r="V936" s="27"/>
      <c r="W936" s="27"/>
      <c r="X936" s="27"/>
    </row>
    <row r="937" spans="4:24" x14ac:dyDescent="0.3"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N937" s="27"/>
      <c r="O937" s="27"/>
      <c r="V937" s="27"/>
      <c r="W937" s="27"/>
      <c r="X937" s="27"/>
    </row>
    <row r="938" spans="4:24" x14ac:dyDescent="0.3"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N938" s="27"/>
      <c r="O938" s="27"/>
      <c r="V938" s="27"/>
      <c r="W938" s="27"/>
      <c r="X938" s="27"/>
    </row>
    <row r="939" spans="4:24" x14ac:dyDescent="0.3"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N939" s="27"/>
      <c r="O939" s="27"/>
      <c r="V939" s="27"/>
      <c r="W939" s="27"/>
      <c r="X939" s="27"/>
    </row>
    <row r="940" spans="4:24" x14ac:dyDescent="0.3"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N940" s="27"/>
      <c r="O940" s="27"/>
      <c r="V940" s="27"/>
      <c r="W940" s="27"/>
      <c r="X940" s="27"/>
    </row>
    <row r="941" spans="4:24" x14ac:dyDescent="0.3"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N941" s="27"/>
      <c r="O941" s="27"/>
      <c r="V941" s="27"/>
      <c r="W941" s="27"/>
      <c r="X941" s="27"/>
    </row>
  </sheetData>
  <mergeCells count="3">
    <mergeCell ref="B2:C2"/>
    <mergeCell ref="D2:F2"/>
    <mergeCell ref="B4:C4"/>
  </mergeCells>
  <dataValidations count="1">
    <dataValidation type="list" allowBlank="1" showInputMessage="1" showErrorMessage="1" sqref="D2:F2" xr:uid="{DF8DF846-9821-4BAE-8840-C25336754AE0}">
      <formula1>Aulas</formula1>
    </dataValidation>
  </dataValidations>
  <pageMargins left="0.70866141732283472" right="0.70866141732283472" top="0.74803149606299213" bottom="0.74803149606299213" header="0" footer="0"/>
  <pageSetup scale="3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Filas_profesor">
                <anchor moveWithCells="1" sizeWithCells="1">
                  <from>
                    <xdr:col>6</xdr:col>
                    <xdr:colOff>0</xdr:colOff>
                    <xdr:row>0</xdr:row>
                    <xdr:rowOff>152400</xdr:rowOff>
                  </from>
                  <to>
                    <xdr:col>7</xdr:col>
                    <xdr:colOff>1828800</xdr:colOff>
                    <xdr:row>1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FE9C6-5CB8-4C73-BDE9-EEACFEC910F9}">
  <dimension ref="B2:P13"/>
  <sheetViews>
    <sheetView zoomScale="87" zoomScaleNormal="87" workbookViewId="0">
      <selection activeCell="K22" sqref="K22"/>
    </sheetView>
  </sheetViews>
  <sheetFormatPr baseColWidth="10" defaultColWidth="10.6328125" defaultRowHeight="12.5" x14ac:dyDescent="0.25"/>
  <cols>
    <col min="2" max="2" width="14" customWidth="1"/>
    <col min="4" max="4" width="10.6328125" bestFit="1" customWidth="1"/>
    <col min="5" max="5" width="11.453125" bestFit="1" customWidth="1"/>
    <col min="6" max="6" width="9.36328125" customWidth="1"/>
    <col min="7" max="7" width="21.453125" bestFit="1" customWidth="1"/>
    <col min="10" max="10" width="12.81640625" customWidth="1"/>
  </cols>
  <sheetData>
    <row r="2" spans="2:16" ht="43.5" x14ac:dyDescent="0.35">
      <c r="B2" s="41" t="s">
        <v>17</v>
      </c>
      <c r="C2" s="41" t="s">
        <v>19</v>
      </c>
      <c r="D2" s="41" t="s">
        <v>20</v>
      </c>
      <c r="E2" s="41" t="s">
        <v>21</v>
      </c>
      <c r="G2" s="41" t="s">
        <v>12</v>
      </c>
      <c r="H2" s="41" t="s">
        <v>22</v>
      </c>
      <c r="I2" s="41" t="s">
        <v>20</v>
      </c>
      <c r="J2" s="41" t="s">
        <v>21</v>
      </c>
      <c r="L2" s="41" t="s">
        <v>23</v>
      </c>
      <c r="M2" s="41" t="s">
        <v>24</v>
      </c>
      <c r="N2" s="41" t="s">
        <v>25</v>
      </c>
      <c r="O2" s="41" t="s">
        <v>16</v>
      </c>
      <c r="P2" s="41" t="s">
        <v>25</v>
      </c>
    </row>
    <row r="3" spans="2:16" x14ac:dyDescent="0.25">
      <c r="B3" s="40" t="s">
        <v>26</v>
      </c>
      <c r="C3" s="46">
        <f ca="1">SUMIFS(base_de_datos[Índice],base_de_datos[Academia],B3,base_de_datos[Misma o no],1)/COUNTIFS(base_de_datos[Academia],B3,base_de_datos[Misma o no],1)</f>
        <v>4</v>
      </c>
      <c r="D3" s="100">
        <f ca="1">SUMIFS(base_de_datos[Misma o no],base_de_datos[Misma o no],1,base_de_datos[Grado de profesor],"SNI",base_de_datos[Academia],B3)/SUMIF(base_de_datos[Academia],B3,base_de_datos[Misma o no])</f>
        <v>0.6</v>
      </c>
      <c r="E3" s="100">
        <f ca="1">SUMIFS(base_de_datos[HT Plan],base_de_datos[Misma o no],1,base_de_datos[Grado de profesor],"SNI",base_de_datos[Academia],B3)/SUMIFS(base_de_datos[HT Plan],base_de_datos[Misma o no],1,base_de_datos[Academia],B3)</f>
        <v>0.6470588235294118</v>
      </c>
      <c r="G3" t="s">
        <v>27</v>
      </c>
      <c r="H3" s="45" t="e">
        <f>base_de_datos[[#Totals],[ICA II]]</f>
        <v>#REF!</v>
      </c>
      <c r="I3" s="100">
        <f ca="1">SUMIFS(base_de_datos[Misma o no],base_de_datos[Misma o no],1,base_de_datos[Grado de profesor],"SNI",base_de_datos[Industrial],"&gt;0")/SUMIF(base_de_datos[Industrial],"&gt;0",base_de_datos[Misma o no])</f>
        <v>0.1111111111111111</v>
      </c>
      <c r="J3" s="100">
        <f ca="1">SUMIFS(base_de_datos[HT Plan],base_de_datos[Misma o no],1,base_de_datos[Grado de profesor],"SNI",base_de_datos[Industrial],"&gt;0")/SUMIFS(base_de_datos[HT Plan],base_de_datos[Misma o no],1,base_de_datos[Industrial],"&gt;0")</f>
        <v>0.10780669144981413</v>
      </c>
      <c r="L3" s="43" t="s">
        <v>28</v>
      </c>
      <c r="M3" s="104">
        <f ca="1">SUMIF(base_de_datos[Tipo],L3,base_de_datos[Horas totales])</f>
        <v>181</v>
      </c>
      <c r="N3" s="106">
        <f t="shared" ref="N3:N8" ca="1" si="0">M3/$M$8</f>
        <v>0.32553956834532372</v>
      </c>
      <c r="O3" s="110">
        <f ca="1">SUMIF(base_de_datos[Tipo],L3,base_de_datos[Misma o no])</f>
        <v>62</v>
      </c>
      <c r="P3" s="106">
        <f t="shared" ref="P3:P8" ca="1" si="1">O3/$O$8</f>
        <v>0.33513513513513515</v>
      </c>
    </row>
    <row r="4" spans="2:16" x14ac:dyDescent="0.25">
      <c r="B4" s="42" t="s">
        <v>29</v>
      </c>
      <c r="C4" s="49">
        <f ca="1">SUMIFS(base_de_datos[Índice],base_de_datos[Academia],B4,base_de_datos[Misma o no],1)/COUNTIFS(base_de_datos[Academia],B4,base_de_datos[Misma o no],1)</f>
        <v>4</v>
      </c>
      <c r="D4" s="101">
        <f ca="1">SUMIFS(base_de_datos[Misma o no],base_de_datos[Misma o no],1,base_de_datos[Grado de profesor],"SNI",base_de_datos[Academia],B4)/SUMIF(base_de_datos[Academia],B4,base_de_datos[Misma o no])</f>
        <v>0.25</v>
      </c>
      <c r="E4" s="101">
        <f ca="1">SUMIFS(base_de_datos[HT Plan],base_de_datos[Misma o no],1,base_de_datos[Grado de profesor],"SNI",base_de_datos[Academia],B4)/SUMIFS(base_de_datos[HT Plan],base_de_datos[Misma o no],1,base_de_datos[Academia],B4)</f>
        <v>0.25</v>
      </c>
      <c r="G4" s="43" t="s">
        <v>30</v>
      </c>
      <c r="H4" s="47" t="e">
        <f>base_de_datos[[#Totals],[ICA IM]]</f>
        <v>#REF!</v>
      </c>
      <c r="I4" s="101">
        <f ca="1">SUMIFS(base_de_datos[Misma o no],base_de_datos[Misma o no],1,base_de_datos[Grado de profesor],"SNI",base_de_datos[Mecatrónica],"&gt;0")/SUMIF(base_de_datos[Mecatrónica],"&gt;0",base_de_datos[Misma o no])</f>
        <v>0.14117647058823529</v>
      </c>
      <c r="J4" s="101">
        <f ca="1">SUMIFS(base_de_datos[HT Plan],base_de_datos[Misma o no],1,base_de_datos[Grado de profesor],"SNI",base_de_datos[Mecatrónica],"&gt;0")/SUMIFS(base_de_datos[HT Plan],base_de_datos[Misma o no],1,base_de_datos[Mecatrónica],"&gt;0")</f>
        <v>0.14385964912280702</v>
      </c>
      <c r="L4" t="s">
        <v>31</v>
      </c>
      <c r="M4" s="103">
        <f>SUMIF(base_de_datos[Tipo],L4,base_de_datos[Horas totales])</f>
        <v>0</v>
      </c>
      <c r="N4" s="105">
        <f t="shared" ca="1" si="0"/>
        <v>0</v>
      </c>
      <c r="O4" s="111">
        <f>SUMIF(base_de_datos[Tipo],L4,base_de_datos[Misma o no])</f>
        <v>0</v>
      </c>
      <c r="P4" s="105">
        <f t="shared" ca="1" si="1"/>
        <v>0</v>
      </c>
    </row>
    <row r="5" spans="2:16" x14ac:dyDescent="0.25">
      <c r="B5" s="40" t="s">
        <v>32</v>
      </c>
      <c r="C5" s="46">
        <f ca="1">SUMIFS(base_de_datos[Índice],base_de_datos[Academia],B5,base_de_datos[Misma o no],1)/COUNTIFS(base_de_datos[Academia],B5,base_de_datos[Misma o no],1)</f>
        <v>3.8181818181818183</v>
      </c>
      <c r="D5" s="100">
        <f ca="1">SUMIFS(base_de_datos[Misma o no],base_de_datos[Misma o no],1,base_de_datos[Grado de profesor],"SNI",base_de_datos[Academia],B5)/SUMIF(base_de_datos[Academia],B5,base_de_datos[Misma o no])</f>
        <v>0</v>
      </c>
      <c r="E5" s="100">
        <f ca="1">SUMIFS(base_de_datos[HT Plan],base_de_datos[Misma o no],1,base_de_datos[Grado de profesor],"SNI",base_de_datos[Academia],B5)/SUMIFS(base_de_datos[HT Plan],base_de_datos[Misma o no],1,base_de_datos[Academia],B5)</f>
        <v>0</v>
      </c>
      <c r="G5" t="s">
        <v>13</v>
      </c>
      <c r="H5" s="45" t="e">
        <f>base_de_datos[[#Totals],[ICA IID]]</f>
        <v>#REF!</v>
      </c>
      <c r="I5" s="100">
        <f ca="1">SUMIFS(base_de_datos[Misma o no],base_de_datos[Misma o no],1,base_de_datos[Grado de profesor],"SNI",base_de_datos[Innovación y Diseño],"&gt;0")/SUMIF(base_de_datos[Innovación y Diseño],"&gt;0",base_de_datos[Misma o no])</f>
        <v>8.4507042253521125E-2</v>
      </c>
      <c r="J5" s="100">
        <f ca="1">SUMIFS(base_de_datos[HT Plan],base_de_datos[Misma o no],1,base_de_datos[Grado de profesor],"SNI",base_de_datos[Innovación y Diseño],"&gt;0")/SUMIFS(base_de_datos[HT Plan],base_de_datos[Misma o no],1,base_de_datos[Innovación y Diseño],"&gt;0")</f>
        <v>7.5999999999999998E-2</v>
      </c>
      <c r="L5" s="43" t="s">
        <v>33</v>
      </c>
      <c r="M5" s="104">
        <f ca="1">SUMIF(base_de_datos[Tipo],L5,base_de_datos[Horas totales])</f>
        <v>300</v>
      </c>
      <c r="N5" s="106">
        <f t="shared" ca="1" si="0"/>
        <v>0.53956834532374098</v>
      </c>
      <c r="O5" s="110">
        <f ca="1">SUMIF(base_de_datos[Tipo],L5,base_de_datos[Misma o no])</f>
        <v>95</v>
      </c>
      <c r="P5" s="106">
        <f t="shared" ca="1" si="1"/>
        <v>0.51351351351351349</v>
      </c>
    </row>
    <row r="6" spans="2:16" x14ac:dyDescent="0.25">
      <c r="B6" s="42" t="s">
        <v>34</v>
      </c>
      <c r="C6" s="49">
        <f ca="1">SUMIFS(base_de_datos[Índice],base_de_datos[Academia],B6,base_de_datos[Misma o no],1)/COUNTIFS(base_de_datos[Academia],B6,base_de_datos[Misma o no],1)</f>
        <v>4.6500000000000004</v>
      </c>
      <c r="D6" s="101">
        <f ca="1">SUMIFS(base_de_datos[Misma o no],base_de_datos[Misma o no],1,base_de_datos[Grado de profesor],"SNI",base_de_datos[Academia],B6)/SUMIF(base_de_datos[Academia],B6,base_de_datos[Misma o no])</f>
        <v>0.3</v>
      </c>
      <c r="E6" s="101">
        <f ca="1">SUMIFS(base_de_datos[HT Plan],base_de_datos[Misma o no],1,base_de_datos[Grado de profesor],"SNI",base_de_datos[Academia],B6)/SUMIFS(base_de_datos[HT Plan],base_de_datos[Misma o no],1,base_de_datos[Academia],B6)</f>
        <v>0.29166666666666669</v>
      </c>
      <c r="G6" s="43" t="s">
        <v>35</v>
      </c>
      <c r="H6" s="47" t="e">
        <f>base_de_datos[[#Totals],[ICA IIA]]</f>
        <v>#REF!</v>
      </c>
      <c r="I6" s="101">
        <f ca="1">SUMIFS(base_de_datos[Misma o no],base_de_datos[Misma o no],1,base_de_datos[Grado de profesor],"SNI",base_de_datos[Inteligencia Artificial],"&gt;0")/SUMIF(base_de_datos[Inteligencia Artificial],"&gt;0",base_de_datos[Misma o no])</f>
        <v>0.16883116883116883</v>
      </c>
      <c r="J6" s="101">
        <f ca="1">SUMIFS(base_de_datos[HT Plan],base_de_datos[Misma o no],1,base_de_datos[Grado de profesor],"SNI",base_de_datos[Inteligencia Artificial],"&gt;0")/SUMIFS(base_de_datos[HT Plan],base_de_datos[Misma o no],1,base_de_datos[Inteligencia Artificial],"&gt;0")</f>
        <v>0.17322834645669291</v>
      </c>
      <c r="L6" t="s">
        <v>36</v>
      </c>
      <c r="M6" s="103">
        <f ca="1">SUMIF(base_de_datos[Tipo],L6,base_de_datos[Horas totales])</f>
        <v>33</v>
      </c>
      <c r="N6" s="105">
        <f t="shared" ca="1" si="0"/>
        <v>5.935251798561151E-2</v>
      </c>
      <c r="O6" s="111">
        <f ca="1">SUMIF(base_de_datos[Tipo],L6,base_de_datos[Misma o no])</f>
        <v>10</v>
      </c>
      <c r="P6" s="105">
        <f t="shared" ca="1" si="1"/>
        <v>5.4054054054054057E-2</v>
      </c>
    </row>
    <row r="7" spans="2:16" x14ac:dyDescent="0.25">
      <c r="B7" s="40" t="s">
        <v>37</v>
      </c>
      <c r="C7" s="46">
        <f ca="1">SUMIFS(base_de_datos[Índice],base_de_datos[Academia],B7,base_de_datos[Misma o no],1)/COUNTIFS(base_de_datos[Academia],B7,base_de_datos[Misma o no],1)</f>
        <v>4.3529411764705879</v>
      </c>
      <c r="D7" s="100">
        <f ca="1">SUMIFS(base_de_datos[Misma o no],base_de_datos[Misma o no],1,base_de_datos[Grado de profesor],"SNI",base_de_datos[Academia],B7)/SUMIF(base_de_datos[Academia],B7,base_de_datos[Misma o no])</f>
        <v>0</v>
      </c>
      <c r="E7" s="100">
        <f ca="1">SUMIFS(base_de_datos[HT Plan],base_de_datos[Misma o no],1,base_de_datos[Grado de profesor],"SNI",base_de_datos[Academia],B7)/SUMIFS(base_de_datos[HT Plan],base_de_datos[Misma o no],1,base_de_datos[Academia],B7)</f>
        <v>0</v>
      </c>
      <c r="G7" t="s">
        <v>38</v>
      </c>
      <c r="H7" s="45" t="e">
        <f>base_de_datos[[#Totals],[ICA ITE]]</f>
        <v>#REF!</v>
      </c>
      <c r="I7" s="100">
        <f ca="1">SUMIFS(base_de_datos[Misma o no],base_de_datos[Misma o no],1,base_de_datos[Grado de profesor],"SNI",base_de_datos[Tecnologías Energéticas],"&gt;0")/SUMIF(base_de_datos[Tecnologías Energéticas],"&gt;0",base_de_datos[Misma o no])</f>
        <v>0.22666666666666666</v>
      </c>
      <c r="J7" s="100">
        <f ca="1">SUMIFS(base_de_datos[HT Plan],base_de_datos[Misma o no],1,base_de_datos[Grado de profesor],"SNI",base_de_datos[Tecnologías Energéticas],"&gt;0")/SUMIFS(base_de_datos[HT Plan],base_de_datos[Misma o no],1,base_de_datos[Tecnologías Energéticas],"&gt;0")</f>
        <v>0.2342007434944238</v>
      </c>
      <c r="L7" s="43" t="s">
        <v>39</v>
      </c>
      <c r="M7" s="104">
        <f ca="1">SUMIF(base_de_datos[Tipo],L7,base_de_datos[Horas totales])</f>
        <v>39</v>
      </c>
      <c r="N7" s="106">
        <f t="shared" ca="1" si="0"/>
        <v>7.0143884892086325E-2</v>
      </c>
      <c r="O7" s="110">
        <f ca="1">SUMIF(base_de_datos[Tipo],L7,base_de_datos[Misma o no])</f>
        <v>17</v>
      </c>
      <c r="P7" s="106">
        <f t="shared" ca="1" si="1"/>
        <v>9.1891891891891897E-2</v>
      </c>
    </row>
    <row r="8" spans="2:16" ht="13" x14ac:dyDescent="0.3">
      <c r="B8" s="42" t="s">
        <v>40</v>
      </c>
      <c r="C8" s="49">
        <f ca="1">SUMIFS(base_de_datos[Índice],base_de_datos[Academia],B8,base_de_datos[Misma o no],1)/COUNTIFS(base_de_datos[Academia],B8,base_de_datos[Misma o no],1)</f>
        <v>3.9</v>
      </c>
      <c r="D8" s="101">
        <f ca="1">SUMIFS(base_de_datos[Misma o no],base_de_datos[Misma o no],1,base_de_datos[Grado de profesor],"SNI",base_de_datos[Academia],B8)/SUMIF(base_de_datos[Academia],B8,base_de_datos[Misma o no])</f>
        <v>0</v>
      </c>
      <c r="E8" s="101">
        <f ca="1">SUMIFS(base_de_datos[HT Plan],base_de_datos[Misma o no],1,base_de_datos[Grado de profesor],"SNI",base_de_datos[Academia],B8)/SUMIFS(base_de_datos[HT Plan],base_de_datos[Misma o no],1,base_de_datos[Academia],B8)</f>
        <v>0</v>
      </c>
      <c r="G8" s="43" t="s">
        <v>41</v>
      </c>
      <c r="H8" s="47" t="e">
        <f>base_de_datos[[#Totals],[ICA ICA]]</f>
        <v>#REF!</v>
      </c>
      <c r="I8" s="101">
        <f ca="1">SUMIFS(base_de_datos[Misma o no],base_de_datos[Misma o no],1,base_de_datos[Grado de profesor],"SNI",base_de_datos[Civil y Administración],"&gt;0")/SUMIF(base_de_datos[Civil y Administración],"&gt;0",base_de_datos[Misma o no])</f>
        <v>0.1095890410958904</v>
      </c>
      <c r="J8" s="101">
        <f ca="1">SUMIFS(base_de_datos[HT Plan],base_de_datos[Misma o no],1,base_de_datos[Grado de profesor],"SNI",base_de_datos[Civil y Administración],"&gt;0")/SUMIFS(base_de_datos[HT Plan],base_de_datos[Misma o no],1,base_de_datos[Civil y Administración],"&gt;0")</f>
        <v>0.10077519379844961</v>
      </c>
      <c r="L8" s="107" t="s">
        <v>42</v>
      </c>
      <c r="M8" s="108">
        <f ca="1">SUM(base_de_datos[Horas totales])</f>
        <v>556</v>
      </c>
      <c r="N8" s="109">
        <f t="shared" ca="1" si="0"/>
        <v>1</v>
      </c>
      <c r="O8" s="108">
        <f ca="1">SUM(base_de_datos[Misma o no])</f>
        <v>185</v>
      </c>
      <c r="P8" s="109">
        <f t="shared" ca="1" si="1"/>
        <v>1</v>
      </c>
    </row>
    <row r="9" spans="2:16" x14ac:dyDescent="0.25">
      <c r="B9" s="40" t="s">
        <v>43</v>
      </c>
      <c r="C9" s="46">
        <f ca="1">SUMIFS(base_de_datos[Índice],base_de_datos[Academia],B9,base_de_datos[Misma o no],1)/COUNTIFS(base_de_datos[Academia],B9,base_de_datos[Misma o no],1)</f>
        <v>4.882352941176471</v>
      </c>
      <c r="D9" s="100">
        <f ca="1">SUMIFS(base_de_datos[Misma o no],base_de_datos[Misma o no],1,base_de_datos[Grado de profesor],"SNI",base_de_datos[Academia],B9)/SUMIF(base_de_datos[Academia],B9,base_de_datos[Misma o no])</f>
        <v>0.29411764705882354</v>
      </c>
      <c r="E9" s="100">
        <f ca="1">SUMIFS(base_de_datos[HT Plan],base_de_datos[Misma o no],1,base_de_datos[Grado de profesor],"SNI",base_de_datos[Academia],B9)/SUMIFS(base_de_datos[HT Plan],base_de_datos[Misma o no],1,base_de_datos[Academia],B9)</f>
        <v>0.29577464788732394</v>
      </c>
      <c r="G9" t="s">
        <v>44</v>
      </c>
      <c r="H9" s="45" t="e">
        <f>base_de_datos[[#Totals],[ICA IBE]]</f>
        <v>#REF!</v>
      </c>
      <c r="I9" s="100">
        <f ca="1">SUMIFS(base_de_datos[Misma o no],base_de_datos[Misma o no],1,base_de_datos[Grado de profesor],"SNI",base_de_datos[Bioelectrónica],"&gt;0")/SUMIF(base_de_datos[Bioelectrónica],"&gt;0",base_de_datos[Misma o no])</f>
        <v>0.21052631578947367</v>
      </c>
      <c r="J9" s="100">
        <f ca="1">SUMIFS(base_de_datos[HT Plan],base_de_datos[Misma o no],1,base_de_datos[Grado de profesor],"SNI",base_de_datos[Bioelectrónica],"&gt;0")/SUMIFS(base_de_datos[HT Plan],base_de_datos[Misma o no],1,base_de_datos[Bioelectrónica],"&gt;0")</f>
        <v>0.21568627450980393</v>
      </c>
    </row>
    <row r="10" spans="2:16" x14ac:dyDescent="0.25">
      <c r="B10" s="42" t="s">
        <v>45</v>
      </c>
      <c r="C10" s="49" t="e">
        <f ca="1">SUMIFS(base_de_datos[Índice],base_de_datos[Academia],B10,base_de_datos[Misma o no],1)/COUNTIFS(base_de_datos[Academia],B10,base_de_datos[Misma o no],1)</f>
        <v>#N/A</v>
      </c>
      <c r="D10" s="101">
        <f ca="1">SUMIFS(base_de_datos[Misma o no],base_de_datos[Misma o no],1,base_de_datos[Grado de profesor],"SNI",base_de_datos[Academia],B10)/SUMIF(base_de_datos[Academia],B10,base_de_datos[Misma o no])</f>
        <v>0.16666666666666666</v>
      </c>
      <c r="E10" s="101">
        <f ca="1">SUMIFS(base_de_datos[HT Plan],base_de_datos[Misma o no],1,base_de_datos[Grado de profesor],"SNI",base_de_datos[Academia],B10)/SUMIFS(base_de_datos[HT Plan],base_de_datos[Misma o no],1,base_de_datos[Academia],B10)</f>
        <v>0.17647058823529413</v>
      </c>
      <c r="H10" s="45"/>
      <c r="I10" s="45"/>
      <c r="J10" s="45"/>
    </row>
    <row r="11" spans="2:16" ht="14.5" x14ac:dyDescent="0.35">
      <c r="B11" s="40" t="s">
        <v>46</v>
      </c>
      <c r="C11" s="46">
        <f ca="1">SUMIFS(base_de_datos[Índice],base_de_datos[Academia],B11,base_de_datos[Misma o no],1)/COUNTIFS(base_de_datos[Academia],B11,base_de_datos[Misma o no],1)</f>
        <v>3.2142857142857144</v>
      </c>
      <c r="D11" s="100">
        <f ca="1">SUMIFS(base_de_datos[Misma o no],base_de_datos[Misma o no],1,base_de_datos[Grado de profesor],"SNI",base_de_datos[Academia],B11)/SUMIF(base_de_datos[Academia],B11,base_de_datos[Misma o no])</f>
        <v>7.1428571428571425E-2</v>
      </c>
      <c r="E11" s="100">
        <f ca="1">SUMIFS(base_de_datos[HT Plan],base_de_datos[Misma o no],1,base_de_datos[Grado de profesor],"SNI",base_de_datos[Academia],B11)/SUMIFS(base_de_datos[HT Plan],base_de_datos[Misma o no],1,base_de_datos[Academia],B11)</f>
        <v>3.5087719298245612E-2</v>
      </c>
      <c r="G11" s="44" t="s">
        <v>47</v>
      </c>
      <c r="H11" s="48" t="e">
        <f ca="1">SUMIFS(base_de_datos[Índice],base_de_datos[Misma o no],1)/COUNTIF(base_de_datos[Misma o no],1)</f>
        <v>#N/A</v>
      </c>
      <c r="I11" s="102">
        <f ca="1">SUMIFS(base_de_datos[Misma o no],base_de_datos[Misma o no],1,base_de_datos[Grado de profesor],"SNI")/SUM(base_de_datos[Misma o no])</f>
        <v>0.14594594594594595</v>
      </c>
      <c r="J11" s="102">
        <f ca="1">SUMIFS(base_de_datos[HT Plan],base_de_datos[Misma o no],1,base_de_datos[Grado de profesor],"SNI")/SUMIF(base_de_datos[Misma o no],1,base_de_datos[HT Plan])</f>
        <v>0.14501510574018128</v>
      </c>
    </row>
    <row r="12" spans="2:16" x14ac:dyDescent="0.25">
      <c r="B12" s="42" t="s">
        <v>48</v>
      </c>
      <c r="C12" s="49">
        <f ca="1">SUMIFS(base_de_datos[Índice],base_de_datos[Academia],B12,base_de_datos[Misma o no],1)/COUNTIFS(base_de_datos[Academia],B12,base_de_datos[Misma o no],1)</f>
        <v>4.0454545454545459</v>
      </c>
      <c r="D12" s="101">
        <f ca="1">SUMIFS(base_de_datos[Misma o no],base_de_datos[Misma o no],1,base_de_datos[Grado de profesor],"SNI",base_de_datos[Academia],B12)/SUMIF(base_de_datos[Academia],B12,base_de_datos[Misma o no])</f>
        <v>0.18181818181818182</v>
      </c>
      <c r="E12" s="101">
        <f ca="1">SUMIFS(base_de_datos[HT Plan],base_de_datos[Misma o no],1,base_de_datos[Grado de profesor],"SNI",base_de_datos[Academia],B12)/SUMIFS(base_de_datos[HT Plan],base_de_datos[Misma o no],1,base_de_datos[Academia],B12)</f>
        <v>0.17073170731707318</v>
      </c>
    </row>
    <row r="13" spans="2:16" x14ac:dyDescent="0.25">
      <c r="B13" s="40" t="s">
        <v>49</v>
      </c>
      <c r="C13" s="46">
        <f ca="1">SUMIFS(base_de_datos[Índice],base_de_datos[Academia],B13,base_de_datos[Misma o no],1)/COUNTIFS(base_de_datos[Academia],B13,base_de_datos[Misma o no],1)</f>
        <v>3.1666666666666665</v>
      </c>
      <c r="D13" s="100">
        <f ca="1">SUMIFS(base_de_datos[Misma o no],base_de_datos[Misma o no],1,base_de_datos[Grado de profesor],"SNI",base_de_datos[Academia],B13)/SUMIF(base_de_datos[Academia],B13,base_de_datos[Misma o no])</f>
        <v>0</v>
      </c>
      <c r="E13" s="100">
        <f ca="1">SUMIFS(base_de_datos[HT Plan],base_de_datos[Misma o no],1,base_de_datos[Grado de profesor],"SNI",base_de_datos[Academia],B13)/SUMIFS(base_de_datos[HT Plan],base_de_datos[Misma o no],1,base_de_datos[Academia],B13)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pageSetUpPr fitToPage="1"/>
  </sheetPr>
  <dimension ref="B1:AY384"/>
  <sheetViews>
    <sheetView tabSelected="1" zoomScale="70" zoomScaleNormal="70" workbookViewId="0"/>
  </sheetViews>
  <sheetFormatPr baseColWidth="10" defaultColWidth="8.453125" defaultRowHeight="12.5" x14ac:dyDescent="0.25"/>
  <cols>
    <col min="1" max="1" width="3.90625" style="112" customWidth="1"/>
    <col min="2" max="2" width="38.81640625" style="112" customWidth="1"/>
    <col min="3" max="3" width="43.81640625" customWidth="1"/>
    <col min="4" max="4" width="8.453125" style="112" hidden="1" customWidth="1"/>
    <col min="5" max="5" width="17" style="112" hidden="1" customWidth="1"/>
    <col min="6" max="6" width="17.6328125" style="112" hidden="1" customWidth="1"/>
    <col min="7" max="7" width="8.453125" style="112" hidden="1" customWidth="1"/>
    <col min="8" max="8" width="12.36328125" style="112" hidden="1" customWidth="1"/>
    <col min="9" max="14" width="8.453125" style="112" hidden="1" customWidth="1"/>
    <col min="15" max="15" width="30.26953125" style="112" hidden="1" customWidth="1"/>
    <col min="16" max="30" width="8.453125" style="112" hidden="1" customWidth="1"/>
    <col min="31" max="37" width="8.453125" style="112" customWidth="1"/>
    <col min="38" max="40" width="8.453125" style="112" hidden="1" customWidth="1"/>
    <col min="41" max="41" width="8.453125" style="112" customWidth="1"/>
    <col min="42" max="49" width="8.453125" style="112" hidden="1" customWidth="1"/>
    <col min="50" max="50" width="13" style="260" customWidth="1"/>
    <col min="51" max="51" width="33.90625" style="112" customWidth="1"/>
    <col min="52" max="16384" width="8.453125" style="112"/>
  </cols>
  <sheetData>
    <row r="1" spans="2:51" s="6" customFormat="1" ht="13" x14ac:dyDescent="0.3">
      <c r="C1" s="1"/>
      <c r="AX1" s="4"/>
    </row>
    <row r="2" spans="2:51" s="6" customFormat="1" ht="105" x14ac:dyDescent="0.3">
      <c r="B2" s="70" t="s">
        <v>50</v>
      </c>
      <c r="C2" s="98" t="s">
        <v>51</v>
      </c>
      <c r="D2" s="71" t="s">
        <v>52</v>
      </c>
      <c r="E2" s="72" t="s">
        <v>53</v>
      </c>
      <c r="F2" s="73" t="s">
        <v>54</v>
      </c>
      <c r="G2" s="70" t="s">
        <v>55</v>
      </c>
      <c r="H2" s="70" t="s">
        <v>4</v>
      </c>
      <c r="I2" s="74" t="s">
        <v>56</v>
      </c>
      <c r="J2" s="74" t="s">
        <v>57</v>
      </c>
      <c r="K2" s="97" t="s">
        <v>58</v>
      </c>
      <c r="L2" s="97" t="s">
        <v>59</v>
      </c>
      <c r="M2" s="97" t="s">
        <v>60</v>
      </c>
      <c r="N2" s="97" t="s">
        <v>61</v>
      </c>
      <c r="O2" s="70" t="s">
        <v>5</v>
      </c>
      <c r="P2" s="74" t="s">
        <v>62</v>
      </c>
      <c r="Q2" s="75" t="s">
        <v>63</v>
      </c>
      <c r="R2" s="74" t="s">
        <v>64</v>
      </c>
      <c r="S2" s="75" t="s">
        <v>65</v>
      </c>
      <c r="T2" s="74" t="s">
        <v>66</v>
      </c>
      <c r="U2" s="74" t="s">
        <v>10</v>
      </c>
      <c r="V2" s="74" t="s">
        <v>67</v>
      </c>
      <c r="W2" s="74" t="s">
        <v>68</v>
      </c>
      <c r="X2" s="74" t="s">
        <v>69</v>
      </c>
      <c r="Y2" s="74" t="s">
        <v>70</v>
      </c>
      <c r="Z2" s="71" t="s">
        <v>24</v>
      </c>
      <c r="AA2" s="74" t="s">
        <v>71</v>
      </c>
      <c r="AB2" s="71" t="s">
        <v>72</v>
      </c>
      <c r="AC2" s="71" t="s">
        <v>73</v>
      </c>
      <c r="AD2" s="71" t="s">
        <v>74</v>
      </c>
      <c r="AE2" s="76" t="s">
        <v>27</v>
      </c>
      <c r="AF2" s="77" t="s">
        <v>30</v>
      </c>
      <c r="AG2" s="76" t="s">
        <v>13</v>
      </c>
      <c r="AH2" s="77" t="s">
        <v>35</v>
      </c>
      <c r="AI2" s="76" t="s">
        <v>38</v>
      </c>
      <c r="AJ2" s="77" t="s">
        <v>41</v>
      </c>
      <c r="AK2" s="76" t="s">
        <v>44</v>
      </c>
      <c r="AL2" s="71" t="s">
        <v>19</v>
      </c>
      <c r="AM2" s="78" t="s">
        <v>75</v>
      </c>
      <c r="AN2" s="78" t="s">
        <v>76</v>
      </c>
      <c r="AO2" s="71" t="s">
        <v>17</v>
      </c>
      <c r="AP2" s="79" t="s">
        <v>77</v>
      </c>
      <c r="AQ2" s="79" t="s">
        <v>78</v>
      </c>
      <c r="AR2" s="79" t="s">
        <v>79</v>
      </c>
      <c r="AS2" s="79" t="s">
        <v>80</v>
      </c>
      <c r="AT2" s="79" t="s">
        <v>81</v>
      </c>
      <c r="AU2" s="79" t="s">
        <v>82</v>
      </c>
      <c r="AV2" s="79" t="s">
        <v>83</v>
      </c>
      <c r="AW2" s="80" t="s">
        <v>84</v>
      </c>
      <c r="AX2" s="80" t="s">
        <v>1798</v>
      </c>
      <c r="AY2" s="80" t="s">
        <v>1806</v>
      </c>
    </row>
    <row r="3" spans="2:51" s="6" customFormat="1" ht="13" x14ac:dyDescent="0.3">
      <c r="B3" s="6" t="s">
        <v>85</v>
      </c>
      <c r="C3" s="1" t="s">
        <v>86</v>
      </c>
      <c r="D3" s="4">
        <v>3</v>
      </c>
      <c r="E3" s="113">
        <v>0.79166666666666696</v>
      </c>
      <c r="F3" s="113">
        <v>0.91666666666665697</v>
      </c>
      <c r="G3" s="4" t="s">
        <v>87</v>
      </c>
      <c r="H3" s="4" t="s">
        <v>88</v>
      </c>
      <c r="I3" s="4"/>
      <c r="J3" s="114">
        <v>23</v>
      </c>
      <c r="K3" s="115"/>
      <c r="L3" s="3"/>
      <c r="M3" s="115"/>
      <c r="N3" s="3"/>
      <c r="O3" s="4" t="s">
        <v>89</v>
      </c>
      <c r="P3" s="114"/>
      <c r="Q3" s="114"/>
      <c r="R3" s="114"/>
      <c r="S3" s="114" t="s">
        <v>90</v>
      </c>
      <c r="T3" s="114"/>
      <c r="U3" s="114"/>
      <c r="V3" s="114"/>
      <c r="W3" s="114"/>
      <c r="X3" s="116">
        <f>_xlfn.XLOOKUP(base_de_datos[[#This Row],[Materia]],Materias,Horas)/16</f>
        <v>3</v>
      </c>
      <c r="Y3" s="117">
        <f>ROUND(((base_de_datos[[#This Row],[Hora fin]]-base_de_datos[[#This Row],[Hora inicio]])*24)*(COUNTA(base_de_datos[[#This Row],[Lunes]:[Sábado]])),1)</f>
        <v>3</v>
      </c>
      <c r="Z3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3" s="117">
        <f ca="1">IF(base_de_datos[[#This Row],[No clase]]=OFFSET(base_de_datos[[#This Row],[No clase]],-1,0),0,1)</f>
        <v>1</v>
      </c>
      <c r="AB3" s="117">
        <f ca="1">IF(NOT(OR(base_de_datos[[#This Row],[Horas totales]]=base_de_datos[[#This Row],[HT Plan]],base_de_datos[[#This Row],[Horas totales]]="N/A")),1,0)</f>
        <v>0</v>
      </c>
      <c r="AC3" s="230" t="str">
        <f>_xlfn.XLOOKUP(base_de_datos[[#This Row],[Profesor]],Nombre,Grado)</f>
        <v>M</v>
      </c>
      <c r="AD3" s="118" t="str">
        <f>_xlfn.XLOOKUP(base_de_datos[[#This Row],[Profesor]],Nombre,Tipo)</f>
        <v>A</v>
      </c>
      <c r="AE3" s="117">
        <f>IF(IFERROR(VLOOKUP($C3,Planes_de_estudio[],MATCH($AE$2,Carreras,0)+2,0),"")&gt;0,IFERROR(VLOOKUP($C3,Planes_de_estudio[],MATCH($AE$2,Carreras,0)+2,0),""),"")</f>
        <v>6</v>
      </c>
      <c r="AF3" s="117">
        <f>IF(IFERROR(VLOOKUP($C3,Planes_de_estudio[],MATCH($AF$2,Carreras,0)+2,0),"")&gt;0,IFERROR(VLOOKUP($C3,Planes_de_estudio[],MATCH($AF$2,Carreras,0)+2,0),""),"")</f>
        <v>6</v>
      </c>
      <c r="AG3" s="117">
        <f>IF(IFERROR(VLOOKUP($C3,Planes_de_estudio[],MATCH($AG$2,Carreras,0)+2,0),"")&gt;0,IFERROR(VLOOKUP($C3,Planes_de_estudio[],MATCH($AG$2,Carreras,0)+2,0),""),"")</f>
        <v>8</v>
      </c>
      <c r="AH3" s="117">
        <f>IF(IFERROR(VLOOKUP($C3,Planes_de_estudio[],MATCH($AH$2,Carreras,0)+2,0),"")&gt;0,IFERROR(VLOOKUP($C3,Planes_de_estudio[],MATCH($AH$2,Carreras,0)+2,0),""),"")</f>
        <v>4</v>
      </c>
      <c r="AI3" s="117" t="str">
        <f>IF(IFERROR(VLOOKUP($C3,Planes_de_estudio[],MATCH($AI$2,Carreras,0)+2,0),"")&gt;0,IFERROR(VLOOKUP($C3,Planes_de_estudio[],MATCH($AI$2,Carreras,0)+2,0),""),"")</f>
        <v/>
      </c>
      <c r="AJ3" s="117" t="str">
        <f>IF(IFERROR(VLOOKUP($C3,Planes_de_estudio[],MATCH($AJ$2,Carreras,0)+2,0),"")&gt;0,IFERROR(VLOOKUP($C3,Planes_de_estudio[],MATCH($AJ$2,Carreras,0)+2,0),""),"")</f>
        <v/>
      </c>
      <c r="AK3" s="117" t="str">
        <f>IF(IFERROR(VLOOKUP($C3,Planes_de_estudio[],MATCH($AK$2,Carreras,0)+2,0),"")&gt;0,IFERROR(VLOOKUP($C3,Planes_de_estudio[],MATCH($AK$2,Carreras,0)+2,0),""),"")</f>
        <v/>
      </c>
      <c r="AL3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3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90</v>
      </c>
      <c r="AN3" s="117">
        <f>base_de_datos[[#This Row],[Pronóstico]]/25</f>
        <v>3.6</v>
      </c>
      <c r="AO3" s="117" t="str">
        <f>VLOOKUP($C3,Planes_de_estudio[],2)</f>
        <v>DOP</v>
      </c>
      <c r="AP3" s="119">
        <f ca="1">IF(AND(base_de_datos[[#This Row],[Industrial]]&lt;&gt;"",base_de_datos[[#This Row],[Misma o no]]=1),base_de_datos[[#This Row],[Índice]],"")</f>
        <v>4</v>
      </c>
      <c r="AQ3" s="119">
        <f ca="1">IF(AND(base_de_datos[[#This Row],[Mecatrónica]]&lt;&gt;"",base_de_datos[[#This Row],[Misma o no]]=1),base_de_datos[[#This Row],[Índice]],"")</f>
        <v>4</v>
      </c>
      <c r="AR3" s="119">
        <f ca="1">IF(AND(base_de_datos[[#This Row],[Innovación y Diseño]]&lt;&gt;"",base_de_datos[[#This Row],[Misma o no]]=1),base_de_datos[[#This Row],[Índice]],"")</f>
        <v>4</v>
      </c>
      <c r="AS3" s="119">
        <f ca="1">IF(AND(base_de_datos[[#This Row],[Inteligencia Artificial]]&lt;&gt;"",base_de_datos[[#This Row],[Misma o no]]=1),base_de_datos[[#This Row],[Índice]],"")</f>
        <v>4</v>
      </c>
      <c r="AT3" s="119" t="str">
        <f ca="1">IF(AND(base_de_datos[[#This Row],[Tecnologías Energéticas]]&lt;&gt;"",base_de_datos[[#This Row],[Misma o no]]=1),base_de_datos[[#This Row],[Índice]],"")</f>
        <v/>
      </c>
      <c r="AU3" s="119" t="str">
        <f ca="1">IF(AND(base_de_datos[[#This Row],[Civil y Administración]]&lt;&gt;"",base_de_datos[[#This Row],[Misma o no]]=1),base_de_datos[[#This Row],[Índice]],"")</f>
        <v/>
      </c>
      <c r="AV3" s="119" t="str">
        <f ca="1">IF(AND(base_de_datos[[#This Row],[Bioelectrónica]]&lt;&gt;"",base_de_datos[[#This Row],[Misma o no]]=1),base_de_datos[[#This Row],[Índice]],"")</f>
        <v/>
      </c>
      <c r="AW3" s="120"/>
      <c r="AX3" s="4" t="s">
        <v>1803</v>
      </c>
    </row>
    <row r="4" spans="2:51" s="6" customFormat="1" ht="13" x14ac:dyDescent="0.3">
      <c r="B4" s="6" t="s">
        <v>91</v>
      </c>
      <c r="C4" s="1" t="s">
        <v>86</v>
      </c>
      <c r="D4" s="4">
        <v>1</v>
      </c>
      <c r="E4" s="113">
        <v>0.39583333333333398</v>
      </c>
      <c r="F4" s="113">
        <v>0.45833333333333098</v>
      </c>
      <c r="G4" s="226" t="s">
        <v>92</v>
      </c>
      <c r="H4" s="4" t="s">
        <v>93</v>
      </c>
      <c r="I4" s="4"/>
      <c r="J4" s="114">
        <v>26</v>
      </c>
      <c r="K4" s="115"/>
      <c r="L4" s="3"/>
      <c r="M4" s="115"/>
      <c r="N4" s="3"/>
      <c r="O4" s="4" t="s">
        <v>94</v>
      </c>
      <c r="P4" s="114"/>
      <c r="Q4" s="114" t="s">
        <v>90</v>
      </c>
      <c r="R4" s="114"/>
      <c r="S4" s="114"/>
      <c r="T4" s="114"/>
      <c r="U4" s="114"/>
      <c r="V4" s="114"/>
      <c r="W4" s="114"/>
      <c r="X4" s="116">
        <f>_xlfn.XLOOKUP(base_de_datos[[#This Row],[Materia]],Materias,Horas)/16</f>
        <v>3</v>
      </c>
      <c r="Y4" s="117">
        <f>ROUND(((base_de_datos[[#This Row],[Hora fin]]-base_de_datos[[#This Row],[Hora inicio]])*24)*(COUNTA(base_de_datos[[#This Row],[Lunes]:[Sábado]])),1)</f>
        <v>1.5</v>
      </c>
      <c r="Z4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4" s="117">
        <f ca="1">IF(base_de_datos[[#This Row],[No clase]]=OFFSET(base_de_datos[[#This Row],[No clase]],-1,0),0,1)</f>
        <v>1</v>
      </c>
      <c r="AB4" s="117">
        <f ca="1">IF(NOT(OR(base_de_datos[[#This Row],[Horas totales]]=base_de_datos[[#This Row],[HT Plan]],base_de_datos[[#This Row],[Horas totales]]="N/A")),1,0)</f>
        <v>0</v>
      </c>
      <c r="AC4" s="117" t="str">
        <f>_xlfn.XLOOKUP(base_de_datos[[#This Row],[Profesor]],Nombre,Grado)</f>
        <v>M</v>
      </c>
      <c r="AD4" s="118" t="str">
        <f>_xlfn.XLOOKUP(base_de_datos[[#This Row],[Profesor]],Nombre,Tipo)</f>
        <v>TC</v>
      </c>
      <c r="AE4" s="117">
        <f>IF(IFERROR(VLOOKUP($C4,Planes_de_estudio[],MATCH($AE$2,Carreras,0)+2,0),"")&gt;0,IFERROR(VLOOKUP($C4,Planes_de_estudio[],MATCH($AE$2,Carreras,0)+2,0),""),"")</f>
        <v>6</v>
      </c>
      <c r="AF4" s="117">
        <f>IF(IFERROR(VLOOKUP($C4,Planes_de_estudio[],MATCH($AF$2,Carreras,0)+2,0),"")&gt;0,IFERROR(VLOOKUP($C4,Planes_de_estudio[],MATCH($AF$2,Carreras,0)+2,0),""),"")</f>
        <v>6</v>
      </c>
      <c r="AG4" s="117">
        <f>IF(IFERROR(VLOOKUP($C4,Planes_de_estudio[],MATCH($AG$2,Carreras,0)+2,0),"")&gt;0,IFERROR(VLOOKUP($C4,Planes_de_estudio[],MATCH($AG$2,Carreras,0)+2,0),""),"")</f>
        <v>8</v>
      </c>
      <c r="AH4" s="117">
        <f>IF(IFERROR(VLOOKUP($C4,Planes_de_estudio[],MATCH($AH$2,Carreras,0)+2,0),"")&gt;0,IFERROR(VLOOKUP($C4,Planes_de_estudio[],MATCH($AH$2,Carreras,0)+2,0),""),"")</f>
        <v>4</v>
      </c>
      <c r="AI4" s="117" t="str">
        <f>IF(IFERROR(VLOOKUP($C4,Planes_de_estudio[],MATCH($AI$2,Carreras,0)+2,0),"")&gt;0,IFERROR(VLOOKUP($C4,Planes_de_estudio[],MATCH($AI$2,Carreras,0)+2,0),""),"")</f>
        <v/>
      </c>
      <c r="AJ4" s="117" t="str">
        <f>IF(IFERROR(VLOOKUP($C4,Planes_de_estudio[],MATCH($AJ$2,Carreras,0)+2,0),"")&gt;0,IFERROR(VLOOKUP($C4,Planes_de_estudio[],MATCH($AJ$2,Carreras,0)+2,0),""),"")</f>
        <v/>
      </c>
      <c r="AK4" s="117" t="str">
        <f>IF(IFERROR(VLOOKUP($C4,Planes_de_estudio[],MATCH($AK$2,Carreras,0)+2,0),"")&gt;0,IFERROR(VLOOKUP($C4,Planes_de_estudio[],MATCH($AK$2,Carreras,0)+2,0),""),"")</f>
        <v/>
      </c>
      <c r="AL4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4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90</v>
      </c>
      <c r="AN4" s="117">
        <f>base_de_datos[[#This Row],[Pronóstico]]/25</f>
        <v>3.6</v>
      </c>
      <c r="AO4" s="117" t="str">
        <f>VLOOKUP($C4,Planes_de_estudio[],2)</f>
        <v>DOP</v>
      </c>
      <c r="AP4" s="119">
        <f ca="1">IF(AND(base_de_datos[[#This Row],[Industrial]]&lt;&gt;"",base_de_datos[[#This Row],[Misma o no]]=1),base_de_datos[[#This Row],[Índice]],"")</f>
        <v>4</v>
      </c>
      <c r="AQ4" s="119">
        <f ca="1">IF(AND(base_de_datos[[#This Row],[Mecatrónica]]&lt;&gt;"",base_de_datos[[#This Row],[Misma o no]]=1),base_de_datos[[#This Row],[Índice]],"")</f>
        <v>4</v>
      </c>
      <c r="AR4" s="119">
        <f ca="1">IF(AND(base_de_datos[[#This Row],[Innovación y Diseño]]&lt;&gt;"",base_de_datos[[#This Row],[Misma o no]]=1),base_de_datos[[#This Row],[Índice]],"")</f>
        <v>4</v>
      </c>
      <c r="AS4" s="119">
        <f ca="1">IF(AND(base_de_datos[[#This Row],[Inteligencia Artificial]]&lt;&gt;"",base_de_datos[[#This Row],[Misma o no]]=1),base_de_datos[[#This Row],[Índice]],"")</f>
        <v>4</v>
      </c>
      <c r="AT4" s="119" t="str">
        <f ca="1">IF(AND(base_de_datos[[#This Row],[Tecnologías Energéticas]]&lt;&gt;"",base_de_datos[[#This Row],[Misma o no]]=1),base_de_datos[[#This Row],[Índice]],"")</f>
        <v/>
      </c>
      <c r="AU4" s="119" t="str">
        <f ca="1">IF(AND(base_de_datos[[#This Row],[Civil y Administración]]&lt;&gt;"",base_de_datos[[#This Row],[Misma o no]]=1),base_de_datos[[#This Row],[Índice]],"")</f>
        <v/>
      </c>
      <c r="AV4" s="119" t="str">
        <f ca="1">IF(AND(base_de_datos[[#This Row],[Bioelectrónica]]&lt;&gt;"",base_de_datos[[#This Row],[Misma o no]]=1),base_de_datos[[#This Row],[Índice]],"")</f>
        <v/>
      </c>
      <c r="AW4" s="120"/>
      <c r="AX4" s="4" t="s">
        <v>1803</v>
      </c>
    </row>
    <row r="5" spans="2:51" s="6" customFormat="1" ht="13" x14ac:dyDescent="0.3">
      <c r="B5" s="6" t="s">
        <v>91</v>
      </c>
      <c r="C5" s="1" t="s">
        <v>86</v>
      </c>
      <c r="D5" s="4">
        <v>1</v>
      </c>
      <c r="E5" s="113">
        <v>0.39583333333333398</v>
      </c>
      <c r="F5" s="113">
        <v>0.45833333333333098</v>
      </c>
      <c r="G5" s="226" t="s">
        <v>92</v>
      </c>
      <c r="H5" s="4" t="s">
        <v>95</v>
      </c>
      <c r="I5" s="4"/>
      <c r="J5" s="114">
        <v>26</v>
      </c>
      <c r="K5" s="115"/>
      <c r="L5" s="3"/>
      <c r="M5" s="115"/>
      <c r="N5" s="3"/>
      <c r="O5" s="4" t="s">
        <v>94</v>
      </c>
      <c r="P5" s="114"/>
      <c r="Q5" s="114"/>
      <c r="R5" s="114"/>
      <c r="S5" s="114" t="s">
        <v>90</v>
      </c>
      <c r="T5" s="114"/>
      <c r="U5" s="114"/>
      <c r="V5" s="114"/>
      <c r="W5" s="114"/>
      <c r="X5" s="116">
        <f>_xlfn.XLOOKUP(base_de_datos[[#This Row],[Materia]],Materias,Horas)/16</f>
        <v>3</v>
      </c>
      <c r="Y5" s="117">
        <f>ROUND(((base_de_datos[[#This Row],[Hora fin]]-base_de_datos[[#This Row],[Hora inicio]])*24)*(COUNTA(base_de_datos[[#This Row],[Lunes]:[Sábado]])),1)</f>
        <v>1.5</v>
      </c>
      <c r="Z5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5" s="117">
        <f ca="1">IF(base_de_datos[[#This Row],[No clase]]=OFFSET(base_de_datos[[#This Row],[No clase]],-1,0),0,1)</f>
        <v>0</v>
      </c>
      <c r="AB5" s="117">
        <f ca="1">IF(NOT(OR(base_de_datos[[#This Row],[Horas totales]]=base_de_datos[[#This Row],[HT Plan]],base_de_datos[[#This Row],[Horas totales]]="N/A")),1,0)</f>
        <v>0</v>
      </c>
      <c r="AC5" s="117" t="str">
        <f>_xlfn.XLOOKUP(base_de_datos[[#This Row],[Profesor]],Nombre,Grado)</f>
        <v>M</v>
      </c>
      <c r="AD5" s="118" t="str">
        <f>_xlfn.XLOOKUP(base_de_datos[[#This Row],[Profesor]],Nombre,Tipo)</f>
        <v>TC</v>
      </c>
      <c r="AE5" s="117">
        <f>IF(IFERROR(VLOOKUP($C5,Planes_de_estudio[],MATCH($AE$2,Carreras,0)+2,0),"")&gt;0,IFERROR(VLOOKUP($C5,Planes_de_estudio[],MATCH($AE$2,Carreras,0)+2,0),""),"")</f>
        <v>6</v>
      </c>
      <c r="AF5" s="117">
        <f>IF(IFERROR(VLOOKUP($C5,Planes_de_estudio[],MATCH($AF$2,Carreras,0)+2,0),"")&gt;0,IFERROR(VLOOKUP($C5,Planes_de_estudio[],MATCH($AF$2,Carreras,0)+2,0),""),"")</f>
        <v>6</v>
      </c>
      <c r="AG5" s="117">
        <f>IF(IFERROR(VLOOKUP($C5,Planes_de_estudio[],MATCH($AG$2,Carreras,0)+2,0),"")&gt;0,IFERROR(VLOOKUP($C5,Planes_de_estudio[],MATCH($AG$2,Carreras,0)+2,0),""),"")</f>
        <v>8</v>
      </c>
      <c r="AH5" s="117">
        <f>IF(IFERROR(VLOOKUP($C5,Planes_de_estudio[],MATCH($AH$2,Carreras,0)+2,0),"")&gt;0,IFERROR(VLOOKUP($C5,Planes_de_estudio[],MATCH($AH$2,Carreras,0)+2,0),""),"")</f>
        <v>4</v>
      </c>
      <c r="AI5" s="117" t="str">
        <f>IF(IFERROR(VLOOKUP($C5,Planes_de_estudio[],MATCH($AI$2,Carreras,0)+2,0),"")&gt;0,IFERROR(VLOOKUP($C5,Planes_de_estudio[],MATCH($AI$2,Carreras,0)+2,0),""),"")</f>
        <v/>
      </c>
      <c r="AJ5" s="117" t="str">
        <f>IF(IFERROR(VLOOKUP($C5,Planes_de_estudio[],MATCH($AJ$2,Carreras,0)+2,0),"")&gt;0,IFERROR(VLOOKUP($C5,Planes_de_estudio[],MATCH($AJ$2,Carreras,0)+2,0),""),"")</f>
        <v/>
      </c>
      <c r="AK5" s="117" t="str">
        <f>IF(IFERROR(VLOOKUP($C5,Planes_de_estudio[],MATCH($AK$2,Carreras,0)+2,0),"")&gt;0,IFERROR(VLOOKUP($C5,Planes_de_estudio[],MATCH($AK$2,Carreras,0)+2,0),""),"")</f>
        <v/>
      </c>
      <c r="AL5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5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90</v>
      </c>
      <c r="AN5" s="117">
        <f>base_de_datos[[#This Row],[Pronóstico]]/25</f>
        <v>3.6</v>
      </c>
      <c r="AO5" s="117" t="str">
        <f>VLOOKUP($C5,Planes_de_estudio[],2)</f>
        <v>DOP</v>
      </c>
      <c r="AP5" s="119" t="str">
        <f ca="1">IF(AND(base_de_datos[[#This Row],[Industrial]]&lt;&gt;"",base_de_datos[[#This Row],[Misma o no]]=1),base_de_datos[[#This Row],[Índice]],"")</f>
        <v/>
      </c>
      <c r="AQ5" s="119" t="str">
        <f ca="1">IF(AND(base_de_datos[[#This Row],[Mecatrónica]]&lt;&gt;"",base_de_datos[[#This Row],[Misma o no]]=1),base_de_datos[[#This Row],[Índice]],"")</f>
        <v/>
      </c>
      <c r="AR5" s="119" t="str">
        <f ca="1">IF(AND(base_de_datos[[#This Row],[Innovación y Diseño]]&lt;&gt;"",base_de_datos[[#This Row],[Misma o no]]=1),base_de_datos[[#This Row],[Índice]],"")</f>
        <v/>
      </c>
      <c r="AS5" s="119" t="str">
        <f ca="1">IF(AND(base_de_datos[[#This Row],[Inteligencia Artificial]]&lt;&gt;"",base_de_datos[[#This Row],[Misma o no]]=1),base_de_datos[[#This Row],[Índice]],"")</f>
        <v/>
      </c>
      <c r="AT5" s="119" t="str">
        <f ca="1">IF(AND(base_de_datos[[#This Row],[Tecnologías Energéticas]]&lt;&gt;"",base_de_datos[[#This Row],[Misma o no]]=1),base_de_datos[[#This Row],[Índice]],"")</f>
        <v/>
      </c>
      <c r="AU5" s="119" t="str">
        <f ca="1">IF(AND(base_de_datos[[#This Row],[Civil y Administración]]&lt;&gt;"",base_de_datos[[#This Row],[Misma o no]]=1),base_de_datos[[#This Row],[Índice]],"")</f>
        <v/>
      </c>
      <c r="AV5" s="119" t="str">
        <f ca="1">IF(AND(base_de_datos[[#This Row],[Bioelectrónica]]&lt;&gt;"",base_de_datos[[#This Row],[Misma o no]]=1),base_de_datos[[#This Row],[Índice]],"")</f>
        <v/>
      </c>
      <c r="AW5" s="120"/>
      <c r="AX5" s="4" t="s">
        <v>1803</v>
      </c>
    </row>
    <row r="6" spans="2:51" s="6" customFormat="1" ht="15" customHeight="1" x14ac:dyDescent="0.3">
      <c r="B6" s="6" t="s">
        <v>96</v>
      </c>
      <c r="C6" s="1" t="s">
        <v>86</v>
      </c>
      <c r="D6" s="4">
        <v>4</v>
      </c>
      <c r="E6" s="113">
        <v>0.79166666666666696</v>
      </c>
      <c r="F6" s="113">
        <v>0.91666666666665697</v>
      </c>
      <c r="G6" s="4" t="s">
        <v>87</v>
      </c>
      <c r="H6" s="4" t="s">
        <v>98</v>
      </c>
      <c r="I6" s="4"/>
      <c r="J6" s="126">
        <v>15</v>
      </c>
      <c r="K6" s="115"/>
      <c r="L6" s="3"/>
      <c r="M6" s="127"/>
      <c r="N6" s="3"/>
      <c r="O6" s="4" t="s">
        <v>99</v>
      </c>
      <c r="P6" s="114"/>
      <c r="Q6" s="114" t="s">
        <v>90</v>
      </c>
      <c r="R6" s="114"/>
      <c r="S6" s="114"/>
      <c r="T6" s="114"/>
      <c r="U6" s="114"/>
      <c r="V6" s="114"/>
      <c r="W6" s="114"/>
      <c r="X6" s="117">
        <f>_xlfn.XLOOKUP(base_de_datos[[#This Row],[Materia]],Materias,Horas)/16</f>
        <v>3</v>
      </c>
      <c r="Y6" s="117">
        <f>ROUND(((base_de_datos[[#This Row],[Hora fin]]-base_de_datos[[#This Row],[Hora inicio]])*24)*(COUNTA(base_de_datos[[#This Row],[Lunes]:[Sábado]])),1)</f>
        <v>3</v>
      </c>
      <c r="Z6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6" s="117">
        <f ca="1">IF(base_de_datos[[#This Row],[No clase]]=OFFSET(base_de_datos[[#This Row],[No clase]],-1,0),0,1)</f>
        <v>1</v>
      </c>
      <c r="AB6" s="117">
        <f ca="1">IF(NOT(OR(base_de_datos[[#This Row],[Horas totales]]=base_de_datos[[#This Row],[HT Plan]],base_de_datos[[#This Row],[Horas totales]]="N/A")),1,0)</f>
        <v>0</v>
      </c>
      <c r="AC6" s="117" t="str">
        <f>_xlfn.XLOOKUP(base_de_datos[[#This Row],[Profesor]],Nombre,Grado)</f>
        <v>M</v>
      </c>
      <c r="AD6" s="118" t="str">
        <f>_xlfn.XLOOKUP(base_de_datos[[#This Row],[Profesor]],Nombre,Tipo)</f>
        <v>A</v>
      </c>
      <c r="AE6" s="117">
        <f>IF(IFERROR(VLOOKUP($C6,Planes_de_estudio[],MATCH($AE$2,Carreras,0)+2,0),"")&gt;0,IFERROR(VLOOKUP($C6,Planes_de_estudio[],MATCH($AE$2,Carreras,0)+2,0),""),"")</f>
        <v>6</v>
      </c>
      <c r="AF6" s="117">
        <f>IF(IFERROR(VLOOKUP($C6,Planes_de_estudio[],MATCH($AF$2,Carreras,0)+2,0),"")&gt;0,IFERROR(VLOOKUP($C6,Planes_de_estudio[],MATCH($AF$2,Carreras,0)+2,0),""),"")</f>
        <v>6</v>
      </c>
      <c r="AG6" s="117">
        <f>IF(IFERROR(VLOOKUP($C6,Planes_de_estudio[],MATCH($AG$2,Carreras,0)+2,0),"")&gt;0,IFERROR(VLOOKUP($C6,Planes_de_estudio[],MATCH($AG$2,Carreras,0)+2,0),""),"")</f>
        <v>8</v>
      </c>
      <c r="AH6" s="117">
        <f>IF(IFERROR(VLOOKUP($C6,Planes_de_estudio[],MATCH($AH$2,Carreras,0)+2,0),"")&gt;0,IFERROR(VLOOKUP($C6,Planes_de_estudio[],MATCH($AH$2,Carreras,0)+2,0),""),"")</f>
        <v>4</v>
      </c>
      <c r="AI6" s="117" t="str">
        <f>IF(IFERROR(VLOOKUP($C6,Planes_de_estudio[],MATCH($AI$2,Carreras,0)+2,0),"")&gt;0,IFERROR(VLOOKUP($C6,Planes_de_estudio[],MATCH($AI$2,Carreras,0)+2,0),""),"")</f>
        <v/>
      </c>
      <c r="AJ6" s="117" t="str">
        <f>IF(IFERROR(VLOOKUP($C6,Planes_de_estudio[],MATCH($AJ$2,Carreras,0)+2,0),"")&gt;0,IFERROR(VLOOKUP($C6,Planes_de_estudio[],MATCH($AJ$2,Carreras,0)+2,0),""),"")</f>
        <v/>
      </c>
      <c r="AK6" s="117" t="str">
        <f>IF(IFERROR(VLOOKUP($C6,Planes_de_estudio[],MATCH($AK$2,Carreras,0)+2,0),"")&gt;0,IFERROR(VLOOKUP($C6,Planes_de_estudio[],MATCH($AK$2,Carreras,0)+2,0),""),"")</f>
        <v/>
      </c>
      <c r="AL6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6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90</v>
      </c>
      <c r="AN6" s="117">
        <f>base_de_datos[[#This Row],[Pronóstico]]/25</f>
        <v>3.6</v>
      </c>
      <c r="AO6" s="117" t="str">
        <f>VLOOKUP($C6,Planes_de_estudio[],2)</f>
        <v>DOP</v>
      </c>
      <c r="AP6" s="119">
        <f ca="1">IF(AND(base_de_datos[[#This Row],[Industrial]]&lt;&gt;"",base_de_datos[[#This Row],[Misma o no]]=1),base_de_datos[[#This Row],[Índice]],"")</f>
        <v>4</v>
      </c>
      <c r="AQ6" s="119">
        <f ca="1">IF(AND(base_de_datos[[#This Row],[Mecatrónica]]&lt;&gt;"",base_de_datos[[#This Row],[Misma o no]]=1),base_de_datos[[#This Row],[Índice]],"")</f>
        <v>4</v>
      </c>
      <c r="AR6" s="119">
        <f ca="1">IF(AND(base_de_datos[[#This Row],[Innovación y Diseño]]&lt;&gt;"",base_de_datos[[#This Row],[Misma o no]]=1),base_de_datos[[#This Row],[Índice]],"")</f>
        <v>4</v>
      </c>
      <c r="AS6" s="119">
        <f ca="1">IF(AND(base_de_datos[[#This Row],[Inteligencia Artificial]]&lt;&gt;"",base_de_datos[[#This Row],[Misma o no]]=1),base_de_datos[[#This Row],[Índice]],"")</f>
        <v>4</v>
      </c>
      <c r="AT6" s="119" t="str">
        <f ca="1">IF(AND(base_de_datos[[#This Row],[Tecnologías Energéticas]]&lt;&gt;"",base_de_datos[[#This Row],[Misma o no]]=1),base_de_datos[[#This Row],[Índice]],"")</f>
        <v/>
      </c>
      <c r="AU6" s="119" t="str">
        <f ca="1">IF(AND(base_de_datos[[#This Row],[Civil y Administración]]&lt;&gt;"",base_de_datos[[#This Row],[Misma o no]]=1),base_de_datos[[#This Row],[Índice]],"")</f>
        <v/>
      </c>
      <c r="AV6" s="119" t="str">
        <f ca="1">IF(AND(base_de_datos[[#This Row],[Bioelectrónica]]&lt;&gt;"",base_de_datos[[#This Row],[Misma o no]]=1),base_de_datos[[#This Row],[Índice]],"")</f>
        <v/>
      </c>
      <c r="AW6" s="120"/>
      <c r="AX6" s="4" t="s">
        <v>1803</v>
      </c>
    </row>
    <row r="7" spans="2:51" s="6" customFormat="1" ht="13" x14ac:dyDescent="0.3">
      <c r="B7" s="6" t="s">
        <v>96</v>
      </c>
      <c r="C7" s="1" t="s">
        <v>86</v>
      </c>
      <c r="D7" s="4">
        <v>2</v>
      </c>
      <c r="E7" s="113">
        <v>0.75</v>
      </c>
      <c r="F7" s="113">
        <v>0.87499999999999001</v>
      </c>
      <c r="G7" s="4" t="s">
        <v>87</v>
      </c>
      <c r="H7" s="4" t="s">
        <v>18</v>
      </c>
      <c r="I7" s="4"/>
      <c r="J7" s="126">
        <v>16</v>
      </c>
      <c r="K7" s="115"/>
      <c r="L7" s="3"/>
      <c r="M7" s="127"/>
      <c r="N7" s="3"/>
      <c r="O7" s="4" t="s">
        <v>97</v>
      </c>
      <c r="P7" s="114"/>
      <c r="Q7" s="114"/>
      <c r="R7" s="114"/>
      <c r="S7" s="114"/>
      <c r="T7" s="114" t="s">
        <v>90</v>
      </c>
      <c r="U7" s="114"/>
      <c r="V7" s="114"/>
      <c r="W7" s="114"/>
      <c r="X7" s="117">
        <f>_xlfn.XLOOKUP(base_de_datos[[#This Row],[Materia]],Materias,Horas)/16</f>
        <v>3</v>
      </c>
      <c r="Y7" s="117">
        <f>ROUND(((base_de_datos[[#This Row],[Hora fin]]-base_de_datos[[#This Row],[Hora inicio]])*24)*(COUNTA(base_de_datos[[#This Row],[Lunes]:[Sábado]])),1)</f>
        <v>3</v>
      </c>
      <c r="Z7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7" s="117">
        <f ca="1">IF(base_de_datos[[#This Row],[No clase]]=OFFSET(base_de_datos[[#This Row],[No clase]],-1,0),0,1)</f>
        <v>1</v>
      </c>
      <c r="AB7" s="117">
        <f ca="1">IF(NOT(OR(base_de_datos[[#This Row],[Horas totales]]=base_de_datos[[#This Row],[HT Plan]],base_de_datos[[#This Row],[Horas totales]]="N/A")),1,0)</f>
        <v>0</v>
      </c>
      <c r="AC7" s="117" t="str">
        <f>_xlfn.XLOOKUP(base_de_datos[[#This Row],[Profesor]],Nombre,Grado)</f>
        <v>M</v>
      </c>
      <c r="AD7" s="118" t="str">
        <f>_xlfn.XLOOKUP(base_de_datos[[#This Row],[Profesor]],Nombre,Tipo)</f>
        <v>A</v>
      </c>
      <c r="AE7" s="117">
        <f>IF(IFERROR(VLOOKUP($C7,Planes_de_estudio[],MATCH($AE$2,Carreras,0)+2,0),"")&gt;0,IFERROR(VLOOKUP($C7,Planes_de_estudio[],MATCH($AE$2,Carreras,0)+2,0),""),"")</f>
        <v>6</v>
      </c>
      <c r="AF7" s="117">
        <f>IF(IFERROR(VLOOKUP($C7,Planes_de_estudio[],MATCH($AF$2,Carreras,0)+2,0),"")&gt;0,IFERROR(VLOOKUP($C7,Planes_de_estudio[],MATCH($AF$2,Carreras,0)+2,0),""),"")</f>
        <v>6</v>
      </c>
      <c r="AG7" s="117">
        <f>IF(IFERROR(VLOOKUP($C7,Planes_de_estudio[],MATCH($AG$2,Carreras,0)+2,0),"")&gt;0,IFERROR(VLOOKUP($C7,Planes_de_estudio[],MATCH($AG$2,Carreras,0)+2,0),""),"")</f>
        <v>8</v>
      </c>
      <c r="AH7" s="117">
        <f>IF(IFERROR(VLOOKUP($C7,Planes_de_estudio[],MATCH($AH$2,Carreras,0)+2,0),"")&gt;0,IFERROR(VLOOKUP($C7,Planes_de_estudio[],MATCH($AH$2,Carreras,0)+2,0),""),"")</f>
        <v>4</v>
      </c>
      <c r="AI7" s="117" t="str">
        <f>IF(IFERROR(VLOOKUP($C7,Planes_de_estudio[],MATCH($AI$2,Carreras,0)+2,0),"")&gt;0,IFERROR(VLOOKUP($C7,Planes_de_estudio[],MATCH($AI$2,Carreras,0)+2,0),""),"")</f>
        <v/>
      </c>
      <c r="AJ7" s="117" t="str">
        <f>IF(IFERROR(VLOOKUP($C7,Planes_de_estudio[],MATCH($AJ$2,Carreras,0)+2,0),"")&gt;0,IFERROR(VLOOKUP($C7,Planes_de_estudio[],MATCH($AJ$2,Carreras,0)+2,0),""),"")</f>
        <v/>
      </c>
      <c r="AK7" s="117" t="str">
        <f>IF(IFERROR(VLOOKUP($C7,Planes_de_estudio[],MATCH($AK$2,Carreras,0)+2,0),"")&gt;0,IFERROR(VLOOKUP($C7,Planes_de_estudio[],MATCH($AK$2,Carreras,0)+2,0),""),"")</f>
        <v/>
      </c>
      <c r="AL7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7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90</v>
      </c>
      <c r="AN7" s="117">
        <f>base_de_datos[[#This Row],[Pronóstico]]/25</f>
        <v>3.6</v>
      </c>
      <c r="AO7" s="117" t="str">
        <f>VLOOKUP($C7,Planes_de_estudio[],2)</f>
        <v>DOP</v>
      </c>
      <c r="AP7" s="119">
        <f ca="1">IF(AND(base_de_datos[[#This Row],[Industrial]]&lt;&gt;"",base_de_datos[[#This Row],[Misma o no]]=1),base_de_datos[[#This Row],[Índice]],"")</f>
        <v>4</v>
      </c>
      <c r="AQ7" s="119">
        <f ca="1">IF(AND(base_de_datos[[#This Row],[Mecatrónica]]&lt;&gt;"",base_de_datos[[#This Row],[Misma o no]]=1),base_de_datos[[#This Row],[Índice]],"")</f>
        <v>4</v>
      </c>
      <c r="AR7" s="119">
        <f ca="1">IF(AND(base_de_datos[[#This Row],[Innovación y Diseño]]&lt;&gt;"",base_de_datos[[#This Row],[Misma o no]]=1),base_de_datos[[#This Row],[Índice]],"")</f>
        <v>4</v>
      </c>
      <c r="AS7" s="119">
        <f ca="1">IF(AND(base_de_datos[[#This Row],[Inteligencia Artificial]]&lt;&gt;"",base_de_datos[[#This Row],[Misma o no]]=1),base_de_datos[[#This Row],[Índice]],"")</f>
        <v>4</v>
      </c>
      <c r="AT7" s="119" t="str">
        <f ca="1">IF(AND(base_de_datos[[#This Row],[Tecnologías Energéticas]]&lt;&gt;"",base_de_datos[[#This Row],[Misma o no]]=1),base_de_datos[[#This Row],[Índice]],"")</f>
        <v/>
      </c>
      <c r="AU7" s="119" t="str">
        <f ca="1">IF(AND(base_de_datos[[#This Row],[Civil y Administración]]&lt;&gt;"",base_de_datos[[#This Row],[Misma o no]]=1),base_de_datos[[#This Row],[Índice]],"")</f>
        <v/>
      </c>
      <c r="AV7" s="119" t="str">
        <f ca="1">IF(AND(base_de_datos[[#This Row],[Bioelectrónica]]&lt;&gt;"",base_de_datos[[#This Row],[Misma o no]]=1),base_de_datos[[#This Row],[Índice]],"")</f>
        <v/>
      </c>
      <c r="AW7" s="120"/>
      <c r="AX7" s="4" t="s">
        <v>1803</v>
      </c>
    </row>
    <row r="8" spans="2:51" s="6" customFormat="1" ht="13" x14ac:dyDescent="0.3">
      <c r="B8" s="9" t="s">
        <v>104</v>
      </c>
      <c r="C8" s="1" t="s">
        <v>105</v>
      </c>
      <c r="D8" s="4">
        <v>1</v>
      </c>
      <c r="E8" s="172">
        <v>0.625</v>
      </c>
      <c r="F8" s="172">
        <v>0.70833333333332704</v>
      </c>
      <c r="G8" s="226" t="s">
        <v>92</v>
      </c>
      <c r="H8" s="121" t="s">
        <v>106</v>
      </c>
      <c r="I8" s="121"/>
      <c r="J8" s="114">
        <v>10</v>
      </c>
      <c r="K8" s="115"/>
      <c r="L8" s="3"/>
      <c r="M8" s="115"/>
      <c r="N8" s="3"/>
      <c r="O8" s="4">
        <v>1823</v>
      </c>
      <c r="P8" s="114"/>
      <c r="Q8" s="114" t="s">
        <v>90</v>
      </c>
      <c r="R8" s="114"/>
      <c r="S8" s="114"/>
      <c r="T8" s="114"/>
      <c r="U8" s="114"/>
      <c r="V8" s="114" t="s">
        <v>90</v>
      </c>
      <c r="W8" s="114"/>
      <c r="X8" s="116">
        <f>_xlfn.XLOOKUP(base_de_datos[[#This Row],[Materia]],Materias,Horas)/16</f>
        <v>4</v>
      </c>
      <c r="Y8" s="116">
        <f>ROUND(((base_de_datos[[#This Row],[Hora fin]]-base_de_datos[[#This Row],[Hora inicio]])*24)*(COUNTA(base_de_datos[[#This Row],[Lunes]:[Sábado]])),1)</f>
        <v>2</v>
      </c>
      <c r="Z8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8" s="117">
        <f ca="1">IF(base_de_datos[[#This Row],[No clase]]=OFFSET(base_de_datos[[#This Row],[No clase]],-1,0),0,1)</f>
        <v>1</v>
      </c>
      <c r="AB8" s="117">
        <f ca="1">IF(NOT(OR(base_de_datos[[#This Row],[Horas totales]]=base_de_datos[[#This Row],[HT Plan]],base_de_datos[[#This Row],[Horas totales]]="N/A")),1,0)</f>
        <v>0</v>
      </c>
      <c r="AC8" s="116" t="str">
        <f>_xlfn.XLOOKUP(base_de_datos[[#This Row],[Profesor]],Nombre,Grado)</f>
        <v>M</v>
      </c>
      <c r="AD8" s="118" t="str">
        <f>_xlfn.XLOOKUP(base_de_datos[[#This Row],[Profesor]],Nombre,Tipo)</f>
        <v>TC</v>
      </c>
      <c r="AE8" s="116" t="str">
        <f>IF(IFERROR(VLOOKUP($C8,Planes_de_estudio[],MATCH($AE$2,Carreras,0)+2,0),"")&gt;0,IFERROR(VLOOKUP($C8,Planes_de_estudio[],MATCH($AE$2,Carreras,0)+2,0),""),"")</f>
        <v/>
      </c>
      <c r="AF8" s="116" t="str">
        <f>IF(IFERROR(VLOOKUP($C8,Planes_de_estudio[],MATCH($AF$2,Carreras,0)+2,0),"")&gt;0,IFERROR(VLOOKUP($C8,Planes_de_estudio[],MATCH($AF$2,Carreras,0)+2,0),""),"")</f>
        <v/>
      </c>
      <c r="AG8" s="116" t="str">
        <f>IF(IFERROR(VLOOKUP($C8,Planes_de_estudio[],MATCH($AG$2,Carreras,0)+2,0),"")&gt;0,IFERROR(VLOOKUP($C8,Planes_de_estudio[],MATCH($AG$2,Carreras,0)+2,0),""),"")</f>
        <v/>
      </c>
      <c r="AH8" s="116" t="str">
        <f>IF(IFERROR(VLOOKUP($C8,Planes_de_estudio[],MATCH($AH$2,Carreras,0)+2,0),"")&gt;0,IFERROR(VLOOKUP($C8,Planes_de_estudio[],MATCH($AH$2,Carreras,0)+2,0),""),"")</f>
        <v/>
      </c>
      <c r="AI8" s="116" t="str">
        <f>IF(IFERROR(VLOOKUP($C8,Planes_de_estudio[],MATCH($AI$2,Carreras,0)+2,0),"")&gt;0,IFERROR(VLOOKUP($C8,Planes_de_estudio[],MATCH($AI$2,Carreras,0)+2,0),""),"")</f>
        <v/>
      </c>
      <c r="AJ8" s="116">
        <f>IF(IFERROR(VLOOKUP($C8,Planes_de_estudio[],MATCH($AJ$2,Carreras,0)+2,0),"")&gt;0,IFERROR(VLOOKUP($C8,Planes_de_estudio[],MATCH($AJ$2,Carreras,0)+2,0),""),"")</f>
        <v>6</v>
      </c>
      <c r="AK8" s="116" t="str">
        <f>IF(IFERROR(VLOOKUP($C8,Planes_de_estudio[],MATCH($AK$2,Carreras,0)+2,0),"")&gt;0,IFERROR(VLOOKUP($C8,Planes_de_estudio[],MATCH($AK$2,Carreras,0)+2,0),""),"")</f>
        <v/>
      </c>
      <c r="AL8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8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13</v>
      </c>
      <c r="AN8" s="117">
        <f>base_de_datos[[#This Row],[Pronóstico]]/25</f>
        <v>0.52</v>
      </c>
      <c r="AO8" s="117" t="str">
        <f>VLOOKUP($C8,Planes_de_estudio[],2)</f>
        <v>ETF</v>
      </c>
      <c r="AP8" s="119" t="str">
        <f ca="1">IF(AND(base_de_datos[[#This Row],[Industrial]]&lt;&gt;"",base_de_datos[[#This Row],[Misma o no]]=1),base_de_datos[[#This Row],[Índice]],"")</f>
        <v/>
      </c>
      <c r="AQ8" s="119" t="str">
        <f ca="1">IF(AND(base_de_datos[[#This Row],[Mecatrónica]]&lt;&gt;"",base_de_datos[[#This Row],[Misma o no]]=1),base_de_datos[[#This Row],[Índice]],"")</f>
        <v/>
      </c>
      <c r="AR8" s="119" t="str">
        <f ca="1">IF(AND(base_de_datos[[#This Row],[Innovación y Diseño]]&lt;&gt;"",base_de_datos[[#This Row],[Misma o no]]=1),base_de_datos[[#This Row],[Índice]],"")</f>
        <v/>
      </c>
      <c r="AS8" s="119" t="str">
        <f ca="1">IF(AND(base_de_datos[[#This Row],[Inteligencia Artificial]]&lt;&gt;"",base_de_datos[[#This Row],[Misma o no]]=1),base_de_datos[[#This Row],[Índice]],"")</f>
        <v/>
      </c>
      <c r="AT8" s="119" t="str">
        <f ca="1">IF(AND(base_de_datos[[#This Row],[Tecnologías Energéticas]]&lt;&gt;"",base_de_datos[[#This Row],[Misma o no]]=1),base_de_datos[[#This Row],[Índice]],"")</f>
        <v/>
      </c>
      <c r="AU8" s="119">
        <f ca="1">IF(AND(base_de_datos[[#This Row],[Civil y Administración]]&lt;&gt;"",base_de_datos[[#This Row],[Misma o no]]=1),base_de_datos[[#This Row],[Índice]],"")</f>
        <v>4</v>
      </c>
      <c r="AV8" s="119" t="str">
        <f ca="1">IF(AND(base_de_datos[[#This Row],[Bioelectrónica]]&lt;&gt;"",base_de_datos[[#This Row],[Misma o no]]=1),base_de_datos[[#This Row],[Índice]],"")</f>
        <v/>
      </c>
      <c r="AW8" s="120"/>
      <c r="AX8" s="4">
        <v>2</v>
      </c>
    </row>
    <row r="9" spans="2:51" s="6" customFormat="1" ht="13" x14ac:dyDescent="0.3">
      <c r="B9" s="9" t="s">
        <v>104</v>
      </c>
      <c r="C9" s="1" t="s">
        <v>105</v>
      </c>
      <c r="D9" s="4">
        <v>1</v>
      </c>
      <c r="E9" s="172">
        <v>0.58333333333333304</v>
      </c>
      <c r="F9" s="172">
        <v>0.66666666666666097</v>
      </c>
      <c r="G9" s="226" t="s">
        <v>92</v>
      </c>
      <c r="H9" s="4" t="s">
        <v>106</v>
      </c>
      <c r="I9" s="4"/>
      <c r="J9" s="114">
        <v>10</v>
      </c>
      <c r="K9" s="115"/>
      <c r="L9" s="3"/>
      <c r="M9" s="115"/>
      <c r="N9" s="3"/>
      <c r="O9" s="2">
        <v>1823</v>
      </c>
      <c r="P9" s="114"/>
      <c r="Q9" s="114"/>
      <c r="R9" s="114"/>
      <c r="S9" s="114" t="s">
        <v>90</v>
      </c>
      <c r="T9" s="114"/>
      <c r="U9" s="114"/>
      <c r="V9" s="114" t="s">
        <v>90</v>
      </c>
      <c r="W9" s="114"/>
      <c r="X9" s="116">
        <f>_xlfn.XLOOKUP(base_de_datos[[#This Row],[Materia]],Materias,Horas)/16</f>
        <v>4</v>
      </c>
      <c r="Y9" s="116">
        <f>ROUND(((base_de_datos[[#This Row],[Hora fin]]-base_de_datos[[#This Row],[Hora inicio]])*24)*(COUNTA(base_de_datos[[#This Row],[Lunes]:[Sábado]])),1)</f>
        <v>2</v>
      </c>
      <c r="Z9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9" s="117">
        <f ca="1">IF(base_de_datos[[#This Row],[No clase]]=OFFSET(base_de_datos[[#This Row],[No clase]],-1,0),0,1)</f>
        <v>0</v>
      </c>
      <c r="AB9" s="117">
        <f ca="1">IF(NOT(OR(base_de_datos[[#This Row],[Horas totales]]=base_de_datos[[#This Row],[HT Plan]],base_de_datos[[#This Row],[Horas totales]]="N/A")),1,0)</f>
        <v>0</v>
      </c>
      <c r="AC9" s="116" t="str">
        <f>_xlfn.XLOOKUP(base_de_datos[[#This Row],[Profesor]],Nombre,Grado)</f>
        <v>M</v>
      </c>
      <c r="AD9" s="118" t="str">
        <f>_xlfn.XLOOKUP(base_de_datos[[#This Row],[Profesor]],Nombre,Tipo)</f>
        <v>TC</v>
      </c>
      <c r="AE9" s="116" t="str">
        <f>IF(IFERROR(VLOOKUP($C9,Planes_de_estudio[],MATCH($AE$2,Carreras,0)+2,0),"")&gt;0,IFERROR(VLOOKUP($C9,Planes_de_estudio[],MATCH($AE$2,Carreras,0)+2,0),""),"")</f>
        <v/>
      </c>
      <c r="AF9" s="116" t="str">
        <f>IF(IFERROR(VLOOKUP($C9,Planes_de_estudio[],MATCH($AF$2,Carreras,0)+2,0),"")&gt;0,IFERROR(VLOOKUP($C9,Planes_de_estudio[],MATCH($AF$2,Carreras,0)+2,0),""),"")</f>
        <v/>
      </c>
      <c r="AG9" s="116" t="str">
        <f>IF(IFERROR(VLOOKUP($C9,Planes_de_estudio[],MATCH($AG$2,Carreras,0)+2,0),"")&gt;0,IFERROR(VLOOKUP($C9,Planes_de_estudio[],MATCH($AG$2,Carreras,0)+2,0),""),"")</f>
        <v/>
      </c>
      <c r="AH9" s="116" t="str">
        <f>IF(IFERROR(VLOOKUP($C9,Planes_de_estudio[],MATCH($AH$2,Carreras,0)+2,0),"")&gt;0,IFERROR(VLOOKUP($C9,Planes_de_estudio[],MATCH($AH$2,Carreras,0)+2,0),""),"")</f>
        <v/>
      </c>
      <c r="AI9" s="116" t="str">
        <f>IF(IFERROR(VLOOKUP($C9,Planes_de_estudio[],MATCH($AI$2,Carreras,0)+2,0),"")&gt;0,IFERROR(VLOOKUP($C9,Planes_de_estudio[],MATCH($AI$2,Carreras,0)+2,0),""),"")</f>
        <v/>
      </c>
      <c r="AJ9" s="116">
        <f>IF(IFERROR(VLOOKUP($C9,Planes_de_estudio[],MATCH($AJ$2,Carreras,0)+2,0),"")&gt;0,IFERROR(VLOOKUP($C9,Planes_de_estudio[],MATCH($AJ$2,Carreras,0)+2,0),""),"")</f>
        <v>6</v>
      </c>
      <c r="AK9" s="116" t="str">
        <f>IF(IFERROR(VLOOKUP($C9,Planes_de_estudio[],MATCH($AK$2,Carreras,0)+2,0),"")&gt;0,IFERROR(VLOOKUP($C9,Planes_de_estudio[],MATCH($AK$2,Carreras,0)+2,0),""),"")</f>
        <v/>
      </c>
      <c r="AL9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9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13</v>
      </c>
      <c r="AN9" s="117">
        <f>base_de_datos[[#This Row],[Pronóstico]]/25</f>
        <v>0.52</v>
      </c>
      <c r="AO9" s="117" t="str">
        <f>VLOOKUP($C9,Planes_de_estudio[],2)</f>
        <v>ETF</v>
      </c>
      <c r="AP9" s="119" t="str">
        <f ca="1">IF(AND(base_de_datos[[#This Row],[Industrial]]&lt;&gt;"",base_de_datos[[#This Row],[Misma o no]]=1),base_de_datos[[#This Row],[Índice]],"")</f>
        <v/>
      </c>
      <c r="AQ9" s="119" t="str">
        <f ca="1">IF(AND(base_de_datos[[#This Row],[Mecatrónica]]&lt;&gt;"",base_de_datos[[#This Row],[Misma o no]]=1),base_de_datos[[#This Row],[Índice]],"")</f>
        <v/>
      </c>
      <c r="AR9" s="119" t="str">
        <f ca="1">IF(AND(base_de_datos[[#This Row],[Innovación y Diseño]]&lt;&gt;"",base_de_datos[[#This Row],[Misma o no]]=1),base_de_datos[[#This Row],[Índice]],"")</f>
        <v/>
      </c>
      <c r="AS9" s="119" t="str">
        <f ca="1">IF(AND(base_de_datos[[#This Row],[Inteligencia Artificial]]&lt;&gt;"",base_de_datos[[#This Row],[Misma o no]]=1),base_de_datos[[#This Row],[Índice]],"")</f>
        <v/>
      </c>
      <c r="AT9" s="119" t="str">
        <f ca="1">IF(AND(base_de_datos[[#This Row],[Tecnologías Energéticas]]&lt;&gt;"",base_de_datos[[#This Row],[Misma o no]]=1),base_de_datos[[#This Row],[Índice]],"")</f>
        <v/>
      </c>
      <c r="AU9" s="119" t="str">
        <f ca="1">IF(AND(base_de_datos[[#This Row],[Civil y Administración]]&lt;&gt;"",base_de_datos[[#This Row],[Misma o no]]=1),base_de_datos[[#This Row],[Índice]],"")</f>
        <v/>
      </c>
      <c r="AV9" s="119" t="str">
        <f ca="1">IF(AND(base_de_datos[[#This Row],[Bioelectrónica]]&lt;&gt;"",base_de_datos[[#This Row],[Misma o no]]=1),base_de_datos[[#This Row],[Índice]],"")</f>
        <v/>
      </c>
      <c r="AW9" s="120"/>
      <c r="AX9" s="4">
        <v>2</v>
      </c>
    </row>
    <row r="10" spans="2:51" s="6" customFormat="1" ht="13" x14ac:dyDescent="0.3">
      <c r="B10" s="6" t="s">
        <v>100</v>
      </c>
      <c r="C10" s="1" t="s">
        <v>101</v>
      </c>
      <c r="D10" s="4">
        <v>1</v>
      </c>
      <c r="E10" s="113">
        <v>0.79166666666666696</v>
      </c>
      <c r="F10" s="113">
        <v>0.89583333333332305</v>
      </c>
      <c r="G10" s="4" t="s">
        <v>87</v>
      </c>
      <c r="H10" s="4" t="s">
        <v>102</v>
      </c>
      <c r="I10" s="4"/>
      <c r="J10" s="199">
        <v>3</v>
      </c>
      <c r="K10" s="115"/>
      <c r="L10" s="3"/>
      <c r="M10" s="127"/>
      <c r="N10" s="3"/>
      <c r="O10" s="4" t="s">
        <v>103</v>
      </c>
      <c r="P10" s="114"/>
      <c r="Q10" s="114" t="s">
        <v>90</v>
      </c>
      <c r="R10" s="114"/>
      <c r="S10" s="114" t="s">
        <v>90</v>
      </c>
      <c r="T10" s="114"/>
      <c r="U10" s="114"/>
      <c r="V10" s="114" t="s">
        <v>90</v>
      </c>
      <c r="W10" s="114"/>
      <c r="X10" s="117">
        <f>_xlfn.XLOOKUP(base_de_datos[[#This Row],[Materia]],Materias,Horas)/16</f>
        <v>5</v>
      </c>
      <c r="Y10" s="117">
        <f>ROUND(((base_de_datos[[#This Row],[Hora fin]]-base_de_datos[[#This Row],[Hora inicio]])*24)*(COUNTA(base_de_datos[[#This Row],[Lunes]:[Sábado]])),1)</f>
        <v>5</v>
      </c>
      <c r="Z10" s="117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10" s="117">
        <f ca="1">IF(base_de_datos[[#This Row],[No clase]]=OFFSET(base_de_datos[[#This Row],[No clase]],-1,0),0,1)</f>
        <v>1</v>
      </c>
      <c r="AB10" s="117">
        <f ca="1">IF(NOT(OR(base_de_datos[[#This Row],[Horas totales]]=base_de_datos[[#This Row],[HT Plan]],base_de_datos[[#This Row],[Horas totales]]="N/A")),1,0)</f>
        <v>0</v>
      </c>
      <c r="AC10" s="117" t="str">
        <f>_xlfn.XLOOKUP(base_de_datos[[#This Row],[Profesor]],Nombre,Grado)</f>
        <v>M</v>
      </c>
      <c r="AD10" s="118" t="str">
        <f>_xlfn.XLOOKUP(base_de_datos[[#This Row],[Profesor]],Nombre,Tipo)</f>
        <v>A</v>
      </c>
      <c r="AE10" s="117" t="str">
        <f>IF(IFERROR(VLOOKUP($C10,Planes_de_estudio[],MATCH($AE$2,Carreras,0)+2,0),"")&gt;0,IFERROR(VLOOKUP($C10,Planes_de_estudio[],MATCH($AE$2,Carreras,0)+2,0),""),"")</f>
        <v/>
      </c>
      <c r="AF10" s="117" t="str">
        <f>IF(IFERROR(VLOOKUP($C10,Planes_de_estudio[],MATCH($AF$2,Carreras,0)+2,0),"")&gt;0,IFERROR(VLOOKUP($C10,Planes_de_estudio[],MATCH($AF$2,Carreras,0)+2,0),""),"")</f>
        <v/>
      </c>
      <c r="AG10" s="117" t="str">
        <f>IF(IFERROR(VLOOKUP($C10,Planes_de_estudio[],MATCH($AG$2,Carreras,0)+2,0),"")&gt;0,IFERROR(VLOOKUP($C10,Planes_de_estudio[],MATCH($AG$2,Carreras,0)+2,0),""),"")</f>
        <v/>
      </c>
      <c r="AH10" s="117" t="str">
        <f>IF(IFERROR(VLOOKUP($C10,Planes_de_estudio[],MATCH($AH$2,Carreras,0)+2,0),"")&gt;0,IFERROR(VLOOKUP($C10,Planes_de_estudio[],MATCH($AH$2,Carreras,0)+2,0),""),"")</f>
        <v/>
      </c>
      <c r="AI10" s="117">
        <f>IF(IFERROR(VLOOKUP($C10,Planes_de_estudio[],MATCH($AI$2,Carreras,0)+2,0),"")&gt;0,IFERROR(VLOOKUP($C10,Planes_de_estudio[],MATCH($AI$2,Carreras,0)+2,0),""),"")</f>
        <v>6</v>
      </c>
      <c r="AJ10" s="117" t="str">
        <f>IF(IFERROR(VLOOKUP($C10,Planes_de_estudio[],MATCH($AJ$2,Carreras,0)+2,0),"")&gt;0,IFERROR(VLOOKUP($C10,Planes_de_estudio[],MATCH($AJ$2,Carreras,0)+2,0),""),"")</f>
        <v/>
      </c>
      <c r="AK10" s="117" t="str">
        <f>IF(IFERROR(VLOOKUP($C10,Planes_de_estudio[],MATCH($AK$2,Carreras,0)+2,0),"")&gt;0,IFERROR(VLOOKUP($C10,Planes_de_estudio[],MATCH($AK$2,Carreras,0)+2,0),""),"")</f>
        <v/>
      </c>
      <c r="AL10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0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</v>
      </c>
      <c r="AN10" s="117">
        <f>base_de_datos[[#This Row],[Pronóstico]]/25</f>
        <v>0.12</v>
      </c>
      <c r="AO10" s="117" t="str">
        <f>VLOOKUP($C10,Planes_de_estudio[],2)</f>
        <v>ETF</v>
      </c>
      <c r="AP10" s="119" t="str">
        <f ca="1">IF(AND(base_de_datos[[#This Row],[Industrial]]&lt;&gt;"",base_de_datos[[#This Row],[Misma o no]]=1),base_de_datos[[#This Row],[Índice]],"")</f>
        <v/>
      </c>
      <c r="AQ10" s="119" t="str">
        <f ca="1">IF(AND(base_de_datos[[#This Row],[Mecatrónica]]&lt;&gt;"",base_de_datos[[#This Row],[Misma o no]]=1),base_de_datos[[#This Row],[Índice]],"")</f>
        <v/>
      </c>
      <c r="AR10" s="119" t="str">
        <f ca="1">IF(AND(base_de_datos[[#This Row],[Innovación y Diseño]]&lt;&gt;"",base_de_datos[[#This Row],[Misma o no]]=1),base_de_datos[[#This Row],[Índice]],"")</f>
        <v/>
      </c>
      <c r="AS10" s="119" t="str">
        <f ca="1">IF(AND(base_de_datos[[#This Row],[Inteligencia Artificial]]&lt;&gt;"",base_de_datos[[#This Row],[Misma o no]]=1),base_de_datos[[#This Row],[Índice]],"")</f>
        <v/>
      </c>
      <c r="AT10" s="119">
        <f ca="1">IF(AND(base_de_datos[[#This Row],[Tecnologías Energéticas]]&lt;&gt;"",base_de_datos[[#This Row],[Misma o no]]=1),base_de_datos[[#This Row],[Índice]],"")</f>
        <v>4</v>
      </c>
      <c r="AU10" s="119" t="str">
        <f ca="1">IF(AND(base_de_datos[[#This Row],[Civil y Administración]]&lt;&gt;"",base_de_datos[[#This Row],[Misma o no]]=1),base_de_datos[[#This Row],[Índice]],"")</f>
        <v/>
      </c>
      <c r="AV10" s="119" t="str">
        <f ca="1">IF(AND(base_de_datos[[#This Row],[Bioelectrónica]]&lt;&gt;"",base_de_datos[[#This Row],[Misma o no]]=1),base_de_datos[[#This Row],[Índice]],"")</f>
        <v/>
      </c>
      <c r="AW10" s="120"/>
      <c r="AX10" s="4">
        <v>2</v>
      </c>
    </row>
    <row r="11" spans="2:51" s="6" customFormat="1" ht="13" x14ac:dyDescent="0.3">
      <c r="B11" s="9" t="s">
        <v>107</v>
      </c>
      <c r="C11" s="1" t="s">
        <v>108</v>
      </c>
      <c r="D11" s="4">
        <v>1</v>
      </c>
      <c r="E11" s="113">
        <v>0.29166666666666669</v>
      </c>
      <c r="F11" s="113">
        <v>0.374999999999999</v>
      </c>
      <c r="G11" s="4" t="s">
        <v>87</v>
      </c>
      <c r="H11" s="4" t="s">
        <v>109</v>
      </c>
      <c r="I11" s="4"/>
      <c r="J11" s="4">
        <v>11</v>
      </c>
      <c r="K11" s="115"/>
      <c r="L11" s="3"/>
      <c r="M11" s="115"/>
      <c r="N11" s="3"/>
      <c r="O11" s="2" t="s">
        <v>110</v>
      </c>
      <c r="P11" s="114"/>
      <c r="Q11" s="114" t="s">
        <v>90</v>
      </c>
      <c r="R11" s="114"/>
      <c r="S11" s="114" t="s">
        <v>90</v>
      </c>
      <c r="T11" s="114"/>
      <c r="U11" s="114"/>
      <c r="V11" s="114"/>
      <c r="W11" s="114"/>
      <c r="X11" s="116">
        <f>_xlfn.XLOOKUP(base_de_datos[[#This Row],[Materia]],Materias,Horas)/16</f>
        <v>4</v>
      </c>
      <c r="Y11" s="116">
        <f>ROUND(((base_de_datos[[#This Row],[Hora fin]]-base_de_datos[[#This Row],[Hora inicio]])*24)*(COUNTA(base_de_datos[[#This Row],[Lunes]:[Sábado]])),1)</f>
        <v>4</v>
      </c>
      <c r="Z11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1" s="117">
        <f ca="1">IF(base_de_datos[[#This Row],[No clase]]=OFFSET(base_de_datos[[#This Row],[No clase]],-1,0),0,1)</f>
        <v>1</v>
      </c>
      <c r="AB11" s="117">
        <f ca="1">IF(NOT(OR(base_de_datos[[#This Row],[Horas totales]]=base_de_datos[[#This Row],[HT Plan]],base_de_datos[[#This Row],[Horas totales]]="N/A")),1,0)</f>
        <v>0</v>
      </c>
      <c r="AC11" s="116" t="str">
        <f>_xlfn.XLOOKUP(base_de_datos[[#This Row],[Profesor]],Nombre,Grado)</f>
        <v>L</v>
      </c>
      <c r="AD11" s="118" t="str">
        <f>_xlfn.XLOOKUP(base_de_datos[[#This Row],[Profesor]],Nombre,Tipo)</f>
        <v>OA</v>
      </c>
      <c r="AE11" s="116">
        <f>IF(IFERROR(VLOOKUP($C11,Planes_de_estudio[],MATCH($AE$2,Carreras,0)+2,0),"")&gt;0,IFERROR(VLOOKUP($C11,Planes_de_estudio[],MATCH($AE$2,Carreras,0)+2,0),""),"")</f>
        <v>1</v>
      </c>
      <c r="AF11" s="116">
        <f>IF(IFERROR(VLOOKUP($C11,Planes_de_estudio[],MATCH($AF$2,Carreras,0)+2,0),"")&gt;0,IFERROR(VLOOKUP($C11,Planes_de_estudio[],MATCH($AF$2,Carreras,0)+2,0),""),"")</f>
        <v>1</v>
      </c>
      <c r="AG11" s="116">
        <f>IF(IFERROR(VLOOKUP($C11,Planes_de_estudio[],MATCH($AG$2,Carreras,0)+2,0),"")&gt;0,IFERROR(VLOOKUP($C11,Planes_de_estudio[],MATCH($AG$2,Carreras,0)+2,0),""),"")</f>
        <v>1</v>
      </c>
      <c r="AH11" s="116">
        <f>IF(IFERROR(VLOOKUP($C11,Planes_de_estudio[],MATCH($AH$2,Carreras,0)+2,0),"")&gt;0,IFERROR(VLOOKUP($C11,Planes_de_estudio[],MATCH($AH$2,Carreras,0)+2,0),""),"")</f>
        <v>1</v>
      </c>
      <c r="AI11" s="116">
        <f>IF(IFERROR(VLOOKUP($C11,Planes_de_estudio[],MATCH($AI$2,Carreras,0)+2,0),"")&gt;0,IFERROR(VLOOKUP($C11,Planes_de_estudio[],MATCH($AI$2,Carreras,0)+2,0),""),"")</f>
        <v>1</v>
      </c>
      <c r="AJ11" s="116">
        <f>IF(IFERROR(VLOOKUP($C11,Planes_de_estudio[],MATCH($AJ$2,Carreras,0)+2,0),"")&gt;0,IFERROR(VLOOKUP($C11,Planes_de_estudio[],MATCH($AJ$2,Carreras,0)+2,0),""),"")</f>
        <v>1</v>
      </c>
      <c r="AK11" s="116">
        <f>IF(IFERROR(VLOOKUP($C11,Planes_de_estudio[],MATCH($AK$2,Carreras,0)+2,0),"")&gt;0,IFERROR(VLOOKUP($C11,Planes_de_estudio[],MATCH($AK$2,Carreras,0)+2,0),""),"")</f>
        <v>1</v>
      </c>
      <c r="AL11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1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18</v>
      </c>
      <c r="AN11" s="117">
        <f>base_de_datos[[#This Row],[Pronóstico]]/25</f>
        <v>0.72</v>
      </c>
      <c r="AO11" s="117" t="str">
        <f>VLOOKUP($C11,Planes_de_estudio[],2)</f>
        <v>MAT</v>
      </c>
      <c r="AP11" s="119">
        <f ca="1">IF(AND(base_de_datos[[#This Row],[Industrial]]&lt;&gt;"",base_de_datos[[#This Row],[Misma o no]]=1),base_de_datos[[#This Row],[Índice]],"")</f>
        <v>1</v>
      </c>
      <c r="AQ11" s="119">
        <f ca="1">IF(AND(base_de_datos[[#This Row],[Mecatrónica]]&lt;&gt;"",base_de_datos[[#This Row],[Misma o no]]=1),base_de_datos[[#This Row],[Índice]],"")</f>
        <v>1</v>
      </c>
      <c r="AR11" s="119">
        <f ca="1">IF(AND(base_de_datos[[#This Row],[Innovación y Diseño]]&lt;&gt;"",base_de_datos[[#This Row],[Misma o no]]=1),base_de_datos[[#This Row],[Índice]],"")</f>
        <v>1</v>
      </c>
      <c r="AS11" s="119">
        <f ca="1">IF(AND(base_de_datos[[#This Row],[Inteligencia Artificial]]&lt;&gt;"",base_de_datos[[#This Row],[Misma o no]]=1),base_de_datos[[#This Row],[Índice]],"")</f>
        <v>1</v>
      </c>
      <c r="AT11" s="119">
        <f ca="1">IF(AND(base_de_datos[[#This Row],[Tecnologías Energéticas]]&lt;&gt;"",base_de_datos[[#This Row],[Misma o no]]=1),base_de_datos[[#This Row],[Índice]],"")</f>
        <v>1</v>
      </c>
      <c r="AU11" s="119">
        <f ca="1">IF(AND(base_de_datos[[#This Row],[Civil y Administración]]&lt;&gt;"",base_de_datos[[#This Row],[Misma o no]]=1),base_de_datos[[#This Row],[Índice]],"")</f>
        <v>1</v>
      </c>
      <c r="AV11" s="119">
        <f ca="1">IF(AND(base_de_datos[[#This Row],[Bioelectrónica]]&lt;&gt;"",base_de_datos[[#This Row],[Misma o no]]=1),base_de_datos[[#This Row],[Índice]],"")</f>
        <v>1</v>
      </c>
      <c r="AW11" s="120"/>
      <c r="AX11" s="4" t="s">
        <v>1808</v>
      </c>
    </row>
    <row r="12" spans="2:51" s="6" customFormat="1" ht="9.75" customHeight="1" x14ac:dyDescent="0.3">
      <c r="B12" s="9" t="s">
        <v>111</v>
      </c>
      <c r="C12" s="1" t="s">
        <v>112</v>
      </c>
      <c r="D12" s="4">
        <v>2</v>
      </c>
      <c r="E12" s="113">
        <v>0.29166666666666669</v>
      </c>
      <c r="F12" s="113">
        <v>0.374999999999999</v>
      </c>
      <c r="G12" s="4" t="s">
        <v>87</v>
      </c>
      <c r="H12" s="4" t="s">
        <v>113</v>
      </c>
      <c r="I12" s="4"/>
      <c r="J12" s="200">
        <v>25</v>
      </c>
      <c r="K12" s="115"/>
      <c r="L12" s="3"/>
      <c r="M12" s="115"/>
      <c r="N12" s="3"/>
      <c r="O12" s="2" t="s">
        <v>114</v>
      </c>
      <c r="P12" s="114"/>
      <c r="Q12" s="114" t="s">
        <v>90</v>
      </c>
      <c r="R12" s="114"/>
      <c r="S12" s="114" t="s">
        <v>90</v>
      </c>
      <c r="T12" s="114"/>
      <c r="U12" s="114"/>
      <c r="V12" s="114"/>
      <c r="W12" s="114"/>
      <c r="X12" s="116">
        <f>_xlfn.XLOOKUP(base_de_datos[[#This Row],[Materia]],Materias,Horas)/16</f>
        <v>4</v>
      </c>
      <c r="Y12" s="116">
        <f>ROUND(((base_de_datos[[#This Row],[Hora fin]]-base_de_datos[[#This Row],[Hora inicio]])*24)*(COUNTA(base_de_datos[[#This Row],[Lunes]:[Sábado]])),1)</f>
        <v>4</v>
      </c>
      <c r="Z12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2" s="117">
        <f ca="1">IF(base_de_datos[[#This Row],[No clase]]=OFFSET(base_de_datos[[#This Row],[No clase]],-1,0),0,1)</f>
        <v>1</v>
      </c>
      <c r="AB12" s="117">
        <f ca="1">IF(NOT(OR(base_de_datos[[#This Row],[Horas totales]]=base_de_datos[[#This Row],[HT Plan]],base_de_datos[[#This Row],[Horas totales]]="N/A")),1,0)</f>
        <v>0</v>
      </c>
      <c r="AC12" s="116" t="str">
        <f>_xlfn.XLOOKUP(base_de_datos[[#This Row],[Profesor]],Nombre,Grado)</f>
        <v>M</v>
      </c>
      <c r="AD12" s="118" t="str">
        <f>_xlfn.XLOOKUP(base_de_datos[[#This Row],[Profesor]],Nombre,Tipo)</f>
        <v>A</v>
      </c>
      <c r="AE12" s="116">
        <f>IF(IFERROR(VLOOKUP($C12,Planes_de_estudio[],MATCH($AE$2,Carreras,0)+2,0),"")&gt;0,IFERROR(VLOOKUP($C12,Planes_de_estudio[],MATCH($AE$2,Carreras,0)+2,0),""),"")</f>
        <v>2</v>
      </c>
      <c r="AF12" s="116">
        <f>IF(IFERROR(VLOOKUP($C12,Planes_de_estudio[],MATCH($AF$2,Carreras,0)+2,0),"")&gt;0,IFERROR(VLOOKUP($C12,Planes_de_estudio[],MATCH($AF$2,Carreras,0)+2,0),""),"")</f>
        <v>2</v>
      </c>
      <c r="AG12" s="116" t="str">
        <f>IF(IFERROR(VLOOKUP($C12,Planes_de_estudio[],MATCH($AG$2,Carreras,0)+2,0),"")&gt;0,IFERROR(VLOOKUP($C12,Planes_de_estudio[],MATCH($AG$2,Carreras,0)+2,0),""),"")</f>
        <v/>
      </c>
      <c r="AH12" s="116">
        <f>IF(IFERROR(VLOOKUP($C12,Planes_de_estudio[],MATCH($AH$2,Carreras,0)+2,0),"")&gt;0,IFERROR(VLOOKUP($C12,Planes_de_estudio[],MATCH($AH$2,Carreras,0)+2,0),""),"")</f>
        <v>2</v>
      </c>
      <c r="AI12" s="116">
        <f>IF(IFERROR(VLOOKUP($C12,Planes_de_estudio[],MATCH($AI$2,Carreras,0)+2,0),"")&gt;0,IFERROR(VLOOKUP($C12,Planes_de_estudio[],MATCH($AI$2,Carreras,0)+2,0),""),"")</f>
        <v>2</v>
      </c>
      <c r="AJ12" s="116">
        <f>IF(IFERROR(VLOOKUP($C12,Planes_de_estudio[],MATCH($AJ$2,Carreras,0)+2,0),"")&gt;0,IFERROR(VLOOKUP($C12,Planes_de_estudio[],MATCH($AJ$2,Carreras,0)+2,0),""),"")</f>
        <v>2</v>
      </c>
      <c r="AK12" s="116">
        <f>IF(IFERROR(VLOOKUP($C12,Planes_de_estudio[],MATCH($AK$2,Carreras,0)+2,0),"")&gt;0,IFERROR(VLOOKUP($C12,Planes_de_estudio[],MATCH($AK$2,Carreras,0)+2,0),""),"")</f>
        <v>2</v>
      </c>
      <c r="AL12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2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98</v>
      </c>
      <c r="AN12" s="117">
        <f>base_de_datos[[#This Row],[Pronóstico]]/25</f>
        <v>3.92</v>
      </c>
      <c r="AO12" s="117" t="str">
        <f>VLOOKUP($C12,Planes_de_estudio[],2)</f>
        <v>MAT</v>
      </c>
      <c r="AP12" s="119">
        <f ca="1">IF(AND(base_de_datos[[#This Row],[Industrial]]&lt;&gt;"",base_de_datos[[#This Row],[Misma o no]]=1),base_de_datos[[#This Row],[Índice]],"")</f>
        <v>4</v>
      </c>
      <c r="AQ12" s="119">
        <f ca="1">IF(AND(base_de_datos[[#This Row],[Mecatrónica]]&lt;&gt;"",base_de_datos[[#This Row],[Misma o no]]=1),base_de_datos[[#This Row],[Índice]],"")</f>
        <v>4</v>
      </c>
      <c r="AR12" s="119" t="str">
        <f ca="1">IF(AND(base_de_datos[[#This Row],[Innovación y Diseño]]&lt;&gt;"",base_de_datos[[#This Row],[Misma o no]]=1),base_de_datos[[#This Row],[Índice]],"")</f>
        <v/>
      </c>
      <c r="AS12" s="119">
        <f ca="1">IF(AND(base_de_datos[[#This Row],[Inteligencia Artificial]]&lt;&gt;"",base_de_datos[[#This Row],[Misma o no]]=1),base_de_datos[[#This Row],[Índice]],"")</f>
        <v>4</v>
      </c>
      <c r="AT12" s="119">
        <f ca="1">IF(AND(base_de_datos[[#This Row],[Tecnologías Energéticas]]&lt;&gt;"",base_de_datos[[#This Row],[Misma o no]]=1),base_de_datos[[#This Row],[Índice]],"")</f>
        <v>4</v>
      </c>
      <c r="AU12" s="119">
        <f ca="1">IF(AND(base_de_datos[[#This Row],[Civil y Administración]]&lt;&gt;"",base_de_datos[[#This Row],[Misma o no]]=1),base_de_datos[[#This Row],[Índice]],"")</f>
        <v>4</v>
      </c>
      <c r="AV12" s="119">
        <f ca="1">IF(AND(base_de_datos[[#This Row],[Bioelectrónica]]&lt;&gt;"",base_de_datos[[#This Row],[Misma o no]]=1),base_de_datos[[#This Row],[Índice]],"")</f>
        <v>4</v>
      </c>
      <c r="AW12" s="120"/>
      <c r="AX12" s="4" t="s">
        <v>1809</v>
      </c>
    </row>
    <row r="13" spans="2:51" s="6" customFormat="1" ht="13" x14ac:dyDescent="0.3">
      <c r="B13" s="9" t="s">
        <v>115</v>
      </c>
      <c r="C13" s="1" t="s">
        <v>112</v>
      </c>
      <c r="D13" s="4">
        <v>1</v>
      </c>
      <c r="E13" s="113">
        <v>0.29166666666666669</v>
      </c>
      <c r="F13" s="113">
        <v>0.374999999999999</v>
      </c>
      <c r="G13" s="4" t="s">
        <v>87</v>
      </c>
      <c r="H13" s="4" t="s">
        <v>116</v>
      </c>
      <c r="I13" s="4"/>
      <c r="J13" s="4">
        <v>23</v>
      </c>
      <c r="K13" s="115"/>
      <c r="L13" s="3"/>
      <c r="M13" s="115"/>
      <c r="N13" s="3"/>
      <c r="O13" s="2" t="s">
        <v>117</v>
      </c>
      <c r="P13" s="114"/>
      <c r="Q13" s="114" t="s">
        <v>90</v>
      </c>
      <c r="R13" s="114"/>
      <c r="S13" s="114" t="s">
        <v>90</v>
      </c>
      <c r="T13" s="114"/>
      <c r="U13" s="114"/>
      <c r="V13" s="114"/>
      <c r="W13" s="114"/>
      <c r="X13" s="116">
        <f>_xlfn.XLOOKUP(base_de_datos[[#This Row],[Materia]],Materias,Horas)/16</f>
        <v>4</v>
      </c>
      <c r="Y13" s="116">
        <f>ROUND(((base_de_datos[[#This Row],[Hora fin]]-base_de_datos[[#This Row],[Hora inicio]])*24)*(COUNTA(base_de_datos[[#This Row],[Lunes]:[Sábado]])),1)</f>
        <v>4</v>
      </c>
      <c r="Z13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3" s="117">
        <f ca="1">IF(base_de_datos[[#This Row],[No clase]]=OFFSET(base_de_datos[[#This Row],[No clase]],-1,0),0,1)</f>
        <v>1</v>
      </c>
      <c r="AB13" s="117">
        <f ca="1">IF(NOT(OR(base_de_datos[[#This Row],[Horas totales]]=base_de_datos[[#This Row],[HT Plan]],base_de_datos[[#This Row],[Horas totales]]="N/A")),1,0)</f>
        <v>0</v>
      </c>
      <c r="AC13" s="116" t="str">
        <f>_xlfn.XLOOKUP(base_de_datos[[#This Row],[Profesor]],Nombre,Grado)</f>
        <v>SNI</v>
      </c>
      <c r="AD13" s="118" t="str">
        <f>_xlfn.XLOOKUP(base_de_datos[[#This Row],[Profesor]],Nombre,Tipo)</f>
        <v>A</v>
      </c>
      <c r="AE13" s="116">
        <f>IF(IFERROR(VLOOKUP($C13,Planes_de_estudio[],MATCH($AE$2,Carreras,0)+2,0),"")&gt;0,IFERROR(VLOOKUP($C13,Planes_de_estudio[],MATCH($AE$2,Carreras,0)+2,0),""),"")</f>
        <v>2</v>
      </c>
      <c r="AF13" s="116">
        <f>IF(IFERROR(VLOOKUP($C13,Planes_de_estudio[],MATCH($AF$2,Carreras,0)+2,0),"")&gt;0,IFERROR(VLOOKUP($C13,Planes_de_estudio[],MATCH($AF$2,Carreras,0)+2,0),""),"")</f>
        <v>2</v>
      </c>
      <c r="AG13" s="116" t="str">
        <f>IF(IFERROR(VLOOKUP($C13,Planes_de_estudio[],MATCH($AG$2,Carreras,0)+2,0),"")&gt;0,IFERROR(VLOOKUP($C13,Planes_de_estudio[],MATCH($AG$2,Carreras,0)+2,0),""),"")</f>
        <v/>
      </c>
      <c r="AH13" s="116">
        <f>IF(IFERROR(VLOOKUP($C13,Planes_de_estudio[],MATCH($AH$2,Carreras,0)+2,0),"")&gt;0,IFERROR(VLOOKUP($C13,Planes_de_estudio[],MATCH($AH$2,Carreras,0)+2,0),""),"")</f>
        <v>2</v>
      </c>
      <c r="AI13" s="116">
        <f>IF(IFERROR(VLOOKUP($C13,Planes_de_estudio[],MATCH($AI$2,Carreras,0)+2,0),"")&gt;0,IFERROR(VLOOKUP($C13,Planes_de_estudio[],MATCH($AI$2,Carreras,0)+2,0),""),"")</f>
        <v>2</v>
      </c>
      <c r="AJ13" s="116">
        <f>IF(IFERROR(VLOOKUP($C13,Planes_de_estudio[],MATCH($AJ$2,Carreras,0)+2,0),"")&gt;0,IFERROR(VLOOKUP($C13,Planes_de_estudio[],MATCH($AJ$2,Carreras,0)+2,0),""),"")</f>
        <v>2</v>
      </c>
      <c r="AK13" s="116">
        <f>IF(IFERROR(VLOOKUP($C13,Planes_de_estudio[],MATCH($AK$2,Carreras,0)+2,0),"")&gt;0,IFERROR(VLOOKUP($C13,Planes_de_estudio[],MATCH($AK$2,Carreras,0)+2,0),""),"")</f>
        <v>2</v>
      </c>
      <c r="AL13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3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98</v>
      </c>
      <c r="AN13" s="117">
        <f>base_de_datos[[#This Row],[Pronóstico]]/25</f>
        <v>3.92</v>
      </c>
      <c r="AO13" s="117" t="str">
        <f>VLOOKUP($C13,Planes_de_estudio[],2)</f>
        <v>MAT</v>
      </c>
      <c r="AP13" s="119">
        <f ca="1">IF(AND(base_de_datos[[#This Row],[Industrial]]&lt;&gt;"",base_de_datos[[#This Row],[Misma o no]]=1),base_de_datos[[#This Row],[Índice]],"")</f>
        <v>6</v>
      </c>
      <c r="AQ13" s="119">
        <f ca="1">IF(AND(base_de_datos[[#This Row],[Mecatrónica]]&lt;&gt;"",base_de_datos[[#This Row],[Misma o no]]=1),base_de_datos[[#This Row],[Índice]],"")</f>
        <v>6</v>
      </c>
      <c r="AR13" s="119" t="str">
        <f ca="1">IF(AND(base_de_datos[[#This Row],[Innovación y Diseño]]&lt;&gt;"",base_de_datos[[#This Row],[Misma o no]]=1),base_de_datos[[#This Row],[Índice]],"")</f>
        <v/>
      </c>
      <c r="AS13" s="119">
        <f ca="1">IF(AND(base_de_datos[[#This Row],[Inteligencia Artificial]]&lt;&gt;"",base_de_datos[[#This Row],[Misma o no]]=1),base_de_datos[[#This Row],[Índice]],"")</f>
        <v>6</v>
      </c>
      <c r="AT13" s="119">
        <f ca="1">IF(AND(base_de_datos[[#This Row],[Tecnologías Energéticas]]&lt;&gt;"",base_de_datos[[#This Row],[Misma o no]]=1),base_de_datos[[#This Row],[Índice]],"")</f>
        <v>6</v>
      </c>
      <c r="AU13" s="119">
        <f ca="1">IF(AND(base_de_datos[[#This Row],[Civil y Administración]]&lt;&gt;"",base_de_datos[[#This Row],[Misma o no]]=1),base_de_datos[[#This Row],[Índice]],"")</f>
        <v>6</v>
      </c>
      <c r="AV13" s="119">
        <f ca="1">IF(AND(base_de_datos[[#This Row],[Bioelectrónica]]&lt;&gt;"",base_de_datos[[#This Row],[Misma o no]]=1),base_de_datos[[#This Row],[Índice]],"")</f>
        <v>6</v>
      </c>
      <c r="AW13" s="120"/>
      <c r="AX13" s="4" t="s">
        <v>1809</v>
      </c>
    </row>
    <row r="14" spans="2:51" s="6" customFormat="1" ht="13" x14ac:dyDescent="0.3">
      <c r="B14" s="9" t="s">
        <v>118</v>
      </c>
      <c r="C14" s="1" t="s">
        <v>112</v>
      </c>
      <c r="D14" s="4">
        <v>4</v>
      </c>
      <c r="E14" s="113">
        <v>0.29166666666666669</v>
      </c>
      <c r="F14" s="113">
        <v>0.374999999999999</v>
      </c>
      <c r="G14" s="4" t="s">
        <v>87</v>
      </c>
      <c r="H14" s="4" t="s">
        <v>119</v>
      </c>
      <c r="I14" s="4"/>
      <c r="J14" s="200">
        <v>24</v>
      </c>
      <c r="K14" s="115"/>
      <c r="L14" s="3"/>
      <c r="M14" s="115"/>
      <c r="N14" s="3"/>
      <c r="O14" s="2" t="s">
        <v>120</v>
      </c>
      <c r="P14" s="114"/>
      <c r="Q14" s="114" t="s">
        <v>90</v>
      </c>
      <c r="R14" s="114"/>
      <c r="S14" s="114"/>
      <c r="T14" s="114"/>
      <c r="U14" s="114"/>
      <c r="V14" s="114"/>
      <c r="W14" s="114"/>
      <c r="X14" s="116">
        <f>_xlfn.XLOOKUP(base_de_datos[[#This Row],[Materia]],Materias,Horas)/16</f>
        <v>4</v>
      </c>
      <c r="Y14" s="116">
        <f>ROUND(((base_de_datos[[#This Row],[Hora fin]]-base_de_datos[[#This Row],[Hora inicio]])*24)*(COUNTA(base_de_datos[[#This Row],[Lunes]:[Sábado]])),1)</f>
        <v>2</v>
      </c>
      <c r="Z14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4" s="117">
        <f ca="1">IF(base_de_datos[[#This Row],[No clase]]=OFFSET(base_de_datos[[#This Row],[No clase]],-1,0),0,1)</f>
        <v>1</v>
      </c>
      <c r="AB14" s="117">
        <f ca="1">IF(NOT(OR(base_de_datos[[#This Row],[Horas totales]]=base_de_datos[[#This Row],[HT Plan]],base_de_datos[[#This Row],[Horas totales]]="N/A")),1,0)</f>
        <v>0</v>
      </c>
      <c r="AC14" s="116" t="str">
        <f>_xlfn.XLOOKUP(base_de_datos[[#This Row],[Profesor]],Nombre,Grado)</f>
        <v>D</v>
      </c>
      <c r="AD14" s="118" t="str">
        <f>_xlfn.XLOOKUP(base_de_datos[[#This Row],[Profesor]],Nombre,Tipo)</f>
        <v>A</v>
      </c>
      <c r="AE14" s="116">
        <f>IF(IFERROR(VLOOKUP($C14,Planes_de_estudio[],MATCH($AE$2,Carreras,0)+2,0),"")&gt;0,IFERROR(VLOOKUP($C14,Planes_de_estudio[],MATCH($AE$2,Carreras,0)+2,0),""),"")</f>
        <v>2</v>
      </c>
      <c r="AF14" s="116">
        <f>IF(IFERROR(VLOOKUP($C14,Planes_de_estudio[],MATCH($AF$2,Carreras,0)+2,0),"")&gt;0,IFERROR(VLOOKUP($C14,Planes_de_estudio[],MATCH($AF$2,Carreras,0)+2,0),""),"")</f>
        <v>2</v>
      </c>
      <c r="AG14" s="116" t="str">
        <f>IF(IFERROR(VLOOKUP($C14,Planes_de_estudio[],MATCH($AG$2,Carreras,0)+2,0),"")&gt;0,IFERROR(VLOOKUP($C14,Planes_de_estudio[],MATCH($AG$2,Carreras,0)+2,0),""),"")</f>
        <v/>
      </c>
      <c r="AH14" s="116">
        <f>IF(IFERROR(VLOOKUP($C14,Planes_de_estudio[],MATCH($AH$2,Carreras,0)+2,0),"")&gt;0,IFERROR(VLOOKUP($C14,Planes_de_estudio[],MATCH($AH$2,Carreras,0)+2,0),""),"")</f>
        <v>2</v>
      </c>
      <c r="AI14" s="116">
        <f>IF(IFERROR(VLOOKUP($C14,Planes_de_estudio[],MATCH($AI$2,Carreras,0)+2,0),"")&gt;0,IFERROR(VLOOKUP($C14,Planes_de_estudio[],MATCH($AI$2,Carreras,0)+2,0),""),"")</f>
        <v>2</v>
      </c>
      <c r="AJ14" s="116">
        <f>IF(IFERROR(VLOOKUP($C14,Planes_de_estudio[],MATCH($AJ$2,Carreras,0)+2,0),"")&gt;0,IFERROR(VLOOKUP($C14,Planes_de_estudio[],MATCH($AJ$2,Carreras,0)+2,0),""),"")</f>
        <v>2</v>
      </c>
      <c r="AK14" s="116">
        <f>IF(IFERROR(VLOOKUP($C14,Planes_de_estudio[],MATCH($AK$2,Carreras,0)+2,0),"")&gt;0,IFERROR(VLOOKUP($C14,Planes_de_estudio[],MATCH($AK$2,Carreras,0)+2,0),""),"")</f>
        <v>2</v>
      </c>
      <c r="AL14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4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98</v>
      </c>
      <c r="AN14" s="117">
        <f>base_de_datos[[#This Row],[Pronóstico]]/25</f>
        <v>3.92</v>
      </c>
      <c r="AO14" s="117" t="str">
        <f>VLOOKUP($C14,Planes_de_estudio[],2)</f>
        <v>MAT</v>
      </c>
      <c r="AP14" s="119">
        <f ca="1">IF(AND(base_de_datos[[#This Row],[Industrial]]&lt;&gt;"",base_de_datos[[#This Row],[Misma o no]]=1),base_de_datos[[#This Row],[Índice]],"")</f>
        <v>6</v>
      </c>
      <c r="AQ14" s="119">
        <f ca="1">IF(AND(base_de_datos[[#This Row],[Mecatrónica]]&lt;&gt;"",base_de_datos[[#This Row],[Misma o no]]=1),base_de_datos[[#This Row],[Índice]],"")</f>
        <v>6</v>
      </c>
      <c r="AR14" s="119" t="str">
        <f ca="1">IF(AND(base_de_datos[[#This Row],[Innovación y Diseño]]&lt;&gt;"",base_de_datos[[#This Row],[Misma o no]]=1),base_de_datos[[#This Row],[Índice]],"")</f>
        <v/>
      </c>
      <c r="AS14" s="119">
        <f ca="1">IF(AND(base_de_datos[[#This Row],[Inteligencia Artificial]]&lt;&gt;"",base_de_datos[[#This Row],[Misma o no]]=1),base_de_datos[[#This Row],[Índice]],"")</f>
        <v>6</v>
      </c>
      <c r="AT14" s="119">
        <f ca="1">IF(AND(base_de_datos[[#This Row],[Tecnologías Energéticas]]&lt;&gt;"",base_de_datos[[#This Row],[Misma o no]]=1),base_de_datos[[#This Row],[Índice]],"")</f>
        <v>6</v>
      </c>
      <c r="AU14" s="119">
        <f ca="1">IF(AND(base_de_datos[[#This Row],[Civil y Administración]]&lt;&gt;"",base_de_datos[[#This Row],[Misma o no]]=1),base_de_datos[[#This Row],[Índice]],"")</f>
        <v>6</v>
      </c>
      <c r="AV14" s="119">
        <f ca="1">IF(AND(base_de_datos[[#This Row],[Bioelectrónica]]&lt;&gt;"",base_de_datos[[#This Row],[Misma o no]]=1),base_de_datos[[#This Row],[Índice]],"")</f>
        <v>6</v>
      </c>
      <c r="AW14" s="120"/>
      <c r="AX14" s="4" t="s">
        <v>1809</v>
      </c>
    </row>
    <row r="15" spans="2:51" s="6" customFormat="1" ht="13" x14ac:dyDescent="0.3">
      <c r="B15" s="9" t="s">
        <v>118</v>
      </c>
      <c r="C15" s="1" t="s">
        <v>112</v>
      </c>
      <c r="D15" s="4">
        <v>4</v>
      </c>
      <c r="E15" s="113">
        <v>0.29166666666666669</v>
      </c>
      <c r="F15" s="113">
        <v>0.374999999999999</v>
      </c>
      <c r="G15" s="4" t="s">
        <v>87</v>
      </c>
      <c r="H15" s="4" t="s">
        <v>93</v>
      </c>
      <c r="I15" s="4"/>
      <c r="J15" s="200">
        <v>24</v>
      </c>
      <c r="K15" s="115"/>
      <c r="L15" s="3"/>
      <c r="M15" s="115"/>
      <c r="N15" s="3"/>
      <c r="O15" s="2" t="s">
        <v>120</v>
      </c>
      <c r="P15" s="114"/>
      <c r="Q15" s="114"/>
      <c r="R15" s="114"/>
      <c r="S15" s="114" t="s">
        <v>90</v>
      </c>
      <c r="T15" s="114"/>
      <c r="U15" s="114"/>
      <c r="V15" s="114"/>
      <c r="W15" s="114"/>
      <c r="X15" s="116">
        <f>_xlfn.XLOOKUP(base_de_datos[[#This Row],[Materia]],Materias,Horas)/16</f>
        <v>4</v>
      </c>
      <c r="Y15" s="116">
        <f>ROUND(((base_de_datos[[#This Row],[Hora fin]]-base_de_datos[[#This Row],[Hora inicio]])*24)*(COUNTA(base_de_datos[[#This Row],[Lunes]:[Sábado]])),1)</f>
        <v>2</v>
      </c>
      <c r="Z15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5" s="117">
        <f ca="1">IF(base_de_datos[[#This Row],[No clase]]=OFFSET(base_de_datos[[#This Row],[No clase]],-1,0),0,1)</f>
        <v>0</v>
      </c>
      <c r="AB15" s="117">
        <f ca="1">IF(NOT(OR(base_de_datos[[#This Row],[Horas totales]]=base_de_datos[[#This Row],[HT Plan]],base_de_datos[[#This Row],[Horas totales]]="N/A")),1,0)</f>
        <v>0</v>
      </c>
      <c r="AC15" s="116" t="str">
        <f>_xlfn.XLOOKUP(base_de_datos[[#This Row],[Profesor]],Nombre,Grado)</f>
        <v>D</v>
      </c>
      <c r="AD15" s="118" t="str">
        <f>_xlfn.XLOOKUP(base_de_datos[[#This Row],[Profesor]],Nombre,Tipo)</f>
        <v>A</v>
      </c>
      <c r="AE15" s="116">
        <f>IF(IFERROR(VLOOKUP($C15,Planes_de_estudio[],MATCH($AE$2,Carreras,0)+2,0),"")&gt;0,IFERROR(VLOOKUP($C15,Planes_de_estudio[],MATCH($AE$2,Carreras,0)+2,0),""),"")</f>
        <v>2</v>
      </c>
      <c r="AF15" s="116">
        <f>IF(IFERROR(VLOOKUP($C15,Planes_de_estudio[],MATCH($AF$2,Carreras,0)+2,0),"")&gt;0,IFERROR(VLOOKUP($C15,Planes_de_estudio[],MATCH($AF$2,Carreras,0)+2,0),""),"")</f>
        <v>2</v>
      </c>
      <c r="AG15" s="116" t="str">
        <f>IF(IFERROR(VLOOKUP($C15,Planes_de_estudio[],MATCH($AG$2,Carreras,0)+2,0),"")&gt;0,IFERROR(VLOOKUP($C15,Planes_de_estudio[],MATCH($AG$2,Carreras,0)+2,0),""),"")</f>
        <v/>
      </c>
      <c r="AH15" s="116">
        <f>IF(IFERROR(VLOOKUP($C15,Planes_de_estudio[],MATCH($AH$2,Carreras,0)+2,0),"")&gt;0,IFERROR(VLOOKUP($C15,Planes_de_estudio[],MATCH($AH$2,Carreras,0)+2,0),""),"")</f>
        <v>2</v>
      </c>
      <c r="AI15" s="116">
        <f>IF(IFERROR(VLOOKUP($C15,Planes_de_estudio[],MATCH($AI$2,Carreras,0)+2,0),"")&gt;0,IFERROR(VLOOKUP($C15,Planes_de_estudio[],MATCH($AI$2,Carreras,0)+2,0),""),"")</f>
        <v>2</v>
      </c>
      <c r="AJ15" s="116">
        <f>IF(IFERROR(VLOOKUP($C15,Planes_de_estudio[],MATCH($AJ$2,Carreras,0)+2,0),"")&gt;0,IFERROR(VLOOKUP($C15,Planes_de_estudio[],MATCH($AJ$2,Carreras,0)+2,0),""),"")</f>
        <v>2</v>
      </c>
      <c r="AK15" s="116">
        <f>IF(IFERROR(VLOOKUP($C15,Planes_de_estudio[],MATCH($AK$2,Carreras,0)+2,0),"")&gt;0,IFERROR(VLOOKUP($C15,Planes_de_estudio[],MATCH($AK$2,Carreras,0)+2,0),""),"")</f>
        <v>2</v>
      </c>
      <c r="AL15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5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98</v>
      </c>
      <c r="AN15" s="117">
        <f>base_de_datos[[#This Row],[Pronóstico]]/25</f>
        <v>3.92</v>
      </c>
      <c r="AO15" s="117" t="str">
        <f>VLOOKUP($C15,Planes_de_estudio[],2)</f>
        <v>MAT</v>
      </c>
      <c r="AP15" s="119" t="str">
        <f ca="1">IF(AND(base_de_datos[[#This Row],[Industrial]]&lt;&gt;"",base_de_datos[[#This Row],[Misma o no]]=1),base_de_datos[[#This Row],[Índice]],"")</f>
        <v/>
      </c>
      <c r="AQ15" s="119" t="str">
        <f ca="1">IF(AND(base_de_datos[[#This Row],[Mecatrónica]]&lt;&gt;"",base_de_datos[[#This Row],[Misma o no]]=1),base_de_datos[[#This Row],[Índice]],"")</f>
        <v/>
      </c>
      <c r="AR15" s="119" t="str">
        <f ca="1">IF(AND(base_de_datos[[#This Row],[Innovación y Diseño]]&lt;&gt;"",base_de_datos[[#This Row],[Misma o no]]=1),base_de_datos[[#This Row],[Índice]],"")</f>
        <v/>
      </c>
      <c r="AS15" s="119" t="str">
        <f ca="1">IF(AND(base_de_datos[[#This Row],[Inteligencia Artificial]]&lt;&gt;"",base_de_datos[[#This Row],[Misma o no]]=1),base_de_datos[[#This Row],[Índice]],"")</f>
        <v/>
      </c>
      <c r="AT15" s="119" t="str">
        <f ca="1">IF(AND(base_de_datos[[#This Row],[Tecnologías Energéticas]]&lt;&gt;"",base_de_datos[[#This Row],[Misma o no]]=1),base_de_datos[[#This Row],[Índice]],"")</f>
        <v/>
      </c>
      <c r="AU15" s="119" t="str">
        <f ca="1">IF(AND(base_de_datos[[#This Row],[Civil y Administración]]&lt;&gt;"",base_de_datos[[#This Row],[Misma o no]]=1),base_de_datos[[#This Row],[Índice]],"")</f>
        <v/>
      </c>
      <c r="AV15" s="119" t="str">
        <f ca="1">IF(AND(base_de_datos[[#This Row],[Bioelectrónica]]&lt;&gt;"",base_de_datos[[#This Row],[Misma o no]]=1),base_de_datos[[#This Row],[Índice]],"")</f>
        <v/>
      </c>
      <c r="AW15" s="120"/>
      <c r="AX15" s="4" t="s">
        <v>1809</v>
      </c>
    </row>
    <row r="16" spans="2:51" s="6" customFormat="1" ht="13" x14ac:dyDescent="0.3">
      <c r="B16" s="9" t="s">
        <v>121</v>
      </c>
      <c r="C16" s="1" t="s">
        <v>112</v>
      </c>
      <c r="D16" s="4">
        <v>2</v>
      </c>
      <c r="E16" s="113">
        <v>0.29166666666666669</v>
      </c>
      <c r="F16" s="113">
        <v>0.374999999999999</v>
      </c>
      <c r="G16" s="4" t="s">
        <v>87</v>
      </c>
      <c r="H16" s="4" t="s">
        <v>93</v>
      </c>
      <c r="I16" s="4"/>
      <c r="J16" s="4">
        <v>15</v>
      </c>
      <c r="K16" s="115"/>
      <c r="L16" s="3"/>
      <c r="M16" s="115"/>
      <c r="N16" s="3"/>
      <c r="O16" s="2" t="s">
        <v>122</v>
      </c>
      <c r="P16" s="114"/>
      <c r="Q16" s="114" t="s">
        <v>90</v>
      </c>
      <c r="R16" s="114"/>
      <c r="S16" s="114"/>
      <c r="T16" s="114"/>
      <c r="U16" s="114"/>
      <c r="V16" s="114"/>
      <c r="W16" s="114"/>
      <c r="X16" s="116">
        <f>_xlfn.XLOOKUP(base_de_datos[[#This Row],[Materia]],Materias,Horas)/16</f>
        <v>4</v>
      </c>
      <c r="Y16" s="116">
        <f>ROUND(((base_de_datos[[#This Row],[Hora fin]]-base_de_datos[[#This Row],[Hora inicio]])*24)*(COUNTA(base_de_datos[[#This Row],[Lunes]:[Sábado]])),1)</f>
        <v>2</v>
      </c>
      <c r="Z16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6" s="117">
        <f ca="1">IF(base_de_datos[[#This Row],[No clase]]=OFFSET(base_de_datos[[#This Row],[No clase]],-1,0),0,1)</f>
        <v>1</v>
      </c>
      <c r="AB16" s="117">
        <f ca="1">IF(NOT(OR(base_de_datos[[#This Row],[Horas totales]]=base_de_datos[[#This Row],[HT Plan]],base_de_datos[[#This Row],[Horas totales]]="N/A")),1,0)</f>
        <v>1</v>
      </c>
      <c r="AC16" s="116" t="str">
        <f>_xlfn.XLOOKUP(base_de_datos[[#This Row],[Profesor]],Nombre,Grado)</f>
        <v>L</v>
      </c>
      <c r="AD16" s="118" t="str">
        <f>_xlfn.XLOOKUP(base_de_datos[[#This Row],[Profesor]],Nombre,Tipo)</f>
        <v>A</v>
      </c>
      <c r="AE16" s="116">
        <f>IF(IFERROR(VLOOKUP($C16,Planes_de_estudio[],MATCH($AE$2,Carreras,0)+2,0),"")&gt;0,IFERROR(VLOOKUP($C16,Planes_de_estudio[],MATCH($AE$2,Carreras,0)+2,0),""),"")</f>
        <v>2</v>
      </c>
      <c r="AF16" s="116">
        <f>IF(IFERROR(VLOOKUP($C16,Planes_de_estudio[],MATCH($AF$2,Carreras,0)+2,0),"")&gt;0,IFERROR(VLOOKUP($C16,Planes_de_estudio[],MATCH($AF$2,Carreras,0)+2,0),""),"")</f>
        <v>2</v>
      </c>
      <c r="AG16" s="116" t="str">
        <f>IF(IFERROR(VLOOKUP($C16,Planes_de_estudio[],MATCH($AG$2,Carreras,0)+2,0),"")&gt;0,IFERROR(VLOOKUP($C16,Planes_de_estudio[],MATCH($AG$2,Carreras,0)+2,0),""),"")</f>
        <v/>
      </c>
      <c r="AH16" s="116">
        <f>IF(IFERROR(VLOOKUP($C16,Planes_de_estudio[],MATCH($AH$2,Carreras,0)+2,0),"")&gt;0,IFERROR(VLOOKUP($C16,Planes_de_estudio[],MATCH($AH$2,Carreras,0)+2,0),""),"")</f>
        <v>2</v>
      </c>
      <c r="AI16" s="116">
        <f>IF(IFERROR(VLOOKUP($C16,Planes_de_estudio[],MATCH($AI$2,Carreras,0)+2,0),"")&gt;0,IFERROR(VLOOKUP($C16,Planes_de_estudio[],MATCH($AI$2,Carreras,0)+2,0),""),"")</f>
        <v>2</v>
      </c>
      <c r="AJ16" s="116">
        <f>IF(IFERROR(VLOOKUP($C16,Planes_de_estudio[],MATCH($AJ$2,Carreras,0)+2,0),"")&gt;0,IFERROR(VLOOKUP($C16,Planes_de_estudio[],MATCH($AJ$2,Carreras,0)+2,0),""),"")</f>
        <v>2</v>
      </c>
      <c r="AK16" s="116">
        <f>IF(IFERROR(VLOOKUP($C16,Planes_de_estudio[],MATCH($AK$2,Carreras,0)+2,0),"")&gt;0,IFERROR(VLOOKUP($C16,Planes_de_estudio[],MATCH($AK$2,Carreras,0)+2,0),""),"")</f>
        <v>2</v>
      </c>
      <c r="AL16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6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98</v>
      </c>
      <c r="AN16" s="117">
        <f>base_de_datos[[#This Row],[Pronóstico]]/25</f>
        <v>3.92</v>
      </c>
      <c r="AO16" s="117" t="str">
        <f>VLOOKUP($C16,Planes_de_estudio[],2)</f>
        <v>MAT</v>
      </c>
      <c r="AP16" s="119">
        <f ca="1">IF(AND(base_de_datos[[#This Row],[Industrial]]&lt;&gt;"",base_de_datos[[#This Row],[Misma o no]]=1),base_de_datos[[#This Row],[Índice]],"")</f>
        <v>1</v>
      </c>
      <c r="AQ16" s="119">
        <f ca="1">IF(AND(base_de_datos[[#This Row],[Mecatrónica]]&lt;&gt;"",base_de_datos[[#This Row],[Misma o no]]=1),base_de_datos[[#This Row],[Índice]],"")</f>
        <v>1</v>
      </c>
      <c r="AR16" s="119" t="str">
        <f ca="1">IF(AND(base_de_datos[[#This Row],[Innovación y Diseño]]&lt;&gt;"",base_de_datos[[#This Row],[Misma o no]]=1),base_de_datos[[#This Row],[Índice]],"")</f>
        <v/>
      </c>
      <c r="AS16" s="119">
        <f ca="1">IF(AND(base_de_datos[[#This Row],[Inteligencia Artificial]]&lt;&gt;"",base_de_datos[[#This Row],[Misma o no]]=1),base_de_datos[[#This Row],[Índice]],"")</f>
        <v>1</v>
      </c>
      <c r="AT16" s="119">
        <f ca="1">IF(AND(base_de_datos[[#This Row],[Tecnologías Energéticas]]&lt;&gt;"",base_de_datos[[#This Row],[Misma o no]]=1),base_de_datos[[#This Row],[Índice]],"")</f>
        <v>1</v>
      </c>
      <c r="AU16" s="119">
        <f ca="1">IF(AND(base_de_datos[[#This Row],[Civil y Administración]]&lt;&gt;"",base_de_datos[[#This Row],[Misma o no]]=1),base_de_datos[[#This Row],[Índice]],"")</f>
        <v>1</v>
      </c>
      <c r="AV16" s="119">
        <f ca="1">IF(AND(base_de_datos[[#This Row],[Bioelectrónica]]&lt;&gt;"",base_de_datos[[#This Row],[Misma o no]]=1),base_de_datos[[#This Row],[Índice]],"")</f>
        <v>1</v>
      </c>
      <c r="AW16" s="120"/>
      <c r="AX16" s="4" t="s">
        <v>1809</v>
      </c>
    </row>
    <row r="17" spans="2:50" s="6" customFormat="1" ht="13" x14ac:dyDescent="0.3">
      <c r="B17" s="9" t="s">
        <v>128</v>
      </c>
      <c r="C17" s="1" t="s">
        <v>129</v>
      </c>
      <c r="D17" s="4">
        <v>1</v>
      </c>
      <c r="E17" s="113">
        <v>0.33333333333333298</v>
      </c>
      <c r="F17" s="113">
        <v>0.45833333333333098</v>
      </c>
      <c r="G17" s="4" t="s">
        <v>87</v>
      </c>
      <c r="H17" s="4" t="s">
        <v>98</v>
      </c>
      <c r="I17" s="4"/>
      <c r="J17" s="126">
        <v>22</v>
      </c>
      <c r="K17" s="142"/>
      <c r="L17" s="3"/>
      <c r="M17" s="3"/>
      <c r="N17" s="3"/>
      <c r="O17" s="4">
        <v>2122</v>
      </c>
      <c r="P17" s="114"/>
      <c r="Q17" s="114"/>
      <c r="R17" s="114"/>
      <c r="S17" s="114"/>
      <c r="T17" s="114" t="s">
        <v>90</v>
      </c>
      <c r="U17" s="114"/>
      <c r="V17" s="114"/>
      <c r="W17" s="114"/>
      <c r="X17" s="143">
        <f>_xlfn.XLOOKUP(base_de_datos[[#This Row],[Materia]],Materias,Horas)/16</f>
        <v>3</v>
      </c>
      <c r="Y17" s="143">
        <f>ROUND(((base_de_datos[[#This Row],[Hora fin]]-base_de_datos[[#This Row],[Hora inicio]])*24)*(COUNTA(base_de_datos[[#This Row],[Lunes]:[Sábado]])),1)</f>
        <v>3</v>
      </c>
      <c r="Z17" s="14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7" s="143">
        <f ca="1">IF(base_de_datos[[#This Row],[No clase]]=OFFSET(base_de_datos[[#This Row],[No clase]],-1,0),0,1)</f>
        <v>1</v>
      </c>
      <c r="AB17" s="143">
        <f ca="1">IF(NOT(OR(base_de_datos[[#This Row],[Horas totales]]=base_de_datos[[#This Row],[HT Plan]],base_de_datos[[#This Row],[Horas totales]]="N/A")),1,0)</f>
        <v>0</v>
      </c>
      <c r="AC17" s="143" t="str">
        <f>_xlfn.XLOOKUP(base_de_datos[[#This Row],[Profesor]],Nombre,Grado)</f>
        <v>M</v>
      </c>
      <c r="AD17" s="144" t="str">
        <f>_xlfn.XLOOKUP(base_de_datos[[#This Row],[Profesor]],Nombre,Tipo)</f>
        <v>A</v>
      </c>
      <c r="AE17" s="143">
        <f>IF(IFERROR(VLOOKUP($C17,Planes_de_estudio[],MATCH($AE$2,Carreras,0)+2,0),"")&gt;0,IFERROR(VLOOKUP($C17,Planes_de_estudio[],MATCH($AE$2,Carreras,0)+2,0),""),"")</f>
        <v>4</v>
      </c>
      <c r="AF17" s="143" t="str">
        <f>IF(IFERROR(VLOOKUP($C17,Planes_de_estudio[],MATCH($AF$2,Carreras,0)+2,0),"")&gt;0,IFERROR(VLOOKUP($C17,Planes_de_estudio[],MATCH($AF$2,Carreras,0)+2,0),""),"")</f>
        <v/>
      </c>
      <c r="AG17" s="143" t="str">
        <f>IF(IFERROR(VLOOKUP($C17,Planes_de_estudio[],MATCH($AG$2,Carreras,0)+2,0),"")&gt;0,IFERROR(VLOOKUP($C17,Planes_de_estudio[],MATCH($AG$2,Carreras,0)+2,0),""),"")</f>
        <v/>
      </c>
      <c r="AH17" s="143" t="str">
        <f>IF(IFERROR(VLOOKUP($C17,Planes_de_estudio[],MATCH($AH$2,Carreras,0)+2,0),"")&gt;0,IFERROR(VLOOKUP($C17,Planes_de_estudio[],MATCH($AH$2,Carreras,0)+2,0),""),"")</f>
        <v/>
      </c>
      <c r="AI17" s="143" t="str">
        <f>IF(IFERROR(VLOOKUP($C17,Planes_de_estudio[],MATCH($AI$2,Carreras,0)+2,0),"")&gt;0,IFERROR(VLOOKUP($C17,Planes_de_estudio[],MATCH($AI$2,Carreras,0)+2,0),""),"")</f>
        <v/>
      </c>
      <c r="AJ17" s="143">
        <f>IF(IFERROR(VLOOKUP($C17,Planes_de_estudio[],MATCH($AJ$2,Carreras,0)+2,0),"")&gt;0,IFERROR(VLOOKUP($C17,Planes_de_estudio[],MATCH($AJ$2,Carreras,0)+2,0),""),"")</f>
        <v>11</v>
      </c>
      <c r="AK17" s="143" t="str">
        <f>IF(IFERROR(VLOOKUP($C17,Planes_de_estudio[],MATCH($AK$2,Carreras,0)+2,0),"")&gt;0,IFERROR(VLOOKUP($C17,Planes_de_estudio[],MATCH($AK$2,Carreras,0)+2,0),""),"")</f>
        <v/>
      </c>
      <c r="AL17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7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19</v>
      </c>
      <c r="AN17" s="143">
        <f>base_de_datos[[#This Row],[Pronóstico]]/25</f>
        <v>0.76</v>
      </c>
      <c r="AO17" s="143" t="str">
        <f>VLOOKUP($C17,Planes_de_estudio[],2)</f>
        <v>EMP</v>
      </c>
      <c r="AP17" s="112">
        <f ca="1">IF(AND(base_de_datos[[#This Row],[Industrial]]&lt;&gt;"",base_de_datos[[#This Row],[Misma o no]]=1),base_de_datos[[#This Row],[Índice]],"")</f>
        <v>4</v>
      </c>
      <c r="AQ17" s="112" t="str">
        <f ca="1">IF(AND(base_de_datos[[#This Row],[Mecatrónica]]&lt;&gt;"",base_de_datos[[#This Row],[Misma o no]]=1),base_de_datos[[#This Row],[Índice]],"")</f>
        <v/>
      </c>
      <c r="AR17" s="112" t="str">
        <f ca="1">IF(AND(base_de_datos[[#This Row],[Innovación y Diseño]]&lt;&gt;"",base_de_datos[[#This Row],[Misma o no]]=1),base_de_datos[[#This Row],[Índice]],"")</f>
        <v/>
      </c>
      <c r="AS17" s="112" t="str">
        <f ca="1">IF(AND(base_de_datos[[#This Row],[Inteligencia Artificial]]&lt;&gt;"",base_de_datos[[#This Row],[Misma o no]]=1),base_de_datos[[#This Row],[Índice]],"")</f>
        <v/>
      </c>
      <c r="AT17" s="112" t="str">
        <f ca="1">IF(AND(base_de_datos[[#This Row],[Tecnologías Energéticas]]&lt;&gt;"",base_de_datos[[#This Row],[Misma o no]]=1),base_de_datos[[#This Row],[Índice]],"")</f>
        <v/>
      </c>
      <c r="AU17" s="112">
        <f ca="1">IF(AND(base_de_datos[[#This Row],[Civil y Administración]]&lt;&gt;"",base_de_datos[[#This Row],[Misma o no]]=1),base_de_datos[[#This Row],[Índice]],"")</f>
        <v>4</v>
      </c>
      <c r="AV17" s="112" t="str">
        <f ca="1">IF(AND(base_de_datos[[#This Row],[Bioelectrónica]]&lt;&gt;"",base_de_datos[[#This Row],[Misma o no]]=1),base_de_datos[[#This Row],[Índice]],"")</f>
        <v/>
      </c>
      <c r="AX17" s="4" t="s">
        <v>1804</v>
      </c>
    </row>
    <row r="18" spans="2:50" s="6" customFormat="1" ht="13" x14ac:dyDescent="0.3">
      <c r="B18" s="6" t="s">
        <v>130</v>
      </c>
      <c r="C18" s="1" t="s">
        <v>131</v>
      </c>
      <c r="D18" s="4">
        <v>1</v>
      </c>
      <c r="E18" s="113">
        <v>0.70833333333333304</v>
      </c>
      <c r="F18" s="113">
        <v>0.79166666666665897</v>
      </c>
      <c r="G18" s="4" t="s">
        <v>87</v>
      </c>
      <c r="H18" s="4" t="s">
        <v>132</v>
      </c>
      <c r="I18" s="4"/>
      <c r="J18" s="126">
        <v>9</v>
      </c>
      <c r="K18" s="142"/>
      <c r="L18" s="3"/>
      <c r="M18" s="3"/>
      <c r="N18" s="3"/>
      <c r="O18" s="4">
        <v>2684</v>
      </c>
      <c r="P18" s="114"/>
      <c r="Q18" s="114" t="s">
        <v>90</v>
      </c>
      <c r="R18" s="114"/>
      <c r="S18" s="114"/>
      <c r="T18" s="114"/>
      <c r="U18" s="114"/>
      <c r="V18" s="114"/>
      <c r="W18" s="114"/>
      <c r="X18" s="143">
        <f>_xlfn.XLOOKUP(base_de_datos[[#This Row],[Materia]],Materias,Horas)/16</f>
        <v>4</v>
      </c>
      <c r="Y18" s="143">
        <f>ROUND(((base_de_datos[[#This Row],[Hora fin]]-base_de_datos[[#This Row],[Hora inicio]])*24)*(COUNTA(base_de_datos[[#This Row],[Lunes]:[Sábado]])),1)</f>
        <v>2</v>
      </c>
      <c r="Z18" s="14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8" s="143">
        <f ca="1">IF(base_de_datos[[#This Row],[No clase]]=OFFSET(base_de_datos[[#This Row],[No clase]],-1,0),0,1)</f>
        <v>1</v>
      </c>
      <c r="AB18" s="143">
        <f ca="1">IF(NOT(OR(base_de_datos[[#This Row],[Horas totales]]=base_de_datos[[#This Row],[HT Plan]],base_de_datos[[#This Row],[Horas totales]]="N/A")),1,0)</f>
        <v>0</v>
      </c>
      <c r="AC18" s="143" t="str">
        <f>_xlfn.XLOOKUP(base_de_datos[[#This Row],[Profesor]],Nombre,Grado)</f>
        <v>M</v>
      </c>
      <c r="AD18" s="144" t="str">
        <f>_xlfn.XLOOKUP(base_de_datos[[#This Row],[Profesor]],Nombre,Tipo)</f>
        <v>A</v>
      </c>
      <c r="AE18" s="143" t="str">
        <f>IF(IFERROR(VLOOKUP($C18,Planes_de_estudio[],MATCH($AE$2,Carreras,0)+2,0),"")&gt;0,IFERROR(VLOOKUP($C18,Planes_de_estudio[],MATCH($AE$2,Carreras,0)+2,0),""),"")</f>
        <v/>
      </c>
      <c r="AF18" s="143" t="str">
        <f>IF(IFERROR(VLOOKUP($C18,Planes_de_estudio[],MATCH($AF$2,Carreras,0)+2,0),"")&gt;0,IFERROR(VLOOKUP($C18,Planes_de_estudio[],MATCH($AF$2,Carreras,0)+2,0),""),"")</f>
        <v/>
      </c>
      <c r="AG18" s="143" t="str">
        <f>IF(IFERROR(VLOOKUP($C18,Planes_de_estudio[],MATCH($AG$2,Carreras,0)+2,0),"")&gt;0,IFERROR(VLOOKUP($C18,Planes_de_estudio[],MATCH($AG$2,Carreras,0)+2,0),""),"")</f>
        <v/>
      </c>
      <c r="AH18" s="143" t="str">
        <f>IF(IFERROR(VLOOKUP($C18,Planes_de_estudio[],MATCH($AH$2,Carreras,0)+2,0),"")&gt;0,IFERROR(VLOOKUP($C18,Planes_de_estudio[],MATCH($AH$2,Carreras,0)+2,0),""),"")</f>
        <v/>
      </c>
      <c r="AI18" s="143" t="str">
        <f>IF(IFERROR(VLOOKUP($C18,Planes_de_estudio[],MATCH($AI$2,Carreras,0)+2,0),"")&gt;0,IFERROR(VLOOKUP($C18,Planes_de_estudio[],MATCH($AI$2,Carreras,0)+2,0),""),"")</f>
        <v/>
      </c>
      <c r="AJ18" s="143">
        <f>IF(IFERROR(VLOOKUP($C18,Planes_de_estudio[],MATCH($AJ$2,Carreras,0)+2,0),"")&gt;0,IFERROR(VLOOKUP($C18,Planes_de_estudio[],MATCH($AJ$2,Carreras,0)+2,0),""),"")</f>
        <v>6</v>
      </c>
      <c r="AK18" s="143" t="str">
        <f>IF(IFERROR(VLOOKUP($C18,Planes_de_estudio[],MATCH($AK$2,Carreras,0)+2,0),"")&gt;0,IFERROR(VLOOKUP($C18,Planes_de_estudio[],MATCH($AK$2,Carreras,0)+2,0),""),"")</f>
        <v/>
      </c>
      <c r="AL18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8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13</v>
      </c>
      <c r="AN18" s="143">
        <f>base_de_datos[[#This Row],[Pronóstico]]/25</f>
        <v>0.52</v>
      </c>
      <c r="AO18" s="143" t="str">
        <f>VLOOKUP($C18,Planes_de_estudio[],2)</f>
        <v>ESC</v>
      </c>
      <c r="AP18" s="112" t="str">
        <f ca="1">IF(AND(base_de_datos[[#This Row],[Industrial]]&lt;&gt;"",base_de_datos[[#This Row],[Misma o no]]=1),base_de_datos[[#This Row],[Índice]],"")</f>
        <v/>
      </c>
      <c r="AQ18" s="112" t="str">
        <f ca="1">IF(AND(base_de_datos[[#This Row],[Mecatrónica]]&lt;&gt;"",base_de_datos[[#This Row],[Misma o no]]=1),base_de_datos[[#This Row],[Índice]],"")</f>
        <v/>
      </c>
      <c r="AR18" s="112" t="str">
        <f ca="1">IF(AND(base_de_datos[[#This Row],[Innovación y Diseño]]&lt;&gt;"",base_de_datos[[#This Row],[Misma o no]]=1),base_de_datos[[#This Row],[Índice]],"")</f>
        <v/>
      </c>
      <c r="AS18" s="112" t="str">
        <f ca="1">IF(AND(base_de_datos[[#This Row],[Inteligencia Artificial]]&lt;&gt;"",base_de_datos[[#This Row],[Misma o no]]=1),base_de_datos[[#This Row],[Índice]],"")</f>
        <v/>
      </c>
      <c r="AT18" s="112" t="str">
        <f ca="1">IF(AND(base_de_datos[[#This Row],[Tecnologías Energéticas]]&lt;&gt;"",base_de_datos[[#This Row],[Misma o no]]=1),base_de_datos[[#This Row],[Índice]],"")</f>
        <v/>
      </c>
      <c r="AU18" s="112">
        <f ca="1">IF(AND(base_de_datos[[#This Row],[Civil y Administración]]&lt;&gt;"",base_de_datos[[#This Row],[Misma o no]]=1),base_de_datos[[#This Row],[Índice]],"")</f>
        <v>4</v>
      </c>
      <c r="AV18" s="112" t="str">
        <f ca="1">IF(AND(base_de_datos[[#This Row],[Bioelectrónica]]&lt;&gt;"",base_de_datos[[#This Row],[Misma o no]]=1),base_de_datos[[#This Row],[Índice]],"")</f>
        <v/>
      </c>
      <c r="AX18" s="4">
        <v>3</v>
      </c>
    </row>
    <row r="19" spans="2:50" s="6" customFormat="1" ht="13" x14ac:dyDescent="0.3">
      <c r="B19" s="6" t="s">
        <v>130</v>
      </c>
      <c r="C19" s="1" t="s">
        <v>131</v>
      </c>
      <c r="D19" s="4">
        <v>1</v>
      </c>
      <c r="E19" s="113">
        <v>0.70833333333333304</v>
      </c>
      <c r="F19" s="113">
        <v>0.79166666666665897</v>
      </c>
      <c r="G19" s="4" t="s">
        <v>87</v>
      </c>
      <c r="H19" s="4" t="s">
        <v>133</v>
      </c>
      <c r="I19" s="4"/>
      <c r="J19" s="114">
        <v>9</v>
      </c>
      <c r="K19" s="115"/>
      <c r="L19" s="3"/>
      <c r="M19" s="115"/>
      <c r="N19" s="3"/>
      <c r="O19" s="4">
        <v>2684</v>
      </c>
      <c r="P19" s="114"/>
      <c r="Q19" s="114"/>
      <c r="R19" s="114"/>
      <c r="S19" s="114" t="s">
        <v>90</v>
      </c>
      <c r="T19" s="114"/>
      <c r="U19" s="114"/>
      <c r="V19" s="114"/>
      <c r="W19" s="114"/>
      <c r="X19" s="116">
        <f>_xlfn.XLOOKUP(base_de_datos[[#This Row],[Materia]],Materias,Horas)/16</f>
        <v>4</v>
      </c>
      <c r="Y19" s="116">
        <f>ROUND(((base_de_datos[[#This Row],[Hora fin]]-base_de_datos[[#This Row],[Hora inicio]])*24)*(COUNTA(base_de_datos[[#This Row],[Lunes]:[Sábado]])),1)</f>
        <v>2</v>
      </c>
      <c r="Z19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9" s="117">
        <f ca="1">IF(base_de_datos[[#This Row],[No clase]]=OFFSET(base_de_datos[[#This Row],[No clase]],-1,0),0,1)</f>
        <v>0</v>
      </c>
      <c r="AB19" s="117">
        <f ca="1">IF(NOT(OR(base_de_datos[[#This Row],[Horas totales]]=base_de_datos[[#This Row],[HT Plan]],base_de_datos[[#This Row],[Horas totales]]="N/A")),1,0)</f>
        <v>0</v>
      </c>
      <c r="AC19" s="116" t="str">
        <f>_xlfn.XLOOKUP(base_de_datos[[#This Row],[Profesor]],Nombre,Grado)</f>
        <v>M</v>
      </c>
      <c r="AD19" s="118" t="str">
        <f>_xlfn.XLOOKUP(base_de_datos[[#This Row],[Profesor]],Nombre,Tipo)</f>
        <v>A</v>
      </c>
      <c r="AE19" s="116" t="str">
        <f>IF(IFERROR(VLOOKUP($C19,Planes_de_estudio[],MATCH($AE$2,Carreras,0)+2,0),"")&gt;0,IFERROR(VLOOKUP($C19,Planes_de_estudio[],MATCH($AE$2,Carreras,0)+2,0),""),"")</f>
        <v/>
      </c>
      <c r="AF19" s="116" t="str">
        <f>IF(IFERROR(VLOOKUP($C19,Planes_de_estudio[],MATCH($AF$2,Carreras,0)+2,0),"")&gt;0,IFERROR(VLOOKUP($C19,Planes_de_estudio[],MATCH($AF$2,Carreras,0)+2,0),""),"")</f>
        <v/>
      </c>
      <c r="AG19" s="116" t="str">
        <f>IF(IFERROR(VLOOKUP($C19,Planes_de_estudio[],MATCH($AG$2,Carreras,0)+2,0),"")&gt;0,IFERROR(VLOOKUP($C19,Planes_de_estudio[],MATCH($AG$2,Carreras,0)+2,0),""),"")</f>
        <v/>
      </c>
      <c r="AH19" s="116" t="str">
        <f>IF(IFERROR(VLOOKUP($C19,Planes_de_estudio[],MATCH($AH$2,Carreras,0)+2,0),"")&gt;0,IFERROR(VLOOKUP($C19,Planes_de_estudio[],MATCH($AH$2,Carreras,0)+2,0),""),"")</f>
        <v/>
      </c>
      <c r="AI19" s="116" t="str">
        <f>IF(IFERROR(VLOOKUP($C19,Planes_de_estudio[],MATCH($AI$2,Carreras,0)+2,0),"")&gt;0,IFERROR(VLOOKUP($C19,Planes_de_estudio[],MATCH($AI$2,Carreras,0)+2,0),""),"")</f>
        <v/>
      </c>
      <c r="AJ19" s="116">
        <f>IF(IFERROR(VLOOKUP($C19,Planes_de_estudio[],MATCH($AJ$2,Carreras,0)+2,0),"")&gt;0,IFERROR(VLOOKUP($C19,Planes_de_estudio[],MATCH($AJ$2,Carreras,0)+2,0),""),"")</f>
        <v>6</v>
      </c>
      <c r="AK19" s="116" t="str">
        <f>IF(IFERROR(VLOOKUP($C19,Planes_de_estudio[],MATCH($AK$2,Carreras,0)+2,0),"")&gt;0,IFERROR(VLOOKUP($C19,Planes_de_estudio[],MATCH($AK$2,Carreras,0)+2,0),""),"")</f>
        <v/>
      </c>
      <c r="AL19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9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13</v>
      </c>
      <c r="AN19" s="117">
        <f>base_de_datos[[#This Row],[Pronóstico]]/25</f>
        <v>0.52</v>
      </c>
      <c r="AO19" s="117" t="str">
        <f>VLOOKUP($C19,Planes_de_estudio[],2)</f>
        <v>ESC</v>
      </c>
      <c r="AP19" s="119" t="str">
        <f ca="1">IF(AND(base_de_datos[[#This Row],[Industrial]]&lt;&gt;"",base_de_datos[[#This Row],[Misma o no]]=1),base_de_datos[[#This Row],[Índice]],"")</f>
        <v/>
      </c>
      <c r="AQ19" s="119" t="str">
        <f ca="1">IF(AND(base_de_datos[[#This Row],[Mecatrónica]]&lt;&gt;"",base_de_datos[[#This Row],[Misma o no]]=1),base_de_datos[[#This Row],[Índice]],"")</f>
        <v/>
      </c>
      <c r="AR19" s="119" t="str">
        <f ca="1">IF(AND(base_de_datos[[#This Row],[Innovación y Diseño]]&lt;&gt;"",base_de_datos[[#This Row],[Misma o no]]=1),base_de_datos[[#This Row],[Índice]],"")</f>
        <v/>
      </c>
      <c r="AS19" s="119" t="str">
        <f ca="1">IF(AND(base_de_datos[[#This Row],[Inteligencia Artificial]]&lt;&gt;"",base_de_datos[[#This Row],[Misma o no]]=1),base_de_datos[[#This Row],[Índice]],"")</f>
        <v/>
      </c>
      <c r="AT19" s="119" t="str">
        <f ca="1">IF(AND(base_de_datos[[#This Row],[Tecnologías Energéticas]]&lt;&gt;"",base_de_datos[[#This Row],[Misma o no]]=1),base_de_datos[[#This Row],[Índice]],"")</f>
        <v/>
      </c>
      <c r="AU19" s="119" t="str">
        <f ca="1">IF(AND(base_de_datos[[#This Row],[Civil y Administración]]&lt;&gt;"",base_de_datos[[#This Row],[Misma o no]]=1),base_de_datos[[#This Row],[Índice]],"")</f>
        <v/>
      </c>
      <c r="AV19" s="119" t="str">
        <f ca="1">IF(AND(base_de_datos[[#This Row],[Bioelectrónica]]&lt;&gt;"",base_de_datos[[#This Row],[Misma o no]]=1),base_de_datos[[#This Row],[Índice]],"")</f>
        <v/>
      </c>
      <c r="AW19" s="120"/>
      <c r="AX19" s="4">
        <v>3</v>
      </c>
    </row>
    <row r="20" spans="2:50" s="6" customFormat="1" ht="26" x14ac:dyDescent="0.3">
      <c r="B20" s="9" t="s">
        <v>121</v>
      </c>
      <c r="C20" s="1" t="s">
        <v>112</v>
      </c>
      <c r="D20" s="4">
        <v>3</v>
      </c>
      <c r="E20" s="113">
        <v>0.29166666666666669</v>
      </c>
      <c r="F20" s="113">
        <v>0.374999999999999</v>
      </c>
      <c r="G20" s="4" t="s">
        <v>87</v>
      </c>
      <c r="H20" s="4" t="s">
        <v>95</v>
      </c>
      <c r="I20" s="4"/>
      <c r="J20" s="4">
        <v>15</v>
      </c>
      <c r="K20" s="115"/>
      <c r="L20" s="3"/>
      <c r="M20" s="115"/>
      <c r="N20" s="3"/>
      <c r="O20" s="2" t="s">
        <v>122</v>
      </c>
      <c r="P20" s="114"/>
      <c r="Q20" s="114"/>
      <c r="R20" s="114"/>
      <c r="S20" s="114" t="s">
        <v>90</v>
      </c>
      <c r="T20" s="114"/>
      <c r="U20" s="114"/>
      <c r="V20" s="114"/>
      <c r="W20" s="114"/>
      <c r="X20" s="116">
        <f>_xlfn.XLOOKUP(base_de_datos[[#This Row],[Materia]],Materias,Horas)/16</f>
        <v>4</v>
      </c>
      <c r="Y20" s="116">
        <f>ROUND(((base_de_datos[[#This Row],[Hora fin]]-base_de_datos[[#This Row],[Hora inicio]])*24)*(COUNTA(base_de_datos[[#This Row],[Lunes]:[Sábado]])),1)</f>
        <v>2</v>
      </c>
      <c r="Z20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20" s="117">
        <f ca="1">IF(base_de_datos[[#This Row],[No clase]]=OFFSET(base_de_datos[[#This Row],[No clase]],-1,0),0,1)</f>
        <v>1</v>
      </c>
      <c r="AB20" s="117">
        <f ca="1">IF(NOT(OR(base_de_datos[[#This Row],[Horas totales]]=base_de_datos[[#This Row],[HT Plan]],base_de_datos[[#This Row],[Horas totales]]="N/A")),1,0)</f>
        <v>1</v>
      </c>
      <c r="AC20" s="116" t="str">
        <f>_xlfn.XLOOKUP(base_de_datos[[#This Row],[Profesor]],Nombre,Grado)</f>
        <v>L</v>
      </c>
      <c r="AD20" s="118" t="str">
        <f>_xlfn.XLOOKUP(base_de_datos[[#This Row],[Profesor]],Nombre,Tipo)</f>
        <v>A</v>
      </c>
      <c r="AE20" s="116">
        <f>IF(IFERROR(VLOOKUP($C20,Planes_de_estudio[],MATCH($AE$2,Carreras,0)+2,0),"")&gt;0,IFERROR(VLOOKUP($C20,Planes_de_estudio[],MATCH($AE$2,Carreras,0)+2,0),""),"")</f>
        <v>2</v>
      </c>
      <c r="AF20" s="116">
        <f>IF(IFERROR(VLOOKUP($C20,Planes_de_estudio[],MATCH($AF$2,Carreras,0)+2,0),"")&gt;0,IFERROR(VLOOKUP($C20,Planes_de_estudio[],MATCH($AF$2,Carreras,0)+2,0),""),"")</f>
        <v>2</v>
      </c>
      <c r="AG20" s="116" t="str">
        <f>IF(IFERROR(VLOOKUP($C20,Planes_de_estudio[],MATCH($AG$2,Carreras,0)+2,0),"")&gt;0,IFERROR(VLOOKUP($C20,Planes_de_estudio[],MATCH($AG$2,Carreras,0)+2,0),""),"")</f>
        <v/>
      </c>
      <c r="AH20" s="116">
        <f>IF(IFERROR(VLOOKUP($C20,Planes_de_estudio[],MATCH($AH$2,Carreras,0)+2,0),"")&gt;0,IFERROR(VLOOKUP($C20,Planes_de_estudio[],MATCH($AH$2,Carreras,0)+2,0),""),"")</f>
        <v>2</v>
      </c>
      <c r="AI20" s="116">
        <f>IF(IFERROR(VLOOKUP($C20,Planes_de_estudio[],MATCH($AI$2,Carreras,0)+2,0),"")&gt;0,IFERROR(VLOOKUP($C20,Planes_de_estudio[],MATCH($AI$2,Carreras,0)+2,0),""),"")</f>
        <v>2</v>
      </c>
      <c r="AJ20" s="116">
        <f>IF(IFERROR(VLOOKUP($C20,Planes_de_estudio[],MATCH($AJ$2,Carreras,0)+2,0),"")&gt;0,IFERROR(VLOOKUP($C20,Planes_de_estudio[],MATCH($AJ$2,Carreras,0)+2,0),""),"")</f>
        <v>2</v>
      </c>
      <c r="AK20" s="116">
        <f>IF(IFERROR(VLOOKUP($C20,Planes_de_estudio[],MATCH($AK$2,Carreras,0)+2,0),"")&gt;0,IFERROR(VLOOKUP($C20,Planes_de_estudio[],MATCH($AK$2,Carreras,0)+2,0),""),"")</f>
        <v>2</v>
      </c>
      <c r="AL20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20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98</v>
      </c>
      <c r="AN20" s="117">
        <f>base_de_datos[[#This Row],[Pronóstico]]/25</f>
        <v>3.92</v>
      </c>
      <c r="AO20" s="117" t="str">
        <f>VLOOKUP($C20,Planes_de_estudio[],2)</f>
        <v>MAT</v>
      </c>
      <c r="AP20" s="119">
        <f ca="1">IF(AND(base_de_datos[[#This Row],[Industrial]]&lt;&gt;"",base_de_datos[[#This Row],[Misma o no]]=1),base_de_datos[[#This Row],[Índice]],"")</f>
        <v>1</v>
      </c>
      <c r="AQ20" s="119">
        <f ca="1">IF(AND(base_de_datos[[#This Row],[Mecatrónica]]&lt;&gt;"",base_de_datos[[#This Row],[Misma o no]]=1),base_de_datos[[#This Row],[Índice]],"")</f>
        <v>1</v>
      </c>
      <c r="AR20" s="119" t="str">
        <f ca="1">IF(AND(base_de_datos[[#This Row],[Innovación y Diseño]]&lt;&gt;"",base_de_datos[[#This Row],[Misma o no]]=1),base_de_datos[[#This Row],[Índice]],"")</f>
        <v/>
      </c>
      <c r="AS20" s="119">
        <f ca="1">IF(AND(base_de_datos[[#This Row],[Inteligencia Artificial]]&lt;&gt;"",base_de_datos[[#This Row],[Misma o no]]=1),base_de_datos[[#This Row],[Índice]],"")</f>
        <v>1</v>
      </c>
      <c r="AT20" s="119">
        <f ca="1">IF(AND(base_de_datos[[#This Row],[Tecnologías Energéticas]]&lt;&gt;"",base_de_datos[[#This Row],[Misma o no]]=1),base_de_datos[[#This Row],[Índice]],"")</f>
        <v>1</v>
      </c>
      <c r="AU20" s="119">
        <f ca="1">IF(AND(base_de_datos[[#This Row],[Civil y Administración]]&lt;&gt;"",base_de_datos[[#This Row],[Misma o no]]=1),base_de_datos[[#This Row],[Índice]],"")</f>
        <v>1</v>
      </c>
      <c r="AV20" s="119">
        <f ca="1">IF(AND(base_de_datos[[#This Row],[Bioelectrónica]]&lt;&gt;"",base_de_datos[[#This Row],[Misma o no]]=1),base_de_datos[[#This Row],[Índice]],"")</f>
        <v>1</v>
      </c>
      <c r="AW20" s="120"/>
      <c r="AX20" s="4" t="s">
        <v>1809</v>
      </c>
    </row>
    <row r="21" spans="2:50" s="6" customFormat="1" ht="13" x14ac:dyDescent="0.3">
      <c r="B21" s="6" t="s">
        <v>123</v>
      </c>
      <c r="C21" s="1" t="s">
        <v>124</v>
      </c>
      <c r="D21" s="4">
        <v>1</v>
      </c>
      <c r="E21" s="113">
        <v>0.58333333333333304</v>
      </c>
      <c r="F21" s="113">
        <v>0.66666666666666097</v>
      </c>
      <c r="G21" s="4" t="s">
        <v>87</v>
      </c>
      <c r="H21" s="4" t="s">
        <v>125</v>
      </c>
      <c r="I21" s="4"/>
      <c r="J21" s="231">
        <v>3</v>
      </c>
      <c r="K21" s="142"/>
      <c r="L21" s="3"/>
      <c r="M21" s="3"/>
      <c r="N21" s="3"/>
      <c r="O21" s="4" t="s">
        <v>126</v>
      </c>
      <c r="P21" s="114"/>
      <c r="Q21" s="114" t="s">
        <v>90</v>
      </c>
      <c r="R21" s="114"/>
      <c r="S21" s="114"/>
      <c r="T21" s="114"/>
      <c r="U21" s="114"/>
      <c r="V21" s="114"/>
      <c r="W21" s="114"/>
      <c r="X21" s="143">
        <f>_xlfn.XLOOKUP(base_de_datos[[#This Row],[Materia]],Materias,Horas)/16</f>
        <v>5</v>
      </c>
      <c r="Y21" s="143">
        <f>ROUND(((base_de_datos[[#This Row],[Hora fin]]-base_de_datos[[#This Row],[Hora inicio]])*24)*(COUNTA(base_de_datos[[#This Row],[Lunes]:[Sábado]])),1)</f>
        <v>2</v>
      </c>
      <c r="Z21" s="143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21" s="143">
        <f ca="1">IF(base_de_datos[[#This Row],[No clase]]=OFFSET(base_de_datos[[#This Row],[No clase]],-1,0),0,1)</f>
        <v>1</v>
      </c>
      <c r="AB21" s="143">
        <f ca="1">IF(NOT(OR(base_de_datos[[#This Row],[Horas totales]]=base_de_datos[[#This Row],[HT Plan]],base_de_datos[[#This Row],[Horas totales]]="N/A")),1,0)</f>
        <v>0</v>
      </c>
      <c r="AC21" s="143" t="str">
        <f>_xlfn.XLOOKUP(base_de_datos[[#This Row],[Profesor]],Nombre,Grado)</f>
        <v>M</v>
      </c>
      <c r="AD21" s="144" t="str">
        <f>_xlfn.XLOOKUP(base_de_datos[[#This Row],[Profesor]],Nombre,Tipo)</f>
        <v>A</v>
      </c>
      <c r="AE21" s="143" t="str">
        <f>IF(IFERROR(VLOOKUP($C21,Planes_de_estudio[],MATCH($AE$2,Carreras,0)+2,0),"")&gt;0,IFERROR(VLOOKUP($C21,Planes_de_estudio[],MATCH($AE$2,Carreras,0)+2,0),""),"")</f>
        <v/>
      </c>
      <c r="AF21" s="143" t="str">
        <f>IF(IFERROR(VLOOKUP($C21,Planes_de_estudio[],MATCH($AF$2,Carreras,0)+2,0),"")&gt;0,IFERROR(VLOOKUP($C21,Planes_de_estudio[],MATCH($AF$2,Carreras,0)+2,0),""),"")</f>
        <v/>
      </c>
      <c r="AG21" s="143" t="str">
        <f>IF(IFERROR(VLOOKUP($C21,Planes_de_estudio[],MATCH($AG$2,Carreras,0)+2,0),"")&gt;0,IFERROR(VLOOKUP($C21,Planes_de_estudio[],MATCH($AG$2,Carreras,0)+2,0),""),"")</f>
        <v/>
      </c>
      <c r="AH21" s="143" t="str">
        <f>IF(IFERROR(VLOOKUP($C21,Planes_de_estudio[],MATCH($AH$2,Carreras,0)+2,0),"")&gt;0,IFERROR(VLOOKUP($C21,Planes_de_estudio[],MATCH($AH$2,Carreras,0)+2,0),""),"")</f>
        <v/>
      </c>
      <c r="AI21" s="143">
        <f>IF(IFERROR(VLOOKUP($C21,Planes_de_estudio[],MATCH($AI$2,Carreras,0)+2,0),"")&gt;0,IFERROR(VLOOKUP($C21,Planes_de_estudio[],MATCH($AI$2,Carreras,0)+2,0),""),"")</f>
        <v>6</v>
      </c>
      <c r="AJ21" s="143" t="str">
        <f>IF(IFERROR(VLOOKUP($C21,Planes_de_estudio[],MATCH($AJ$2,Carreras,0)+2,0),"")&gt;0,IFERROR(VLOOKUP($C21,Planes_de_estudio[],MATCH($AJ$2,Carreras,0)+2,0),""),"")</f>
        <v/>
      </c>
      <c r="AK21" s="143" t="str">
        <f>IF(IFERROR(VLOOKUP($C21,Planes_de_estudio[],MATCH($AK$2,Carreras,0)+2,0),"")&gt;0,IFERROR(VLOOKUP($C21,Planes_de_estudio[],MATCH($AK$2,Carreras,0)+2,0),""),"")</f>
        <v/>
      </c>
      <c r="AL21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1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</v>
      </c>
      <c r="AN21" s="143">
        <f>base_de_datos[[#This Row],[Pronóstico]]/25</f>
        <v>0.12</v>
      </c>
      <c r="AO21" s="143" t="str">
        <f>VLOOKUP($C21,Planes_de_estudio[],2)</f>
        <v>ETF</v>
      </c>
      <c r="AP21" s="112" t="str">
        <f ca="1">IF(AND(base_de_datos[[#This Row],[Industrial]]&lt;&gt;"",base_de_datos[[#This Row],[Misma o no]]=1),base_de_datos[[#This Row],[Índice]],"")</f>
        <v/>
      </c>
      <c r="AQ21" s="112" t="str">
        <f ca="1">IF(AND(base_de_datos[[#This Row],[Mecatrónica]]&lt;&gt;"",base_de_datos[[#This Row],[Misma o no]]=1),base_de_datos[[#This Row],[Índice]],"")</f>
        <v/>
      </c>
      <c r="AR21" s="112" t="str">
        <f ca="1">IF(AND(base_de_datos[[#This Row],[Innovación y Diseño]]&lt;&gt;"",base_de_datos[[#This Row],[Misma o no]]=1),base_de_datos[[#This Row],[Índice]],"")</f>
        <v/>
      </c>
      <c r="AS21" s="112" t="str">
        <f ca="1">IF(AND(base_de_datos[[#This Row],[Inteligencia Artificial]]&lt;&gt;"",base_de_datos[[#This Row],[Misma o no]]=1),base_de_datos[[#This Row],[Índice]],"")</f>
        <v/>
      </c>
      <c r="AT21" s="112">
        <f ca="1">IF(AND(base_de_datos[[#This Row],[Tecnologías Energéticas]]&lt;&gt;"",base_de_datos[[#This Row],[Misma o no]]=1),base_de_datos[[#This Row],[Índice]],"")</f>
        <v>4</v>
      </c>
      <c r="AU21" s="112" t="str">
        <f ca="1">IF(AND(base_de_datos[[#This Row],[Civil y Administración]]&lt;&gt;"",base_de_datos[[#This Row],[Misma o no]]=1),base_de_datos[[#This Row],[Índice]],"")</f>
        <v/>
      </c>
      <c r="AV21" s="112" t="str">
        <f ca="1">IF(AND(base_de_datos[[#This Row],[Bioelectrónica]]&lt;&gt;"",base_de_datos[[#This Row],[Misma o no]]=1),base_de_datos[[#This Row],[Índice]],"")</f>
        <v/>
      </c>
      <c r="AX21" s="4">
        <v>3</v>
      </c>
    </row>
    <row r="22" spans="2:50" s="6" customFormat="1" ht="13" x14ac:dyDescent="0.3">
      <c r="B22" s="6" t="s">
        <v>123</v>
      </c>
      <c r="C22" s="1" t="s">
        <v>124</v>
      </c>
      <c r="D22" s="4">
        <v>1</v>
      </c>
      <c r="E22" s="113">
        <v>0.66666666666666696</v>
      </c>
      <c r="F22" s="113">
        <v>0.79166666666665897</v>
      </c>
      <c r="G22" s="4" t="s">
        <v>87</v>
      </c>
      <c r="H22" s="4" t="s">
        <v>127</v>
      </c>
      <c r="I22" s="4"/>
      <c r="J22" s="231">
        <v>3</v>
      </c>
      <c r="K22" s="142"/>
      <c r="L22" s="3"/>
      <c r="M22" s="3"/>
      <c r="N22" s="3"/>
      <c r="O22" s="4" t="s">
        <v>126</v>
      </c>
      <c r="P22" s="114"/>
      <c r="Q22" s="114"/>
      <c r="R22" s="114"/>
      <c r="S22" s="114"/>
      <c r="T22" s="114" t="s">
        <v>90</v>
      </c>
      <c r="U22" s="114"/>
      <c r="V22" s="114"/>
      <c r="W22" s="114"/>
      <c r="X22" s="143">
        <f>_xlfn.XLOOKUP(base_de_datos[[#This Row],[Materia]],Materias,Horas)/16</f>
        <v>5</v>
      </c>
      <c r="Y22" s="143">
        <f>ROUND(((base_de_datos[[#This Row],[Hora fin]]-base_de_datos[[#This Row],[Hora inicio]])*24)*(COUNTA(base_de_datos[[#This Row],[Lunes]:[Sábado]])),1)</f>
        <v>3</v>
      </c>
      <c r="Z22" s="14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2" s="143">
        <f ca="1">IF(base_de_datos[[#This Row],[No clase]]=OFFSET(base_de_datos[[#This Row],[No clase]],-1,0),0,1)</f>
        <v>0</v>
      </c>
      <c r="AB22" s="143">
        <f ca="1">IF(NOT(OR(base_de_datos[[#This Row],[Horas totales]]=base_de_datos[[#This Row],[HT Plan]],base_de_datos[[#This Row],[Horas totales]]="N/A")),1,0)</f>
        <v>0</v>
      </c>
      <c r="AC22" s="143" t="str">
        <f>_xlfn.XLOOKUP(base_de_datos[[#This Row],[Profesor]],Nombre,Grado)</f>
        <v>M</v>
      </c>
      <c r="AD22" s="144" t="str">
        <f>_xlfn.XLOOKUP(base_de_datos[[#This Row],[Profesor]],Nombre,Tipo)</f>
        <v>A</v>
      </c>
      <c r="AE22" s="143" t="str">
        <f>IF(IFERROR(VLOOKUP($C22,Planes_de_estudio[],MATCH($AE$2,Carreras,0)+2,0),"")&gt;0,IFERROR(VLOOKUP($C22,Planes_de_estudio[],MATCH($AE$2,Carreras,0)+2,0),""),"")</f>
        <v/>
      </c>
      <c r="AF22" s="143" t="str">
        <f>IF(IFERROR(VLOOKUP($C22,Planes_de_estudio[],MATCH($AF$2,Carreras,0)+2,0),"")&gt;0,IFERROR(VLOOKUP($C22,Planes_de_estudio[],MATCH($AF$2,Carreras,0)+2,0),""),"")</f>
        <v/>
      </c>
      <c r="AG22" s="143" t="str">
        <f>IF(IFERROR(VLOOKUP($C22,Planes_de_estudio[],MATCH($AG$2,Carreras,0)+2,0),"")&gt;0,IFERROR(VLOOKUP($C22,Planes_de_estudio[],MATCH($AG$2,Carreras,0)+2,0),""),"")</f>
        <v/>
      </c>
      <c r="AH22" s="143" t="str">
        <f>IF(IFERROR(VLOOKUP($C22,Planes_de_estudio[],MATCH($AH$2,Carreras,0)+2,0),"")&gt;0,IFERROR(VLOOKUP($C22,Planes_de_estudio[],MATCH($AH$2,Carreras,0)+2,0),""),"")</f>
        <v/>
      </c>
      <c r="AI22" s="143">
        <f>IF(IFERROR(VLOOKUP($C22,Planes_de_estudio[],MATCH($AI$2,Carreras,0)+2,0),"")&gt;0,IFERROR(VLOOKUP($C22,Planes_de_estudio[],MATCH($AI$2,Carreras,0)+2,0),""),"")</f>
        <v>6</v>
      </c>
      <c r="AJ22" s="143" t="str">
        <f>IF(IFERROR(VLOOKUP($C22,Planes_de_estudio[],MATCH($AJ$2,Carreras,0)+2,0),"")&gt;0,IFERROR(VLOOKUP($C22,Planes_de_estudio[],MATCH($AJ$2,Carreras,0)+2,0),""),"")</f>
        <v/>
      </c>
      <c r="AK22" s="143" t="str">
        <f>IF(IFERROR(VLOOKUP($C22,Planes_de_estudio[],MATCH($AK$2,Carreras,0)+2,0),"")&gt;0,IFERROR(VLOOKUP($C22,Planes_de_estudio[],MATCH($AK$2,Carreras,0)+2,0),""),"")</f>
        <v/>
      </c>
      <c r="AL22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2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</v>
      </c>
      <c r="AN22" s="143">
        <f>base_de_datos[[#This Row],[Pronóstico]]/25</f>
        <v>0.12</v>
      </c>
      <c r="AO22" s="143" t="str">
        <f>VLOOKUP($C22,Planes_de_estudio[],2)</f>
        <v>ETF</v>
      </c>
      <c r="AP22" s="112" t="str">
        <f ca="1">IF(AND(base_de_datos[[#This Row],[Industrial]]&lt;&gt;"",base_de_datos[[#This Row],[Misma o no]]=1),base_de_datos[[#This Row],[Índice]],"")</f>
        <v/>
      </c>
      <c r="AQ22" s="112" t="str">
        <f ca="1">IF(AND(base_de_datos[[#This Row],[Mecatrónica]]&lt;&gt;"",base_de_datos[[#This Row],[Misma o no]]=1),base_de_datos[[#This Row],[Índice]],"")</f>
        <v/>
      </c>
      <c r="AR22" s="112" t="str">
        <f ca="1">IF(AND(base_de_datos[[#This Row],[Innovación y Diseño]]&lt;&gt;"",base_de_datos[[#This Row],[Misma o no]]=1),base_de_datos[[#This Row],[Índice]],"")</f>
        <v/>
      </c>
      <c r="AS22" s="112" t="str">
        <f ca="1">IF(AND(base_de_datos[[#This Row],[Inteligencia Artificial]]&lt;&gt;"",base_de_datos[[#This Row],[Misma o no]]=1),base_de_datos[[#This Row],[Índice]],"")</f>
        <v/>
      </c>
      <c r="AT22" s="112" t="str">
        <f ca="1">IF(AND(base_de_datos[[#This Row],[Tecnologías Energéticas]]&lt;&gt;"",base_de_datos[[#This Row],[Misma o no]]=1),base_de_datos[[#This Row],[Índice]],"")</f>
        <v/>
      </c>
      <c r="AU22" s="112" t="str">
        <f ca="1">IF(AND(base_de_datos[[#This Row],[Civil y Administración]]&lt;&gt;"",base_de_datos[[#This Row],[Misma o no]]=1),base_de_datos[[#This Row],[Índice]],"")</f>
        <v/>
      </c>
      <c r="AV22" s="112" t="str">
        <f ca="1">IF(AND(base_de_datos[[#This Row],[Bioelectrónica]]&lt;&gt;"",base_de_datos[[#This Row],[Misma o no]]=1),base_de_datos[[#This Row],[Índice]],"")</f>
        <v/>
      </c>
      <c r="AX22" s="4">
        <v>3</v>
      </c>
    </row>
    <row r="23" spans="2:50" s="6" customFormat="1" ht="13" x14ac:dyDescent="0.3">
      <c r="B23" s="6" t="s">
        <v>134</v>
      </c>
      <c r="C23" s="1" t="s">
        <v>135</v>
      </c>
      <c r="D23" s="4">
        <v>1</v>
      </c>
      <c r="E23" s="113">
        <v>0.5</v>
      </c>
      <c r="F23" s="113">
        <v>0.624999999999995</v>
      </c>
      <c r="G23" s="4" t="s">
        <v>87</v>
      </c>
      <c r="H23" s="4" t="s">
        <v>133</v>
      </c>
      <c r="I23" s="4"/>
      <c r="J23" s="231">
        <v>3</v>
      </c>
      <c r="K23" s="115"/>
      <c r="L23" s="3"/>
      <c r="M23" s="127"/>
      <c r="N23" s="3"/>
      <c r="O23" s="4">
        <v>1886</v>
      </c>
      <c r="P23" s="114"/>
      <c r="Q23" s="114"/>
      <c r="R23" s="114"/>
      <c r="S23" s="114"/>
      <c r="T23" s="114" t="s">
        <v>90</v>
      </c>
      <c r="U23" s="114"/>
      <c r="V23" s="114"/>
      <c r="W23" s="114"/>
      <c r="X23" s="117">
        <f>_xlfn.XLOOKUP(base_de_datos[[#This Row],[Materia]],Materias,Horas)/16</f>
        <v>3</v>
      </c>
      <c r="Y23" s="117">
        <f>ROUND(((base_de_datos[[#This Row],[Hora fin]]-base_de_datos[[#This Row],[Hora inicio]])*24)*(COUNTA(base_de_datos[[#This Row],[Lunes]:[Sábado]])),1)</f>
        <v>3</v>
      </c>
      <c r="Z23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23" s="117">
        <f ca="1">IF(base_de_datos[[#This Row],[No clase]]=OFFSET(base_de_datos[[#This Row],[No clase]],-1,0),0,1)</f>
        <v>1</v>
      </c>
      <c r="AB23" s="117">
        <f ca="1">IF(NOT(OR(base_de_datos[[#This Row],[Horas totales]]=base_de_datos[[#This Row],[HT Plan]],base_de_datos[[#This Row],[Horas totales]]="N/A")),1,0)</f>
        <v>0</v>
      </c>
      <c r="AC23" s="117" t="str">
        <f>_xlfn.XLOOKUP(base_de_datos[[#This Row],[Profesor]],Nombre,Grado)</f>
        <v>D</v>
      </c>
      <c r="AD23" s="118" t="str">
        <f>_xlfn.XLOOKUP(base_de_datos[[#This Row],[Profesor]],Nombre,Tipo)</f>
        <v>A</v>
      </c>
      <c r="AE23" s="117" t="str">
        <f>IF(IFERROR(VLOOKUP($C23,Planes_de_estudio[],MATCH($AE$2,Carreras,0)+2,0),"")&gt;0,IFERROR(VLOOKUP($C23,Planes_de_estudio[],MATCH($AE$2,Carreras,0)+2,0),""),"")</f>
        <v/>
      </c>
      <c r="AF23" s="117" t="str">
        <f>IF(IFERROR(VLOOKUP($C23,Planes_de_estudio[],MATCH($AF$2,Carreras,0)+2,0),"")&gt;0,IFERROR(VLOOKUP($C23,Planes_de_estudio[],MATCH($AF$2,Carreras,0)+2,0),""),"")</f>
        <v/>
      </c>
      <c r="AG23" s="117" t="str">
        <f>IF(IFERROR(VLOOKUP($C23,Planes_de_estudio[],MATCH($AG$2,Carreras,0)+2,0),"")&gt;0,IFERROR(VLOOKUP($C23,Planes_de_estudio[],MATCH($AG$2,Carreras,0)+2,0),""),"")</f>
        <v/>
      </c>
      <c r="AH23" s="117" t="str">
        <f>IF(IFERROR(VLOOKUP($C23,Planes_de_estudio[],MATCH($AH$2,Carreras,0)+2,0),"")&gt;0,IFERROR(VLOOKUP($C23,Planes_de_estudio[],MATCH($AH$2,Carreras,0)+2,0),""),"")</f>
        <v/>
      </c>
      <c r="AI23" s="117">
        <f>IF(IFERROR(VLOOKUP($C23,Planes_de_estudio[],MATCH($AI$2,Carreras,0)+2,0),"")&gt;0,IFERROR(VLOOKUP($C23,Planes_de_estudio[],MATCH($AI$2,Carreras,0)+2,0),""),"")</f>
        <v>2</v>
      </c>
      <c r="AJ23" s="117" t="str">
        <f>IF(IFERROR(VLOOKUP($C23,Planes_de_estudio[],MATCH($AJ$2,Carreras,0)+2,0),"")&gt;0,IFERROR(VLOOKUP($C23,Planes_de_estudio[],MATCH($AJ$2,Carreras,0)+2,0),""),"")</f>
        <v/>
      </c>
      <c r="AK23" s="117" t="str">
        <f>IF(IFERROR(VLOOKUP($C23,Planes_de_estudio[],MATCH($AK$2,Carreras,0)+2,0),"")&gt;0,IFERROR(VLOOKUP($C23,Planes_de_estudio[],MATCH($AK$2,Carreras,0)+2,0),""),"")</f>
        <v/>
      </c>
      <c r="AL23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23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</v>
      </c>
      <c r="AN23" s="117">
        <f>base_de_datos[[#This Row],[Pronóstico]]/25</f>
        <v>0.16</v>
      </c>
      <c r="AO23" s="117" t="str">
        <f>VLOOKUP($C23,Planes_de_estudio[],2)</f>
        <v>ETF</v>
      </c>
      <c r="AP23" s="119" t="str">
        <f ca="1">IF(AND(base_de_datos[[#This Row],[Industrial]]&lt;&gt;"",base_de_datos[[#This Row],[Misma o no]]=1),base_de_datos[[#This Row],[Índice]],"")</f>
        <v/>
      </c>
      <c r="AQ23" s="119" t="str">
        <f ca="1">IF(AND(base_de_datos[[#This Row],[Mecatrónica]]&lt;&gt;"",base_de_datos[[#This Row],[Misma o no]]=1),base_de_datos[[#This Row],[Índice]],"")</f>
        <v/>
      </c>
      <c r="AR23" s="119" t="str">
        <f ca="1">IF(AND(base_de_datos[[#This Row],[Innovación y Diseño]]&lt;&gt;"",base_de_datos[[#This Row],[Misma o no]]=1),base_de_datos[[#This Row],[Índice]],"")</f>
        <v/>
      </c>
      <c r="AS23" s="119" t="str">
        <f ca="1">IF(AND(base_de_datos[[#This Row],[Inteligencia Artificial]]&lt;&gt;"",base_de_datos[[#This Row],[Misma o no]]=1),base_de_datos[[#This Row],[Índice]],"")</f>
        <v/>
      </c>
      <c r="AT23" s="119">
        <f ca="1">IF(AND(base_de_datos[[#This Row],[Tecnologías Energéticas]]&lt;&gt;"",base_de_datos[[#This Row],[Misma o no]]=1),base_de_datos[[#This Row],[Índice]],"")</f>
        <v>6</v>
      </c>
      <c r="AU23" s="119" t="str">
        <f ca="1">IF(AND(base_de_datos[[#This Row],[Civil y Administración]]&lt;&gt;"",base_de_datos[[#This Row],[Misma o no]]=1),base_de_datos[[#This Row],[Índice]],"")</f>
        <v/>
      </c>
      <c r="AV23" s="119" t="str">
        <f ca="1">IF(AND(base_de_datos[[#This Row],[Bioelectrónica]]&lt;&gt;"",base_de_datos[[#This Row],[Misma o no]]=1),base_de_datos[[#This Row],[Índice]],"")</f>
        <v/>
      </c>
      <c r="AW23" s="120"/>
      <c r="AX23" s="4">
        <v>1</v>
      </c>
    </row>
    <row r="24" spans="2:50" s="6" customFormat="1" ht="13" x14ac:dyDescent="0.3">
      <c r="B24" s="246" t="s">
        <v>158</v>
      </c>
      <c r="C24" s="1" t="s">
        <v>159</v>
      </c>
      <c r="D24" s="4">
        <v>1</v>
      </c>
      <c r="E24" s="113">
        <v>0.70833333333333304</v>
      </c>
      <c r="F24" s="113">
        <v>0.77083333333332604</v>
      </c>
      <c r="G24" s="226" t="s">
        <v>92</v>
      </c>
      <c r="H24" s="4" t="s">
        <v>160</v>
      </c>
      <c r="I24" s="4"/>
      <c r="J24" s="231">
        <v>8</v>
      </c>
      <c r="K24" s="115"/>
      <c r="L24" s="3"/>
      <c r="M24" s="127"/>
      <c r="N24" s="3"/>
      <c r="O24" s="4">
        <v>1822</v>
      </c>
      <c r="P24" s="114" t="s">
        <v>90</v>
      </c>
      <c r="Q24" s="114"/>
      <c r="R24" s="114" t="s">
        <v>90</v>
      </c>
      <c r="S24" s="114"/>
      <c r="T24" s="114"/>
      <c r="U24" s="114"/>
      <c r="V24" s="114"/>
      <c r="W24" s="114"/>
      <c r="X24" s="117">
        <f>_xlfn.XLOOKUP(base_de_datos[[#This Row],[Materia]],Materias,Horas)/16</f>
        <v>3</v>
      </c>
      <c r="Y24" s="117">
        <f>ROUND(((base_de_datos[[#This Row],[Hora fin]]-base_de_datos[[#This Row],[Hora inicio]])*24)*(COUNTA(base_de_datos[[#This Row],[Lunes]:[Sábado]])),1)</f>
        <v>3</v>
      </c>
      <c r="Z24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24" s="117">
        <f ca="1">IF(base_de_datos[[#This Row],[No clase]]=OFFSET(base_de_datos[[#This Row],[No clase]],-1,0),0,1)</f>
        <v>1</v>
      </c>
      <c r="AB24" s="117">
        <f ca="1">IF(NOT(OR(base_de_datos[[#This Row],[Horas totales]]=base_de_datos[[#This Row],[HT Plan]],base_de_datos[[#This Row],[Horas totales]]="N/A")),1,0)</f>
        <v>0</v>
      </c>
      <c r="AC24" s="117" t="str">
        <f>_xlfn.XLOOKUP(base_de_datos[[#This Row],[Profesor]],Nombre,Grado)</f>
        <v>L</v>
      </c>
      <c r="AD24" s="118" t="str">
        <f>_xlfn.XLOOKUP(base_de_datos[[#This Row],[Profesor]],Nombre,Tipo)</f>
        <v>TC</v>
      </c>
      <c r="AE24" s="117" t="str">
        <f>IF(IFERROR(VLOOKUP($C24,Planes_de_estudio[],MATCH($AE$2,Carreras,0)+2,0),"")&gt;0,IFERROR(VLOOKUP($C24,Planes_de_estudio[],MATCH($AE$2,Carreras,0)+2,0),""),"")</f>
        <v/>
      </c>
      <c r="AF24" s="117" t="str">
        <f>IF(IFERROR(VLOOKUP($C24,Planes_de_estudio[],MATCH($AF$2,Carreras,0)+2,0),"")&gt;0,IFERROR(VLOOKUP($C24,Planes_de_estudio[],MATCH($AF$2,Carreras,0)+2,0),""),"")</f>
        <v/>
      </c>
      <c r="AG24" s="117" t="str">
        <f>IF(IFERROR(VLOOKUP($C24,Planes_de_estudio[],MATCH($AG$2,Carreras,0)+2,0),"")&gt;0,IFERROR(VLOOKUP($C24,Planes_de_estudio[],MATCH($AG$2,Carreras,0)+2,0),""),"")</f>
        <v/>
      </c>
      <c r="AH24" s="117" t="str">
        <f>IF(IFERROR(VLOOKUP($C24,Planes_de_estudio[],MATCH($AH$2,Carreras,0)+2,0),"")&gt;0,IFERROR(VLOOKUP($C24,Planes_de_estudio[],MATCH($AH$2,Carreras,0)+2,0),""),"")</f>
        <v/>
      </c>
      <c r="AI24" s="117" t="str">
        <f>IF(IFERROR(VLOOKUP($C24,Planes_de_estudio[],MATCH($AI$2,Carreras,0)+2,0),"")&gt;0,IFERROR(VLOOKUP($C24,Planes_de_estudio[],MATCH($AI$2,Carreras,0)+2,0),""),"")</f>
        <v/>
      </c>
      <c r="AJ24" s="117">
        <f>IF(IFERROR(VLOOKUP($C24,Planes_de_estudio[],MATCH($AJ$2,Carreras,0)+2,0),"")&gt;0,IFERROR(VLOOKUP($C24,Planes_de_estudio[],MATCH($AJ$2,Carreras,0)+2,0),""),"")</f>
        <v>8</v>
      </c>
      <c r="AK24" s="117" t="str">
        <f>IF(IFERROR(VLOOKUP($C24,Planes_de_estudio[],MATCH($AK$2,Carreras,0)+2,0),"")&gt;0,IFERROR(VLOOKUP($C24,Planes_de_estudio[],MATCH($AK$2,Carreras,0)+2,0),""),"")</f>
        <v/>
      </c>
      <c r="AL24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24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14</v>
      </c>
      <c r="AN24" s="117">
        <f>base_de_datos[[#This Row],[Pronóstico]]/25</f>
        <v>0.56000000000000005</v>
      </c>
      <c r="AO24" s="117" t="str">
        <f>VLOOKUP($C24,Planes_de_estudio[],2)</f>
        <v>ESC</v>
      </c>
      <c r="AP24" s="119" t="str">
        <f ca="1">IF(AND(base_de_datos[[#This Row],[Industrial]]&lt;&gt;"",base_de_datos[[#This Row],[Misma o no]]=1),base_de_datos[[#This Row],[Índice]],"")</f>
        <v/>
      </c>
      <c r="AQ24" s="119" t="str">
        <f ca="1">IF(AND(base_de_datos[[#This Row],[Mecatrónica]]&lt;&gt;"",base_de_datos[[#This Row],[Misma o no]]=1),base_de_datos[[#This Row],[Índice]],"")</f>
        <v/>
      </c>
      <c r="AR24" s="119" t="str">
        <f ca="1">IF(AND(base_de_datos[[#This Row],[Innovación y Diseño]]&lt;&gt;"",base_de_datos[[#This Row],[Misma o no]]=1),base_de_datos[[#This Row],[Índice]],"")</f>
        <v/>
      </c>
      <c r="AS24" s="119" t="str">
        <f ca="1">IF(AND(base_de_datos[[#This Row],[Inteligencia Artificial]]&lt;&gt;"",base_de_datos[[#This Row],[Misma o no]]=1),base_de_datos[[#This Row],[Índice]],"")</f>
        <v/>
      </c>
      <c r="AT24" s="119" t="str">
        <f ca="1">IF(AND(base_de_datos[[#This Row],[Tecnologías Energéticas]]&lt;&gt;"",base_de_datos[[#This Row],[Misma o no]]=1),base_de_datos[[#This Row],[Índice]],"")</f>
        <v/>
      </c>
      <c r="AU24" s="119">
        <f ca="1">IF(AND(base_de_datos[[#This Row],[Civil y Administración]]&lt;&gt;"",base_de_datos[[#This Row],[Misma o no]]=1),base_de_datos[[#This Row],[Índice]],"")</f>
        <v>1</v>
      </c>
      <c r="AV24" s="119" t="str">
        <f ca="1">IF(AND(base_de_datos[[#This Row],[Bioelectrónica]]&lt;&gt;"",base_de_datos[[#This Row],[Misma o no]]=1),base_de_datos[[#This Row],[Índice]],"")</f>
        <v/>
      </c>
      <c r="AW24" s="120"/>
      <c r="AX24" s="4">
        <v>1</v>
      </c>
    </row>
    <row r="25" spans="2:50" s="6" customFormat="1" ht="13" x14ac:dyDescent="0.3">
      <c r="B25" s="6" t="s">
        <v>161</v>
      </c>
      <c r="C25" s="1" t="s">
        <v>162</v>
      </c>
      <c r="D25" s="4">
        <v>1</v>
      </c>
      <c r="E25" s="113">
        <v>0.79166666666666696</v>
      </c>
      <c r="F25" s="113">
        <v>0.87499999999999001</v>
      </c>
      <c r="G25" s="4" t="s">
        <v>87</v>
      </c>
      <c r="H25" s="4" t="s">
        <v>127</v>
      </c>
      <c r="I25" s="4"/>
      <c r="J25" s="234">
        <v>4</v>
      </c>
      <c r="K25" s="115"/>
      <c r="L25" s="3"/>
      <c r="M25" s="127"/>
      <c r="N25" s="3"/>
      <c r="O25" s="4" t="s">
        <v>163</v>
      </c>
      <c r="P25" s="114"/>
      <c r="Q25" s="114" t="s">
        <v>90</v>
      </c>
      <c r="R25" s="114"/>
      <c r="S25" s="114"/>
      <c r="T25" s="114"/>
      <c r="U25" s="114"/>
      <c r="V25" s="114"/>
      <c r="W25" s="114"/>
      <c r="X25" s="117">
        <f>_xlfn.XLOOKUP(base_de_datos[[#This Row],[Materia]],Materias,Horas)/16</f>
        <v>4</v>
      </c>
      <c r="Y25" s="117">
        <f>ROUND(((base_de_datos[[#This Row],[Hora fin]]-base_de_datos[[#This Row],[Hora inicio]])*24)*(COUNTA(base_de_datos[[#This Row],[Lunes]:[Sábado]])),1)</f>
        <v>2</v>
      </c>
      <c r="Z25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5" s="117">
        <f ca="1">IF(base_de_datos[[#This Row],[No clase]]=OFFSET(base_de_datos[[#This Row],[No clase]],-1,0),0,1)</f>
        <v>1</v>
      </c>
      <c r="AB25" s="117">
        <f ca="1">IF(NOT(OR(base_de_datos[[#This Row],[Horas totales]]=base_de_datos[[#This Row],[HT Plan]],base_de_datos[[#This Row],[Horas totales]]="N/A")),1,0)</f>
        <v>0</v>
      </c>
      <c r="AC25" s="117" t="str">
        <f>_xlfn.XLOOKUP(base_de_datos[[#This Row],[Profesor]],Nombre,Grado)</f>
        <v>L</v>
      </c>
      <c r="AD25" s="118" t="str">
        <f>_xlfn.XLOOKUP(base_de_datos[[#This Row],[Profesor]],Nombre,Tipo)</f>
        <v>A</v>
      </c>
      <c r="AE25" s="117" t="str">
        <f>IF(IFERROR(VLOOKUP($C25,Planes_de_estudio[],MATCH($AE$2,Carreras,0)+2,0),"")&gt;0,IFERROR(VLOOKUP($C25,Planes_de_estudio[],MATCH($AE$2,Carreras,0)+2,0),""),"")</f>
        <v/>
      </c>
      <c r="AF25" s="117" t="str">
        <f>IF(IFERROR(VLOOKUP($C25,Planes_de_estudio[],MATCH($AF$2,Carreras,0)+2,0),"")&gt;0,IFERROR(VLOOKUP($C25,Planes_de_estudio[],MATCH($AF$2,Carreras,0)+2,0),""),"")</f>
        <v/>
      </c>
      <c r="AG25" s="117" t="str">
        <f>IF(IFERROR(VLOOKUP($C25,Planes_de_estudio[],MATCH($AG$2,Carreras,0)+2,0),"")&gt;0,IFERROR(VLOOKUP($C25,Planes_de_estudio[],MATCH($AG$2,Carreras,0)+2,0),""),"")</f>
        <v/>
      </c>
      <c r="AH25" s="117" t="str">
        <f>IF(IFERROR(VLOOKUP($C25,Planes_de_estudio[],MATCH($AH$2,Carreras,0)+2,0),"")&gt;0,IFERROR(VLOOKUP($C25,Planes_de_estudio[],MATCH($AH$2,Carreras,0)+2,0),""),"")</f>
        <v/>
      </c>
      <c r="AI25" s="117" t="str">
        <f>IF(IFERROR(VLOOKUP($C25,Planes_de_estudio[],MATCH($AI$2,Carreras,0)+2,0),"")&gt;0,IFERROR(VLOOKUP($C25,Planes_de_estudio[],MATCH($AI$2,Carreras,0)+2,0),""),"")</f>
        <v/>
      </c>
      <c r="AJ25" s="117" t="str">
        <f>IF(IFERROR(VLOOKUP($C25,Planes_de_estudio[],MATCH($AJ$2,Carreras,0)+2,0),"")&gt;0,IFERROR(VLOOKUP($C25,Planes_de_estudio[],MATCH($AJ$2,Carreras,0)+2,0),""),"")</f>
        <v/>
      </c>
      <c r="AK25" s="117">
        <f>IF(IFERROR(VLOOKUP($C25,Planes_de_estudio[],MATCH($AK$2,Carreras,0)+2,0),"")&gt;0,IFERROR(VLOOKUP($C25,Planes_de_estudio[],MATCH($AK$2,Carreras,0)+2,0),""),"")</f>
        <v>8</v>
      </c>
      <c r="AL25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25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10</v>
      </c>
      <c r="AN25" s="117">
        <f>base_de_datos[[#This Row],[Pronóstico]]/25</f>
        <v>0.4</v>
      </c>
      <c r="AO25" s="117" t="str">
        <f>VLOOKUP($C25,Planes_de_estudio[],2)</f>
        <v>BIO</v>
      </c>
      <c r="AP25" s="119" t="str">
        <f ca="1">IF(AND(base_de_datos[[#This Row],[Industrial]]&lt;&gt;"",base_de_datos[[#This Row],[Misma o no]]=1),base_de_datos[[#This Row],[Índice]],"")</f>
        <v/>
      </c>
      <c r="AQ25" s="119" t="str">
        <f ca="1">IF(AND(base_de_datos[[#This Row],[Mecatrónica]]&lt;&gt;"",base_de_datos[[#This Row],[Misma o no]]=1),base_de_datos[[#This Row],[Índice]],"")</f>
        <v/>
      </c>
      <c r="AR25" s="119" t="str">
        <f ca="1">IF(AND(base_de_datos[[#This Row],[Innovación y Diseño]]&lt;&gt;"",base_de_datos[[#This Row],[Misma o no]]=1),base_de_datos[[#This Row],[Índice]],"")</f>
        <v/>
      </c>
      <c r="AS25" s="119" t="str">
        <f ca="1">IF(AND(base_de_datos[[#This Row],[Inteligencia Artificial]]&lt;&gt;"",base_de_datos[[#This Row],[Misma o no]]=1),base_de_datos[[#This Row],[Índice]],"")</f>
        <v/>
      </c>
      <c r="AT25" s="119" t="str">
        <f ca="1">IF(AND(base_de_datos[[#This Row],[Tecnologías Energéticas]]&lt;&gt;"",base_de_datos[[#This Row],[Misma o no]]=1),base_de_datos[[#This Row],[Índice]],"")</f>
        <v/>
      </c>
      <c r="AU25" s="119" t="str">
        <f ca="1">IF(AND(base_de_datos[[#This Row],[Civil y Administración]]&lt;&gt;"",base_de_datos[[#This Row],[Misma o no]]=1),base_de_datos[[#This Row],[Índice]],"")</f>
        <v/>
      </c>
      <c r="AV25" s="119">
        <f ca="1">IF(AND(base_de_datos[[#This Row],[Bioelectrónica]]&lt;&gt;"",base_de_datos[[#This Row],[Misma o no]]=1),base_de_datos[[#This Row],[Índice]],"")</f>
        <v>1</v>
      </c>
      <c r="AW25" s="120"/>
      <c r="AX25" s="4">
        <v>3</v>
      </c>
    </row>
    <row r="26" spans="2:50" s="6" customFormat="1" ht="13" x14ac:dyDescent="0.3">
      <c r="B26" s="6" t="s">
        <v>161</v>
      </c>
      <c r="C26" s="1" t="s">
        <v>162</v>
      </c>
      <c r="D26" s="4">
        <v>1</v>
      </c>
      <c r="E26" s="113">
        <v>0.79166666666666696</v>
      </c>
      <c r="F26" s="113">
        <v>0.87499999999999001</v>
      </c>
      <c r="G26" s="4" t="s">
        <v>87</v>
      </c>
      <c r="H26" s="4" t="s">
        <v>164</v>
      </c>
      <c r="I26" s="4"/>
      <c r="J26" s="234">
        <v>4</v>
      </c>
      <c r="K26" s="115"/>
      <c r="L26" s="3"/>
      <c r="M26" s="127"/>
      <c r="N26" s="3"/>
      <c r="O26" s="4" t="s">
        <v>163</v>
      </c>
      <c r="P26" s="114"/>
      <c r="Q26" s="114"/>
      <c r="R26" s="114" t="s">
        <v>90</v>
      </c>
      <c r="S26" s="114"/>
      <c r="T26" s="114"/>
      <c r="U26" s="114"/>
      <c r="V26" s="114"/>
      <c r="W26" s="114"/>
      <c r="X26" s="117">
        <f>_xlfn.XLOOKUP(base_de_datos[[#This Row],[Materia]],Materias,Horas)/16</f>
        <v>4</v>
      </c>
      <c r="Y26" s="117">
        <f>ROUND(((base_de_datos[[#This Row],[Hora fin]]-base_de_datos[[#This Row],[Hora inicio]])*24)*(COUNTA(base_de_datos[[#This Row],[Lunes]:[Sábado]])),1)</f>
        <v>2</v>
      </c>
      <c r="Z26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6" s="117">
        <f ca="1">IF(base_de_datos[[#This Row],[No clase]]=OFFSET(base_de_datos[[#This Row],[No clase]],-1,0),0,1)</f>
        <v>0</v>
      </c>
      <c r="AB26" s="117">
        <f ca="1">IF(NOT(OR(base_de_datos[[#This Row],[Horas totales]]=base_de_datos[[#This Row],[HT Plan]],base_de_datos[[#This Row],[Horas totales]]="N/A")),1,0)</f>
        <v>0</v>
      </c>
      <c r="AC26" s="117" t="str">
        <f>_xlfn.XLOOKUP(base_de_datos[[#This Row],[Profesor]],Nombre,Grado)</f>
        <v>L</v>
      </c>
      <c r="AD26" s="118" t="str">
        <f>_xlfn.XLOOKUP(base_de_datos[[#This Row],[Profesor]],Nombre,Tipo)</f>
        <v>A</v>
      </c>
      <c r="AE26" s="117" t="str">
        <f>IF(IFERROR(VLOOKUP($C26,Planes_de_estudio[],MATCH($AE$2,Carreras,0)+2,0),"")&gt;0,IFERROR(VLOOKUP($C26,Planes_de_estudio[],MATCH($AE$2,Carreras,0)+2,0),""),"")</f>
        <v/>
      </c>
      <c r="AF26" s="117" t="str">
        <f>IF(IFERROR(VLOOKUP($C26,Planes_de_estudio[],MATCH($AF$2,Carreras,0)+2,0),"")&gt;0,IFERROR(VLOOKUP($C26,Planes_de_estudio[],MATCH($AF$2,Carreras,0)+2,0),""),"")</f>
        <v/>
      </c>
      <c r="AG26" s="117" t="str">
        <f>IF(IFERROR(VLOOKUP($C26,Planes_de_estudio[],MATCH($AG$2,Carreras,0)+2,0),"")&gt;0,IFERROR(VLOOKUP($C26,Planes_de_estudio[],MATCH($AG$2,Carreras,0)+2,0),""),"")</f>
        <v/>
      </c>
      <c r="AH26" s="117" t="str">
        <f>IF(IFERROR(VLOOKUP($C26,Planes_de_estudio[],MATCH($AH$2,Carreras,0)+2,0),"")&gt;0,IFERROR(VLOOKUP($C26,Planes_de_estudio[],MATCH($AH$2,Carreras,0)+2,0),""),"")</f>
        <v/>
      </c>
      <c r="AI26" s="117" t="str">
        <f>IF(IFERROR(VLOOKUP($C26,Planes_de_estudio[],MATCH($AI$2,Carreras,0)+2,0),"")&gt;0,IFERROR(VLOOKUP($C26,Planes_de_estudio[],MATCH($AI$2,Carreras,0)+2,0),""),"")</f>
        <v/>
      </c>
      <c r="AJ26" s="117" t="str">
        <f>IF(IFERROR(VLOOKUP($C26,Planes_de_estudio[],MATCH($AJ$2,Carreras,0)+2,0),"")&gt;0,IFERROR(VLOOKUP($C26,Planes_de_estudio[],MATCH($AJ$2,Carreras,0)+2,0),""),"")</f>
        <v/>
      </c>
      <c r="AK26" s="117">
        <f>IF(IFERROR(VLOOKUP($C26,Planes_de_estudio[],MATCH($AK$2,Carreras,0)+2,0),"")&gt;0,IFERROR(VLOOKUP($C26,Planes_de_estudio[],MATCH($AK$2,Carreras,0)+2,0),""),"")</f>
        <v>8</v>
      </c>
      <c r="AL26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26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10</v>
      </c>
      <c r="AN26" s="117">
        <f>base_de_datos[[#This Row],[Pronóstico]]/25</f>
        <v>0.4</v>
      </c>
      <c r="AO26" s="117" t="str">
        <f>VLOOKUP($C26,Planes_de_estudio[],2)</f>
        <v>BIO</v>
      </c>
      <c r="AP26" s="119" t="str">
        <f ca="1">IF(AND(base_de_datos[[#This Row],[Industrial]]&lt;&gt;"",base_de_datos[[#This Row],[Misma o no]]=1),base_de_datos[[#This Row],[Índice]],"")</f>
        <v/>
      </c>
      <c r="AQ26" s="119" t="str">
        <f ca="1">IF(AND(base_de_datos[[#This Row],[Mecatrónica]]&lt;&gt;"",base_de_datos[[#This Row],[Misma o no]]=1),base_de_datos[[#This Row],[Índice]],"")</f>
        <v/>
      </c>
      <c r="AR26" s="119" t="str">
        <f ca="1">IF(AND(base_de_datos[[#This Row],[Innovación y Diseño]]&lt;&gt;"",base_de_datos[[#This Row],[Misma o no]]=1),base_de_datos[[#This Row],[Índice]],"")</f>
        <v/>
      </c>
      <c r="AS26" s="119" t="str">
        <f ca="1">IF(AND(base_de_datos[[#This Row],[Inteligencia Artificial]]&lt;&gt;"",base_de_datos[[#This Row],[Misma o no]]=1),base_de_datos[[#This Row],[Índice]],"")</f>
        <v/>
      </c>
      <c r="AT26" s="119" t="str">
        <f ca="1">IF(AND(base_de_datos[[#This Row],[Tecnologías Energéticas]]&lt;&gt;"",base_de_datos[[#This Row],[Misma o no]]=1),base_de_datos[[#This Row],[Índice]],"")</f>
        <v/>
      </c>
      <c r="AU26" s="119" t="str">
        <f ca="1">IF(AND(base_de_datos[[#This Row],[Civil y Administración]]&lt;&gt;"",base_de_datos[[#This Row],[Misma o no]]=1),base_de_datos[[#This Row],[Índice]],"")</f>
        <v/>
      </c>
      <c r="AV26" s="119" t="str">
        <f ca="1">IF(AND(base_de_datos[[#This Row],[Bioelectrónica]]&lt;&gt;"",base_de_datos[[#This Row],[Misma o no]]=1),base_de_datos[[#This Row],[Índice]],"")</f>
        <v/>
      </c>
      <c r="AW26" s="120"/>
      <c r="AX26" s="4">
        <v>3</v>
      </c>
    </row>
    <row r="27" spans="2:50" s="6" customFormat="1" ht="13" x14ac:dyDescent="0.3">
      <c r="B27" s="6" t="s">
        <v>136</v>
      </c>
      <c r="C27" s="1" t="s">
        <v>137</v>
      </c>
      <c r="D27" s="4">
        <v>1</v>
      </c>
      <c r="E27" s="113">
        <v>0.29166666666666669</v>
      </c>
      <c r="F27" s="113">
        <v>0.374999999999999</v>
      </c>
      <c r="G27" s="4" t="s">
        <v>87</v>
      </c>
      <c r="H27" s="4" t="s">
        <v>138</v>
      </c>
      <c r="I27" s="4"/>
      <c r="J27" s="233">
        <v>4</v>
      </c>
      <c r="K27" s="115"/>
      <c r="L27" s="3"/>
      <c r="M27" s="115"/>
      <c r="N27" s="3"/>
      <c r="O27" s="4" t="s">
        <v>139</v>
      </c>
      <c r="P27" s="114" t="s">
        <v>90</v>
      </c>
      <c r="Q27" s="114"/>
      <c r="R27" s="114" t="s">
        <v>90</v>
      </c>
      <c r="S27" s="114"/>
      <c r="T27" s="114"/>
      <c r="U27" s="114"/>
      <c r="V27" s="114"/>
      <c r="W27" s="114"/>
      <c r="X27" s="116">
        <f>_xlfn.XLOOKUP(base_de_datos[[#This Row],[Materia]],Materias,Horas)/16</f>
        <v>4</v>
      </c>
      <c r="Y27" s="116">
        <f>ROUND(((base_de_datos[[#This Row],[Hora fin]]-base_de_datos[[#This Row],[Hora inicio]])*24)*(COUNTA(base_de_datos[[#This Row],[Lunes]:[Sábado]])),1)</f>
        <v>4</v>
      </c>
      <c r="Z27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7" s="117">
        <f ca="1">IF(base_de_datos[[#This Row],[No clase]]=OFFSET(base_de_datos[[#This Row],[No clase]],-1,0),0,1)</f>
        <v>1</v>
      </c>
      <c r="AB27" s="117">
        <f ca="1">IF(NOT(OR(base_de_datos[[#This Row],[Horas totales]]=base_de_datos[[#This Row],[HT Plan]],base_de_datos[[#This Row],[Horas totales]]="N/A")),1,0)</f>
        <v>0</v>
      </c>
      <c r="AC27" s="116" t="str">
        <f>_xlfn.XLOOKUP(base_de_datos[[#This Row],[Profesor]],Nombre,Grado)</f>
        <v>L</v>
      </c>
      <c r="AD27" s="118" t="str">
        <f>_xlfn.XLOOKUP(base_de_datos[[#This Row],[Profesor]],Nombre,Tipo)</f>
        <v>A</v>
      </c>
      <c r="AE27" s="116">
        <f>IF(IFERROR(VLOOKUP($C27,Planes_de_estudio[],MATCH($AE$2,Carreras,0)+2,0),"")&gt;0,IFERROR(VLOOKUP($C27,Planes_de_estudio[],MATCH($AE$2,Carreras,0)+2,0),""),"")</f>
        <v>1</v>
      </c>
      <c r="AF27" s="116">
        <f>IF(IFERROR(VLOOKUP($C27,Planes_de_estudio[],MATCH($AF$2,Carreras,0)+2,0),"")&gt;0,IFERROR(VLOOKUP($C27,Planes_de_estudio[],MATCH($AF$2,Carreras,0)+2,0),""),"")</f>
        <v>1</v>
      </c>
      <c r="AG27" s="116">
        <f>IF(IFERROR(VLOOKUP($C27,Planes_de_estudio[],MATCH($AG$2,Carreras,0)+2,0),"")&gt;0,IFERROR(VLOOKUP($C27,Planes_de_estudio[],MATCH($AG$2,Carreras,0)+2,0),""),"")</f>
        <v>3</v>
      </c>
      <c r="AH27" s="116">
        <f>IF(IFERROR(VLOOKUP($C27,Planes_de_estudio[],MATCH($AH$2,Carreras,0)+2,0),"")&gt;0,IFERROR(VLOOKUP($C27,Planes_de_estudio[],MATCH($AH$2,Carreras,0)+2,0),""),"")</f>
        <v>1</v>
      </c>
      <c r="AI27" s="116">
        <f>IF(IFERROR(VLOOKUP($C27,Planes_de_estudio[],MATCH($AI$2,Carreras,0)+2,0),"")&gt;0,IFERROR(VLOOKUP($C27,Planes_de_estudio[],MATCH($AI$2,Carreras,0)+2,0),""),"")</f>
        <v>1</v>
      </c>
      <c r="AJ27" s="116">
        <f>IF(IFERROR(VLOOKUP($C27,Planes_de_estudio[],MATCH($AJ$2,Carreras,0)+2,0),"")&gt;0,IFERROR(VLOOKUP($C27,Planes_de_estudio[],MATCH($AJ$2,Carreras,0)+2,0),""),"")</f>
        <v>1</v>
      </c>
      <c r="AK27" s="116">
        <f>IF(IFERROR(VLOOKUP($C27,Planes_de_estudio[],MATCH($AK$2,Carreras,0)+2,0),"")&gt;0,IFERROR(VLOOKUP($C27,Planes_de_estudio[],MATCH($AK$2,Carreras,0)+2,0),""),"")</f>
        <v>1</v>
      </c>
      <c r="AL27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27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20</v>
      </c>
      <c r="AN27" s="117">
        <f>base_de_datos[[#This Row],[Pronóstico]]/25</f>
        <v>0.8</v>
      </c>
      <c r="AO27" s="117" t="str">
        <f>VLOOKUP($C27,Planes_de_estudio[],2)</f>
        <v>COM</v>
      </c>
      <c r="AP27" s="119">
        <f ca="1">IF(AND(base_de_datos[[#This Row],[Industrial]]&lt;&gt;"",base_de_datos[[#This Row],[Misma o no]]=1),base_de_datos[[#This Row],[Índice]],"")</f>
        <v>1</v>
      </c>
      <c r="AQ27" s="119">
        <f ca="1">IF(AND(base_de_datos[[#This Row],[Mecatrónica]]&lt;&gt;"",base_de_datos[[#This Row],[Misma o no]]=1),base_de_datos[[#This Row],[Índice]],"")</f>
        <v>1</v>
      </c>
      <c r="AR27" s="119">
        <f ca="1">IF(AND(base_de_datos[[#This Row],[Innovación y Diseño]]&lt;&gt;"",base_de_datos[[#This Row],[Misma o no]]=1),base_de_datos[[#This Row],[Índice]],"")</f>
        <v>1</v>
      </c>
      <c r="AS27" s="119">
        <f ca="1">IF(AND(base_de_datos[[#This Row],[Inteligencia Artificial]]&lt;&gt;"",base_de_datos[[#This Row],[Misma o no]]=1),base_de_datos[[#This Row],[Índice]],"")</f>
        <v>1</v>
      </c>
      <c r="AT27" s="119">
        <f ca="1">IF(AND(base_de_datos[[#This Row],[Tecnologías Energéticas]]&lt;&gt;"",base_de_datos[[#This Row],[Misma o no]]=1),base_de_datos[[#This Row],[Índice]],"")</f>
        <v>1</v>
      </c>
      <c r="AU27" s="119">
        <f ca="1">IF(AND(base_de_datos[[#This Row],[Civil y Administración]]&lt;&gt;"",base_de_datos[[#This Row],[Misma o no]]=1),base_de_datos[[#This Row],[Índice]],"")</f>
        <v>1</v>
      </c>
      <c r="AV27" s="119">
        <f ca="1">IF(AND(base_de_datos[[#This Row],[Bioelectrónica]]&lt;&gt;"",base_de_datos[[#This Row],[Misma o no]]=1),base_de_datos[[#This Row],[Índice]],"")</f>
        <v>1</v>
      </c>
      <c r="AW27" s="120"/>
      <c r="AX27" s="4" t="s">
        <v>1810</v>
      </c>
    </row>
    <row r="28" spans="2:50" s="6" customFormat="1" ht="13" x14ac:dyDescent="0.3">
      <c r="B28" s="9" t="s">
        <v>140</v>
      </c>
      <c r="C28" s="1" t="s">
        <v>141</v>
      </c>
      <c r="D28" s="4">
        <v>1</v>
      </c>
      <c r="E28" s="113">
        <v>0.5</v>
      </c>
      <c r="F28" s="113">
        <v>0.58333333333332904</v>
      </c>
      <c r="G28" s="227" t="s">
        <v>92</v>
      </c>
      <c r="H28" s="4" t="s">
        <v>113</v>
      </c>
      <c r="I28" s="4"/>
      <c r="J28" s="114"/>
      <c r="K28" s="115"/>
      <c r="L28" s="3"/>
      <c r="M28" s="115"/>
      <c r="N28" s="3"/>
      <c r="O28" s="4" t="s">
        <v>142</v>
      </c>
      <c r="P28" s="114" t="s">
        <v>90</v>
      </c>
      <c r="Q28" s="114"/>
      <c r="R28" s="114"/>
      <c r="S28" s="114"/>
      <c r="T28" s="114"/>
      <c r="U28" s="114"/>
      <c r="V28" s="114"/>
      <c r="W28" s="114"/>
      <c r="X28" s="116">
        <f>_xlfn.XLOOKUP(base_de_datos[[#This Row],[Materia]],Materias,Horas)/16</f>
        <v>2</v>
      </c>
      <c r="Y28" s="117">
        <f>ROUND(((base_de_datos[[#This Row],[Hora fin]]-base_de_datos[[#This Row],[Hora inicio]])*24)*(COUNTA(base_de_datos[[#This Row],[Lunes]:[Sábado]])),1)</f>
        <v>2</v>
      </c>
      <c r="Z28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28" s="117">
        <f ca="1">IF(base_de_datos[[#This Row],[No clase]]=OFFSET(base_de_datos[[#This Row],[No clase]],-1,0),0,1)</f>
        <v>1</v>
      </c>
      <c r="AB28" s="117">
        <f ca="1">IF(NOT(OR(base_de_datos[[#This Row],[Horas totales]]=base_de_datos[[#This Row],[HT Plan]],base_de_datos[[#This Row],[Horas totales]]="N/A")),1,0)</f>
        <v>0</v>
      </c>
      <c r="AC28" s="117" t="str">
        <f>_xlfn.XLOOKUP(base_de_datos[[#This Row],[Profesor]],Nombre,Grado)</f>
        <v>D</v>
      </c>
      <c r="AD28" s="118" t="str">
        <f>_xlfn.XLOOKUP(base_de_datos[[#This Row],[Profesor]],Nombre,Tipo)</f>
        <v>H</v>
      </c>
      <c r="AE28" s="117">
        <f>IF(IFERROR(VLOOKUP($C28,Planes_de_estudio[],MATCH($AE$2,Carreras,0)+2,0),"")&gt;0,IFERROR(VLOOKUP($C28,Planes_de_estudio[],MATCH($AE$2,Carreras,0)+2,0),""),"")</f>
        <v>4</v>
      </c>
      <c r="AF28" s="117">
        <f>IF(IFERROR(VLOOKUP($C28,Planes_de_estudio[],MATCH($AF$2,Carreras,0)+2,0),"")&gt;0,IFERROR(VLOOKUP($C28,Planes_de_estudio[],MATCH($AF$2,Carreras,0)+2,0),""),"")</f>
        <v>4</v>
      </c>
      <c r="AG28" s="117">
        <f>IF(IFERROR(VLOOKUP($C28,Planes_de_estudio[],MATCH($AG$2,Carreras,0)+2,0),"")&gt;0,IFERROR(VLOOKUP($C28,Planes_de_estudio[],MATCH($AG$2,Carreras,0)+2,0),""),"")</f>
        <v>4</v>
      </c>
      <c r="AH28" s="117">
        <f>IF(IFERROR(VLOOKUP($C28,Planes_de_estudio[],MATCH($AH$2,Carreras,0)+2,0),"")&gt;0,IFERROR(VLOOKUP($C28,Planes_de_estudio[],MATCH($AH$2,Carreras,0)+2,0),""),"")</f>
        <v>4</v>
      </c>
      <c r="AI28" s="117">
        <f>IF(IFERROR(VLOOKUP($C28,Planes_de_estudio[],MATCH($AI$2,Carreras,0)+2,0),"")&gt;0,IFERROR(VLOOKUP($C28,Planes_de_estudio[],MATCH($AI$2,Carreras,0)+2,0),""),"")</f>
        <v>4</v>
      </c>
      <c r="AJ28" s="117">
        <f>IF(IFERROR(VLOOKUP($C28,Planes_de_estudio[],MATCH($AJ$2,Carreras,0)+2,0),"")&gt;0,IFERROR(VLOOKUP($C28,Planes_de_estudio[],MATCH($AJ$2,Carreras,0)+2,0),""),"")</f>
        <v>4</v>
      </c>
      <c r="AK28" s="117">
        <f>IF(IFERROR(VLOOKUP($C28,Planes_de_estudio[],MATCH($AK$2,Carreras,0)+2,0),"")&gt;0,IFERROR(VLOOKUP($C28,Planes_de_estudio[],MATCH($AK$2,Carreras,0)+2,0),""),"")</f>
        <v>4</v>
      </c>
      <c r="AL28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28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101</v>
      </c>
      <c r="AN28" s="117">
        <f>base_de_datos[[#This Row],[Pronóstico]]/25</f>
        <v>4.04</v>
      </c>
      <c r="AO28" s="117" t="str">
        <f>VLOOKUP($C28,Planes_de_estudio[],2)</f>
        <v>HUM</v>
      </c>
      <c r="AP28" s="119">
        <f ca="1">IF(AND(base_de_datos[[#This Row],[Industrial]]&lt;&gt;"",base_de_datos[[#This Row],[Misma o no]]=1),base_de_datos[[#This Row],[Índice]],"")</f>
        <v>6</v>
      </c>
      <c r="AQ28" s="119">
        <f ca="1">IF(AND(base_de_datos[[#This Row],[Mecatrónica]]&lt;&gt;"",base_de_datos[[#This Row],[Misma o no]]=1),base_de_datos[[#This Row],[Índice]],"")</f>
        <v>6</v>
      </c>
      <c r="AR28" s="119">
        <f ca="1">IF(AND(base_de_datos[[#This Row],[Innovación y Diseño]]&lt;&gt;"",base_de_datos[[#This Row],[Misma o no]]=1),base_de_datos[[#This Row],[Índice]],"")</f>
        <v>6</v>
      </c>
      <c r="AS28" s="119">
        <f ca="1">IF(AND(base_de_datos[[#This Row],[Inteligencia Artificial]]&lt;&gt;"",base_de_datos[[#This Row],[Misma o no]]=1),base_de_datos[[#This Row],[Índice]],"")</f>
        <v>6</v>
      </c>
      <c r="AT28" s="119">
        <f ca="1">IF(AND(base_de_datos[[#This Row],[Tecnologías Energéticas]]&lt;&gt;"",base_de_datos[[#This Row],[Misma o no]]=1),base_de_datos[[#This Row],[Índice]],"")</f>
        <v>6</v>
      </c>
      <c r="AU28" s="119">
        <f ca="1">IF(AND(base_de_datos[[#This Row],[Civil y Administración]]&lt;&gt;"",base_de_datos[[#This Row],[Misma o no]]=1),base_de_datos[[#This Row],[Índice]],"")</f>
        <v>6</v>
      </c>
      <c r="AV28" s="119">
        <f ca="1">IF(AND(base_de_datos[[#This Row],[Bioelectrónica]]&lt;&gt;"",base_de_datos[[#This Row],[Misma o no]]=1),base_de_datos[[#This Row],[Índice]],"")</f>
        <v>6</v>
      </c>
      <c r="AW28" s="120"/>
      <c r="AX28" s="4">
        <v>1</v>
      </c>
    </row>
    <row r="29" spans="2:50" s="6" customFormat="1" ht="13" x14ac:dyDescent="0.3">
      <c r="B29" s="6" t="s">
        <v>143</v>
      </c>
      <c r="C29" s="1" t="s">
        <v>141</v>
      </c>
      <c r="D29" s="4">
        <v>2</v>
      </c>
      <c r="E29" s="113">
        <v>0.5</v>
      </c>
      <c r="F29" s="113">
        <v>0.58333333333332904</v>
      </c>
      <c r="G29" s="227" t="s">
        <v>92</v>
      </c>
      <c r="H29" s="4" t="s">
        <v>144</v>
      </c>
      <c r="I29" s="4"/>
      <c r="J29" s="114"/>
      <c r="K29" s="115"/>
      <c r="L29" s="3"/>
      <c r="M29" s="115"/>
      <c r="N29" s="3"/>
      <c r="O29" s="4" t="s">
        <v>145</v>
      </c>
      <c r="P29" s="114" t="s">
        <v>90</v>
      </c>
      <c r="Q29" s="114"/>
      <c r="R29" s="114"/>
      <c r="S29" s="114"/>
      <c r="T29" s="114"/>
      <c r="U29" s="114"/>
      <c r="V29" s="114"/>
      <c r="W29" s="114"/>
      <c r="X29" s="116">
        <f>_xlfn.XLOOKUP(base_de_datos[[#This Row],[Materia]],Materias,Horas)/16</f>
        <v>2</v>
      </c>
      <c r="Y29" s="117">
        <f>ROUND(((base_de_datos[[#This Row],[Hora fin]]-base_de_datos[[#This Row],[Hora inicio]])*24)*(COUNTA(base_de_datos[[#This Row],[Lunes]:[Sábado]])),1)</f>
        <v>2</v>
      </c>
      <c r="Z29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29" s="117">
        <f ca="1">IF(base_de_datos[[#This Row],[No clase]]=OFFSET(base_de_datos[[#This Row],[No clase]],-1,0),0,1)</f>
        <v>1</v>
      </c>
      <c r="AB29" s="117">
        <f ca="1">IF(NOT(OR(base_de_datos[[#This Row],[Horas totales]]=base_de_datos[[#This Row],[HT Plan]],base_de_datos[[#This Row],[Horas totales]]="N/A")),1,0)</f>
        <v>0</v>
      </c>
      <c r="AC29" s="117" t="str">
        <f>_xlfn.XLOOKUP(base_de_datos[[#This Row],[Profesor]],Nombre,Grado)</f>
        <v>D</v>
      </c>
      <c r="AD29" s="118" t="str">
        <f>_xlfn.XLOOKUP(base_de_datos[[#This Row],[Profesor]],Nombre,Tipo)</f>
        <v>H</v>
      </c>
      <c r="AE29" s="117">
        <f>IF(IFERROR(VLOOKUP($C29,Planes_de_estudio[],MATCH($AE$2,Carreras,0)+2,0),"")&gt;0,IFERROR(VLOOKUP($C29,Planes_de_estudio[],MATCH($AE$2,Carreras,0)+2,0),""),"")</f>
        <v>4</v>
      </c>
      <c r="AF29" s="117">
        <f>IF(IFERROR(VLOOKUP($C29,Planes_de_estudio[],MATCH($AF$2,Carreras,0)+2,0),"")&gt;0,IFERROR(VLOOKUP($C29,Planes_de_estudio[],MATCH($AF$2,Carreras,0)+2,0),""),"")</f>
        <v>4</v>
      </c>
      <c r="AG29" s="117">
        <f>IF(IFERROR(VLOOKUP($C29,Planes_de_estudio[],MATCH($AG$2,Carreras,0)+2,0),"")&gt;0,IFERROR(VLOOKUP($C29,Planes_de_estudio[],MATCH($AG$2,Carreras,0)+2,0),""),"")</f>
        <v>4</v>
      </c>
      <c r="AH29" s="117">
        <f>IF(IFERROR(VLOOKUP($C29,Planes_de_estudio[],MATCH($AH$2,Carreras,0)+2,0),"")&gt;0,IFERROR(VLOOKUP($C29,Planes_de_estudio[],MATCH($AH$2,Carreras,0)+2,0),""),"")</f>
        <v>4</v>
      </c>
      <c r="AI29" s="117">
        <f>IF(IFERROR(VLOOKUP($C29,Planes_de_estudio[],MATCH($AI$2,Carreras,0)+2,0),"")&gt;0,IFERROR(VLOOKUP($C29,Planes_de_estudio[],MATCH($AI$2,Carreras,0)+2,0),""),"")</f>
        <v>4</v>
      </c>
      <c r="AJ29" s="117">
        <f>IF(IFERROR(VLOOKUP($C29,Planes_de_estudio[],MATCH($AJ$2,Carreras,0)+2,0),"")&gt;0,IFERROR(VLOOKUP($C29,Planes_de_estudio[],MATCH($AJ$2,Carreras,0)+2,0),""),"")</f>
        <v>4</v>
      </c>
      <c r="AK29" s="117">
        <f>IF(IFERROR(VLOOKUP($C29,Planes_de_estudio[],MATCH($AK$2,Carreras,0)+2,0),"")&gt;0,IFERROR(VLOOKUP($C29,Planes_de_estudio[],MATCH($AK$2,Carreras,0)+2,0),""),"")</f>
        <v>4</v>
      </c>
      <c r="AL29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29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101</v>
      </c>
      <c r="AN29" s="117">
        <f>base_de_datos[[#This Row],[Pronóstico]]/25</f>
        <v>4.04</v>
      </c>
      <c r="AO29" s="117" t="str">
        <f>VLOOKUP($C29,Planes_de_estudio[],2)</f>
        <v>HUM</v>
      </c>
      <c r="AP29" s="119">
        <f ca="1">IF(AND(base_de_datos[[#This Row],[Industrial]]&lt;&gt;"",base_de_datos[[#This Row],[Misma o no]]=1),base_de_datos[[#This Row],[Índice]],"")</f>
        <v>6</v>
      </c>
      <c r="AQ29" s="119">
        <f ca="1">IF(AND(base_de_datos[[#This Row],[Mecatrónica]]&lt;&gt;"",base_de_datos[[#This Row],[Misma o no]]=1),base_de_datos[[#This Row],[Índice]],"")</f>
        <v>6</v>
      </c>
      <c r="AR29" s="119">
        <f ca="1">IF(AND(base_de_datos[[#This Row],[Innovación y Diseño]]&lt;&gt;"",base_de_datos[[#This Row],[Misma o no]]=1),base_de_datos[[#This Row],[Índice]],"")</f>
        <v>6</v>
      </c>
      <c r="AS29" s="119">
        <f ca="1">IF(AND(base_de_datos[[#This Row],[Inteligencia Artificial]]&lt;&gt;"",base_de_datos[[#This Row],[Misma o no]]=1),base_de_datos[[#This Row],[Índice]],"")</f>
        <v>6</v>
      </c>
      <c r="AT29" s="119">
        <f ca="1">IF(AND(base_de_datos[[#This Row],[Tecnologías Energéticas]]&lt;&gt;"",base_de_datos[[#This Row],[Misma o no]]=1),base_de_datos[[#This Row],[Índice]],"")</f>
        <v>6</v>
      </c>
      <c r="AU29" s="119">
        <f ca="1">IF(AND(base_de_datos[[#This Row],[Civil y Administración]]&lt;&gt;"",base_de_datos[[#This Row],[Misma o no]]=1),base_de_datos[[#This Row],[Índice]],"")</f>
        <v>6</v>
      </c>
      <c r="AV29" s="119">
        <f ca="1">IF(AND(base_de_datos[[#This Row],[Bioelectrónica]]&lt;&gt;"",base_de_datos[[#This Row],[Misma o no]]=1),base_de_datos[[#This Row],[Índice]],"")</f>
        <v>6</v>
      </c>
      <c r="AW29" s="120"/>
      <c r="AX29" s="4">
        <v>1</v>
      </c>
    </row>
    <row r="30" spans="2:50" s="6" customFormat="1" ht="12.75" customHeight="1" x14ac:dyDescent="0.3">
      <c r="B30" s="9" t="s">
        <v>146</v>
      </c>
      <c r="C30" s="1" t="s">
        <v>147</v>
      </c>
      <c r="D30" s="4">
        <v>1</v>
      </c>
      <c r="E30" s="113">
        <v>0.70833333333333304</v>
      </c>
      <c r="F30" s="113">
        <v>0.79166666666665897</v>
      </c>
      <c r="G30" s="227" t="s">
        <v>92</v>
      </c>
      <c r="H30" s="4" t="s">
        <v>119</v>
      </c>
      <c r="I30" s="4"/>
      <c r="J30" s="114"/>
      <c r="K30" s="115"/>
      <c r="L30" s="3"/>
      <c r="M30" s="115"/>
      <c r="N30" s="3"/>
      <c r="O30" s="4" t="s">
        <v>148</v>
      </c>
      <c r="P30" s="114"/>
      <c r="Q30" s="114"/>
      <c r="R30" s="114"/>
      <c r="S30" s="114"/>
      <c r="T30" s="114" t="s">
        <v>90</v>
      </c>
      <c r="U30" s="114"/>
      <c r="V30" s="114"/>
      <c r="W30" s="114"/>
      <c r="X30" s="116">
        <f>_xlfn.XLOOKUP(base_de_datos[[#This Row],[Materia]],Materias,Horas)/16</f>
        <v>2</v>
      </c>
      <c r="Y30" s="117">
        <f>ROUND(((base_de_datos[[#This Row],[Hora fin]]-base_de_datos[[#This Row],[Hora inicio]])*24)*(COUNTA(base_de_datos[[#This Row],[Lunes]:[Sábado]])),1)</f>
        <v>2</v>
      </c>
      <c r="Z30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30" s="117">
        <f ca="1">IF(base_de_datos[[#This Row],[No clase]]=OFFSET(base_de_datos[[#This Row],[No clase]],-1,0),0,1)</f>
        <v>1</v>
      </c>
      <c r="AB30" s="117">
        <f ca="1">IF(NOT(OR(base_de_datos[[#This Row],[Horas totales]]=base_de_datos[[#This Row],[HT Plan]],base_de_datos[[#This Row],[Horas totales]]="N/A")),1,0)</f>
        <v>0</v>
      </c>
      <c r="AC30" s="117" t="str">
        <f>_xlfn.XLOOKUP(base_de_datos[[#This Row],[Profesor]],Nombre,Grado)</f>
        <v>D</v>
      </c>
      <c r="AD30" s="118" t="str">
        <f>_xlfn.XLOOKUP(base_de_datos[[#This Row],[Profesor]],Nombre,Tipo)</f>
        <v>H</v>
      </c>
      <c r="AE30" s="117">
        <f>IF(IFERROR(VLOOKUP($C30,Planes_de_estudio[],MATCH($AE$2,Carreras,0)+2,0),"")&gt;0,IFERROR(VLOOKUP($C30,Planes_de_estudio[],MATCH($AE$2,Carreras,0)+2,0),""),"")</f>
        <v>5</v>
      </c>
      <c r="AF30" s="117">
        <f>IF(IFERROR(VLOOKUP($C30,Planes_de_estudio[],MATCH($AF$2,Carreras,0)+2,0),"")&gt;0,IFERROR(VLOOKUP($C30,Planes_de_estudio[],MATCH($AF$2,Carreras,0)+2,0),""),"")</f>
        <v>5</v>
      </c>
      <c r="AG30" s="117">
        <f>IF(IFERROR(VLOOKUP($C30,Planes_de_estudio[],MATCH($AG$2,Carreras,0)+2,0),"")&gt;0,IFERROR(VLOOKUP($C30,Planes_de_estudio[],MATCH($AG$2,Carreras,0)+2,0),""),"")</f>
        <v>5</v>
      </c>
      <c r="AH30" s="117">
        <f>IF(IFERROR(VLOOKUP($C30,Planes_de_estudio[],MATCH($AH$2,Carreras,0)+2,0),"")&gt;0,IFERROR(VLOOKUP($C30,Planes_de_estudio[],MATCH($AH$2,Carreras,0)+2,0),""),"")</f>
        <v>5</v>
      </c>
      <c r="AI30" s="117">
        <f>IF(IFERROR(VLOOKUP($C30,Planes_de_estudio[],MATCH($AI$2,Carreras,0)+2,0),"")&gt;0,IFERROR(VLOOKUP($C30,Planes_de_estudio[],MATCH($AI$2,Carreras,0)+2,0),""),"")</f>
        <v>5</v>
      </c>
      <c r="AJ30" s="117">
        <f>IF(IFERROR(VLOOKUP($C30,Planes_de_estudio[],MATCH($AJ$2,Carreras,0)+2,0),"")&gt;0,IFERROR(VLOOKUP($C30,Planes_de_estudio[],MATCH($AJ$2,Carreras,0)+2,0),""),"")</f>
        <v>5</v>
      </c>
      <c r="AK30" s="117">
        <f>IF(IFERROR(VLOOKUP($C30,Planes_de_estudio[],MATCH($AK$2,Carreras,0)+2,0),"")&gt;0,IFERROR(VLOOKUP($C30,Planes_de_estudio[],MATCH($AK$2,Carreras,0)+2,0),""),"")</f>
        <v>5</v>
      </c>
      <c r="AL30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30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10</v>
      </c>
      <c r="AN30" s="117">
        <f>base_de_datos[[#This Row],[Pronóstico]]/25</f>
        <v>0.4</v>
      </c>
      <c r="AO30" s="117" t="str">
        <f>VLOOKUP($C30,Planes_de_estudio[],2)</f>
        <v>HUM</v>
      </c>
      <c r="AP30" s="119">
        <f ca="1">IF(AND(base_de_datos[[#This Row],[Industrial]]&lt;&gt;"",base_de_datos[[#This Row],[Misma o no]]=1),base_de_datos[[#This Row],[Índice]],"")</f>
        <v>6</v>
      </c>
      <c r="AQ30" s="119">
        <f ca="1">IF(AND(base_de_datos[[#This Row],[Mecatrónica]]&lt;&gt;"",base_de_datos[[#This Row],[Misma o no]]=1),base_de_datos[[#This Row],[Índice]],"")</f>
        <v>6</v>
      </c>
      <c r="AR30" s="119">
        <f ca="1">IF(AND(base_de_datos[[#This Row],[Innovación y Diseño]]&lt;&gt;"",base_de_datos[[#This Row],[Misma o no]]=1),base_de_datos[[#This Row],[Índice]],"")</f>
        <v>6</v>
      </c>
      <c r="AS30" s="119">
        <f ca="1">IF(AND(base_de_datos[[#This Row],[Inteligencia Artificial]]&lt;&gt;"",base_de_datos[[#This Row],[Misma o no]]=1),base_de_datos[[#This Row],[Índice]],"")</f>
        <v>6</v>
      </c>
      <c r="AT30" s="119">
        <f ca="1">IF(AND(base_de_datos[[#This Row],[Tecnologías Energéticas]]&lt;&gt;"",base_de_datos[[#This Row],[Misma o no]]=1),base_de_datos[[#This Row],[Índice]],"")</f>
        <v>6</v>
      </c>
      <c r="AU30" s="119">
        <f ca="1">IF(AND(base_de_datos[[#This Row],[Civil y Administración]]&lt;&gt;"",base_de_datos[[#This Row],[Misma o no]]=1),base_de_datos[[#This Row],[Índice]],"")</f>
        <v>6</v>
      </c>
      <c r="AV30" s="119">
        <f ca="1">IF(AND(base_de_datos[[#This Row],[Bioelectrónica]]&lt;&gt;"",base_de_datos[[#This Row],[Misma o no]]=1),base_de_datos[[#This Row],[Índice]],"")</f>
        <v>6</v>
      </c>
      <c r="AW30" s="173" t="s">
        <v>149</v>
      </c>
      <c r="AX30" s="4">
        <v>1</v>
      </c>
    </row>
    <row r="31" spans="2:50" s="6" customFormat="1" ht="13" x14ac:dyDescent="0.3">
      <c r="B31" s="9" t="s">
        <v>165</v>
      </c>
      <c r="C31" s="1" t="s">
        <v>166</v>
      </c>
      <c r="D31" s="4">
        <v>2</v>
      </c>
      <c r="E31" s="113">
        <v>0.375</v>
      </c>
      <c r="F31" s="113">
        <v>0.45833333333333098</v>
      </c>
      <c r="G31" s="226" t="s">
        <v>92</v>
      </c>
      <c r="H31" s="4" t="s">
        <v>113</v>
      </c>
      <c r="I31" s="4"/>
      <c r="J31" s="199">
        <v>25</v>
      </c>
      <c r="K31" s="115"/>
      <c r="L31" s="3"/>
      <c r="M31" s="127"/>
      <c r="N31" s="3"/>
      <c r="O31" s="4" t="s">
        <v>167</v>
      </c>
      <c r="P31" s="114"/>
      <c r="Q31" s="114" t="s">
        <v>90</v>
      </c>
      <c r="R31" s="114"/>
      <c r="S31" s="114" t="s">
        <v>90</v>
      </c>
      <c r="T31" s="114"/>
      <c r="U31" s="114"/>
      <c r="V31" s="114"/>
      <c r="W31" s="114"/>
      <c r="X31" s="117">
        <f>_xlfn.XLOOKUP(base_de_datos[[#This Row],[Materia]],Materias,Horas)/16</f>
        <v>4</v>
      </c>
      <c r="Y31" s="117">
        <f>ROUND(((base_de_datos[[#This Row],[Hora fin]]-base_de_datos[[#This Row],[Hora inicio]])*24)*(COUNTA(base_de_datos[[#This Row],[Lunes]:[Sábado]])),1)</f>
        <v>4</v>
      </c>
      <c r="Z31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31" s="117">
        <f ca="1">IF(base_de_datos[[#This Row],[No clase]]=OFFSET(base_de_datos[[#This Row],[No clase]],-1,0),0,1)</f>
        <v>1</v>
      </c>
      <c r="AB31" s="117">
        <f ca="1">IF(NOT(OR(base_de_datos[[#This Row],[Horas totales]]=base_de_datos[[#This Row],[HT Plan]],base_de_datos[[#This Row],[Horas totales]]="N/A")),1,0)</f>
        <v>0</v>
      </c>
      <c r="AC31" s="117" t="str">
        <f>_xlfn.XLOOKUP(base_de_datos[[#This Row],[Profesor]],Nombre,Grado)</f>
        <v>M</v>
      </c>
      <c r="AD31" s="118" t="str">
        <f>_xlfn.XLOOKUP(base_de_datos[[#This Row],[Profesor]],Nombre,Tipo)</f>
        <v>TC</v>
      </c>
      <c r="AE31" s="117">
        <f>IF(IFERROR(VLOOKUP($C31,Planes_de_estudio[],MATCH($AE$2,Carreras,0)+2,0),"")&gt;0,IFERROR(VLOOKUP($C31,Planes_de_estudio[],MATCH($AE$2,Carreras,0)+2,0),""),"")</f>
        <v>1</v>
      </c>
      <c r="AF31" s="117">
        <f>IF(IFERROR(VLOOKUP($C31,Planes_de_estudio[],MATCH($AF$2,Carreras,0)+2,0),"")&gt;0,IFERROR(VLOOKUP($C31,Planes_de_estudio[],MATCH($AF$2,Carreras,0)+2,0),""),"")</f>
        <v>1</v>
      </c>
      <c r="AG31" s="117">
        <f>IF(IFERROR(VLOOKUP($C31,Planes_de_estudio[],MATCH($AG$2,Carreras,0)+2,0),"")&gt;0,IFERROR(VLOOKUP($C31,Planes_de_estudio[],MATCH($AG$2,Carreras,0)+2,0),""),"")</f>
        <v>3</v>
      </c>
      <c r="AH31" s="117">
        <f>IF(IFERROR(VLOOKUP($C31,Planes_de_estudio[],MATCH($AH$2,Carreras,0)+2,0),"")&gt;0,IFERROR(VLOOKUP($C31,Planes_de_estudio[],MATCH($AH$2,Carreras,0)+2,0),""),"")</f>
        <v>1</v>
      </c>
      <c r="AI31" s="117">
        <f>IF(IFERROR(VLOOKUP($C31,Planes_de_estudio[],MATCH($AI$2,Carreras,0)+2,0),"")&gt;0,IFERROR(VLOOKUP($C31,Planes_de_estudio[],MATCH($AI$2,Carreras,0)+2,0),""),"")</f>
        <v>1</v>
      </c>
      <c r="AJ31" s="117">
        <f>IF(IFERROR(VLOOKUP($C31,Planes_de_estudio[],MATCH($AJ$2,Carreras,0)+2,0),"")&gt;0,IFERROR(VLOOKUP($C31,Planes_de_estudio[],MATCH($AJ$2,Carreras,0)+2,0),""),"")</f>
        <v>1</v>
      </c>
      <c r="AK31" s="117">
        <f>IF(IFERROR(VLOOKUP($C31,Planes_de_estudio[],MATCH($AK$2,Carreras,0)+2,0),"")&gt;0,IFERROR(VLOOKUP($C31,Planes_de_estudio[],MATCH($AK$2,Carreras,0)+2,0),""),"")</f>
        <v>1</v>
      </c>
      <c r="AL31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31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20</v>
      </c>
      <c r="AN31" s="117">
        <f>base_de_datos[[#This Row],[Pronóstico]]/25</f>
        <v>0.8</v>
      </c>
      <c r="AO31" s="117" t="str">
        <f>VLOOKUP($C31,Planes_de_estudio[],2)</f>
        <v>MAT</v>
      </c>
      <c r="AP31" s="119">
        <f ca="1">IF(AND(base_de_datos[[#This Row],[Industrial]]&lt;&gt;"",base_de_datos[[#This Row],[Misma o no]]=1),base_de_datos[[#This Row],[Índice]],"")</f>
        <v>4</v>
      </c>
      <c r="AQ31" s="119">
        <f ca="1">IF(AND(base_de_datos[[#This Row],[Mecatrónica]]&lt;&gt;"",base_de_datos[[#This Row],[Misma o no]]=1),base_de_datos[[#This Row],[Índice]],"")</f>
        <v>4</v>
      </c>
      <c r="AR31" s="119">
        <f ca="1">IF(AND(base_de_datos[[#This Row],[Innovación y Diseño]]&lt;&gt;"",base_de_datos[[#This Row],[Misma o no]]=1),base_de_datos[[#This Row],[Índice]],"")</f>
        <v>4</v>
      </c>
      <c r="AS31" s="119">
        <f ca="1">IF(AND(base_de_datos[[#This Row],[Inteligencia Artificial]]&lt;&gt;"",base_de_datos[[#This Row],[Misma o no]]=1),base_de_datos[[#This Row],[Índice]],"")</f>
        <v>4</v>
      </c>
      <c r="AT31" s="119">
        <f ca="1">IF(AND(base_de_datos[[#This Row],[Tecnologías Energéticas]]&lt;&gt;"",base_de_datos[[#This Row],[Misma o no]]=1),base_de_datos[[#This Row],[Índice]],"")</f>
        <v>4</v>
      </c>
      <c r="AU31" s="119">
        <f ca="1">IF(AND(base_de_datos[[#This Row],[Civil y Administración]]&lt;&gt;"",base_de_datos[[#This Row],[Misma o no]]=1),base_de_datos[[#This Row],[Índice]],"")</f>
        <v>4</v>
      </c>
      <c r="AV31" s="119">
        <f ca="1">IF(AND(base_de_datos[[#This Row],[Bioelectrónica]]&lt;&gt;"",base_de_datos[[#This Row],[Misma o no]]=1),base_de_datos[[#This Row],[Índice]],"")</f>
        <v>4</v>
      </c>
      <c r="AW31" s="120"/>
      <c r="AX31" s="4">
        <v>3</v>
      </c>
    </row>
    <row r="32" spans="2:50" s="6" customFormat="1" ht="13" x14ac:dyDescent="0.3">
      <c r="B32" s="259" t="s">
        <v>168</v>
      </c>
      <c r="C32" s="1" t="s">
        <v>166</v>
      </c>
      <c r="D32" s="4">
        <v>3</v>
      </c>
      <c r="E32" s="113">
        <v>0.375</v>
      </c>
      <c r="F32" s="113">
        <v>0.45833333333333098</v>
      </c>
      <c r="G32" s="4"/>
      <c r="H32" s="84" t="s">
        <v>169</v>
      </c>
      <c r="I32" s="4"/>
      <c r="J32" s="126"/>
      <c r="K32" s="115"/>
      <c r="L32" s="3"/>
      <c r="M32" s="127"/>
      <c r="N32" s="3"/>
      <c r="O32" s="4" t="s">
        <v>170</v>
      </c>
      <c r="P32" s="114"/>
      <c r="Q32" s="114" t="s">
        <v>90</v>
      </c>
      <c r="R32" s="114"/>
      <c r="S32" s="114" t="s">
        <v>90</v>
      </c>
      <c r="T32" s="114"/>
      <c r="U32" s="114"/>
      <c r="V32" s="114"/>
      <c r="W32" s="114"/>
      <c r="X32" s="117">
        <f>_xlfn.XLOOKUP(base_de_datos[[#This Row],[Materia]],Materias,Horas)/16</f>
        <v>4</v>
      </c>
      <c r="Y32" s="117">
        <f>ROUND(((base_de_datos[[#This Row],[Hora fin]]-base_de_datos[[#This Row],[Hora inicio]])*24)*(COUNTA(base_de_datos[[#This Row],[Lunes]:[Sábado]])),1)</f>
        <v>4</v>
      </c>
      <c r="Z32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32" s="117">
        <f ca="1">IF(base_de_datos[[#This Row],[No clase]]=OFFSET(base_de_datos[[#This Row],[No clase]],-1,0),0,1)</f>
        <v>1</v>
      </c>
      <c r="AB32" s="117">
        <f ca="1">IF(NOT(OR(base_de_datos[[#This Row],[Horas totales]]=base_de_datos[[#This Row],[HT Plan]],base_de_datos[[#This Row],[Horas totales]]="N/A")),1,0)</f>
        <v>0</v>
      </c>
      <c r="AC32" s="117" t="str">
        <f>_xlfn.XLOOKUP(base_de_datos[[#This Row],[Profesor]],Nombre,Grado)</f>
        <v>M</v>
      </c>
      <c r="AD32" s="118" t="str">
        <f>_xlfn.XLOOKUP(base_de_datos[[#This Row],[Profesor]],Nombre,Tipo)</f>
        <v>TC</v>
      </c>
      <c r="AE32" s="117">
        <f>IF(IFERROR(VLOOKUP($C32,Planes_de_estudio[],MATCH($AE$2,Carreras,0)+2,0),"")&gt;0,IFERROR(VLOOKUP($C32,Planes_de_estudio[],MATCH($AE$2,Carreras,0)+2,0),""),"")</f>
        <v>1</v>
      </c>
      <c r="AF32" s="117">
        <f>IF(IFERROR(VLOOKUP($C32,Planes_de_estudio[],MATCH($AF$2,Carreras,0)+2,0),"")&gt;0,IFERROR(VLOOKUP($C32,Planes_de_estudio[],MATCH($AF$2,Carreras,0)+2,0),""),"")</f>
        <v>1</v>
      </c>
      <c r="AG32" s="117">
        <f>IF(IFERROR(VLOOKUP($C32,Planes_de_estudio[],MATCH($AG$2,Carreras,0)+2,0),"")&gt;0,IFERROR(VLOOKUP($C32,Planes_de_estudio[],MATCH($AG$2,Carreras,0)+2,0),""),"")</f>
        <v>3</v>
      </c>
      <c r="AH32" s="117">
        <f>IF(IFERROR(VLOOKUP($C32,Planes_de_estudio[],MATCH($AH$2,Carreras,0)+2,0),"")&gt;0,IFERROR(VLOOKUP($C32,Planes_de_estudio[],MATCH($AH$2,Carreras,0)+2,0),""),"")</f>
        <v>1</v>
      </c>
      <c r="AI32" s="117">
        <f>IF(IFERROR(VLOOKUP($C32,Planes_de_estudio[],MATCH($AI$2,Carreras,0)+2,0),"")&gt;0,IFERROR(VLOOKUP($C32,Planes_de_estudio[],MATCH($AI$2,Carreras,0)+2,0),""),"")</f>
        <v>1</v>
      </c>
      <c r="AJ32" s="117">
        <f>IF(IFERROR(VLOOKUP($C32,Planes_de_estudio[],MATCH($AJ$2,Carreras,0)+2,0),"")&gt;0,IFERROR(VLOOKUP($C32,Planes_de_estudio[],MATCH($AJ$2,Carreras,0)+2,0),""),"")</f>
        <v>1</v>
      </c>
      <c r="AK32" s="117">
        <f>IF(IFERROR(VLOOKUP($C32,Planes_de_estudio[],MATCH($AK$2,Carreras,0)+2,0),"")&gt;0,IFERROR(VLOOKUP($C32,Planes_de_estudio[],MATCH($AK$2,Carreras,0)+2,0),""),"")</f>
        <v>1</v>
      </c>
      <c r="AL32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32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20</v>
      </c>
      <c r="AN32" s="117">
        <f>base_de_datos[[#This Row],[Pronóstico]]/25</f>
        <v>0.8</v>
      </c>
      <c r="AO32" s="117" t="str">
        <f>VLOOKUP($C32,Planes_de_estudio[],2)</f>
        <v>MAT</v>
      </c>
      <c r="AP32" s="119">
        <f ca="1">IF(AND(base_de_datos[[#This Row],[Industrial]]&lt;&gt;"",base_de_datos[[#This Row],[Misma o no]]=1),base_de_datos[[#This Row],[Índice]],"")</f>
        <v>4</v>
      </c>
      <c r="AQ32" s="119">
        <f ca="1">IF(AND(base_de_datos[[#This Row],[Mecatrónica]]&lt;&gt;"",base_de_datos[[#This Row],[Misma o no]]=1),base_de_datos[[#This Row],[Índice]],"")</f>
        <v>4</v>
      </c>
      <c r="AR32" s="119">
        <f ca="1">IF(AND(base_de_datos[[#This Row],[Innovación y Diseño]]&lt;&gt;"",base_de_datos[[#This Row],[Misma o no]]=1),base_de_datos[[#This Row],[Índice]],"")</f>
        <v>4</v>
      </c>
      <c r="AS32" s="119">
        <f ca="1">IF(AND(base_de_datos[[#This Row],[Inteligencia Artificial]]&lt;&gt;"",base_de_datos[[#This Row],[Misma o no]]=1),base_de_datos[[#This Row],[Índice]],"")</f>
        <v>4</v>
      </c>
      <c r="AT32" s="119">
        <f ca="1">IF(AND(base_de_datos[[#This Row],[Tecnologías Energéticas]]&lt;&gt;"",base_de_datos[[#This Row],[Misma o no]]=1),base_de_datos[[#This Row],[Índice]],"")</f>
        <v>4</v>
      </c>
      <c r="AU32" s="119">
        <f ca="1">IF(AND(base_de_datos[[#This Row],[Civil y Administración]]&lt;&gt;"",base_de_datos[[#This Row],[Misma o no]]=1),base_de_datos[[#This Row],[Índice]],"")</f>
        <v>4</v>
      </c>
      <c r="AV32" s="119">
        <f ca="1">IF(AND(base_de_datos[[#This Row],[Bioelectrónica]]&lt;&gt;"",base_de_datos[[#This Row],[Misma o no]]=1),base_de_datos[[#This Row],[Índice]],"")</f>
        <v>4</v>
      </c>
      <c r="AW32" s="120"/>
      <c r="AX32" s="4">
        <v>3</v>
      </c>
    </row>
    <row r="33" spans="2:50" s="6" customFormat="1" ht="13" x14ac:dyDescent="0.3">
      <c r="B33" s="9" t="s">
        <v>171</v>
      </c>
      <c r="C33" s="1" t="s">
        <v>166</v>
      </c>
      <c r="D33" s="4">
        <v>1</v>
      </c>
      <c r="E33" s="113">
        <v>0.375</v>
      </c>
      <c r="F33" s="113">
        <v>0.45833333333333098</v>
      </c>
      <c r="G33" s="4" t="s">
        <v>87</v>
      </c>
      <c r="H33" s="4" t="s">
        <v>109</v>
      </c>
      <c r="I33" s="4"/>
      <c r="J33" s="198">
        <v>25</v>
      </c>
      <c r="K33" s="115"/>
      <c r="L33" s="3"/>
      <c r="M33" s="115"/>
      <c r="N33" s="3"/>
      <c r="O33" s="2" t="s">
        <v>172</v>
      </c>
      <c r="P33" s="114"/>
      <c r="Q33" s="114" t="s">
        <v>90</v>
      </c>
      <c r="R33" s="114"/>
      <c r="S33" s="114" t="s">
        <v>90</v>
      </c>
      <c r="T33" s="114"/>
      <c r="U33" s="114"/>
      <c r="V33" s="114"/>
      <c r="W33" s="114"/>
      <c r="X33" s="116">
        <f>_xlfn.XLOOKUP(base_de_datos[[#This Row],[Materia]],Materias,Horas)/16</f>
        <v>4</v>
      </c>
      <c r="Y33" s="116">
        <f>ROUND(((base_de_datos[[#This Row],[Hora fin]]-base_de_datos[[#This Row],[Hora inicio]])*24)*(COUNTA(base_de_datos[[#This Row],[Lunes]:[Sábado]])),1)</f>
        <v>4</v>
      </c>
      <c r="Z33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33" s="117">
        <f ca="1">IF(base_de_datos[[#This Row],[No clase]]=OFFSET(base_de_datos[[#This Row],[No clase]],-1,0),0,1)</f>
        <v>1</v>
      </c>
      <c r="AB33" s="117">
        <f ca="1">IF(NOT(OR(base_de_datos[[#This Row],[Horas totales]]=base_de_datos[[#This Row],[HT Plan]],base_de_datos[[#This Row],[Horas totales]]="N/A")),1,0)</f>
        <v>0</v>
      </c>
      <c r="AC33" s="116" t="str">
        <f>_xlfn.XLOOKUP(base_de_datos[[#This Row],[Profesor]],Nombre,Grado)</f>
        <v>M</v>
      </c>
      <c r="AD33" s="118" t="str">
        <f>_xlfn.XLOOKUP(base_de_datos[[#This Row],[Profesor]],Nombre,Tipo)</f>
        <v>A</v>
      </c>
      <c r="AE33" s="116">
        <f>IF(IFERROR(VLOOKUP($C33,Planes_de_estudio[],MATCH($AE$2,Carreras,0)+2,0),"")&gt;0,IFERROR(VLOOKUP($C33,Planes_de_estudio[],MATCH($AE$2,Carreras,0)+2,0),""),"")</f>
        <v>1</v>
      </c>
      <c r="AF33" s="116">
        <f>IF(IFERROR(VLOOKUP($C33,Planes_de_estudio[],MATCH($AF$2,Carreras,0)+2,0),"")&gt;0,IFERROR(VLOOKUP($C33,Planes_de_estudio[],MATCH($AF$2,Carreras,0)+2,0),""),"")</f>
        <v>1</v>
      </c>
      <c r="AG33" s="116">
        <f>IF(IFERROR(VLOOKUP($C33,Planes_de_estudio[],MATCH($AG$2,Carreras,0)+2,0),"")&gt;0,IFERROR(VLOOKUP($C33,Planes_de_estudio[],MATCH($AG$2,Carreras,0)+2,0),""),"")</f>
        <v>3</v>
      </c>
      <c r="AH33" s="116">
        <f>IF(IFERROR(VLOOKUP($C33,Planes_de_estudio[],MATCH($AH$2,Carreras,0)+2,0),"")&gt;0,IFERROR(VLOOKUP($C33,Planes_de_estudio[],MATCH($AH$2,Carreras,0)+2,0),""),"")</f>
        <v>1</v>
      </c>
      <c r="AI33" s="116">
        <f>IF(IFERROR(VLOOKUP($C33,Planes_de_estudio[],MATCH($AI$2,Carreras,0)+2,0),"")&gt;0,IFERROR(VLOOKUP($C33,Planes_de_estudio[],MATCH($AI$2,Carreras,0)+2,0),""),"")</f>
        <v>1</v>
      </c>
      <c r="AJ33" s="116">
        <f>IF(IFERROR(VLOOKUP($C33,Planes_de_estudio[],MATCH($AJ$2,Carreras,0)+2,0),"")&gt;0,IFERROR(VLOOKUP($C33,Planes_de_estudio[],MATCH($AJ$2,Carreras,0)+2,0),""),"")</f>
        <v>1</v>
      </c>
      <c r="AK33" s="116">
        <f>IF(IFERROR(VLOOKUP($C33,Planes_de_estudio[],MATCH($AK$2,Carreras,0)+2,0),"")&gt;0,IFERROR(VLOOKUP($C33,Planes_de_estudio[],MATCH($AK$2,Carreras,0)+2,0),""),"")</f>
        <v>1</v>
      </c>
      <c r="AL33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33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20</v>
      </c>
      <c r="AN33" s="117">
        <f>base_de_datos[[#This Row],[Pronóstico]]/25</f>
        <v>0.8</v>
      </c>
      <c r="AO33" s="117" t="str">
        <f>VLOOKUP($C33,Planes_de_estudio[],2)</f>
        <v>MAT</v>
      </c>
      <c r="AP33" s="119">
        <f ca="1">IF(AND(base_de_datos[[#This Row],[Industrial]]&lt;&gt;"",base_de_datos[[#This Row],[Misma o no]]=1),base_de_datos[[#This Row],[Índice]],"")</f>
        <v>4</v>
      </c>
      <c r="AQ33" s="119">
        <f ca="1">IF(AND(base_de_datos[[#This Row],[Mecatrónica]]&lt;&gt;"",base_de_datos[[#This Row],[Misma o no]]=1),base_de_datos[[#This Row],[Índice]],"")</f>
        <v>4</v>
      </c>
      <c r="AR33" s="119">
        <f ca="1">IF(AND(base_de_datos[[#This Row],[Innovación y Diseño]]&lt;&gt;"",base_de_datos[[#This Row],[Misma o no]]=1),base_de_datos[[#This Row],[Índice]],"")</f>
        <v>4</v>
      </c>
      <c r="AS33" s="119">
        <f ca="1">IF(AND(base_de_datos[[#This Row],[Inteligencia Artificial]]&lt;&gt;"",base_de_datos[[#This Row],[Misma o no]]=1),base_de_datos[[#This Row],[Índice]],"")</f>
        <v>4</v>
      </c>
      <c r="AT33" s="119">
        <f ca="1">IF(AND(base_de_datos[[#This Row],[Tecnologías Energéticas]]&lt;&gt;"",base_de_datos[[#This Row],[Misma o no]]=1),base_de_datos[[#This Row],[Índice]],"")</f>
        <v>4</v>
      </c>
      <c r="AU33" s="119">
        <f ca="1">IF(AND(base_de_datos[[#This Row],[Civil y Administración]]&lt;&gt;"",base_de_datos[[#This Row],[Misma o no]]=1),base_de_datos[[#This Row],[Índice]],"")</f>
        <v>4</v>
      </c>
      <c r="AV33" s="119">
        <f ca="1">IF(AND(base_de_datos[[#This Row],[Bioelectrónica]]&lt;&gt;"",base_de_datos[[#This Row],[Misma o no]]=1),base_de_datos[[#This Row],[Índice]],"")</f>
        <v>4</v>
      </c>
      <c r="AW33" s="120"/>
      <c r="AX33" s="4">
        <v>3</v>
      </c>
    </row>
    <row r="34" spans="2:50" s="6" customFormat="1" ht="13" x14ac:dyDescent="0.3">
      <c r="B34" s="6" t="s">
        <v>185</v>
      </c>
      <c r="C34" s="1" t="s">
        <v>186</v>
      </c>
      <c r="D34" s="4">
        <v>1</v>
      </c>
      <c r="E34" s="113">
        <v>0.79166666666666696</v>
      </c>
      <c r="F34" s="113">
        <v>0.91666666666665697</v>
      </c>
      <c r="G34" s="4" t="s">
        <v>87</v>
      </c>
      <c r="H34" s="4" t="s">
        <v>132</v>
      </c>
      <c r="I34" s="4"/>
      <c r="J34" s="231">
        <v>9</v>
      </c>
      <c r="K34" s="115"/>
      <c r="L34" s="3"/>
      <c r="M34" s="127"/>
      <c r="N34" s="3"/>
      <c r="O34" s="4" t="s">
        <v>187</v>
      </c>
      <c r="P34" s="114"/>
      <c r="Q34" s="114"/>
      <c r="R34" s="114" t="s">
        <v>90</v>
      </c>
      <c r="S34" s="114"/>
      <c r="T34" s="114"/>
      <c r="U34" s="114"/>
      <c r="V34" s="114"/>
      <c r="W34" s="114"/>
      <c r="X34" s="117">
        <f>_xlfn.XLOOKUP(base_de_datos[[#This Row],[Materia]],Materias,Horas)/16</f>
        <v>3</v>
      </c>
      <c r="Y34" s="117">
        <f>ROUND(((base_de_datos[[#This Row],[Hora fin]]-base_de_datos[[#This Row],[Hora inicio]])*24)*(COUNTA(base_de_datos[[#This Row],[Lunes]:[Sábado]])),1)</f>
        <v>3</v>
      </c>
      <c r="Z34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34" s="117">
        <f ca="1">IF(base_de_datos[[#This Row],[No clase]]=OFFSET(base_de_datos[[#This Row],[No clase]],-1,0),0,1)</f>
        <v>1</v>
      </c>
      <c r="AB34" s="117">
        <f ca="1">IF(NOT(OR(base_de_datos[[#This Row],[Horas totales]]=base_de_datos[[#This Row],[HT Plan]],base_de_datos[[#This Row],[Horas totales]]="N/A")),1,0)</f>
        <v>0</v>
      </c>
      <c r="AC34" s="117" t="str">
        <f>_xlfn.XLOOKUP(base_de_datos[[#This Row],[Profesor]],Nombre,Grado)</f>
        <v>L</v>
      </c>
      <c r="AD34" s="118" t="str">
        <f>_xlfn.XLOOKUP(base_de_datos[[#This Row],[Profesor]],Nombre,Tipo)</f>
        <v>A</v>
      </c>
      <c r="AE34" s="117" t="str">
        <f>IF(IFERROR(VLOOKUP($C34,Planes_de_estudio[],MATCH($AE$2,Carreras,0)+2,0),"")&gt;0,IFERROR(VLOOKUP($C34,Planes_de_estudio[],MATCH($AE$2,Carreras,0)+2,0),""),"")</f>
        <v/>
      </c>
      <c r="AF34" s="117" t="str">
        <f>IF(IFERROR(VLOOKUP($C34,Planes_de_estudio[],MATCH($AF$2,Carreras,0)+2,0),"")&gt;0,IFERROR(VLOOKUP($C34,Planes_de_estudio[],MATCH($AF$2,Carreras,0)+2,0),""),"")</f>
        <v/>
      </c>
      <c r="AG34" s="117" t="str">
        <f>IF(IFERROR(VLOOKUP($C34,Planes_de_estudio[],MATCH($AG$2,Carreras,0)+2,0),"")&gt;0,IFERROR(VLOOKUP($C34,Planes_de_estudio[],MATCH($AG$2,Carreras,0)+2,0),""),"")</f>
        <v/>
      </c>
      <c r="AH34" s="117" t="str">
        <f>IF(IFERROR(VLOOKUP($C34,Planes_de_estudio[],MATCH($AH$2,Carreras,0)+2,0),"")&gt;0,IFERROR(VLOOKUP($C34,Planes_de_estudio[],MATCH($AH$2,Carreras,0)+2,0),""),"")</f>
        <v/>
      </c>
      <c r="AI34" s="117" t="str">
        <f>IF(IFERROR(VLOOKUP($C34,Planes_de_estudio[],MATCH($AI$2,Carreras,0)+2,0),"")&gt;0,IFERROR(VLOOKUP($C34,Planes_de_estudio[],MATCH($AI$2,Carreras,0)+2,0),""),"")</f>
        <v/>
      </c>
      <c r="AJ34" s="117">
        <f>IF(IFERROR(VLOOKUP($C34,Planes_de_estudio[],MATCH($AJ$2,Carreras,0)+2,0),"")&gt;0,IFERROR(VLOOKUP($C34,Planes_de_estudio[],MATCH($AJ$2,Carreras,0)+2,0),""),"")</f>
        <v>10</v>
      </c>
      <c r="AK34" s="117" t="str">
        <f>IF(IFERROR(VLOOKUP($C34,Planes_de_estudio[],MATCH($AK$2,Carreras,0)+2,0),"")&gt;0,IFERROR(VLOOKUP($C34,Planes_de_estudio[],MATCH($AK$2,Carreras,0)+2,0),""),"")</f>
        <v/>
      </c>
      <c r="AL34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34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34" s="117">
        <f>base_de_datos[[#This Row],[Pronóstico]]/25</f>
        <v>0</v>
      </c>
      <c r="AO34" s="117" t="str">
        <f>VLOOKUP($C34,Planes_de_estudio[],2)</f>
        <v>AIC</v>
      </c>
      <c r="AP34" s="119" t="str">
        <f ca="1">IF(AND(base_de_datos[[#This Row],[Industrial]]&lt;&gt;"",base_de_datos[[#This Row],[Misma o no]]=1),base_de_datos[[#This Row],[Índice]],"")</f>
        <v/>
      </c>
      <c r="AQ34" s="119" t="str">
        <f ca="1">IF(AND(base_de_datos[[#This Row],[Mecatrónica]]&lt;&gt;"",base_de_datos[[#This Row],[Misma o no]]=1),base_de_datos[[#This Row],[Índice]],"")</f>
        <v/>
      </c>
      <c r="AR34" s="119" t="str">
        <f ca="1">IF(AND(base_de_datos[[#This Row],[Innovación y Diseño]]&lt;&gt;"",base_de_datos[[#This Row],[Misma o no]]=1),base_de_datos[[#This Row],[Índice]],"")</f>
        <v/>
      </c>
      <c r="AS34" s="119" t="str">
        <f ca="1">IF(AND(base_de_datos[[#This Row],[Inteligencia Artificial]]&lt;&gt;"",base_de_datos[[#This Row],[Misma o no]]=1),base_de_datos[[#This Row],[Índice]],"")</f>
        <v/>
      </c>
      <c r="AT34" s="119" t="str">
        <f ca="1">IF(AND(base_de_datos[[#This Row],[Tecnologías Energéticas]]&lt;&gt;"",base_de_datos[[#This Row],[Misma o no]]=1),base_de_datos[[#This Row],[Índice]],"")</f>
        <v/>
      </c>
      <c r="AU34" s="119">
        <f ca="1">IF(AND(base_de_datos[[#This Row],[Civil y Administración]]&lt;&gt;"",base_de_datos[[#This Row],[Misma o no]]=1),base_de_datos[[#This Row],[Índice]],"")</f>
        <v>1</v>
      </c>
      <c r="AV34" s="119" t="str">
        <f ca="1">IF(AND(base_de_datos[[#This Row],[Bioelectrónica]]&lt;&gt;"",base_de_datos[[#This Row],[Misma o no]]=1),base_de_datos[[#This Row],[Índice]],"")</f>
        <v/>
      </c>
      <c r="AW34" s="173" t="s">
        <v>149</v>
      </c>
      <c r="AX34" s="4">
        <v>1</v>
      </c>
    </row>
    <row r="35" spans="2:50" s="6" customFormat="1" ht="13" x14ac:dyDescent="0.3">
      <c r="B35" s="6" t="s">
        <v>200</v>
      </c>
      <c r="C35" s="1" t="s">
        <v>201</v>
      </c>
      <c r="D35" s="4">
        <v>1</v>
      </c>
      <c r="E35" s="113">
        <v>0.83333333333333304</v>
      </c>
      <c r="F35" s="113">
        <v>0.91666666666665697</v>
      </c>
      <c r="G35" s="4" t="s">
        <v>87</v>
      </c>
      <c r="H35" s="4" t="s">
        <v>106</v>
      </c>
      <c r="I35" s="4"/>
      <c r="J35" s="126">
        <v>10</v>
      </c>
      <c r="K35" s="115"/>
      <c r="L35" s="3"/>
      <c r="M35" s="127"/>
      <c r="N35" s="3"/>
      <c r="O35" s="4" t="s">
        <v>202</v>
      </c>
      <c r="P35" s="114" t="s">
        <v>90</v>
      </c>
      <c r="Q35" s="114"/>
      <c r="R35" s="114"/>
      <c r="S35" s="114"/>
      <c r="T35" s="114"/>
      <c r="U35" s="114"/>
      <c r="V35" s="114"/>
      <c r="W35" s="114"/>
      <c r="X35" s="117">
        <f>_xlfn.XLOOKUP(base_de_datos[[#This Row],[Materia]],Materias,Horas)/16</f>
        <v>5</v>
      </c>
      <c r="Y35" s="117">
        <f>ROUND(((base_de_datos[[#This Row],[Hora fin]]-base_de_datos[[#This Row],[Hora inicio]])*24)*(COUNTA(base_de_datos[[#This Row],[Lunes]:[Sábado]])),1)</f>
        <v>2</v>
      </c>
      <c r="Z35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35" s="117">
        <f ca="1">IF(base_de_datos[[#This Row],[No clase]]=OFFSET(base_de_datos[[#This Row],[No clase]],-1,0),0,1)</f>
        <v>1</v>
      </c>
      <c r="AB35" s="117">
        <f ca="1">IF(NOT(OR(base_de_datos[[#This Row],[Horas totales]]=base_de_datos[[#This Row],[HT Plan]],base_de_datos[[#This Row],[Horas totales]]="N/A")),1,0)</f>
        <v>1</v>
      </c>
      <c r="AC35" s="117" t="str">
        <f>_xlfn.XLOOKUP(base_de_datos[[#This Row],[Profesor]],Nombre,Grado)</f>
        <v>M</v>
      </c>
      <c r="AD35" s="118" t="str">
        <f>_xlfn.XLOOKUP(base_de_datos[[#This Row],[Profesor]],Nombre,Tipo)</f>
        <v>A</v>
      </c>
      <c r="AE35" s="117" t="str">
        <f>IF(IFERROR(VLOOKUP($C35,Planes_de_estudio[],MATCH($AE$2,Carreras,0)+2,0),"")&gt;0,IFERROR(VLOOKUP($C35,Planes_de_estudio[],MATCH($AE$2,Carreras,0)+2,0),""),"")</f>
        <v/>
      </c>
      <c r="AF35" s="117" t="str">
        <f>IF(IFERROR(VLOOKUP($C35,Planes_de_estudio[],MATCH($AF$2,Carreras,0)+2,0),"")&gt;0,IFERROR(VLOOKUP($C35,Planes_de_estudio[],MATCH($AF$2,Carreras,0)+2,0),""),"")</f>
        <v/>
      </c>
      <c r="AG35" s="117" t="str">
        <f>IF(IFERROR(VLOOKUP($C35,Planes_de_estudio[],MATCH($AG$2,Carreras,0)+2,0),"")&gt;0,IFERROR(VLOOKUP($C35,Planes_de_estudio[],MATCH($AG$2,Carreras,0)+2,0),""),"")</f>
        <v/>
      </c>
      <c r="AH35" s="117" t="str">
        <f>IF(IFERROR(VLOOKUP($C35,Planes_de_estudio[],MATCH($AH$2,Carreras,0)+2,0),"")&gt;0,IFERROR(VLOOKUP($C35,Planes_de_estudio[],MATCH($AH$2,Carreras,0)+2,0),""),"")</f>
        <v/>
      </c>
      <c r="AI35" s="117" t="str">
        <f>IF(IFERROR(VLOOKUP($C35,Planes_de_estudio[],MATCH($AI$2,Carreras,0)+2,0),"")&gt;0,IFERROR(VLOOKUP($C35,Planes_de_estudio[],MATCH($AI$2,Carreras,0)+2,0),""),"")</f>
        <v/>
      </c>
      <c r="AJ35" s="117">
        <f>IF(IFERROR(VLOOKUP($C35,Planes_de_estudio[],MATCH($AJ$2,Carreras,0)+2,0),"")&gt;0,IFERROR(VLOOKUP($C35,Planes_de_estudio[],MATCH($AJ$2,Carreras,0)+2,0),""),"")</f>
        <v>6</v>
      </c>
      <c r="AK35" s="117" t="str">
        <f>IF(IFERROR(VLOOKUP($C35,Planes_de_estudio[],MATCH($AK$2,Carreras,0)+2,0),"")&gt;0,IFERROR(VLOOKUP($C35,Planes_de_estudio[],MATCH($AK$2,Carreras,0)+2,0),""),"")</f>
        <v/>
      </c>
      <c r="AL35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35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13</v>
      </c>
      <c r="AN35" s="117">
        <f>base_de_datos[[#This Row],[Pronóstico]]/25</f>
        <v>0.52</v>
      </c>
      <c r="AO35" s="117" t="str">
        <f>VLOOKUP($C35,Planes_de_estudio[],2)</f>
        <v>ESC</v>
      </c>
      <c r="AP35" s="119" t="str">
        <f ca="1">IF(AND(base_de_datos[[#This Row],[Industrial]]&lt;&gt;"",base_de_datos[[#This Row],[Misma o no]]=1),base_de_datos[[#This Row],[Índice]],"")</f>
        <v/>
      </c>
      <c r="AQ35" s="119" t="str">
        <f ca="1">IF(AND(base_de_datos[[#This Row],[Mecatrónica]]&lt;&gt;"",base_de_datos[[#This Row],[Misma o no]]=1),base_de_datos[[#This Row],[Índice]],"")</f>
        <v/>
      </c>
      <c r="AR35" s="119" t="str">
        <f ca="1">IF(AND(base_de_datos[[#This Row],[Innovación y Diseño]]&lt;&gt;"",base_de_datos[[#This Row],[Misma o no]]=1),base_de_datos[[#This Row],[Índice]],"")</f>
        <v/>
      </c>
      <c r="AS35" s="119" t="str">
        <f ca="1">IF(AND(base_de_datos[[#This Row],[Inteligencia Artificial]]&lt;&gt;"",base_de_datos[[#This Row],[Misma o no]]=1),base_de_datos[[#This Row],[Índice]],"")</f>
        <v/>
      </c>
      <c r="AT35" s="119" t="str">
        <f ca="1">IF(AND(base_de_datos[[#This Row],[Tecnologías Energéticas]]&lt;&gt;"",base_de_datos[[#This Row],[Misma o no]]=1),base_de_datos[[#This Row],[Índice]],"")</f>
        <v/>
      </c>
      <c r="AU35" s="119">
        <f ca="1">IF(AND(base_de_datos[[#This Row],[Civil y Administración]]&lt;&gt;"",base_de_datos[[#This Row],[Misma o no]]=1),base_de_datos[[#This Row],[Índice]],"")</f>
        <v>4</v>
      </c>
      <c r="AV35" s="119" t="str">
        <f ca="1">IF(AND(base_de_datos[[#This Row],[Bioelectrónica]]&lt;&gt;"",base_de_datos[[#This Row],[Misma o no]]=1),base_de_datos[[#This Row],[Índice]],"")</f>
        <v/>
      </c>
      <c r="AW35" s="120"/>
      <c r="AX35" s="4">
        <v>2</v>
      </c>
    </row>
    <row r="36" spans="2:50" s="6" customFormat="1" ht="13" x14ac:dyDescent="0.3">
      <c r="B36" s="9" t="s">
        <v>150</v>
      </c>
      <c r="C36" s="1" t="s">
        <v>151</v>
      </c>
      <c r="D36" s="4">
        <v>1</v>
      </c>
      <c r="E36" s="113">
        <v>0.66666666666666696</v>
      </c>
      <c r="F36" s="113">
        <v>0.79166666666665897</v>
      </c>
      <c r="G36" s="226" t="s">
        <v>92</v>
      </c>
      <c r="H36" s="4" t="s">
        <v>152</v>
      </c>
      <c r="I36" s="4"/>
      <c r="J36" s="114">
        <v>17</v>
      </c>
      <c r="K36" s="115"/>
      <c r="L36" s="3"/>
      <c r="M36" s="115"/>
      <c r="N36" s="3"/>
      <c r="O36" s="4">
        <v>1727</v>
      </c>
      <c r="P36" s="114"/>
      <c r="Q36" s="114"/>
      <c r="R36" s="114"/>
      <c r="S36" s="114"/>
      <c r="T36" s="114" t="s">
        <v>90</v>
      </c>
      <c r="U36" s="114"/>
      <c r="V36" s="114"/>
      <c r="W36" s="114"/>
      <c r="X36" s="116">
        <f>_xlfn.XLOOKUP(base_de_datos[[#This Row],[Materia]],Materias,Horas)/16</f>
        <v>3</v>
      </c>
      <c r="Y36" s="116">
        <f>ROUND(((base_de_datos[[#This Row],[Hora fin]]-base_de_datos[[#This Row],[Hora inicio]])*24)*(COUNTA(base_de_datos[[#This Row],[Lunes]:[Sábado]])),1)</f>
        <v>3</v>
      </c>
      <c r="Z36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36" s="117">
        <f ca="1">IF(base_de_datos[[#This Row],[No clase]]=OFFSET(base_de_datos[[#This Row],[No clase]],-1,0),0,1)</f>
        <v>1</v>
      </c>
      <c r="AB36" s="117">
        <f ca="1">IF(NOT(OR(base_de_datos[[#This Row],[Horas totales]]=base_de_datos[[#This Row],[HT Plan]],base_de_datos[[#This Row],[Horas totales]]="N/A")),1,0)</f>
        <v>0</v>
      </c>
      <c r="AC36" s="116" t="str">
        <f>_xlfn.XLOOKUP(base_de_datos[[#This Row],[Profesor]],Nombre,Grado)</f>
        <v>SNI</v>
      </c>
      <c r="AD36" s="118" t="str">
        <f>_xlfn.XLOOKUP(base_de_datos[[#This Row],[Profesor]],Nombre,Tipo)</f>
        <v>TC</v>
      </c>
      <c r="AE36" s="116" t="str">
        <f>IF(IFERROR(VLOOKUP($C36,Planes_de_estudio[],MATCH($AE$2,Carreras,0)+2,0),"")&gt;0,IFERROR(VLOOKUP($C36,Planes_de_estudio[],MATCH($AE$2,Carreras,0)+2,0),""),"")</f>
        <v/>
      </c>
      <c r="AF36" s="116" t="str">
        <f>IF(IFERROR(VLOOKUP($C36,Planes_de_estudio[],MATCH($AF$2,Carreras,0)+2,0),"")&gt;0,IFERROR(VLOOKUP($C36,Planes_de_estudio[],MATCH($AF$2,Carreras,0)+2,0),""),"")</f>
        <v/>
      </c>
      <c r="AG36" s="116" t="str">
        <f>IF(IFERROR(VLOOKUP($C36,Planes_de_estudio[],MATCH($AG$2,Carreras,0)+2,0),"")&gt;0,IFERROR(VLOOKUP($C36,Planes_de_estudio[],MATCH($AG$2,Carreras,0)+2,0),""),"")</f>
        <v/>
      </c>
      <c r="AH36" s="116">
        <f>IF(IFERROR(VLOOKUP($C36,Planes_de_estudio[],MATCH($AH$2,Carreras,0)+2,0),"")&gt;0,IFERROR(VLOOKUP($C36,Planes_de_estudio[],MATCH($AH$2,Carreras,0)+2,0),""),"")</f>
        <v>6</v>
      </c>
      <c r="AI36" s="116" t="str">
        <f>IF(IFERROR(VLOOKUP($C36,Planes_de_estudio[],MATCH($AI$2,Carreras,0)+2,0),"")&gt;0,IFERROR(VLOOKUP($C36,Planes_de_estudio[],MATCH($AI$2,Carreras,0)+2,0),""),"")</f>
        <v/>
      </c>
      <c r="AJ36" s="116" t="str">
        <f>IF(IFERROR(VLOOKUP($C36,Planes_de_estudio[],MATCH($AJ$2,Carreras,0)+2,0),"")&gt;0,IFERROR(VLOOKUP($C36,Planes_de_estudio[],MATCH($AJ$2,Carreras,0)+2,0),""),"")</f>
        <v/>
      </c>
      <c r="AK36" s="116" t="str">
        <f>IF(IFERROR(VLOOKUP($C36,Planes_de_estudio[],MATCH($AK$2,Carreras,0)+2,0),"")&gt;0,IFERROR(VLOOKUP($C36,Planes_de_estudio[],MATCH($AK$2,Carreras,0)+2,0),""),"")</f>
        <v/>
      </c>
      <c r="AL36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36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17</v>
      </c>
      <c r="AN36" s="117">
        <f>base_de_datos[[#This Row],[Pronóstico]]/25</f>
        <v>0.68</v>
      </c>
      <c r="AO36" s="117" t="str">
        <f>VLOOKUP($C36,Planes_de_estudio[],2)</f>
        <v>COM</v>
      </c>
      <c r="AP36" s="119" t="str">
        <f ca="1">IF(AND(base_de_datos[[#This Row],[Industrial]]&lt;&gt;"",base_de_datos[[#This Row],[Misma o no]]=1),base_de_datos[[#This Row],[Índice]],"")</f>
        <v/>
      </c>
      <c r="AQ36" s="119" t="str">
        <f ca="1">IF(AND(base_de_datos[[#This Row],[Mecatrónica]]&lt;&gt;"",base_de_datos[[#This Row],[Misma o no]]=1),base_de_datos[[#This Row],[Índice]],"")</f>
        <v/>
      </c>
      <c r="AR36" s="119" t="str">
        <f ca="1">IF(AND(base_de_datos[[#This Row],[Innovación y Diseño]]&lt;&gt;"",base_de_datos[[#This Row],[Misma o no]]=1),base_de_datos[[#This Row],[Índice]],"")</f>
        <v/>
      </c>
      <c r="AS36" s="119">
        <f ca="1">IF(AND(base_de_datos[[#This Row],[Inteligencia Artificial]]&lt;&gt;"",base_de_datos[[#This Row],[Misma o no]]=1),base_de_datos[[#This Row],[Índice]],"")</f>
        <v>6</v>
      </c>
      <c r="AT36" s="119" t="str">
        <f ca="1">IF(AND(base_de_datos[[#This Row],[Tecnologías Energéticas]]&lt;&gt;"",base_de_datos[[#This Row],[Misma o no]]=1),base_de_datos[[#This Row],[Índice]],"")</f>
        <v/>
      </c>
      <c r="AU36" s="119" t="str">
        <f ca="1">IF(AND(base_de_datos[[#This Row],[Civil y Administración]]&lt;&gt;"",base_de_datos[[#This Row],[Misma o no]]=1),base_de_datos[[#This Row],[Índice]],"")</f>
        <v/>
      </c>
      <c r="AV36" s="119" t="str">
        <f ca="1">IF(AND(base_de_datos[[#This Row],[Bioelectrónica]]&lt;&gt;"",base_de_datos[[#This Row],[Misma o no]]=1),base_de_datos[[#This Row],[Índice]],"")</f>
        <v/>
      </c>
      <c r="AW36" s="120"/>
      <c r="AX36" s="4">
        <v>3</v>
      </c>
    </row>
    <row r="37" spans="2:50" s="6" customFormat="1" ht="13" x14ac:dyDescent="0.3">
      <c r="B37" s="6" t="s">
        <v>153</v>
      </c>
      <c r="C37" s="1" t="s">
        <v>154</v>
      </c>
      <c r="D37" s="4">
        <v>1</v>
      </c>
      <c r="E37" s="113">
        <v>0.66666666666666696</v>
      </c>
      <c r="F37" s="113">
        <v>0.79166666666665897</v>
      </c>
      <c r="G37" s="226" t="s">
        <v>92</v>
      </c>
      <c r="H37" s="4" t="s">
        <v>144</v>
      </c>
      <c r="I37" s="4"/>
      <c r="J37" s="126">
        <v>25</v>
      </c>
      <c r="K37" s="115"/>
      <c r="L37" s="3"/>
      <c r="M37" s="127"/>
      <c r="N37" s="3"/>
      <c r="O37" s="4">
        <v>2071</v>
      </c>
      <c r="P37" s="114"/>
      <c r="Q37" s="114"/>
      <c r="R37" s="114"/>
      <c r="S37" s="114" t="s">
        <v>90</v>
      </c>
      <c r="T37" s="114"/>
      <c r="U37" s="114"/>
      <c r="V37" s="114"/>
      <c r="W37" s="114"/>
      <c r="X37" s="117">
        <f>_xlfn.XLOOKUP(base_de_datos[[#This Row],[Materia]],Materias,Horas)/16</f>
        <v>3</v>
      </c>
      <c r="Y37" s="117">
        <f>ROUND(((base_de_datos[[#This Row],[Hora fin]]-base_de_datos[[#This Row],[Hora inicio]])*24)*(COUNTA(base_de_datos[[#This Row],[Lunes]:[Sábado]])),1)</f>
        <v>3</v>
      </c>
      <c r="Z37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37" s="117">
        <f ca="1">IF(base_de_datos[[#This Row],[No clase]]=OFFSET(base_de_datos[[#This Row],[No clase]],-1,0),0,1)</f>
        <v>1</v>
      </c>
      <c r="AB37" s="117">
        <f ca="1">IF(NOT(OR(base_de_datos[[#This Row],[Horas totales]]=base_de_datos[[#This Row],[HT Plan]],base_de_datos[[#This Row],[Horas totales]]="N/A")),1,0)</f>
        <v>0</v>
      </c>
      <c r="AC37" s="117" t="str">
        <f>_xlfn.XLOOKUP(base_de_datos[[#This Row],[Profesor]],Nombre,Grado)</f>
        <v>M</v>
      </c>
      <c r="AD37" s="118" t="str">
        <f>_xlfn.XLOOKUP(base_de_datos[[#This Row],[Profesor]],Nombre,Tipo)</f>
        <v>TC</v>
      </c>
      <c r="AE37" s="117" t="str">
        <f>IF(IFERROR(VLOOKUP($C37,Planes_de_estudio[],MATCH($AE$2,Carreras,0)+2,0),"")&gt;0,IFERROR(VLOOKUP($C37,Planes_de_estudio[],MATCH($AE$2,Carreras,0)+2,0),""),"")</f>
        <v/>
      </c>
      <c r="AF37" s="117" t="str">
        <f>IF(IFERROR(VLOOKUP($C37,Planes_de_estudio[],MATCH($AF$2,Carreras,0)+2,0),"")&gt;0,IFERROR(VLOOKUP($C37,Planes_de_estudio[],MATCH($AF$2,Carreras,0)+2,0),""),"")</f>
        <v/>
      </c>
      <c r="AG37" s="117" t="str">
        <f>IF(IFERROR(VLOOKUP($C37,Planes_de_estudio[],MATCH($AG$2,Carreras,0)+2,0),"")&gt;0,IFERROR(VLOOKUP($C37,Planes_de_estudio[],MATCH($AG$2,Carreras,0)+2,0),""),"")</f>
        <v/>
      </c>
      <c r="AH37" s="117">
        <f>IF(IFERROR(VLOOKUP($C37,Planes_de_estudio[],MATCH($AH$2,Carreras,0)+2,0),"")&gt;0,IFERROR(VLOOKUP($C37,Planes_de_estudio[],MATCH($AH$2,Carreras,0)+2,0),""),"")</f>
        <v>8</v>
      </c>
      <c r="AI37" s="117" t="str">
        <f>IF(IFERROR(VLOOKUP($C37,Planes_de_estudio[],MATCH($AI$2,Carreras,0)+2,0),"")&gt;0,IFERROR(VLOOKUP($C37,Planes_de_estudio[],MATCH($AI$2,Carreras,0)+2,0),""),"")</f>
        <v/>
      </c>
      <c r="AJ37" s="117" t="str">
        <f>IF(IFERROR(VLOOKUP($C37,Planes_de_estudio[],MATCH($AJ$2,Carreras,0)+2,0),"")&gt;0,IFERROR(VLOOKUP($C37,Planes_de_estudio[],MATCH($AJ$2,Carreras,0)+2,0),""),"")</f>
        <v/>
      </c>
      <c r="AK37" s="117" t="str">
        <f>IF(IFERROR(VLOOKUP($C37,Planes_de_estudio[],MATCH($AK$2,Carreras,0)+2,0),"")&gt;0,IFERROR(VLOOKUP($C37,Planes_de_estudio[],MATCH($AK$2,Carreras,0)+2,0),""),"")</f>
        <v/>
      </c>
      <c r="AL37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37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24</v>
      </c>
      <c r="AN37" s="117">
        <f>base_de_datos[[#This Row],[Pronóstico]]/25</f>
        <v>0.96</v>
      </c>
      <c r="AO37" s="117" t="str">
        <f>VLOOKUP($C37,Planes_de_estudio[],2)</f>
        <v>COM</v>
      </c>
      <c r="AP37" s="119" t="str">
        <f ca="1">IF(AND(base_de_datos[[#This Row],[Industrial]]&lt;&gt;"",base_de_datos[[#This Row],[Misma o no]]=1),base_de_datos[[#This Row],[Índice]],"")</f>
        <v/>
      </c>
      <c r="AQ37" s="119" t="str">
        <f ca="1">IF(AND(base_de_datos[[#This Row],[Mecatrónica]]&lt;&gt;"",base_de_datos[[#This Row],[Misma o no]]=1),base_de_datos[[#This Row],[Índice]],"")</f>
        <v/>
      </c>
      <c r="AR37" s="119" t="str">
        <f ca="1">IF(AND(base_de_datos[[#This Row],[Innovación y Diseño]]&lt;&gt;"",base_de_datos[[#This Row],[Misma o no]]=1),base_de_datos[[#This Row],[Índice]],"")</f>
        <v/>
      </c>
      <c r="AS37" s="119">
        <f ca="1">IF(AND(base_de_datos[[#This Row],[Inteligencia Artificial]]&lt;&gt;"",base_de_datos[[#This Row],[Misma o no]]=1),base_de_datos[[#This Row],[Índice]],"")</f>
        <v>4</v>
      </c>
      <c r="AT37" s="119" t="str">
        <f ca="1">IF(AND(base_de_datos[[#This Row],[Tecnologías Energéticas]]&lt;&gt;"",base_de_datos[[#This Row],[Misma o no]]=1),base_de_datos[[#This Row],[Índice]],"")</f>
        <v/>
      </c>
      <c r="AU37" s="119" t="str">
        <f ca="1">IF(AND(base_de_datos[[#This Row],[Civil y Administración]]&lt;&gt;"",base_de_datos[[#This Row],[Misma o no]]=1),base_de_datos[[#This Row],[Índice]],"")</f>
        <v/>
      </c>
      <c r="AV37" s="119" t="str">
        <f ca="1">IF(AND(base_de_datos[[#This Row],[Bioelectrónica]]&lt;&gt;"",base_de_datos[[#This Row],[Misma o no]]=1),base_de_datos[[#This Row],[Índice]],"")</f>
        <v/>
      </c>
      <c r="AW37" s="120"/>
      <c r="AX37" s="4">
        <v>3</v>
      </c>
    </row>
    <row r="38" spans="2:50" s="6" customFormat="1" ht="13" x14ac:dyDescent="0.3">
      <c r="B38" s="6" t="s">
        <v>155</v>
      </c>
      <c r="C38" s="1" t="s">
        <v>156</v>
      </c>
      <c r="D38" s="4">
        <v>1</v>
      </c>
      <c r="E38" s="113">
        <v>0.77083333333333304</v>
      </c>
      <c r="F38" s="113">
        <v>0.89583333333332305</v>
      </c>
      <c r="G38" s="4" t="s">
        <v>87</v>
      </c>
      <c r="H38" s="4" t="s">
        <v>157</v>
      </c>
      <c r="I38" s="4"/>
      <c r="J38" s="114">
        <v>18</v>
      </c>
      <c r="K38" s="115"/>
      <c r="L38" s="3"/>
      <c r="M38" s="115"/>
      <c r="N38" s="3"/>
      <c r="O38" s="4">
        <v>2063</v>
      </c>
      <c r="P38" s="114"/>
      <c r="Q38" s="114" t="s">
        <v>90</v>
      </c>
      <c r="R38" s="114"/>
      <c r="S38" s="114"/>
      <c r="T38" s="114"/>
      <c r="U38" s="114"/>
      <c r="V38" s="114"/>
      <c r="W38" s="114"/>
      <c r="X38" s="116">
        <f>_xlfn.XLOOKUP(base_de_datos[[#This Row],[Materia]],Materias,Horas)/16</f>
        <v>3</v>
      </c>
      <c r="Y38" s="116">
        <f>ROUND(((base_de_datos[[#This Row],[Hora fin]]-base_de_datos[[#This Row],[Hora inicio]])*24)*(COUNTA(base_de_datos[[#This Row],[Lunes]:[Sábado]])),1)</f>
        <v>3</v>
      </c>
      <c r="Z38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38" s="117">
        <f ca="1">IF(base_de_datos[[#This Row],[No clase]]=OFFSET(base_de_datos[[#This Row],[No clase]],-1,0),0,1)</f>
        <v>1</v>
      </c>
      <c r="AB38" s="117">
        <f ca="1">IF(NOT(OR(base_de_datos[[#This Row],[Horas totales]]=base_de_datos[[#This Row],[HT Plan]],base_de_datos[[#This Row],[Horas totales]]="N/A")),1,0)</f>
        <v>0</v>
      </c>
      <c r="AC38" s="116" t="str">
        <f>_xlfn.XLOOKUP(base_de_datos[[#This Row],[Profesor]],Nombre,Grado)</f>
        <v>E</v>
      </c>
      <c r="AD38" s="118" t="str">
        <f>_xlfn.XLOOKUP(base_de_datos[[#This Row],[Profesor]],Nombre,Tipo)</f>
        <v>A</v>
      </c>
      <c r="AE38" s="116" t="str">
        <f>IF(IFERROR(VLOOKUP($C38,Planes_de_estudio[],MATCH($AE$2,Carreras,0)+2,0),"")&gt;0,IFERROR(VLOOKUP($C38,Planes_de_estudio[],MATCH($AE$2,Carreras,0)+2,0),""),"")</f>
        <v/>
      </c>
      <c r="AF38" s="116" t="str">
        <f>IF(IFERROR(VLOOKUP($C38,Planes_de_estudio[],MATCH($AF$2,Carreras,0)+2,0),"")&gt;0,IFERROR(VLOOKUP($C38,Planes_de_estudio[],MATCH($AF$2,Carreras,0)+2,0),""),"")</f>
        <v/>
      </c>
      <c r="AG38" s="116" t="str">
        <f>IF(IFERROR(VLOOKUP($C38,Planes_de_estudio[],MATCH($AG$2,Carreras,0)+2,0),"")&gt;0,IFERROR(VLOOKUP($C38,Planes_de_estudio[],MATCH($AG$2,Carreras,0)+2,0),""),"")</f>
        <v/>
      </c>
      <c r="AH38" s="116">
        <f>IF(IFERROR(VLOOKUP($C38,Planes_de_estudio[],MATCH($AH$2,Carreras,0)+2,0),"")&gt;0,IFERROR(VLOOKUP($C38,Planes_de_estudio[],MATCH($AH$2,Carreras,0)+2,0),""),"")</f>
        <v>6</v>
      </c>
      <c r="AI38" s="116" t="str">
        <f>IF(IFERROR(VLOOKUP($C38,Planes_de_estudio[],MATCH($AI$2,Carreras,0)+2,0),"")&gt;0,IFERROR(VLOOKUP($C38,Planes_de_estudio[],MATCH($AI$2,Carreras,0)+2,0),""),"")</f>
        <v/>
      </c>
      <c r="AJ38" s="116" t="str">
        <f>IF(IFERROR(VLOOKUP($C38,Planes_de_estudio[],MATCH($AJ$2,Carreras,0)+2,0),"")&gt;0,IFERROR(VLOOKUP($C38,Planes_de_estudio[],MATCH($AJ$2,Carreras,0)+2,0),""),"")</f>
        <v/>
      </c>
      <c r="AK38" s="116" t="str">
        <f>IF(IFERROR(VLOOKUP($C38,Planes_de_estudio[],MATCH($AK$2,Carreras,0)+2,0),"")&gt;0,IFERROR(VLOOKUP($C38,Planes_de_estudio[],MATCH($AK$2,Carreras,0)+2,0),""),"")</f>
        <v/>
      </c>
      <c r="AL38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38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17</v>
      </c>
      <c r="AN38" s="117">
        <f>base_de_datos[[#This Row],[Pronóstico]]/25</f>
        <v>0.68</v>
      </c>
      <c r="AO38" s="117" t="str">
        <f>VLOOKUP($C38,Planes_de_estudio[],2)</f>
        <v>COM</v>
      </c>
      <c r="AP38" s="119" t="str">
        <f ca="1">IF(AND(base_de_datos[[#This Row],[Industrial]]&lt;&gt;"",base_de_datos[[#This Row],[Misma o no]]=1),base_de_datos[[#This Row],[Índice]],"")</f>
        <v/>
      </c>
      <c r="AQ38" s="119" t="str">
        <f ca="1">IF(AND(base_de_datos[[#This Row],[Mecatrónica]]&lt;&gt;"",base_de_datos[[#This Row],[Misma o no]]=1),base_de_datos[[#This Row],[Índice]],"")</f>
        <v/>
      </c>
      <c r="AR38" s="119" t="str">
        <f ca="1">IF(AND(base_de_datos[[#This Row],[Innovación y Diseño]]&lt;&gt;"",base_de_datos[[#This Row],[Misma o no]]=1),base_de_datos[[#This Row],[Índice]],"")</f>
        <v/>
      </c>
      <c r="AS38" s="119">
        <f ca="1">IF(AND(base_de_datos[[#This Row],[Inteligencia Artificial]]&lt;&gt;"",base_de_datos[[#This Row],[Misma o no]]=1),base_de_datos[[#This Row],[Índice]],"")</f>
        <v>2</v>
      </c>
      <c r="AT38" s="119" t="str">
        <f ca="1">IF(AND(base_de_datos[[#This Row],[Tecnologías Energéticas]]&lt;&gt;"",base_de_datos[[#This Row],[Misma o no]]=1),base_de_datos[[#This Row],[Índice]],"")</f>
        <v/>
      </c>
      <c r="AU38" s="119" t="str">
        <f ca="1">IF(AND(base_de_datos[[#This Row],[Civil y Administración]]&lt;&gt;"",base_de_datos[[#This Row],[Misma o no]]=1),base_de_datos[[#This Row],[Índice]],"")</f>
        <v/>
      </c>
      <c r="AV38" s="119" t="str">
        <f ca="1">IF(AND(base_de_datos[[#This Row],[Bioelectrónica]]&lt;&gt;"",base_de_datos[[#This Row],[Misma o no]]=1),base_de_datos[[#This Row],[Índice]],"")</f>
        <v/>
      </c>
      <c r="AW38" s="120"/>
      <c r="AX38" s="4">
        <v>2</v>
      </c>
    </row>
    <row r="39" spans="2:50" s="6" customFormat="1" ht="13" x14ac:dyDescent="0.3">
      <c r="B39" s="9" t="s">
        <v>173</v>
      </c>
      <c r="C39" s="1" t="s">
        <v>174</v>
      </c>
      <c r="D39" s="4">
        <v>3</v>
      </c>
      <c r="E39" s="113">
        <v>0.375</v>
      </c>
      <c r="F39" s="113">
        <v>0.45833333333333098</v>
      </c>
      <c r="G39" s="226" t="s">
        <v>92</v>
      </c>
      <c r="H39" s="4" t="s">
        <v>175</v>
      </c>
      <c r="I39" s="4"/>
      <c r="J39" s="126">
        <v>16</v>
      </c>
      <c r="K39" s="115"/>
      <c r="L39" s="3"/>
      <c r="M39" s="127"/>
      <c r="N39" s="3"/>
      <c r="O39" s="4" t="s">
        <v>176</v>
      </c>
      <c r="P39" s="114"/>
      <c r="Q39" s="114" t="s">
        <v>90</v>
      </c>
      <c r="R39" s="114"/>
      <c r="S39" s="114" t="s">
        <v>90</v>
      </c>
      <c r="T39" s="114"/>
      <c r="U39" s="114"/>
      <c r="V39" s="114"/>
      <c r="W39" s="114"/>
      <c r="X39" s="117">
        <f>_xlfn.XLOOKUP(base_de_datos[[#This Row],[Materia]],Materias,Horas)/16</f>
        <v>4</v>
      </c>
      <c r="Y39" s="117">
        <f>ROUND(((base_de_datos[[#This Row],[Hora fin]]-base_de_datos[[#This Row],[Hora inicio]])*24)*(COUNTA(base_de_datos[[#This Row],[Lunes]:[Sábado]])),1)</f>
        <v>4</v>
      </c>
      <c r="Z39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39" s="117">
        <f ca="1">IF(base_de_datos[[#This Row],[No clase]]=OFFSET(base_de_datos[[#This Row],[No clase]],-1,0),0,1)</f>
        <v>1</v>
      </c>
      <c r="AB39" s="117">
        <f ca="1">IF(NOT(OR(base_de_datos[[#This Row],[Horas totales]]=base_de_datos[[#This Row],[HT Plan]],base_de_datos[[#This Row],[Horas totales]]="N/A")),1,0)</f>
        <v>0</v>
      </c>
      <c r="AC39" s="117" t="str">
        <f>_xlfn.XLOOKUP(base_de_datos[[#This Row],[Profesor]],Nombre,Grado)</f>
        <v>SNI</v>
      </c>
      <c r="AD39" s="118" t="str">
        <f>_xlfn.XLOOKUP(base_de_datos[[#This Row],[Profesor]],Nombre,Tipo)</f>
        <v>TC</v>
      </c>
      <c r="AE39" s="117">
        <f>IF(IFERROR(VLOOKUP($C39,Planes_de_estudio[],MATCH($AE$2,Carreras,0)+2,0),"")&gt;0,IFERROR(VLOOKUP($C39,Planes_de_estudio[],MATCH($AE$2,Carreras,0)+2,0),""),"")</f>
        <v>2</v>
      </c>
      <c r="AF39" s="117">
        <f>IF(IFERROR(VLOOKUP($C39,Planes_de_estudio[],MATCH($AF$2,Carreras,0)+2,0),"")&gt;0,IFERROR(VLOOKUP($C39,Planes_de_estudio[],MATCH($AF$2,Carreras,0)+2,0),""),"")</f>
        <v>2</v>
      </c>
      <c r="AG39" s="117">
        <f>IF(IFERROR(VLOOKUP($C39,Planes_de_estudio[],MATCH($AG$2,Carreras,0)+2,0),"")&gt;0,IFERROR(VLOOKUP($C39,Planes_de_estudio[],MATCH($AG$2,Carreras,0)+2,0),""),"")</f>
        <v>4</v>
      </c>
      <c r="AH39" s="117">
        <f>IF(IFERROR(VLOOKUP($C39,Planes_de_estudio[],MATCH($AH$2,Carreras,0)+2,0),"")&gt;0,IFERROR(VLOOKUP($C39,Planes_de_estudio[],MATCH($AH$2,Carreras,0)+2,0),""),"")</f>
        <v>2</v>
      </c>
      <c r="AI39" s="117">
        <f>IF(IFERROR(VLOOKUP($C39,Planes_de_estudio[],MATCH($AI$2,Carreras,0)+2,0),"")&gt;0,IFERROR(VLOOKUP($C39,Planes_de_estudio[],MATCH($AI$2,Carreras,0)+2,0),""),"")</f>
        <v>2</v>
      </c>
      <c r="AJ39" s="117">
        <f>IF(IFERROR(VLOOKUP($C39,Planes_de_estudio[],MATCH($AJ$2,Carreras,0)+2,0),"")&gt;0,IFERROR(VLOOKUP($C39,Planes_de_estudio[],MATCH($AJ$2,Carreras,0)+2,0),""),"")</f>
        <v>2</v>
      </c>
      <c r="AK39" s="117">
        <f>IF(IFERROR(VLOOKUP($C39,Planes_de_estudio[],MATCH($AK$2,Carreras,0)+2,0),"")&gt;0,IFERROR(VLOOKUP($C39,Planes_de_estudio[],MATCH($AK$2,Carreras,0)+2,0),""),"")</f>
        <v>2</v>
      </c>
      <c r="AL39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39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113</v>
      </c>
      <c r="AN39" s="117">
        <f>base_de_datos[[#This Row],[Pronóstico]]/25</f>
        <v>4.5199999999999996</v>
      </c>
      <c r="AO39" s="117" t="str">
        <f>VLOOKUP($C39,Planes_de_estudio[],2)</f>
        <v>MAT</v>
      </c>
      <c r="AP39" s="119">
        <f ca="1">IF(AND(base_de_datos[[#This Row],[Industrial]]&lt;&gt;"",base_de_datos[[#This Row],[Misma o no]]=1),base_de_datos[[#This Row],[Índice]],"")</f>
        <v>6</v>
      </c>
      <c r="AQ39" s="119">
        <f ca="1">IF(AND(base_de_datos[[#This Row],[Mecatrónica]]&lt;&gt;"",base_de_datos[[#This Row],[Misma o no]]=1),base_de_datos[[#This Row],[Índice]],"")</f>
        <v>6</v>
      </c>
      <c r="AR39" s="119">
        <f ca="1">IF(AND(base_de_datos[[#This Row],[Innovación y Diseño]]&lt;&gt;"",base_de_datos[[#This Row],[Misma o no]]=1),base_de_datos[[#This Row],[Índice]],"")</f>
        <v>6</v>
      </c>
      <c r="AS39" s="119">
        <f ca="1">IF(AND(base_de_datos[[#This Row],[Inteligencia Artificial]]&lt;&gt;"",base_de_datos[[#This Row],[Misma o no]]=1),base_de_datos[[#This Row],[Índice]],"")</f>
        <v>6</v>
      </c>
      <c r="AT39" s="119">
        <f ca="1">IF(AND(base_de_datos[[#This Row],[Tecnologías Energéticas]]&lt;&gt;"",base_de_datos[[#This Row],[Misma o no]]=1),base_de_datos[[#This Row],[Índice]],"")</f>
        <v>6</v>
      </c>
      <c r="AU39" s="119">
        <f ca="1">IF(AND(base_de_datos[[#This Row],[Civil y Administración]]&lt;&gt;"",base_de_datos[[#This Row],[Misma o no]]=1),base_de_datos[[#This Row],[Índice]],"")</f>
        <v>6</v>
      </c>
      <c r="AV39" s="119">
        <f ca="1">IF(AND(base_de_datos[[#This Row],[Bioelectrónica]]&lt;&gt;"",base_de_datos[[#This Row],[Misma o no]]=1),base_de_datos[[#This Row],[Índice]],"")</f>
        <v>6</v>
      </c>
      <c r="AW39" s="120"/>
      <c r="AX39" s="4">
        <v>3</v>
      </c>
    </row>
    <row r="40" spans="2:50" s="6" customFormat="1" ht="13" x14ac:dyDescent="0.3">
      <c r="B40" s="9" t="s">
        <v>177</v>
      </c>
      <c r="C40" s="1" t="s">
        <v>174</v>
      </c>
      <c r="D40" s="4">
        <v>1</v>
      </c>
      <c r="E40" s="113">
        <v>0.375</v>
      </c>
      <c r="F40" s="113">
        <v>0.45833333333333098</v>
      </c>
      <c r="G40" s="226" t="s">
        <v>92</v>
      </c>
      <c r="H40" s="4" t="s">
        <v>178</v>
      </c>
      <c r="I40" s="4"/>
      <c r="J40" s="114">
        <v>21</v>
      </c>
      <c r="K40" s="115"/>
      <c r="L40" s="3"/>
      <c r="M40" s="115"/>
      <c r="N40" s="3"/>
      <c r="O40" s="2" t="s">
        <v>179</v>
      </c>
      <c r="P40" s="114"/>
      <c r="Q40" s="114" t="s">
        <v>90</v>
      </c>
      <c r="R40" s="114"/>
      <c r="S40" s="114" t="s">
        <v>90</v>
      </c>
      <c r="T40" s="114"/>
      <c r="U40" s="114"/>
      <c r="V40" s="114"/>
      <c r="W40" s="114"/>
      <c r="X40" s="116">
        <f>_xlfn.XLOOKUP(base_de_datos[[#This Row],[Materia]],Materias,Horas)/16</f>
        <v>4</v>
      </c>
      <c r="Y40" s="116">
        <f>ROUND(((base_de_datos[[#This Row],[Hora fin]]-base_de_datos[[#This Row],[Hora inicio]])*24)*(COUNTA(base_de_datos[[#This Row],[Lunes]:[Sábado]])),1)</f>
        <v>4</v>
      </c>
      <c r="Z40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40" s="117">
        <f ca="1">IF(base_de_datos[[#This Row],[No clase]]=OFFSET(base_de_datos[[#This Row],[No clase]],-1,0),0,1)</f>
        <v>1</v>
      </c>
      <c r="AB40" s="117">
        <f ca="1">IF(NOT(OR(base_de_datos[[#This Row],[Horas totales]]=base_de_datos[[#This Row],[HT Plan]],base_de_datos[[#This Row],[Horas totales]]="N/A")),1,0)</f>
        <v>0</v>
      </c>
      <c r="AC40" s="116" t="str">
        <f>_xlfn.XLOOKUP(base_de_datos[[#This Row],[Profesor]],Nombre,Grado)</f>
        <v>M</v>
      </c>
      <c r="AD40" s="118" t="str">
        <f>_xlfn.XLOOKUP(base_de_datos[[#This Row],[Profesor]],Nombre,Tipo)</f>
        <v>TC</v>
      </c>
      <c r="AE40" s="116">
        <f>IF(IFERROR(VLOOKUP($C40,Planes_de_estudio[],MATCH($AE$2,Carreras,0)+2,0),"")&gt;0,IFERROR(VLOOKUP($C40,Planes_de_estudio[],MATCH($AE$2,Carreras,0)+2,0),""),"")</f>
        <v>2</v>
      </c>
      <c r="AF40" s="116">
        <f>IF(IFERROR(VLOOKUP($C40,Planes_de_estudio[],MATCH($AF$2,Carreras,0)+2,0),"")&gt;0,IFERROR(VLOOKUP($C40,Planes_de_estudio[],MATCH($AF$2,Carreras,0)+2,0),""),"")</f>
        <v>2</v>
      </c>
      <c r="AG40" s="116">
        <f>IF(IFERROR(VLOOKUP($C40,Planes_de_estudio[],MATCH($AG$2,Carreras,0)+2,0),"")&gt;0,IFERROR(VLOOKUP($C40,Planes_de_estudio[],MATCH($AG$2,Carreras,0)+2,0),""),"")</f>
        <v>4</v>
      </c>
      <c r="AH40" s="116">
        <f>IF(IFERROR(VLOOKUP($C40,Planes_de_estudio[],MATCH($AH$2,Carreras,0)+2,0),"")&gt;0,IFERROR(VLOOKUP($C40,Planes_de_estudio[],MATCH($AH$2,Carreras,0)+2,0),""),"")</f>
        <v>2</v>
      </c>
      <c r="AI40" s="116">
        <f>IF(IFERROR(VLOOKUP($C40,Planes_de_estudio[],MATCH($AI$2,Carreras,0)+2,0),"")&gt;0,IFERROR(VLOOKUP($C40,Planes_de_estudio[],MATCH($AI$2,Carreras,0)+2,0),""),"")</f>
        <v>2</v>
      </c>
      <c r="AJ40" s="116">
        <f>IF(IFERROR(VLOOKUP($C40,Planes_de_estudio[],MATCH($AJ$2,Carreras,0)+2,0),"")&gt;0,IFERROR(VLOOKUP($C40,Planes_de_estudio[],MATCH($AJ$2,Carreras,0)+2,0),""),"")</f>
        <v>2</v>
      </c>
      <c r="AK40" s="116">
        <f>IF(IFERROR(VLOOKUP($C40,Planes_de_estudio[],MATCH($AK$2,Carreras,0)+2,0),"")&gt;0,IFERROR(VLOOKUP($C40,Planes_de_estudio[],MATCH($AK$2,Carreras,0)+2,0),""),"")</f>
        <v>2</v>
      </c>
      <c r="AL40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40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113</v>
      </c>
      <c r="AN40" s="117">
        <f>base_de_datos[[#This Row],[Pronóstico]]/25</f>
        <v>4.5199999999999996</v>
      </c>
      <c r="AO40" s="117" t="str">
        <f>VLOOKUP($C40,Planes_de_estudio[],2)</f>
        <v>MAT</v>
      </c>
      <c r="AP40" s="119">
        <f ca="1">IF(AND(base_de_datos[[#This Row],[Industrial]]&lt;&gt;"",base_de_datos[[#This Row],[Misma o no]]=1),base_de_datos[[#This Row],[Índice]],"")</f>
        <v>4</v>
      </c>
      <c r="AQ40" s="119">
        <f ca="1">IF(AND(base_de_datos[[#This Row],[Mecatrónica]]&lt;&gt;"",base_de_datos[[#This Row],[Misma o no]]=1),base_de_datos[[#This Row],[Índice]],"")</f>
        <v>4</v>
      </c>
      <c r="AR40" s="119">
        <f ca="1">IF(AND(base_de_datos[[#This Row],[Innovación y Diseño]]&lt;&gt;"",base_de_datos[[#This Row],[Misma o no]]=1),base_de_datos[[#This Row],[Índice]],"")</f>
        <v>4</v>
      </c>
      <c r="AS40" s="119">
        <f ca="1">IF(AND(base_de_datos[[#This Row],[Inteligencia Artificial]]&lt;&gt;"",base_de_datos[[#This Row],[Misma o no]]=1),base_de_datos[[#This Row],[Índice]],"")</f>
        <v>4</v>
      </c>
      <c r="AT40" s="119">
        <f ca="1">IF(AND(base_de_datos[[#This Row],[Tecnologías Energéticas]]&lt;&gt;"",base_de_datos[[#This Row],[Misma o no]]=1),base_de_datos[[#This Row],[Índice]],"")</f>
        <v>4</v>
      </c>
      <c r="AU40" s="119">
        <f ca="1">IF(AND(base_de_datos[[#This Row],[Civil y Administración]]&lt;&gt;"",base_de_datos[[#This Row],[Misma o no]]=1),base_de_datos[[#This Row],[Índice]],"")</f>
        <v>4</v>
      </c>
      <c r="AV40" s="119">
        <f ca="1">IF(AND(base_de_datos[[#This Row],[Bioelectrónica]]&lt;&gt;"",base_de_datos[[#This Row],[Misma o no]]=1),base_de_datos[[#This Row],[Índice]],"")</f>
        <v>4</v>
      </c>
      <c r="AW40" s="120"/>
      <c r="AX40" s="4">
        <v>3</v>
      </c>
    </row>
    <row r="41" spans="2:50" s="6" customFormat="1" ht="13" x14ac:dyDescent="0.3">
      <c r="B41" s="9" t="s">
        <v>180</v>
      </c>
      <c r="C41" s="1" t="s">
        <v>174</v>
      </c>
      <c r="D41" s="4">
        <v>4</v>
      </c>
      <c r="E41" s="113">
        <v>0.375</v>
      </c>
      <c r="F41" s="113">
        <v>0.45833333333333098</v>
      </c>
      <c r="G41" s="226" t="s">
        <v>92</v>
      </c>
      <c r="H41" s="4" t="s">
        <v>116</v>
      </c>
      <c r="I41" s="4"/>
      <c r="J41" s="126">
        <v>18</v>
      </c>
      <c r="K41" s="115"/>
      <c r="L41" s="3"/>
      <c r="M41" s="127"/>
      <c r="N41" s="3"/>
      <c r="O41" s="4" t="s">
        <v>181</v>
      </c>
      <c r="P41" s="114"/>
      <c r="Q41" s="114" t="s">
        <v>90</v>
      </c>
      <c r="R41" s="114"/>
      <c r="S41" s="114" t="s">
        <v>90</v>
      </c>
      <c r="T41" s="114"/>
      <c r="U41" s="114"/>
      <c r="V41" s="114"/>
      <c r="W41" s="114"/>
      <c r="X41" s="117">
        <f>_xlfn.XLOOKUP(base_de_datos[[#This Row],[Materia]],Materias,Horas)/16</f>
        <v>4</v>
      </c>
      <c r="Y41" s="117">
        <f>ROUND(((base_de_datos[[#This Row],[Hora fin]]-base_de_datos[[#This Row],[Hora inicio]])*24)*(COUNTA(base_de_datos[[#This Row],[Lunes]:[Sábado]])),1)</f>
        <v>4</v>
      </c>
      <c r="Z41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41" s="117">
        <f ca="1">IF(base_de_datos[[#This Row],[No clase]]=OFFSET(base_de_datos[[#This Row],[No clase]],-1,0),0,1)</f>
        <v>1</v>
      </c>
      <c r="AB41" s="117">
        <f ca="1">IF(NOT(OR(base_de_datos[[#This Row],[Horas totales]]=base_de_datos[[#This Row],[HT Plan]],base_de_datos[[#This Row],[Horas totales]]="N/A")),1,0)</f>
        <v>0</v>
      </c>
      <c r="AC41" s="117" t="str">
        <f>_xlfn.XLOOKUP(base_de_datos[[#This Row],[Profesor]],Nombre,Grado)</f>
        <v>M</v>
      </c>
      <c r="AD41" s="118" t="str">
        <f>_xlfn.XLOOKUP(base_de_datos[[#This Row],[Profesor]],Nombre,Tipo)</f>
        <v>TC</v>
      </c>
      <c r="AE41" s="117">
        <f>IF(IFERROR(VLOOKUP($C41,Planes_de_estudio[],MATCH($AE$2,Carreras,0)+2,0),"")&gt;0,IFERROR(VLOOKUP($C41,Planes_de_estudio[],MATCH($AE$2,Carreras,0)+2,0),""),"")</f>
        <v>2</v>
      </c>
      <c r="AF41" s="117">
        <f>IF(IFERROR(VLOOKUP($C41,Planes_de_estudio[],MATCH($AF$2,Carreras,0)+2,0),"")&gt;0,IFERROR(VLOOKUP($C41,Planes_de_estudio[],MATCH($AF$2,Carreras,0)+2,0),""),"")</f>
        <v>2</v>
      </c>
      <c r="AG41" s="117">
        <f>IF(IFERROR(VLOOKUP($C41,Planes_de_estudio[],MATCH($AG$2,Carreras,0)+2,0),"")&gt;0,IFERROR(VLOOKUP($C41,Planes_de_estudio[],MATCH($AG$2,Carreras,0)+2,0),""),"")</f>
        <v>4</v>
      </c>
      <c r="AH41" s="117">
        <f>IF(IFERROR(VLOOKUP($C41,Planes_de_estudio[],MATCH($AH$2,Carreras,0)+2,0),"")&gt;0,IFERROR(VLOOKUP($C41,Planes_de_estudio[],MATCH($AH$2,Carreras,0)+2,0),""),"")</f>
        <v>2</v>
      </c>
      <c r="AI41" s="117">
        <f>IF(IFERROR(VLOOKUP($C41,Planes_de_estudio[],MATCH($AI$2,Carreras,0)+2,0),"")&gt;0,IFERROR(VLOOKUP($C41,Planes_de_estudio[],MATCH($AI$2,Carreras,0)+2,0),""),"")</f>
        <v>2</v>
      </c>
      <c r="AJ41" s="117">
        <f>IF(IFERROR(VLOOKUP($C41,Planes_de_estudio[],MATCH($AJ$2,Carreras,0)+2,0),"")&gt;0,IFERROR(VLOOKUP($C41,Planes_de_estudio[],MATCH($AJ$2,Carreras,0)+2,0),""),"")</f>
        <v>2</v>
      </c>
      <c r="AK41" s="117">
        <f>IF(IFERROR(VLOOKUP($C41,Planes_de_estudio[],MATCH($AK$2,Carreras,0)+2,0),"")&gt;0,IFERROR(VLOOKUP($C41,Planes_de_estudio[],MATCH($AK$2,Carreras,0)+2,0),""),"")</f>
        <v>2</v>
      </c>
      <c r="AL41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41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113</v>
      </c>
      <c r="AN41" s="117">
        <f>base_de_datos[[#This Row],[Pronóstico]]/25</f>
        <v>4.5199999999999996</v>
      </c>
      <c r="AO41" s="117" t="str">
        <f>VLOOKUP($C41,Planes_de_estudio[],2)</f>
        <v>MAT</v>
      </c>
      <c r="AP41" s="119">
        <f ca="1">IF(AND(base_de_datos[[#This Row],[Industrial]]&lt;&gt;"",base_de_datos[[#This Row],[Misma o no]]=1),base_de_datos[[#This Row],[Índice]],"")</f>
        <v>4</v>
      </c>
      <c r="AQ41" s="119">
        <f ca="1">IF(AND(base_de_datos[[#This Row],[Mecatrónica]]&lt;&gt;"",base_de_datos[[#This Row],[Misma o no]]=1),base_de_datos[[#This Row],[Índice]],"")</f>
        <v>4</v>
      </c>
      <c r="AR41" s="119">
        <f ca="1">IF(AND(base_de_datos[[#This Row],[Innovación y Diseño]]&lt;&gt;"",base_de_datos[[#This Row],[Misma o no]]=1),base_de_datos[[#This Row],[Índice]],"")</f>
        <v>4</v>
      </c>
      <c r="AS41" s="119">
        <f ca="1">IF(AND(base_de_datos[[#This Row],[Inteligencia Artificial]]&lt;&gt;"",base_de_datos[[#This Row],[Misma o no]]=1),base_de_datos[[#This Row],[Índice]],"")</f>
        <v>4</v>
      </c>
      <c r="AT41" s="119">
        <f ca="1">IF(AND(base_de_datos[[#This Row],[Tecnologías Energéticas]]&lt;&gt;"",base_de_datos[[#This Row],[Misma o no]]=1),base_de_datos[[#This Row],[Índice]],"")</f>
        <v>4</v>
      </c>
      <c r="AU41" s="119">
        <f ca="1">IF(AND(base_de_datos[[#This Row],[Civil y Administración]]&lt;&gt;"",base_de_datos[[#This Row],[Misma o no]]=1),base_de_datos[[#This Row],[Índice]],"")</f>
        <v>4</v>
      </c>
      <c r="AV41" s="119">
        <f ca="1">IF(AND(base_de_datos[[#This Row],[Bioelectrónica]]&lt;&gt;"",base_de_datos[[#This Row],[Misma o no]]=1),base_de_datos[[#This Row],[Índice]],"")</f>
        <v>4</v>
      </c>
      <c r="AW41" s="120"/>
      <c r="AX41" s="4">
        <v>3</v>
      </c>
    </row>
    <row r="42" spans="2:50" s="6" customFormat="1" ht="13" x14ac:dyDescent="0.3">
      <c r="B42" s="6" t="s">
        <v>200</v>
      </c>
      <c r="C42" s="1" t="s">
        <v>201</v>
      </c>
      <c r="D42" s="4">
        <v>1</v>
      </c>
      <c r="E42" s="113">
        <v>0.79166666666666696</v>
      </c>
      <c r="F42" s="113">
        <v>0.91666666666665697</v>
      </c>
      <c r="G42" s="4" t="s">
        <v>87</v>
      </c>
      <c r="H42" s="4" t="s">
        <v>106</v>
      </c>
      <c r="I42" s="4"/>
      <c r="J42" s="126">
        <v>10</v>
      </c>
      <c r="K42" s="115"/>
      <c r="L42" s="3"/>
      <c r="M42" s="127"/>
      <c r="N42" s="3"/>
      <c r="O42" s="4" t="s">
        <v>202</v>
      </c>
      <c r="P42" s="114"/>
      <c r="Q42" s="114"/>
      <c r="R42" s="114" t="s">
        <v>90</v>
      </c>
      <c r="S42" s="114"/>
      <c r="T42" s="114"/>
      <c r="U42" s="114"/>
      <c r="V42" s="114"/>
      <c r="W42" s="114"/>
      <c r="X42" s="117">
        <f>_xlfn.XLOOKUP(base_de_datos[[#This Row],[Materia]],Materias,Horas)/16</f>
        <v>5</v>
      </c>
      <c r="Y42" s="117">
        <f>ROUND(((base_de_datos[[#This Row],[Hora fin]]-base_de_datos[[#This Row],[Hora inicio]])*24)*(COUNTA(base_de_datos[[#This Row],[Lunes]:[Sábado]])),1)</f>
        <v>3</v>
      </c>
      <c r="Z42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42" s="117">
        <f ca="1">IF(base_de_datos[[#This Row],[No clase]]=OFFSET(base_de_datos[[#This Row],[No clase]],-1,0),0,1)</f>
        <v>1</v>
      </c>
      <c r="AB42" s="117">
        <f ca="1">IF(NOT(OR(base_de_datos[[#This Row],[Horas totales]]=base_de_datos[[#This Row],[HT Plan]],base_de_datos[[#This Row],[Horas totales]]="N/A")),1,0)</f>
        <v>1</v>
      </c>
      <c r="AC42" s="117" t="str">
        <f>_xlfn.XLOOKUP(base_de_datos[[#This Row],[Profesor]],Nombre,Grado)</f>
        <v>M</v>
      </c>
      <c r="AD42" s="118" t="str">
        <f>_xlfn.XLOOKUP(base_de_datos[[#This Row],[Profesor]],Nombre,Tipo)</f>
        <v>A</v>
      </c>
      <c r="AE42" s="117" t="str">
        <f>IF(IFERROR(VLOOKUP($C42,Planes_de_estudio[],MATCH($AE$2,Carreras,0)+2,0),"")&gt;0,IFERROR(VLOOKUP($C42,Planes_de_estudio[],MATCH($AE$2,Carreras,0)+2,0),""),"")</f>
        <v/>
      </c>
      <c r="AF42" s="117" t="str">
        <f>IF(IFERROR(VLOOKUP($C42,Planes_de_estudio[],MATCH($AF$2,Carreras,0)+2,0),"")&gt;0,IFERROR(VLOOKUP($C42,Planes_de_estudio[],MATCH($AF$2,Carreras,0)+2,0),""),"")</f>
        <v/>
      </c>
      <c r="AG42" s="117" t="str">
        <f>IF(IFERROR(VLOOKUP($C42,Planes_de_estudio[],MATCH($AG$2,Carreras,0)+2,0),"")&gt;0,IFERROR(VLOOKUP($C42,Planes_de_estudio[],MATCH($AG$2,Carreras,0)+2,0),""),"")</f>
        <v/>
      </c>
      <c r="AH42" s="117" t="str">
        <f>IF(IFERROR(VLOOKUP($C42,Planes_de_estudio[],MATCH($AH$2,Carreras,0)+2,0),"")&gt;0,IFERROR(VLOOKUP($C42,Planes_de_estudio[],MATCH($AH$2,Carreras,0)+2,0),""),"")</f>
        <v/>
      </c>
      <c r="AI42" s="117" t="str">
        <f>IF(IFERROR(VLOOKUP($C42,Planes_de_estudio[],MATCH($AI$2,Carreras,0)+2,0),"")&gt;0,IFERROR(VLOOKUP($C42,Planes_de_estudio[],MATCH($AI$2,Carreras,0)+2,0),""),"")</f>
        <v/>
      </c>
      <c r="AJ42" s="117">
        <f>IF(IFERROR(VLOOKUP($C42,Planes_de_estudio[],MATCH($AJ$2,Carreras,0)+2,0),"")&gt;0,IFERROR(VLOOKUP($C42,Planes_de_estudio[],MATCH($AJ$2,Carreras,0)+2,0),""),"")</f>
        <v>6</v>
      </c>
      <c r="AK42" s="117" t="str">
        <f>IF(IFERROR(VLOOKUP($C42,Planes_de_estudio[],MATCH($AK$2,Carreras,0)+2,0),"")&gt;0,IFERROR(VLOOKUP($C42,Planes_de_estudio[],MATCH($AK$2,Carreras,0)+2,0),""),"")</f>
        <v/>
      </c>
      <c r="AL42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42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13</v>
      </c>
      <c r="AN42" s="117">
        <f>base_de_datos[[#This Row],[Pronóstico]]/25</f>
        <v>0.52</v>
      </c>
      <c r="AO42" s="117" t="str">
        <f>VLOOKUP($C42,Planes_de_estudio[],2)</f>
        <v>ESC</v>
      </c>
      <c r="AP42" s="119" t="str">
        <f ca="1">IF(AND(base_de_datos[[#This Row],[Industrial]]&lt;&gt;"",base_de_datos[[#This Row],[Misma o no]]=1),base_de_datos[[#This Row],[Índice]],"")</f>
        <v/>
      </c>
      <c r="AQ42" s="119" t="str">
        <f ca="1">IF(AND(base_de_datos[[#This Row],[Mecatrónica]]&lt;&gt;"",base_de_datos[[#This Row],[Misma o no]]=1),base_de_datos[[#This Row],[Índice]],"")</f>
        <v/>
      </c>
      <c r="AR42" s="119" t="str">
        <f ca="1">IF(AND(base_de_datos[[#This Row],[Innovación y Diseño]]&lt;&gt;"",base_de_datos[[#This Row],[Misma o no]]=1),base_de_datos[[#This Row],[Índice]],"")</f>
        <v/>
      </c>
      <c r="AS42" s="119" t="str">
        <f ca="1">IF(AND(base_de_datos[[#This Row],[Inteligencia Artificial]]&lt;&gt;"",base_de_datos[[#This Row],[Misma o no]]=1),base_de_datos[[#This Row],[Índice]],"")</f>
        <v/>
      </c>
      <c r="AT42" s="119" t="str">
        <f ca="1">IF(AND(base_de_datos[[#This Row],[Tecnologías Energéticas]]&lt;&gt;"",base_de_datos[[#This Row],[Misma o no]]=1),base_de_datos[[#This Row],[Índice]],"")</f>
        <v/>
      </c>
      <c r="AU42" s="119">
        <f ca="1">IF(AND(base_de_datos[[#This Row],[Civil y Administración]]&lt;&gt;"",base_de_datos[[#This Row],[Misma o no]]=1),base_de_datos[[#This Row],[Índice]],"")</f>
        <v>4</v>
      </c>
      <c r="AV42" s="119" t="str">
        <f ca="1">IF(AND(base_de_datos[[#This Row],[Bioelectrónica]]&lt;&gt;"",base_de_datos[[#This Row],[Misma o no]]=1),base_de_datos[[#This Row],[Índice]],"")</f>
        <v/>
      </c>
      <c r="AW42" s="120"/>
      <c r="AX42" s="4">
        <v>2</v>
      </c>
    </row>
    <row r="43" spans="2:50" s="6" customFormat="1" ht="13" x14ac:dyDescent="0.3">
      <c r="B43" s="6" t="s">
        <v>196</v>
      </c>
      <c r="C43" s="1" t="s">
        <v>197</v>
      </c>
      <c r="D43" s="4">
        <v>1</v>
      </c>
      <c r="E43" s="113">
        <v>0.66666666666666696</v>
      </c>
      <c r="F43" s="113">
        <v>0.74999999999999301</v>
      </c>
      <c r="G43" s="4" t="s">
        <v>87</v>
      </c>
      <c r="H43" s="4" t="s">
        <v>194</v>
      </c>
      <c r="I43" s="4"/>
      <c r="J43" s="114">
        <v>15</v>
      </c>
      <c r="K43" s="115"/>
      <c r="L43" s="3"/>
      <c r="M43" s="115"/>
      <c r="N43" s="3"/>
      <c r="O43" s="2">
        <v>2357</v>
      </c>
      <c r="P43" s="114"/>
      <c r="Q43" s="114"/>
      <c r="R43" s="114"/>
      <c r="S43" s="114"/>
      <c r="T43" s="114" t="s">
        <v>90</v>
      </c>
      <c r="U43" s="114"/>
      <c r="V43" s="114"/>
      <c r="W43" s="114"/>
      <c r="X43" s="116">
        <f>_xlfn.XLOOKUP(base_de_datos[[#This Row],[Materia]],Materias,Horas)/16</f>
        <v>4</v>
      </c>
      <c r="Y43" s="117">
        <f>ROUND(((base_de_datos[[#This Row],[Hora fin]]-base_de_datos[[#This Row],[Hora inicio]])*24)*(COUNTA(base_de_datos[[#This Row],[Lunes]:[Sábado]])),1)</f>
        <v>2</v>
      </c>
      <c r="Z43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43" s="117">
        <f ca="1">IF(base_de_datos[[#This Row],[No clase]]=OFFSET(base_de_datos[[#This Row],[No clase]],-1,0),0,1)</f>
        <v>1</v>
      </c>
      <c r="AB43" s="117">
        <f ca="1">IF(NOT(OR(base_de_datos[[#This Row],[Horas totales]]=base_de_datos[[#This Row],[HT Plan]],base_de_datos[[#This Row],[Horas totales]]="N/A")),1,0)</f>
        <v>0</v>
      </c>
      <c r="AC43" s="117" t="str">
        <f>_xlfn.XLOOKUP(base_de_datos[[#This Row],[Profesor]],Nombre,Grado)</f>
        <v>D</v>
      </c>
      <c r="AD43" s="118" t="str">
        <f>_xlfn.XLOOKUP(base_de_datos[[#This Row],[Profesor]],Nombre,Tipo)</f>
        <v>A</v>
      </c>
      <c r="AE43" s="117" t="str">
        <f>IF(IFERROR(VLOOKUP($C43,Planes_de_estudio[],MATCH($AE$2,Carreras,0)+2,0),"")&gt;0,IFERROR(VLOOKUP($C43,Planes_de_estudio[],MATCH($AE$2,Carreras,0)+2,0),""),"")</f>
        <v/>
      </c>
      <c r="AF43" s="117" t="str">
        <f>IF(IFERROR(VLOOKUP($C43,Planes_de_estudio[],MATCH($AF$2,Carreras,0)+2,0),"")&gt;0,IFERROR(VLOOKUP($C43,Planes_de_estudio[],MATCH($AF$2,Carreras,0)+2,0),""),"")</f>
        <v/>
      </c>
      <c r="AG43" s="117">
        <f>IF(IFERROR(VLOOKUP($C43,Planes_de_estudio[],MATCH($AG$2,Carreras,0)+2,0),"")&gt;0,IFERROR(VLOOKUP($C43,Planes_de_estudio[],MATCH($AG$2,Carreras,0)+2,0),""),"")</f>
        <v>6</v>
      </c>
      <c r="AH43" s="117" t="str">
        <f>IF(IFERROR(VLOOKUP($C43,Planes_de_estudio[],MATCH($AH$2,Carreras,0)+2,0),"")&gt;0,IFERROR(VLOOKUP($C43,Planes_de_estudio[],MATCH($AH$2,Carreras,0)+2,0),""),"")</f>
        <v/>
      </c>
      <c r="AI43" s="117" t="str">
        <f>IF(IFERROR(VLOOKUP($C43,Planes_de_estudio[],MATCH($AI$2,Carreras,0)+2,0),"")&gt;0,IFERROR(VLOOKUP($C43,Planes_de_estudio[],MATCH($AI$2,Carreras,0)+2,0),""),"")</f>
        <v/>
      </c>
      <c r="AJ43" s="117" t="str">
        <f>IF(IFERROR(VLOOKUP($C43,Planes_de_estudio[],MATCH($AJ$2,Carreras,0)+2,0),"")&gt;0,IFERROR(VLOOKUP($C43,Planes_de_estudio[],MATCH($AJ$2,Carreras,0)+2,0),""),"")</f>
        <v/>
      </c>
      <c r="AK43" s="117" t="str">
        <f>IF(IFERROR(VLOOKUP($C43,Planes_de_estudio[],MATCH($AK$2,Carreras,0)+2,0),"")&gt;0,IFERROR(VLOOKUP($C43,Planes_de_estudio[],MATCH($AK$2,Carreras,0)+2,0),""),"")</f>
        <v/>
      </c>
      <c r="AL43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43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28</v>
      </c>
      <c r="AN43" s="117">
        <f>base_de_datos[[#This Row],[Pronóstico]]/25</f>
        <v>1.1200000000000001</v>
      </c>
      <c r="AO43" s="117" t="str">
        <f>VLOOKUP($C43,Planes_de_estudio[],2)</f>
        <v>EEC</v>
      </c>
      <c r="AP43" s="119" t="str">
        <f ca="1">IF(AND(base_de_datos[[#This Row],[Industrial]]&lt;&gt;"",base_de_datos[[#This Row],[Misma o no]]=1),base_de_datos[[#This Row],[Índice]],"")</f>
        <v/>
      </c>
      <c r="AQ43" s="119" t="str">
        <f ca="1">IF(AND(base_de_datos[[#This Row],[Mecatrónica]]&lt;&gt;"",base_de_datos[[#This Row],[Misma o no]]=1),base_de_datos[[#This Row],[Índice]],"")</f>
        <v/>
      </c>
      <c r="AR43" s="119">
        <f ca="1">IF(AND(base_de_datos[[#This Row],[Innovación y Diseño]]&lt;&gt;"",base_de_datos[[#This Row],[Misma o no]]=1),base_de_datos[[#This Row],[Índice]],"")</f>
        <v>6</v>
      </c>
      <c r="AS43" s="119" t="str">
        <f ca="1">IF(AND(base_de_datos[[#This Row],[Inteligencia Artificial]]&lt;&gt;"",base_de_datos[[#This Row],[Misma o no]]=1),base_de_datos[[#This Row],[Índice]],"")</f>
        <v/>
      </c>
      <c r="AT43" s="119" t="str">
        <f ca="1">IF(AND(base_de_datos[[#This Row],[Tecnologías Energéticas]]&lt;&gt;"",base_de_datos[[#This Row],[Misma o no]]=1),base_de_datos[[#This Row],[Índice]],"")</f>
        <v/>
      </c>
      <c r="AU43" s="119" t="str">
        <f ca="1">IF(AND(base_de_datos[[#This Row],[Civil y Administración]]&lt;&gt;"",base_de_datos[[#This Row],[Misma o no]]=1),base_de_datos[[#This Row],[Índice]],"")</f>
        <v/>
      </c>
      <c r="AV43" s="119" t="str">
        <f ca="1">IF(AND(base_de_datos[[#This Row],[Bioelectrónica]]&lt;&gt;"",base_de_datos[[#This Row],[Misma o no]]=1),base_de_datos[[#This Row],[Índice]],"")</f>
        <v/>
      </c>
      <c r="AW43" s="120"/>
      <c r="AX43" s="4">
        <v>2</v>
      </c>
    </row>
    <row r="44" spans="2:50" s="6" customFormat="1" ht="13" x14ac:dyDescent="0.3">
      <c r="B44" s="6" t="s">
        <v>196</v>
      </c>
      <c r="C44" s="1" t="s">
        <v>197</v>
      </c>
      <c r="D44" s="4">
        <v>1</v>
      </c>
      <c r="E44" s="113">
        <v>0.8125</v>
      </c>
      <c r="F44" s="113">
        <v>0.89583333333332305</v>
      </c>
      <c r="G44" s="4" t="s">
        <v>87</v>
      </c>
      <c r="H44" s="4" t="s">
        <v>194</v>
      </c>
      <c r="I44" s="4"/>
      <c r="J44" s="114">
        <v>15</v>
      </c>
      <c r="K44" s="115"/>
      <c r="L44" s="3"/>
      <c r="M44" s="115"/>
      <c r="N44" s="3"/>
      <c r="O44" s="2">
        <v>2357</v>
      </c>
      <c r="P44" s="114"/>
      <c r="Q44" s="114"/>
      <c r="R44" s="114" t="s">
        <v>90</v>
      </c>
      <c r="S44" s="114"/>
      <c r="T44" s="114"/>
      <c r="U44" s="114"/>
      <c r="V44" s="114"/>
      <c r="W44" s="114"/>
      <c r="X44" s="116">
        <f>_xlfn.XLOOKUP(base_de_datos[[#This Row],[Materia]],Materias,Horas)/16</f>
        <v>4</v>
      </c>
      <c r="Y44" s="117">
        <f>ROUND(((base_de_datos[[#This Row],[Hora fin]]-base_de_datos[[#This Row],[Hora inicio]])*24)*(COUNTA(base_de_datos[[#This Row],[Lunes]:[Sábado]])),1)</f>
        <v>2</v>
      </c>
      <c r="Z44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44" s="117">
        <f ca="1">IF(base_de_datos[[#This Row],[No clase]]=OFFSET(base_de_datos[[#This Row],[No clase]],-1,0),0,1)</f>
        <v>0</v>
      </c>
      <c r="AB44" s="117">
        <f ca="1">IF(NOT(OR(base_de_datos[[#This Row],[Horas totales]]=base_de_datos[[#This Row],[HT Plan]],base_de_datos[[#This Row],[Horas totales]]="N/A")),1,0)</f>
        <v>0</v>
      </c>
      <c r="AC44" s="117" t="str">
        <f>_xlfn.XLOOKUP(base_de_datos[[#This Row],[Profesor]],Nombre,Grado)</f>
        <v>D</v>
      </c>
      <c r="AD44" s="118" t="str">
        <f>_xlfn.XLOOKUP(base_de_datos[[#This Row],[Profesor]],Nombre,Tipo)</f>
        <v>A</v>
      </c>
      <c r="AE44" s="117" t="str">
        <f>IF(IFERROR(VLOOKUP($C44,Planes_de_estudio[],MATCH($AE$2,Carreras,0)+2,0),"")&gt;0,IFERROR(VLOOKUP($C44,Planes_de_estudio[],MATCH($AE$2,Carreras,0)+2,0),""),"")</f>
        <v/>
      </c>
      <c r="AF44" s="117" t="str">
        <f>IF(IFERROR(VLOOKUP($C44,Planes_de_estudio[],MATCH($AF$2,Carreras,0)+2,0),"")&gt;0,IFERROR(VLOOKUP($C44,Planes_de_estudio[],MATCH($AF$2,Carreras,0)+2,0),""),"")</f>
        <v/>
      </c>
      <c r="AG44" s="117">
        <f>IF(IFERROR(VLOOKUP($C44,Planes_de_estudio[],MATCH($AG$2,Carreras,0)+2,0),"")&gt;0,IFERROR(VLOOKUP($C44,Planes_de_estudio[],MATCH($AG$2,Carreras,0)+2,0),""),"")</f>
        <v>6</v>
      </c>
      <c r="AH44" s="117" t="str">
        <f>IF(IFERROR(VLOOKUP($C44,Planes_de_estudio[],MATCH($AH$2,Carreras,0)+2,0),"")&gt;0,IFERROR(VLOOKUP($C44,Planes_de_estudio[],MATCH($AH$2,Carreras,0)+2,0),""),"")</f>
        <v/>
      </c>
      <c r="AI44" s="117" t="str">
        <f>IF(IFERROR(VLOOKUP($C44,Planes_de_estudio[],MATCH($AI$2,Carreras,0)+2,0),"")&gt;0,IFERROR(VLOOKUP($C44,Planes_de_estudio[],MATCH($AI$2,Carreras,0)+2,0),""),"")</f>
        <v/>
      </c>
      <c r="AJ44" s="117" t="str">
        <f>IF(IFERROR(VLOOKUP($C44,Planes_de_estudio[],MATCH($AJ$2,Carreras,0)+2,0),"")&gt;0,IFERROR(VLOOKUP($C44,Planes_de_estudio[],MATCH($AJ$2,Carreras,0)+2,0),""),"")</f>
        <v/>
      </c>
      <c r="AK44" s="117" t="str">
        <f>IF(IFERROR(VLOOKUP($C44,Planes_de_estudio[],MATCH($AK$2,Carreras,0)+2,0),"")&gt;0,IFERROR(VLOOKUP($C44,Planes_de_estudio[],MATCH($AK$2,Carreras,0)+2,0),""),"")</f>
        <v/>
      </c>
      <c r="AL44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44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28</v>
      </c>
      <c r="AN44" s="117">
        <f>base_de_datos[[#This Row],[Pronóstico]]/25</f>
        <v>1.1200000000000001</v>
      </c>
      <c r="AO44" s="117" t="str">
        <f>VLOOKUP($C44,Planes_de_estudio[],2)</f>
        <v>EEC</v>
      </c>
      <c r="AP44" s="119" t="str">
        <f ca="1">IF(AND(base_de_datos[[#This Row],[Industrial]]&lt;&gt;"",base_de_datos[[#This Row],[Misma o no]]=1),base_de_datos[[#This Row],[Índice]],"")</f>
        <v/>
      </c>
      <c r="AQ44" s="119" t="str">
        <f ca="1">IF(AND(base_de_datos[[#This Row],[Mecatrónica]]&lt;&gt;"",base_de_datos[[#This Row],[Misma o no]]=1),base_de_datos[[#This Row],[Índice]],"")</f>
        <v/>
      </c>
      <c r="AR44" s="119" t="str">
        <f ca="1">IF(AND(base_de_datos[[#This Row],[Innovación y Diseño]]&lt;&gt;"",base_de_datos[[#This Row],[Misma o no]]=1),base_de_datos[[#This Row],[Índice]],"")</f>
        <v/>
      </c>
      <c r="AS44" s="119" t="str">
        <f ca="1">IF(AND(base_de_datos[[#This Row],[Inteligencia Artificial]]&lt;&gt;"",base_de_datos[[#This Row],[Misma o no]]=1),base_de_datos[[#This Row],[Índice]],"")</f>
        <v/>
      </c>
      <c r="AT44" s="119" t="str">
        <f ca="1">IF(AND(base_de_datos[[#This Row],[Tecnologías Energéticas]]&lt;&gt;"",base_de_datos[[#This Row],[Misma o no]]=1),base_de_datos[[#This Row],[Índice]],"")</f>
        <v/>
      </c>
      <c r="AU44" s="119" t="str">
        <f ca="1">IF(AND(base_de_datos[[#This Row],[Civil y Administración]]&lt;&gt;"",base_de_datos[[#This Row],[Misma o no]]=1),base_de_datos[[#This Row],[Índice]],"")</f>
        <v/>
      </c>
      <c r="AV44" s="119" t="str">
        <f ca="1">IF(AND(base_de_datos[[#This Row],[Bioelectrónica]]&lt;&gt;"",base_de_datos[[#This Row],[Misma o no]]=1),base_de_datos[[#This Row],[Índice]],"")</f>
        <v/>
      </c>
      <c r="AW44" s="120"/>
      <c r="AX44" s="4">
        <v>2</v>
      </c>
    </row>
    <row r="45" spans="2:50" s="6" customFormat="1" ht="13" x14ac:dyDescent="0.3">
      <c r="B45" s="6" t="s">
        <v>168</v>
      </c>
      <c r="C45" s="1" t="s">
        <v>183</v>
      </c>
      <c r="D45" s="4">
        <v>1</v>
      </c>
      <c r="E45" s="113">
        <v>0.29166666666666669</v>
      </c>
      <c r="F45" s="113">
        <v>0.374999999999999</v>
      </c>
      <c r="G45" s="226" t="s">
        <v>92</v>
      </c>
      <c r="H45" s="4" t="s">
        <v>93</v>
      </c>
      <c r="I45" s="4"/>
      <c r="J45" s="126">
        <v>9</v>
      </c>
      <c r="K45" s="115"/>
      <c r="L45" s="3"/>
      <c r="M45" s="127"/>
      <c r="N45" s="3"/>
      <c r="O45" s="4" t="s">
        <v>184</v>
      </c>
      <c r="P45" s="114"/>
      <c r="Q45" s="114"/>
      <c r="R45" s="114" t="s">
        <v>90</v>
      </c>
      <c r="S45" s="114"/>
      <c r="T45" s="114" t="s">
        <v>90</v>
      </c>
      <c r="U45" s="114"/>
      <c r="V45" s="114"/>
      <c r="W45" s="114"/>
      <c r="X45" s="117">
        <f>_xlfn.XLOOKUP(base_de_datos[[#This Row],[Materia]],Materias,Horas)/16</f>
        <v>4</v>
      </c>
      <c r="Y45" s="117">
        <f>ROUND(((base_de_datos[[#This Row],[Hora fin]]-base_de_datos[[#This Row],[Hora inicio]])*24)*(COUNTA(base_de_datos[[#This Row],[Lunes]:[Sábado]])),1)</f>
        <v>4</v>
      </c>
      <c r="Z45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45" s="117">
        <f ca="1">IF(base_de_datos[[#This Row],[No clase]]=OFFSET(base_de_datos[[#This Row],[No clase]],-1,0),0,1)</f>
        <v>1</v>
      </c>
      <c r="AB45" s="117">
        <f ca="1">IF(NOT(OR(base_de_datos[[#This Row],[Horas totales]]=base_de_datos[[#This Row],[HT Plan]],base_de_datos[[#This Row],[Horas totales]]="N/A")),1,0)</f>
        <v>0</v>
      </c>
      <c r="AC45" s="117" t="str">
        <f>_xlfn.XLOOKUP(base_de_datos[[#This Row],[Profesor]],Nombre,Grado)</f>
        <v>M</v>
      </c>
      <c r="AD45" s="118" t="str">
        <f>_xlfn.XLOOKUP(base_de_datos[[#This Row],[Profesor]],Nombre,Tipo)</f>
        <v>TC</v>
      </c>
      <c r="AE45" s="117">
        <f>IF(IFERROR(VLOOKUP($C45,Planes_de_estudio[],MATCH($AE$2,Carreras,0)+2,0),"")&gt;0,IFERROR(VLOOKUP($C45,Planes_de_estudio[],MATCH($AE$2,Carreras,0)+2,0),""),"")</f>
        <v>3</v>
      </c>
      <c r="AF45" s="117">
        <f>IF(IFERROR(VLOOKUP($C45,Planes_de_estudio[],MATCH($AF$2,Carreras,0)+2,0),"")&gt;0,IFERROR(VLOOKUP($C45,Planes_de_estudio[],MATCH($AF$2,Carreras,0)+2,0),""),"")</f>
        <v>3</v>
      </c>
      <c r="AG45" s="117">
        <f>IF(IFERROR(VLOOKUP($C45,Planes_de_estudio[],MATCH($AG$2,Carreras,0)+2,0),"")&gt;0,IFERROR(VLOOKUP($C45,Planes_de_estudio[],MATCH($AG$2,Carreras,0)+2,0),""),"")</f>
        <v>5</v>
      </c>
      <c r="AH45" s="117">
        <f>IF(IFERROR(VLOOKUP($C45,Planes_de_estudio[],MATCH($AH$2,Carreras,0)+2,0),"")&gt;0,IFERROR(VLOOKUP($C45,Planes_de_estudio[],MATCH($AH$2,Carreras,0)+2,0),""),"")</f>
        <v>3</v>
      </c>
      <c r="AI45" s="117">
        <f>IF(IFERROR(VLOOKUP($C45,Planes_de_estudio[],MATCH($AI$2,Carreras,0)+2,0),"")&gt;0,IFERROR(VLOOKUP($C45,Planes_de_estudio[],MATCH($AI$2,Carreras,0)+2,0),""),"")</f>
        <v>3</v>
      </c>
      <c r="AJ45" s="117">
        <f>IF(IFERROR(VLOOKUP($C45,Planes_de_estudio[],MATCH($AJ$2,Carreras,0)+2,0),"")&gt;0,IFERROR(VLOOKUP($C45,Planes_de_estudio[],MATCH($AJ$2,Carreras,0)+2,0),""),"")</f>
        <v>3</v>
      </c>
      <c r="AK45" s="117">
        <f>IF(IFERROR(VLOOKUP($C45,Planes_de_estudio[],MATCH($AK$2,Carreras,0)+2,0),"")&gt;0,IFERROR(VLOOKUP($C45,Planes_de_estudio[],MATCH($AK$2,Carreras,0)+2,0),""),"")</f>
        <v>3</v>
      </c>
      <c r="AL45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45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10</v>
      </c>
      <c r="AN45" s="117">
        <f>base_de_datos[[#This Row],[Pronóstico]]/25</f>
        <v>0.4</v>
      </c>
      <c r="AO45" s="117" t="str">
        <f>VLOOKUP($C45,Planes_de_estudio[],2)</f>
        <v>MAT</v>
      </c>
      <c r="AP45" s="119">
        <f ca="1">IF(AND(base_de_datos[[#This Row],[Industrial]]&lt;&gt;"",base_de_datos[[#This Row],[Misma o no]]=1),base_de_datos[[#This Row],[Índice]],"")</f>
        <v>4</v>
      </c>
      <c r="AQ45" s="119">
        <f ca="1">IF(AND(base_de_datos[[#This Row],[Mecatrónica]]&lt;&gt;"",base_de_datos[[#This Row],[Misma o no]]=1),base_de_datos[[#This Row],[Índice]],"")</f>
        <v>4</v>
      </c>
      <c r="AR45" s="119">
        <f ca="1">IF(AND(base_de_datos[[#This Row],[Innovación y Diseño]]&lt;&gt;"",base_de_datos[[#This Row],[Misma o no]]=1),base_de_datos[[#This Row],[Índice]],"")</f>
        <v>4</v>
      </c>
      <c r="AS45" s="119">
        <f ca="1">IF(AND(base_de_datos[[#This Row],[Inteligencia Artificial]]&lt;&gt;"",base_de_datos[[#This Row],[Misma o no]]=1),base_de_datos[[#This Row],[Índice]],"")</f>
        <v>4</v>
      </c>
      <c r="AT45" s="119">
        <f ca="1">IF(AND(base_de_datos[[#This Row],[Tecnologías Energéticas]]&lt;&gt;"",base_de_datos[[#This Row],[Misma o no]]=1),base_de_datos[[#This Row],[Índice]],"")</f>
        <v>4</v>
      </c>
      <c r="AU45" s="119">
        <f ca="1">IF(AND(base_de_datos[[#This Row],[Civil y Administración]]&lt;&gt;"",base_de_datos[[#This Row],[Misma o no]]=1),base_de_datos[[#This Row],[Índice]],"")</f>
        <v>4</v>
      </c>
      <c r="AV45" s="119">
        <f ca="1">IF(AND(base_de_datos[[#This Row],[Bioelectrónica]]&lt;&gt;"",base_de_datos[[#This Row],[Misma o no]]=1),base_de_datos[[#This Row],[Índice]],"")</f>
        <v>4</v>
      </c>
      <c r="AW45" s="120"/>
      <c r="AX45" s="4">
        <v>3</v>
      </c>
    </row>
    <row r="46" spans="2:50" s="6" customFormat="1" ht="13" x14ac:dyDescent="0.3">
      <c r="B46" s="6" t="s">
        <v>198</v>
      </c>
      <c r="C46" s="1" t="s">
        <v>199</v>
      </c>
      <c r="D46" s="4">
        <v>1</v>
      </c>
      <c r="E46" s="113">
        <v>0.39583333333333398</v>
      </c>
      <c r="F46" s="113">
        <v>0.45833333333333098</v>
      </c>
      <c r="G46" s="226" t="s">
        <v>92</v>
      </c>
      <c r="H46" s="4" t="s">
        <v>194</v>
      </c>
      <c r="I46" s="4"/>
      <c r="J46" s="232">
        <v>6</v>
      </c>
      <c r="K46" s="115"/>
      <c r="L46" s="3"/>
      <c r="M46" s="115"/>
      <c r="N46" s="3"/>
      <c r="O46" s="2">
        <v>1771</v>
      </c>
      <c r="P46" s="114"/>
      <c r="Q46" s="114"/>
      <c r="R46" s="114" t="s">
        <v>90</v>
      </c>
      <c r="S46" s="114"/>
      <c r="T46" s="114"/>
      <c r="U46" s="114"/>
      <c r="V46" s="114"/>
      <c r="W46" s="114"/>
      <c r="X46" s="116">
        <f>_xlfn.XLOOKUP(base_de_datos[[#This Row],[Materia]],Materias,Horas)/16</f>
        <v>3</v>
      </c>
      <c r="Y46" s="116">
        <f>ROUND(((base_de_datos[[#This Row],[Hora fin]]-base_de_datos[[#This Row],[Hora inicio]])*24)*(COUNTA(base_de_datos[[#This Row],[Lunes]:[Sábado]])),1)</f>
        <v>1.5</v>
      </c>
      <c r="Z46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46" s="117">
        <f ca="1">IF(base_de_datos[[#This Row],[No clase]]=OFFSET(base_de_datos[[#This Row],[No clase]],-1,0),0,1)</f>
        <v>1</v>
      </c>
      <c r="AB46" s="117">
        <f ca="1">IF(NOT(OR(base_de_datos[[#This Row],[Horas totales]]=base_de_datos[[#This Row],[HT Plan]],base_de_datos[[#This Row],[Horas totales]]="N/A")),1,0)</f>
        <v>0</v>
      </c>
      <c r="AC46" s="116" t="str">
        <f>_xlfn.XLOOKUP(base_de_datos[[#This Row],[Profesor]],Nombre,Grado)</f>
        <v>SNI</v>
      </c>
      <c r="AD46" s="118" t="str">
        <f>_xlfn.XLOOKUP(base_de_datos[[#This Row],[Profesor]],Nombre,Tipo)</f>
        <v>TC</v>
      </c>
      <c r="AE46" s="116" t="str">
        <f>IF(IFERROR(VLOOKUP($C46,Planes_de_estudio[],MATCH($AE$2,Carreras,0)+2,0),"")&gt;0,IFERROR(VLOOKUP($C46,Planes_de_estudio[],MATCH($AE$2,Carreras,0)+2,0),""),"")</f>
        <v/>
      </c>
      <c r="AF46" s="116" t="str">
        <f>IF(IFERROR(VLOOKUP($C46,Planes_de_estudio[],MATCH($AF$2,Carreras,0)+2,0),"")&gt;0,IFERROR(VLOOKUP($C46,Planes_de_estudio[],MATCH($AF$2,Carreras,0)+2,0),""),"")</f>
        <v/>
      </c>
      <c r="AG46" s="116" t="str">
        <f>IF(IFERROR(VLOOKUP($C46,Planes_de_estudio[],MATCH($AG$2,Carreras,0)+2,0),"")&gt;0,IFERROR(VLOOKUP($C46,Planes_de_estudio[],MATCH($AG$2,Carreras,0)+2,0),""),"")</f>
        <v/>
      </c>
      <c r="AH46" s="116" t="str">
        <f>IF(IFERROR(VLOOKUP($C46,Planes_de_estudio[],MATCH($AH$2,Carreras,0)+2,0),"")&gt;0,IFERROR(VLOOKUP($C46,Planes_de_estudio[],MATCH($AH$2,Carreras,0)+2,0),""),"")</f>
        <v/>
      </c>
      <c r="AI46" s="116" t="str">
        <f>IF(IFERROR(VLOOKUP($C46,Planes_de_estudio[],MATCH($AI$2,Carreras,0)+2,0),"")&gt;0,IFERROR(VLOOKUP($C46,Planes_de_estudio[],MATCH($AI$2,Carreras,0)+2,0),""),"")</f>
        <v/>
      </c>
      <c r="AJ46" s="116" t="str">
        <f>IF(IFERROR(VLOOKUP($C46,Planes_de_estudio[],MATCH($AJ$2,Carreras,0)+2,0),"")&gt;0,IFERROR(VLOOKUP($C46,Planes_de_estudio[],MATCH($AJ$2,Carreras,0)+2,0),""),"")</f>
        <v/>
      </c>
      <c r="AK46" s="116">
        <f>IF(IFERROR(VLOOKUP($C46,Planes_de_estudio[],MATCH($AK$2,Carreras,0)+2,0),"")&gt;0,IFERROR(VLOOKUP($C46,Planes_de_estudio[],MATCH($AK$2,Carreras,0)+2,0),""),"")</f>
        <v>4</v>
      </c>
      <c r="AL46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46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8</v>
      </c>
      <c r="AN46" s="117">
        <f>base_de_datos[[#This Row],[Pronóstico]]/25</f>
        <v>0.32</v>
      </c>
      <c r="AO46" s="117" t="str">
        <f>VLOOKUP($C46,Planes_de_estudio[],2)</f>
        <v>EEC</v>
      </c>
      <c r="AP46" s="119" t="str">
        <f ca="1">IF(AND(base_de_datos[[#This Row],[Industrial]]&lt;&gt;"",base_de_datos[[#This Row],[Misma o no]]=1),base_de_datos[[#This Row],[Índice]],"")</f>
        <v/>
      </c>
      <c r="AQ46" s="119" t="str">
        <f ca="1">IF(AND(base_de_datos[[#This Row],[Mecatrónica]]&lt;&gt;"",base_de_datos[[#This Row],[Misma o no]]=1),base_de_datos[[#This Row],[Índice]],"")</f>
        <v/>
      </c>
      <c r="AR46" s="119" t="str">
        <f ca="1">IF(AND(base_de_datos[[#This Row],[Innovación y Diseño]]&lt;&gt;"",base_de_datos[[#This Row],[Misma o no]]=1),base_de_datos[[#This Row],[Índice]],"")</f>
        <v/>
      </c>
      <c r="AS46" s="119" t="str">
        <f ca="1">IF(AND(base_de_datos[[#This Row],[Inteligencia Artificial]]&lt;&gt;"",base_de_datos[[#This Row],[Misma o no]]=1),base_de_datos[[#This Row],[Índice]],"")</f>
        <v/>
      </c>
      <c r="AT46" s="119" t="str">
        <f ca="1">IF(AND(base_de_datos[[#This Row],[Tecnologías Energéticas]]&lt;&gt;"",base_de_datos[[#This Row],[Misma o no]]=1),base_de_datos[[#This Row],[Índice]],"")</f>
        <v/>
      </c>
      <c r="AU46" s="119" t="str">
        <f ca="1">IF(AND(base_de_datos[[#This Row],[Civil y Administración]]&lt;&gt;"",base_de_datos[[#This Row],[Misma o no]]=1),base_de_datos[[#This Row],[Índice]],"")</f>
        <v/>
      </c>
      <c r="AV46" s="119">
        <f ca="1">IF(AND(base_de_datos[[#This Row],[Bioelectrónica]]&lt;&gt;"",base_de_datos[[#This Row],[Misma o no]]=1),base_de_datos[[#This Row],[Índice]],"")</f>
        <v>6</v>
      </c>
      <c r="AW46" s="120"/>
      <c r="AX46" s="4">
        <v>2</v>
      </c>
    </row>
    <row r="47" spans="2:50" s="6" customFormat="1" ht="13" x14ac:dyDescent="0.3">
      <c r="B47" s="6" t="s">
        <v>198</v>
      </c>
      <c r="C47" s="1" t="s">
        <v>199</v>
      </c>
      <c r="D47" s="4">
        <v>1</v>
      </c>
      <c r="E47" s="113">
        <v>0.3125</v>
      </c>
      <c r="F47" s="113">
        <v>0.374999999999999</v>
      </c>
      <c r="G47" s="226" t="s">
        <v>92</v>
      </c>
      <c r="H47" s="4" t="s">
        <v>194</v>
      </c>
      <c r="I47" s="4"/>
      <c r="J47" s="232">
        <v>6</v>
      </c>
      <c r="K47" s="128"/>
      <c r="L47" s="3"/>
      <c r="M47" s="128"/>
      <c r="N47" s="3"/>
      <c r="O47" s="2">
        <v>1771</v>
      </c>
      <c r="P47" s="114"/>
      <c r="Q47" s="114" t="s">
        <v>90</v>
      </c>
      <c r="R47" s="114"/>
      <c r="S47" s="114"/>
      <c r="T47" s="114"/>
      <c r="U47" s="114"/>
      <c r="V47" s="114"/>
      <c r="W47" s="114"/>
      <c r="X47" s="116">
        <f>_xlfn.XLOOKUP(base_de_datos[[#This Row],[Materia]],Materias,Horas)/16</f>
        <v>3</v>
      </c>
      <c r="Y47" s="116">
        <f>ROUND(((base_de_datos[[#This Row],[Hora fin]]-base_de_datos[[#This Row],[Hora inicio]])*24)*(COUNTA(base_de_datos[[#This Row],[Lunes]:[Sábado]])),1)</f>
        <v>1.5</v>
      </c>
      <c r="Z47" s="116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47" s="116">
        <f ca="1">IF(base_de_datos[[#This Row],[No clase]]=OFFSET(base_de_datos[[#This Row],[No clase]],-1,0),0,1)</f>
        <v>0</v>
      </c>
      <c r="AB47" s="116">
        <f ca="1">IF(NOT(OR(base_de_datos[[#This Row],[Horas totales]]=base_de_datos[[#This Row],[HT Plan]],base_de_datos[[#This Row],[Horas totales]]="N/A")),1,0)</f>
        <v>0</v>
      </c>
      <c r="AC47" s="116" t="str">
        <f>_xlfn.XLOOKUP(base_de_datos[[#This Row],[Profesor]],Nombre,Grado)</f>
        <v>SNI</v>
      </c>
      <c r="AD47" s="118" t="str">
        <f>_xlfn.XLOOKUP(base_de_datos[[#This Row],[Profesor]],Nombre,Tipo)</f>
        <v>TC</v>
      </c>
      <c r="AE47" s="116" t="str">
        <f>IF(IFERROR(VLOOKUP($C47,Planes_de_estudio[],MATCH($AE$2,Carreras,0)+2,0),"")&gt;0,IFERROR(VLOOKUP($C47,Planes_de_estudio[],MATCH($AE$2,Carreras,0)+2,0),""),"")</f>
        <v/>
      </c>
      <c r="AF47" s="116" t="str">
        <f>IF(IFERROR(VLOOKUP($C47,Planes_de_estudio[],MATCH($AF$2,Carreras,0)+2,0),"")&gt;0,IFERROR(VLOOKUP($C47,Planes_de_estudio[],MATCH($AF$2,Carreras,0)+2,0),""),"")</f>
        <v/>
      </c>
      <c r="AG47" s="116" t="str">
        <f>IF(IFERROR(VLOOKUP($C47,Planes_de_estudio[],MATCH($AG$2,Carreras,0)+2,0),"")&gt;0,IFERROR(VLOOKUP($C47,Planes_de_estudio[],MATCH($AG$2,Carreras,0)+2,0),""),"")</f>
        <v/>
      </c>
      <c r="AH47" s="116" t="str">
        <f>IF(IFERROR(VLOOKUP($C47,Planes_de_estudio[],MATCH($AH$2,Carreras,0)+2,0),"")&gt;0,IFERROR(VLOOKUP($C47,Planes_de_estudio[],MATCH($AH$2,Carreras,0)+2,0),""),"")</f>
        <v/>
      </c>
      <c r="AI47" s="116" t="str">
        <f>IF(IFERROR(VLOOKUP($C47,Planes_de_estudio[],MATCH($AI$2,Carreras,0)+2,0),"")&gt;0,IFERROR(VLOOKUP($C47,Planes_de_estudio[],MATCH($AI$2,Carreras,0)+2,0),""),"")</f>
        <v/>
      </c>
      <c r="AJ47" s="116" t="str">
        <f>IF(IFERROR(VLOOKUP($C47,Planes_de_estudio[],MATCH($AJ$2,Carreras,0)+2,0),"")&gt;0,IFERROR(VLOOKUP($C47,Planes_de_estudio[],MATCH($AJ$2,Carreras,0)+2,0),""),"")</f>
        <v/>
      </c>
      <c r="AK47" s="116">
        <f>IF(IFERROR(VLOOKUP($C47,Planes_de_estudio[],MATCH($AK$2,Carreras,0)+2,0),"")&gt;0,IFERROR(VLOOKUP($C47,Planes_de_estudio[],MATCH($AK$2,Carreras,0)+2,0),""),"")</f>
        <v>4</v>
      </c>
      <c r="AL47" s="116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47" s="116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8</v>
      </c>
      <c r="AN47" s="116">
        <f>base_de_datos[[#This Row],[Pronóstico]]/25</f>
        <v>0.32</v>
      </c>
      <c r="AO47" s="116" t="str">
        <f>VLOOKUP($C47,Planes_de_estudio[],2)</f>
        <v>EEC</v>
      </c>
      <c r="AP47" s="129" t="str">
        <f ca="1">IF(AND(base_de_datos[[#This Row],[Industrial]]&lt;&gt;"",base_de_datos[[#This Row],[Misma o no]]=1),base_de_datos[[#This Row],[Índice]],"")</f>
        <v/>
      </c>
      <c r="AQ47" s="129" t="str">
        <f ca="1">IF(AND(base_de_datos[[#This Row],[Mecatrónica]]&lt;&gt;"",base_de_datos[[#This Row],[Misma o no]]=1),base_de_datos[[#This Row],[Índice]],"")</f>
        <v/>
      </c>
      <c r="AR47" s="129" t="str">
        <f ca="1">IF(AND(base_de_datos[[#This Row],[Innovación y Diseño]]&lt;&gt;"",base_de_datos[[#This Row],[Misma o no]]=1),base_de_datos[[#This Row],[Índice]],"")</f>
        <v/>
      </c>
      <c r="AS47" s="129" t="str">
        <f ca="1">IF(AND(base_de_datos[[#This Row],[Inteligencia Artificial]]&lt;&gt;"",base_de_datos[[#This Row],[Misma o no]]=1),base_de_datos[[#This Row],[Índice]],"")</f>
        <v/>
      </c>
      <c r="AT47" s="129" t="str">
        <f ca="1">IF(AND(base_de_datos[[#This Row],[Tecnologías Energéticas]]&lt;&gt;"",base_de_datos[[#This Row],[Misma o no]]=1),base_de_datos[[#This Row],[Índice]],"")</f>
        <v/>
      </c>
      <c r="AU47" s="129" t="str">
        <f ca="1">IF(AND(base_de_datos[[#This Row],[Civil y Administración]]&lt;&gt;"",base_de_datos[[#This Row],[Misma o no]]=1),base_de_datos[[#This Row],[Índice]],"")</f>
        <v/>
      </c>
      <c r="AV47" s="129" t="str">
        <f ca="1">IF(AND(base_de_datos[[#This Row],[Bioelectrónica]]&lt;&gt;"",base_de_datos[[#This Row],[Misma o no]]=1),base_de_datos[[#This Row],[Índice]],"")</f>
        <v/>
      </c>
      <c r="AW47" s="130"/>
      <c r="AX47" s="4">
        <v>2</v>
      </c>
    </row>
    <row r="48" spans="2:50" s="6" customFormat="1" ht="13" x14ac:dyDescent="0.3">
      <c r="B48" s="6" t="s">
        <v>188</v>
      </c>
      <c r="C48" s="1" t="s">
        <v>189</v>
      </c>
      <c r="D48" s="4">
        <v>1</v>
      </c>
      <c r="E48" s="113">
        <v>0.3125</v>
      </c>
      <c r="F48" s="113">
        <v>0.39583333333333198</v>
      </c>
      <c r="G48" s="4" t="s">
        <v>87</v>
      </c>
      <c r="H48" s="4" t="s">
        <v>157</v>
      </c>
      <c r="I48" s="4"/>
      <c r="J48" s="231">
        <v>6</v>
      </c>
      <c r="K48" s="115"/>
      <c r="L48" s="3"/>
      <c r="M48" s="127"/>
      <c r="N48" s="3"/>
      <c r="O48" s="4" t="s">
        <v>190</v>
      </c>
      <c r="P48" s="114" t="s">
        <v>90</v>
      </c>
      <c r="Q48" s="114"/>
      <c r="R48" s="114"/>
      <c r="S48" s="114"/>
      <c r="T48" s="114"/>
      <c r="U48" s="114"/>
      <c r="V48" s="114"/>
      <c r="W48" s="114"/>
      <c r="X48" s="117">
        <f>_xlfn.XLOOKUP(base_de_datos[[#This Row],[Materia]],Materias,Horas)/16</f>
        <v>3</v>
      </c>
      <c r="Y48" s="117">
        <f>ROUND(((base_de_datos[[#This Row],[Hora fin]]-base_de_datos[[#This Row],[Hora inicio]])*24)*(COUNTA(base_de_datos[[#This Row],[Lunes]:[Sábado]])),1)</f>
        <v>2</v>
      </c>
      <c r="Z48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48" s="117">
        <f ca="1">IF(base_de_datos[[#This Row],[No clase]]=OFFSET(base_de_datos[[#This Row],[No clase]],-1,0),0,1)</f>
        <v>1</v>
      </c>
      <c r="AB48" s="117">
        <f ca="1">IF(NOT(OR(base_de_datos[[#This Row],[Horas totales]]=base_de_datos[[#This Row],[HT Plan]],base_de_datos[[#This Row],[Horas totales]]="N/A")),1,0)</f>
        <v>1</v>
      </c>
      <c r="AC48" s="117" t="str">
        <f>_xlfn.XLOOKUP(base_de_datos[[#This Row],[Profesor]],Nombre,Grado)</f>
        <v>E</v>
      </c>
      <c r="AD48" s="118" t="str">
        <f>_xlfn.XLOOKUP(base_de_datos[[#This Row],[Profesor]],Nombre,Tipo)</f>
        <v>A</v>
      </c>
      <c r="AE48" s="117" t="str">
        <f>IF(IFERROR(VLOOKUP($C48,Planes_de_estudio[],MATCH($AE$2,Carreras,0)+2,0),"")&gt;0,IFERROR(VLOOKUP($C48,Planes_de_estudio[],MATCH($AE$2,Carreras,0)+2,0),""),"")</f>
        <v/>
      </c>
      <c r="AF48" s="117">
        <f>IF(IFERROR(VLOOKUP($C48,Planes_de_estudio[],MATCH($AF$2,Carreras,0)+2,0),"")&gt;0,IFERROR(VLOOKUP($C48,Planes_de_estudio[],MATCH($AF$2,Carreras,0)+2,0),""),"")</f>
        <v>3</v>
      </c>
      <c r="AG48" s="117" t="str">
        <f>IF(IFERROR(VLOOKUP($C48,Planes_de_estudio[],MATCH($AG$2,Carreras,0)+2,0),"")&gt;0,IFERROR(VLOOKUP($C48,Planes_de_estudio[],MATCH($AG$2,Carreras,0)+2,0),""),"")</f>
        <v/>
      </c>
      <c r="AH48" s="117">
        <f>IF(IFERROR(VLOOKUP($C48,Planes_de_estudio[],MATCH($AH$2,Carreras,0)+2,0),"")&gt;0,IFERROR(VLOOKUP($C48,Planes_de_estudio[],MATCH($AH$2,Carreras,0)+2,0),""),"")</f>
        <v>3</v>
      </c>
      <c r="AI48" s="117">
        <f>IF(IFERROR(VLOOKUP($C48,Planes_de_estudio[],MATCH($AI$2,Carreras,0)+2,0),"")&gt;0,IFERROR(VLOOKUP($C48,Planes_de_estudio[],MATCH($AI$2,Carreras,0)+2,0),""),"")</f>
        <v>4</v>
      </c>
      <c r="AJ48" s="117" t="str">
        <f>IF(IFERROR(VLOOKUP($C48,Planes_de_estudio[],MATCH($AJ$2,Carreras,0)+2,0),"")&gt;0,IFERROR(VLOOKUP($C48,Planes_de_estudio[],MATCH($AJ$2,Carreras,0)+2,0),""),"")</f>
        <v/>
      </c>
      <c r="AK48" s="117">
        <f>IF(IFERROR(VLOOKUP($C48,Planes_de_estudio[],MATCH($AK$2,Carreras,0)+2,0),"")&gt;0,IFERROR(VLOOKUP($C48,Planes_de_estudio[],MATCH($AK$2,Carreras,0)+2,0),""),"")</f>
        <v>3</v>
      </c>
      <c r="AL48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48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</v>
      </c>
      <c r="AN48" s="117">
        <f>base_de_datos[[#This Row],[Pronóstico]]/25</f>
        <v>0.44</v>
      </c>
      <c r="AO48" s="117" t="str">
        <f>VLOOKUP($C48,Planes_de_estudio[],2)</f>
        <v>EEC</v>
      </c>
      <c r="AP48" s="119" t="str">
        <f ca="1">IF(AND(base_de_datos[[#This Row],[Industrial]]&lt;&gt;"",base_de_datos[[#This Row],[Misma o no]]=1),base_de_datos[[#This Row],[Índice]],"")</f>
        <v/>
      </c>
      <c r="AQ48" s="119">
        <f ca="1">IF(AND(base_de_datos[[#This Row],[Mecatrónica]]&lt;&gt;"",base_de_datos[[#This Row],[Misma o no]]=1),base_de_datos[[#This Row],[Índice]],"")</f>
        <v>2</v>
      </c>
      <c r="AR48" s="119" t="str">
        <f ca="1">IF(AND(base_de_datos[[#This Row],[Innovación y Diseño]]&lt;&gt;"",base_de_datos[[#This Row],[Misma o no]]=1),base_de_datos[[#This Row],[Índice]],"")</f>
        <v/>
      </c>
      <c r="AS48" s="119">
        <f ca="1">IF(AND(base_de_datos[[#This Row],[Inteligencia Artificial]]&lt;&gt;"",base_de_datos[[#This Row],[Misma o no]]=1),base_de_datos[[#This Row],[Índice]],"")</f>
        <v>2</v>
      </c>
      <c r="AT48" s="119">
        <f ca="1">IF(AND(base_de_datos[[#This Row],[Tecnologías Energéticas]]&lt;&gt;"",base_de_datos[[#This Row],[Misma o no]]=1),base_de_datos[[#This Row],[Índice]],"")</f>
        <v>2</v>
      </c>
      <c r="AU48" s="119" t="str">
        <f ca="1">IF(AND(base_de_datos[[#This Row],[Civil y Administración]]&lt;&gt;"",base_de_datos[[#This Row],[Misma o no]]=1),base_de_datos[[#This Row],[Índice]],"")</f>
        <v/>
      </c>
      <c r="AV48" s="119">
        <f ca="1">IF(AND(base_de_datos[[#This Row],[Bioelectrónica]]&lt;&gt;"",base_de_datos[[#This Row],[Misma o no]]=1),base_de_datos[[#This Row],[Índice]],"")</f>
        <v>2</v>
      </c>
      <c r="AW48" s="120"/>
      <c r="AX48" s="4" t="s">
        <v>1811</v>
      </c>
    </row>
    <row r="49" spans="2:50" s="6" customFormat="1" ht="11.25" customHeight="1" x14ac:dyDescent="0.3">
      <c r="B49" s="6" t="s">
        <v>203</v>
      </c>
      <c r="C49" s="1" t="s">
        <v>204</v>
      </c>
      <c r="D49" s="4">
        <v>1</v>
      </c>
      <c r="E49" s="113">
        <v>0.79166666666666696</v>
      </c>
      <c r="F49" s="113">
        <v>0.91666666666665697</v>
      </c>
      <c r="G49" s="4" t="s">
        <v>87</v>
      </c>
      <c r="H49" s="4" t="s">
        <v>133</v>
      </c>
      <c r="I49" s="4"/>
      <c r="J49" s="126">
        <v>11</v>
      </c>
      <c r="K49" s="115"/>
      <c r="L49" s="3"/>
      <c r="M49" s="127"/>
      <c r="N49" s="3"/>
      <c r="O49" s="4" t="s">
        <v>205</v>
      </c>
      <c r="P49" s="114"/>
      <c r="Q49" s="114"/>
      <c r="R49" s="114"/>
      <c r="S49" s="114" t="s">
        <v>90</v>
      </c>
      <c r="T49" s="114"/>
      <c r="U49" s="114"/>
      <c r="V49" s="114" t="s">
        <v>90</v>
      </c>
      <c r="W49" s="114"/>
      <c r="X49" s="117">
        <f>_xlfn.XLOOKUP(base_de_datos[[#This Row],[Materia]],Materias,Horas)/16</f>
        <v>3</v>
      </c>
      <c r="Y49" s="117">
        <f>ROUND(((base_de_datos[[#This Row],[Hora fin]]-base_de_datos[[#This Row],[Hora inicio]])*24)*(COUNTA(base_de_datos[[#This Row],[Lunes]:[Sábado]])),1)</f>
        <v>3</v>
      </c>
      <c r="Z49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49" s="117">
        <f ca="1">IF(base_de_datos[[#This Row],[No clase]]=OFFSET(base_de_datos[[#This Row],[No clase]],-1,0),0,1)</f>
        <v>1</v>
      </c>
      <c r="AB49" s="117">
        <f ca="1">IF(NOT(OR(base_de_datos[[#This Row],[Horas totales]]=base_de_datos[[#This Row],[HT Plan]],base_de_datos[[#This Row],[Horas totales]]="N/A")),1,0)</f>
        <v>0</v>
      </c>
      <c r="AC49" s="117" t="str">
        <f>_xlfn.XLOOKUP(base_de_datos[[#This Row],[Profesor]],Nombre,Grado)</f>
        <v>D</v>
      </c>
      <c r="AD49" s="118" t="str">
        <f>_xlfn.XLOOKUP(base_de_datos[[#This Row],[Profesor]],Nombre,Tipo)</f>
        <v>A</v>
      </c>
      <c r="AE49" s="117" t="str">
        <f>IF(IFERROR(VLOOKUP($C49,Planes_de_estudio[],MATCH($AE$2,Carreras,0)+2,0),"")&gt;0,IFERROR(VLOOKUP($C49,Planes_de_estudio[],MATCH($AE$2,Carreras,0)+2,0),""),"")</f>
        <v/>
      </c>
      <c r="AF49" s="117">
        <f>IF(IFERROR(VLOOKUP($C49,Planes_de_estudio[],MATCH($AF$2,Carreras,0)+2,0),"")&gt;0,IFERROR(VLOOKUP($C49,Planes_de_estudio[],MATCH($AF$2,Carreras,0)+2,0),""),"")</f>
        <v>8</v>
      </c>
      <c r="AG49" s="117" t="str">
        <f>IF(IFERROR(VLOOKUP($C49,Planes_de_estudio[],MATCH($AG$2,Carreras,0)+2,0),"")&gt;0,IFERROR(VLOOKUP($C49,Planes_de_estudio[],MATCH($AG$2,Carreras,0)+2,0),""),"")</f>
        <v/>
      </c>
      <c r="AH49" s="117" t="str">
        <f>IF(IFERROR(VLOOKUP($C49,Planes_de_estudio[],MATCH($AH$2,Carreras,0)+2,0),"")&gt;0,IFERROR(VLOOKUP($C49,Planes_de_estudio[],MATCH($AH$2,Carreras,0)+2,0),""),"")</f>
        <v/>
      </c>
      <c r="AI49" s="117" t="str">
        <f>IF(IFERROR(VLOOKUP($C49,Planes_de_estudio[],MATCH($AI$2,Carreras,0)+2,0),"")&gt;0,IFERROR(VLOOKUP($C49,Planes_de_estudio[],MATCH($AI$2,Carreras,0)+2,0),""),"")</f>
        <v/>
      </c>
      <c r="AJ49" s="117" t="str">
        <f>IF(IFERROR(VLOOKUP($C49,Planes_de_estudio[],MATCH($AJ$2,Carreras,0)+2,0),"")&gt;0,IFERROR(VLOOKUP($C49,Planes_de_estudio[],MATCH($AJ$2,Carreras,0)+2,0),""),"")</f>
        <v/>
      </c>
      <c r="AK49" s="117">
        <f>IF(IFERROR(VLOOKUP($C49,Planes_de_estudio[],MATCH($AK$2,Carreras,0)+2,0),"")&gt;0,IFERROR(VLOOKUP($C49,Planes_de_estudio[],MATCH($AK$2,Carreras,0)+2,0),""),"")</f>
        <v>8</v>
      </c>
      <c r="AL49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49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26</v>
      </c>
      <c r="AN49" s="117">
        <f>base_de_datos[[#This Row],[Pronóstico]]/25</f>
        <v>1.04</v>
      </c>
      <c r="AO49" s="117" t="str">
        <f>VLOOKUP($C49,Planes_de_estudio[],2)</f>
        <v>EEC</v>
      </c>
      <c r="AP49" s="119" t="str">
        <f ca="1">IF(AND(base_de_datos[[#This Row],[Industrial]]&lt;&gt;"",base_de_datos[[#This Row],[Misma o no]]=1),base_de_datos[[#This Row],[Índice]],"")</f>
        <v/>
      </c>
      <c r="AQ49" s="119">
        <f ca="1">IF(AND(base_de_datos[[#This Row],[Mecatrónica]]&lt;&gt;"",base_de_datos[[#This Row],[Misma o no]]=1),base_de_datos[[#This Row],[Índice]],"")</f>
        <v>6</v>
      </c>
      <c r="AR49" s="119" t="str">
        <f ca="1">IF(AND(base_de_datos[[#This Row],[Innovación y Diseño]]&lt;&gt;"",base_de_datos[[#This Row],[Misma o no]]=1),base_de_datos[[#This Row],[Índice]],"")</f>
        <v/>
      </c>
      <c r="AS49" s="119" t="str">
        <f ca="1">IF(AND(base_de_datos[[#This Row],[Inteligencia Artificial]]&lt;&gt;"",base_de_datos[[#This Row],[Misma o no]]=1),base_de_datos[[#This Row],[Índice]],"")</f>
        <v/>
      </c>
      <c r="AT49" s="119" t="str">
        <f ca="1">IF(AND(base_de_datos[[#This Row],[Tecnologías Energéticas]]&lt;&gt;"",base_de_datos[[#This Row],[Misma o no]]=1),base_de_datos[[#This Row],[Índice]],"")</f>
        <v/>
      </c>
      <c r="AU49" s="119" t="str">
        <f ca="1">IF(AND(base_de_datos[[#This Row],[Civil y Administración]]&lt;&gt;"",base_de_datos[[#This Row],[Misma o no]]=1),base_de_datos[[#This Row],[Índice]],"")</f>
        <v/>
      </c>
      <c r="AV49" s="119">
        <f ca="1">IF(AND(base_de_datos[[#This Row],[Bioelectrónica]]&lt;&gt;"",base_de_datos[[#This Row],[Misma o no]]=1),base_de_datos[[#This Row],[Índice]],"")</f>
        <v>6</v>
      </c>
      <c r="AW49" s="120"/>
      <c r="AX49" s="4">
        <v>3</v>
      </c>
    </row>
    <row r="50" spans="2:50" s="6" customFormat="1" ht="11.25" customHeight="1" x14ac:dyDescent="0.3">
      <c r="B50" s="9" t="s">
        <v>216</v>
      </c>
      <c r="C50" s="1" t="s">
        <v>217</v>
      </c>
      <c r="D50" s="4">
        <v>1</v>
      </c>
      <c r="E50" s="113">
        <v>0.79166666666666696</v>
      </c>
      <c r="F50" s="113">
        <v>0.91666666666665697</v>
      </c>
      <c r="G50" s="226" t="s">
        <v>87</v>
      </c>
      <c r="H50" s="84" t="s">
        <v>169</v>
      </c>
      <c r="I50" s="4"/>
      <c r="J50" s="198">
        <v>28</v>
      </c>
      <c r="K50" s="115"/>
      <c r="L50" s="3"/>
      <c r="M50" s="115"/>
      <c r="N50" s="3"/>
      <c r="O50" s="2" t="s">
        <v>218</v>
      </c>
      <c r="P50" s="114"/>
      <c r="Q50" s="114" t="s">
        <v>90</v>
      </c>
      <c r="R50" s="114"/>
      <c r="S50" s="114"/>
      <c r="T50" s="114"/>
      <c r="U50" s="114"/>
      <c r="V50" s="114" t="s">
        <v>90</v>
      </c>
      <c r="W50" s="114"/>
      <c r="X50" s="116">
        <f>_xlfn.XLOOKUP(base_de_datos[[#This Row],[Materia]],Materias,Horas)/16</f>
        <v>3</v>
      </c>
      <c r="Y50" s="116">
        <f>ROUND(((base_de_datos[[#This Row],[Hora fin]]-base_de_datos[[#This Row],[Hora inicio]])*24)*(COUNTA(base_de_datos[[#This Row],[Lunes]:[Sábado]])),1)</f>
        <v>3</v>
      </c>
      <c r="Z50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50" s="117">
        <f ca="1">IF(base_de_datos[[#This Row],[No clase]]=OFFSET(base_de_datos[[#This Row],[No clase]],-1,0),0,1)</f>
        <v>1</v>
      </c>
      <c r="AB50" s="117">
        <f ca="1">IF(NOT(OR(base_de_datos[[#This Row],[Horas totales]]=base_de_datos[[#This Row],[HT Plan]],base_de_datos[[#This Row],[Horas totales]]="N/A")),1,0)</f>
        <v>0</v>
      </c>
      <c r="AC50" s="116" t="str">
        <f>_xlfn.XLOOKUP(base_de_datos[[#This Row],[Profesor]],Nombre,Grado)</f>
        <v>SNI</v>
      </c>
      <c r="AD50" s="118" t="str">
        <f>_xlfn.XLOOKUP(base_de_datos[[#This Row],[Profesor]],Nombre,Tipo)</f>
        <v>TC</v>
      </c>
      <c r="AE50" s="116" t="str">
        <f>IF(IFERROR(VLOOKUP($C50,Planes_de_estudio[],MATCH($AE$2,Carreras,0)+2,0),"")&gt;0,IFERROR(VLOOKUP($C50,Planes_de_estudio[],MATCH($AE$2,Carreras,0)+2,0),""),"")</f>
        <v/>
      </c>
      <c r="AF50" s="116">
        <f>IF(IFERROR(VLOOKUP($C50,Planes_de_estudio[],MATCH($AF$2,Carreras,0)+2,0),"")&gt;0,IFERROR(VLOOKUP($C50,Planes_de_estudio[],MATCH($AF$2,Carreras,0)+2,0),""),"")</f>
        <v>6</v>
      </c>
      <c r="AG50" s="116" t="str">
        <f>IF(IFERROR(VLOOKUP($C50,Planes_de_estudio[],MATCH($AG$2,Carreras,0)+2,0),"")&gt;0,IFERROR(VLOOKUP($C50,Planes_de_estudio[],MATCH($AG$2,Carreras,0)+2,0),""),"")</f>
        <v/>
      </c>
      <c r="AH50" s="116" t="str">
        <f>IF(IFERROR(VLOOKUP($C50,Planes_de_estudio[],MATCH($AH$2,Carreras,0)+2,0),"")&gt;0,IFERROR(VLOOKUP($C50,Planes_de_estudio[],MATCH($AH$2,Carreras,0)+2,0),""),"")</f>
        <v/>
      </c>
      <c r="AI50" s="116" t="str">
        <f>IF(IFERROR(VLOOKUP($C50,Planes_de_estudio[],MATCH($AI$2,Carreras,0)+2,0),"")&gt;0,IFERROR(VLOOKUP($C50,Planes_de_estudio[],MATCH($AI$2,Carreras,0)+2,0),""),"")</f>
        <v/>
      </c>
      <c r="AJ50" s="116" t="str">
        <f>IF(IFERROR(VLOOKUP($C50,Planes_de_estudio[],MATCH($AJ$2,Carreras,0)+2,0),"")&gt;0,IFERROR(VLOOKUP($C50,Planes_de_estudio[],MATCH($AJ$2,Carreras,0)+2,0),""),"")</f>
        <v/>
      </c>
      <c r="AK50" s="116">
        <f>IF(IFERROR(VLOOKUP($C50,Planes_de_estudio[],MATCH($AK$2,Carreras,0)+2,0),"")&gt;0,IFERROR(VLOOKUP($C50,Planes_de_estudio[],MATCH($AK$2,Carreras,0)+2,0),""),"")</f>
        <v>6</v>
      </c>
      <c r="AL50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50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21</v>
      </c>
      <c r="AN50" s="117">
        <f>base_de_datos[[#This Row],[Pronóstico]]/25</f>
        <v>0.84</v>
      </c>
      <c r="AO50" s="117" t="str">
        <f>VLOOKUP($C50,Planes_de_estudio[],2)</f>
        <v>EEC</v>
      </c>
      <c r="AP50" s="119" t="str">
        <f ca="1">IF(AND(base_de_datos[[#This Row],[Industrial]]&lt;&gt;"",base_de_datos[[#This Row],[Misma o no]]=1),base_de_datos[[#This Row],[Índice]],"")</f>
        <v/>
      </c>
      <c r="AQ50" s="119">
        <f ca="1">IF(AND(base_de_datos[[#This Row],[Mecatrónica]]&lt;&gt;"",base_de_datos[[#This Row],[Misma o no]]=1),base_de_datos[[#This Row],[Índice]],"")</f>
        <v>6</v>
      </c>
      <c r="AR50" s="119" t="str">
        <f ca="1">IF(AND(base_de_datos[[#This Row],[Innovación y Diseño]]&lt;&gt;"",base_de_datos[[#This Row],[Misma o no]]=1),base_de_datos[[#This Row],[Índice]],"")</f>
        <v/>
      </c>
      <c r="AS50" s="119" t="str">
        <f ca="1">IF(AND(base_de_datos[[#This Row],[Inteligencia Artificial]]&lt;&gt;"",base_de_datos[[#This Row],[Misma o no]]=1),base_de_datos[[#This Row],[Índice]],"")</f>
        <v/>
      </c>
      <c r="AT50" s="119" t="str">
        <f ca="1">IF(AND(base_de_datos[[#This Row],[Tecnologías Energéticas]]&lt;&gt;"",base_de_datos[[#This Row],[Misma o no]]=1),base_de_datos[[#This Row],[Índice]],"")</f>
        <v/>
      </c>
      <c r="AU50" s="119" t="str">
        <f ca="1">IF(AND(base_de_datos[[#This Row],[Civil y Administración]]&lt;&gt;"",base_de_datos[[#This Row],[Misma o no]]=1),base_de_datos[[#This Row],[Índice]],"")</f>
        <v/>
      </c>
      <c r="AV50" s="119">
        <f ca="1">IF(AND(base_de_datos[[#This Row],[Bioelectrónica]]&lt;&gt;"",base_de_datos[[#This Row],[Misma o no]]=1),base_de_datos[[#This Row],[Índice]],"")</f>
        <v>6</v>
      </c>
      <c r="AW50" s="120"/>
      <c r="AX50" s="4">
        <v>3</v>
      </c>
    </row>
    <row r="51" spans="2:50" s="6" customFormat="1" ht="11.25" customHeight="1" x14ac:dyDescent="0.3">
      <c r="B51" s="6" t="s">
        <v>1</v>
      </c>
      <c r="C51" s="1" t="s">
        <v>206</v>
      </c>
      <c r="D51" s="4">
        <v>2</v>
      </c>
      <c r="E51" s="113">
        <v>0.70833333333333304</v>
      </c>
      <c r="F51" s="113">
        <v>0.83333333333332504</v>
      </c>
      <c r="G51" s="4" t="s">
        <v>87</v>
      </c>
      <c r="H51" s="4" t="s">
        <v>207</v>
      </c>
      <c r="I51" s="4"/>
      <c r="J51" s="126">
        <v>13</v>
      </c>
      <c r="K51" s="142"/>
      <c r="L51" s="3"/>
      <c r="M51" s="3"/>
      <c r="N51" s="3"/>
      <c r="O51" s="4" t="s">
        <v>208</v>
      </c>
      <c r="P51" s="114"/>
      <c r="Q51" s="114"/>
      <c r="R51" s="114"/>
      <c r="S51" s="114" t="s">
        <v>90</v>
      </c>
      <c r="T51" s="114"/>
      <c r="U51" s="114"/>
      <c r="V51" s="114"/>
      <c r="W51" s="114"/>
      <c r="X51" s="143">
        <f>_xlfn.XLOOKUP(base_de_datos[[#This Row],[Materia]],Materias,Horas)/16</f>
        <v>3</v>
      </c>
      <c r="Y51" s="143">
        <f>ROUND(((base_de_datos[[#This Row],[Hora fin]]-base_de_datos[[#This Row],[Hora inicio]])*24)*(COUNTA(base_de_datos[[#This Row],[Lunes]:[Sábado]])),1)</f>
        <v>3</v>
      </c>
      <c r="Z51" s="14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51" s="143">
        <f ca="1">IF(base_de_datos[[#This Row],[No clase]]=OFFSET(base_de_datos[[#This Row],[No clase]],-1,0),0,1)</f>
        <v>1</v>
      </c>
      <c r="AB51" s="143">
        <f ca="1">IF(NOT(OR(base_de_datos[[#This Row],[Horas totales]]=base_de_datos[[#This Row],[HT Plan]],base_de_datos[[#This Row],[Horas totales]]="N/A")),1,0)</f>
        <v>0</v>
      </c>
      <c r="AC51" s="228">
        <f>_xlfn.XLOOKUP(base_de_datos[[#This Row],[Profesor]],Nombre,Grado)</f>
        <v>0</v>
      </c>
      <c r="AD51" s="144" t="str">
        <f>_xlfn.XLOOKUP(base_de_datos[[#This Row],[Profesor]],Nombre,Tipo)</f>
        <v>A</v>
      </c>
      <c r="AE51" s="143">
        <f>IF(IFERROR(VLOOKUP($C51,Planes_de_estudio[],MATCH($AE$2,Carreras,0)+2,0),"")&gt;0,IFERROR(VLOOKUP($C51,Planes_de_estudio[],MATCH($AE$2,Carreras,0)+2,0),""),"")</f>
        <v>2</v>
      </c>
      <c r="AF51" s="143" t="str">
        <f>IF(IFERROR(VLOOKUP($C51,Planes_de_estudio[],MATCH($AF$2,Carreras,0)+2,0),"")&gt;0,IFERROR(VLOOKUP($C51,Planes_de_estudio[],MATCH($AF$2,Carreras,0)+2,0),""),"")</f>
        <v/>
      </c>
      <c r="AG51" s="143" t="str">
        <f>IF(IFERROR(VLOOKUP($C51,Planes_de_estudio[],MATCH($AG$2,Carreras,0)+2,0),"")&gt;0,IFERROR(VLOOKUP($C51,Planes_de_estudio[],MATCH($AG$2,Carreras,0)+2,0),""),"")</f>
        <v/>
      </c>
      <c r="AH51" s="143" t="str">
        <f>IF(IFERROR(VLOOKUP($C51,Planes_de_estudio[],MATCH($AH$2,Carreras,0)+2,0),"")&gt;0,IFERROR(VLOOKUP($C51,Planes_de_estudio[],MATCH($AH$2,Carreras,0)+2,0),""),"")</f>
        <v/>
      </c>
      <c r="AI51" s="143" t="str">
        <f>IF(IFERROR(VLOOKUP($C51,Planes_de_estudio[],MATCH($AI$2,Carreras,0)+2,0),"")&gt;0,IFERROR(VLOOKUP($C51,Planes_de_estudio[],MATCH($AI$2,Carreras,0)+2,0),""),"")</f>
        <v/>
      </c>
      <c r="AJ51" s="143">
        <f>IF(IFERROR(VLOOKUP($C51,Planes_de_estudio[],MATCH($AJ$2,Carreras,0)+2,0),"")&gt;0,IFERROR(VLOOKUP($C51,Planes_de_estudio[],MATCH($AJ$2,Carreras,0)+2,0),""),"")</f>
        <v>8</v>
      </c>
      <c r="AK51" s="143" t="str">
        <f>IF(IFERROR(VLOOKUP($C51,Planes_de_estudio[],MATCH($AK$2,Carreras,0)+2,0),"")&gt;0,IFERROR(VLOOKUP($C51,Planes_de_estudio[],MATCH($AK$2,Carreras,0)+2,0),""),"")</f>
        <v/>
      </c>
      <c r="AL51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51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35</v>
      </c>
      <c r="AN51" s="143">
        <f>base_de_datos[[#This Row],[Pronóstico]]/25</f>
        <v>1.4</v>
      </c>
      <c r="AO51" s="143" t="str">
        <f>VLOOKUP($C51,Planes_de_estudio[],2)</f>
        <v>EMP</v>
      </c>
      <c r="AP51" s="112">
        <f ca="1">IF(AND(base_de_datos[[#This Row],[Industrial]]&lt;&gt;"",base_de_datos[[#This Row],[Misma o no]]=1),base_de_datos[[#This Row],[Índice]],"")</f>
        <v>6</v>
      </c>
      <c r="AQ51" s="112" t="str">
        <f ca="1">IF(AND(base_de_datos[[#This Row],[Mecatrónica]]&lt;&gt;"",base_de_datos[[#This Row],[Misma o no]]=1),base_de_datos[[#This Row],[Índice]],"")</f>
        <v/>
      </c>
      <c r="AR51" s="112" t="str">
        <f ca="1">IF(AND(base_de_datos[[#This Row],[Innovación y Diseño]]&lt;&gt;"",base_de_datos[[#This Row],[Misma o no]]=1),base_de_datos[[#This Row],[Índice]],"")</f>
        <v/>
      </c>
      <c r="AS51" s="112" t="str">
        <f ca="1">IF(AND(base_de_datos[[#This Row],[Inteligencia Artificial]]&lt;&gt;"",base_de_datos[[#This Row],[Misma o no]]=1),base_de_datos[[#This Row],[Índice]],"")</f>
        <v/>
      </c>
      <c r="AT51" s="112" t="str">
        <f ca="1">IF(AND(base_de_datos[[#This Row],[Tecnologías Energéticas]]&lt;&gt;"",base_de_datos[[#This Row],[Misma o no]]=1),base_de_datos[[#This Row],[Índice]],"")</f>
        <v/>
      </c>
      <c r="AU51" s="112">
        <f ca="1">IF(AND(base_de_datos[[#This Row],[Civil y Administración]]&lt;&gt;"",base_de_datos[[#This Row],[Misma o no]]=1),base_de_datos[[#This Row],[Índice]],"")</f>
        <v>6</v>
      </c>
      <c r="AV51" s="112" t="str">
        <f ca="1">IF(AND(base_de_datos[[#This Row],[Bioelectrónica]]&lt;&gt;"",base_de_datos[[#This Row],[Misma o no]]=1),base_de_datos[[#This Row],[Índice]],"")</f>
        <v/>
      </c>
      <c r="AX51" s="4">
        <v>2</v>
      </c>
    </row>
    <row r="52" spans="2:50" s="6" customFormat="1" ht="11.25" customHeight="1" x14ac:dyDescent="0.3">
      <c r="B52" s="9" t="s">
        <v>209</v>
      </c>
      <c r="C52" s="1" t="s">
        <v>206</v>
      </c>
      <c r="D52" s="4">
        <v>1</v>
      </c>
      <c r="E52" s="113">
        <v>0.5</v>
      </c>
      <c r="F52" s="113">
        <v>0.562499999999996</v>
      </c>
      <c r="G52" s="226" t="s">
        <v>92</v>
      </c>
      <c r="H52" s="4" t="s">
        <v>210</v>
      </c>
      <c r="I52" s="4"/>
      <c r="J52" s="114">
        <v>17</v>
      </c>
      <c r="K52" s="115"/>
      <c r="L52" s="3"/>
      <c r="M52" s="115"/>
      <c r="N52" s="3"/>
      <c r="O52" s="4" t="s">
        <v>211</v>
      </c>
      <c r="P52" s="114"/>
      <c r="Q52" s="114"/>
      <c r="R52" s="114" t="s">
        <v>90</v>
      </c>
      <c r="S52" s="114"/>
      <c r="T52" s="114"/>
      <c r="U52" s="114"/>
      <c r="V52" s="114"/>
      <c r="W52" s="114"/>
      <c r="X52" s="116">
        <f>_xlfn.XLOOKUP(base_de_datos[[#This Row],[Materia]],Materias,Horas)/16</f>
        <v>3</v>
      </c>
      <c r="Y52" s="116">
        <f>ROUND(((base_de_datos[[#This Row],[Hora fin]]-base_de_datos[[#This Row],[Hora inicio]])*24)*(COUNTA(base_de_datos[[#This Row],[Lunes]:[Sábado]])),1)</f>
        <v>1.5</v>
      </c>
      <c r="Z52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52" s="117">
        <f ca="1">IF(base_de_datos[[#This Row],[No clase]]=OFFSET(base_de_datos[[#This Row],[No clase]],-1,0),0,1)</f>
        <v>1</v>
      </c>
      <c r="AB52" s="117">
        <f ca="1">IF(NOT(OR(base_de_datos[[#This Row],[Horas totales]]=base_de_datos[[#This Row],[HT Plan]],base_de_datos[[#This Row],[Horas totales]]="N/A")),1,0)</f>
        <v>0</v>
      </c>
      <c r="AC52" s="116" t="str">
        <f>_xlfn.XLOOKUP(base_de_datos[[#This Row],[Profesor]],Nombre,Grado)</f>
        <v>D</v>
      </c>
      <c r="AD52" s="118" t="str">
        <f>_xlfn.XLOOKUP(base_de_datos[[#This Row],[Profesor]],Nombre,Tipo)</f>
        <v>TC</v>
      </c>
      <c r="AE52" s="116">
        <f>IF(IFERROR(VLOOKUP($C52,Planes_de_estudio[],MATCH($AE$2,Carreras,0)+2,0),"")&gt;0,IFERROR(VLOOKUP($C52,Planes_de_estudio[],MATCH($AE$2,Carreras,0)+2,0),""),"")</f>
        <v>2</v>
      </c>
      <c r="AF52" s="116" t="str">
        <f>IF(IFERROR(VLOOKUP($C52,Planes_de_estudio[],MATCH($AF$2,Carreras,0)+2,0),"")&gt;0,IFERROR(VLOOKUP($C52,Planes_de_estudio[],MATCH($AF$2,Carreras,0)+2,0),""),"")</f>
        <v/>
      </c>
      <c r="AG52" s="116" t="str">
        <f>IF(IFERROR(VLOOKUP($C52,Planes_de_estudio[],MATCH($AG$2,Carreras,0)+2,0),"")&gt;0,IFERROR(VLOOKUP($C52,Planes_de_estudio[],MATCH($AG$2,Carreras,0)+2,0),""),"")</f>
        <v/>
      </c>
      <c r="AH52" s="116" t="str">
        <f>IF(IFERROR(VLOOKUP($C52,Planes_de_estudio[],MATCH($AH$2,Carreras,0)+2,0),"")&gt;0,IFERROR(VLOOKUP($C52,Planes_de_estudio[],MATCH($AH$2,Carreras,0)+2,0),""),"")</f>
        <v/>
      </c>
      <c r="AI52" s="116" t="str">
        <f>IF(IFERROR(VLOOKUP($C52,Planes_de_estudio[],MATCH($AI$2,Carreras,0)+2,0),"")&gt;0,IFERROR(VLOOKUP($C52,Planes_de_estudio[],MATCH($AI$2,Carreras,0)+2,0),""),"")</f>
        <v/>
      </c>
      <c r="AJ52" s="116">
        <f>IF(IFERROR(VLOOKUP($C52,Planes_de_estudio[],MATCH($AJ$2,Carreras,0)+2,0),"")&gt;0,IFERROR(VLOOKUP($C52,Planes_de_estudio[],MATCH($AJ$2,Carreras,0)+2,0),""),"")</f>
        <v>8</v>
      </c>
      <c r="AK52" s="116" t="str">
        <f>IF(IFERROR(VLOOKUP($C52,Planes_de_estudio[],MATCH($AK$2,Carreras,0)+2,0),"")&gt;0,IFERROR(VLOOKUP($C52,Planes_de_estudio[],MATCH($AK$2,Carreras,0)+2,0),""),"")</f>
        <v/>
      </c>
      <c r="AL52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52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35</v>
      </c>
      <c r="AN52" s="117">
        <f>base_de_datos[[#This Row],[Pronóstico]]/25</f>
        <v>1.4</v>
      </c>
      <c r="AO52" s="117" t="str">
        <f>VLOOKUP($C52,Planes_de_estudio[],2)</f>
        <v>EMP</v>
      </c>
      <c r="AP52" s="119">
        <f ca="1">IF(AND(base_de_datos[[#This Row],[Industrial]]&lt;&gt;"",base_de_datos[[#This Row],[Misma o no]]=1),base_de_datos[[#This Row],[Índice]],"")</f>
        <v>6</v>
      </c>
      <c r="AQ52" s="119" t="str">
        <f ca="1">IF(AND(base_de_datos[[#This Row],[Mecatrónica]]&lt;&gt;"",base_de_datos[[#This Row],[Misma o no]]=1),base_de_datos[[#This Row],[Índice]],"")</f>
        <v/>
      </c>
      <c r="AR52" s="119" t="str">
        <f ca="1">IF(AND(base_de_datos[[#This Row],[Innovación y Diseño]]&lt;&gt;"",base_de_datos[[#This Row],[Misma o no]]=1),base_de_datos[[#This Row],[Índice]],"")</f>
        <v/>
      </c>
      <c r="AS52" s="119" t="str">
        <f ca="1">IF(AND(base_de_datos[[#This Row],[Inteligencia Artificial]]&lt;&gt;"",base_de_datos[[#This Row],[Misma o no]]=1),base_de_datos[[#This Row],[Índice]],"")</f>
        <v/>
      </c>
      <c r="AT52" s="119" t="str">
        <f ca="1">IF(AND(base_de_datos[[#This Row],[Tecnologías Energéticas]]&lt;&gt;"",base_de_datos[[#This Row],[Misma o no]]=1),base_de_datos[[#This Row],[Índice]],"")</f>
        <v/>
      </c>
      <c r="AU52" s="119">
        <f ca="1">IF(AND(base_de_datos[[#This Row],[Civil y Administración]]&lt;&gt;"",base_de_datos[[#This Row],[Misma o no]]=1),base_de_datos[[#This Row],[Índice]],"")</f>
        <v>6</v>
      </c>
      <c r="AV52" s="119" t="str">
        <f ca="1">IF(AND(base_de_datos[[#This Row],[Bioelectrónica]]&lt;&gt;"",base_de_datos[[#This Row],[Misma o no]]=1),base_de_datos[[#This Row],[Índice]],"")</f>
        <v/>
      </c>
      <c r="AW52" s="120"/>
      <c r="AX52" s="4">
        <v>2</v>
      </c>
    </row>
    <row r="53" spans="2:50" s="6" customFormat="1" ht="11.25" customHeight="1" x14ac:dyDescent="0.3">
      <c r="B53" s="9" t="s">
        <v>209</v>
      </c>
      <c r="C53" s="1" t="s">
        <v>206</v>
      </c>
      <c r="D53" s="4">
        <v>1</v>
      </c>
      <c r="E53" s="113">
        <v>0.5</v>
      </c>
      <c r="F53" s="113">
        <v>0.562499999999996</v>
      </c>
      <c r="G53" s="226" t="s">
        <v>92</v>
      </c>
      <c r="H53" s="4" t="s">
        <v>144</v>
      </c>
      <c r="I53" s="4"/>
      <c r="J53" s="114">
        <v>17</v>
      </c>
      <c r="K53" s="115"/>
      <c r="L53" s="3"/>
      <c r="M53" s="115"/>
      <c r="N53" s="3"/>
      <c r="O53" s="4" t="s">
        <v>211</v>
      </c>
      <c r="P53" s="114"/>
      <c r="Q53" s="114"/>
      <c r="R53" s="114"/>
      <c r="S53" s="114"/>
      <c r="T53" s="114" t="s">
        <v>90</v>
      </c>
      <c r="U53" s="114"/>
      <c r="V53" s="114"/>
      <c r="W53" s="114"/>
      <c r="X53" s="116">
        <f>_xlfn.XLOOKUP(base_de_datos[[#This Row],[Materia]],Materias,Horas)/16</f>
        <v>3</v>
      </c>
      <c r="Y53" s="116">
        <f>ROUND(((base_de_datos[[#This Row],[Hora fin]]-base_de_datos[[#This Row],[Hora inicio]])*24)*(COUNTA(base_de_datos[[#This Row],[Lunes]:[Sábado]])),1)</f>
        <v>1.5</v>
      </c>
      <c r="Z53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53" s="117">
        <f ca="1">IF(base_de_datos[[#This Row],[No clase]]=OFFSET(base_de_datos[[#This Row],[No clase]],-1,0),0,1)</f>
        <v>0</v>
      </c>
      <c r="AB53" s="117">
        <f ca="1">IF(NOT(OR(base_de_datos[[#This Row],[Horas totales]]=base_de_datos[[#This Row],[HT Plan]],base_de_datos[[#This Row],[Horas totales]]="N/A")),1,0)</f>
        <v>0</v>
      </c>
      <c r="AC53" s="116" t="str">
        <f>_xlfn.XLOOKUP(base_de_datos[[#This Row],[Profesor]],Nombre,Grado)</f>
        <v>D</v>
      </c>
      <c r="AD53" s="118" t="str">
        <f>_xlfn.XLOOKUP(base_de_datos[[#This Row],[Profesor]],Nombre,Tipo)</f>
        <v>TC</v>
      </c>
      <c r="AE53" s="116">
        <f>IF(IFERROR(VLOOKUP($C53,Planes_de_estudio[],MATCH($AE$2,Carreras,0)+2,0),"")&gt;0,IFERROR(VLOOKUP($C53,Planes_de_estudio[],MATCH($AE$2,Carreras,0)+2,0),""),"")</f>
        <v>2</v>
      </c>
      <c r="AF53" s="116" t="str">
        <f>IF(IFERROR(VLOOKUP($C53,Planes_de_estudio[],MATCH($AF$2,Carreras,0)+2,0),"")&gt;0,IFERROR(VLOOKUP($C53,Planes_de_estudio[],MATCH($AF$2,Carreras,0)+2,0),""),"")</f>
        <v/>
      </c>
      <c r="AG53" s="116" t="str">
        <f>IF(IFERROR(VLOOKUP($C53,Planes_de_estudio[],MATCH($AG$2,Carreras,0)+2,0),"")&gt;0,IFERROR(VLOOKUP($C53,Planes_de_estudio[],MATCH($AG$2,Carreras,0)+2,0),""),"")</f>
        <v/>
      </c>
      <c r="AH53" s="116" t="str">
        <f>IF(IFERROR(VLOOKUP($C53,Planes_de_estudio[],MATCH($AH$2,Carreras,0)+2,0),"")&gt;0,IFERROR(VLOOKUP($C53,Planes_de_estudio[],MATCH($AH$2,Carreras,0)+2,0),""),"")</f>
        <v/>
      </c>
      <c r="AI53" s="116" t="str">
        <f>IF(IFERROR(VLOOKUP($C53,Planes_de_estudio[],MATCH($AI$2,Carreras,0)+2,0),"")&gt;0,IFERROR(VLOOKUP($C53,Planes_de_estudio[],MATCH($AI$2,Carreras,0)+2,0),""),"")</f>
        <v/>
      </c>
      <c r="AJ53" s="116">
        <f>IF(IFERROR(VLOOKUP($C53,Planes_de_estudio[],MATCH($AJ$2,Carreras,0)+2,0),"")&gt;0,IFERROR(VLOOKUP($C53,Planes_de_estudio[],MATCH($AJ$2,Carreras,0)+2,0),""),"")</f>
        <v>8</v>
      </c>
      <c r="AK53" s="116" t="str">
        <f>IF(IFERROR(VLOOKUP($C53,Planes_de_estudio[],MATCH($AK$2,Carreras,0)+2,0),"")&gt;0,IFERROR(VLOOKUP($C53,Planes_de_estudio[],MATCH($AK$2,Carreras,0)+2,0),""),"")</f>
        <v/>
      </c>
      <c r="AL53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53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35</v>
      </c>
      <c r="AN53" s="117">
        <f>base_de_datos[[#This Row],[Pronóstico]]/25</f>
        <v>1.4</v>
      </c>
      <c r="AO53" s="117" t="str">
        <f>VLOOKUP($C53,Planes_de_estudio[],2)</f>
        <v>EMP</v>
      </c>
      <c r="AP53" s="119" t="str">
        <f ca="1">IF(AND(base_de_datos[[#This Row],[Industrial]]&lt;&gt;"",base_de_datos[[#This Row],[Misma o no]]=1),base_de_datos[[#This Row],[Índice]],"")</f>
        <v/>
      </c>
      <c r="AQ53" s="119" t="str">
        <f ca="1">IF(AND(base_de_datos[[#This Row],[Mecatrónica]]&lt;&gt;"",base_de_datos[[#This Row],[Misma o no]]=1),base_de_datos[[#This Row],[Índice]],"")</f>
        <v/>
      </c>
      <c r="AR53" s="119" t="str">
        <f ca="1">IF(AND(base_de_datos[[#This Row],[Innovación y Diseño]]&lt;&gt;"",base_de_datos[[#This Row],[Misma o no]]=1),base_de_datos[[#This Row],[Índice]],"")</f>
        <v/>
      </c>
      <c r="AS53" s="119" t="str">
        <f ca="1">IF(AND(base_de_datos[[#This Row],[Inteligencia Artificial]]&lt;&gt;"",base_de_datos[[#This Row],[Misma o no]]=1),base_de_datos[[#This Row],[Índice]],"")</f>
        <v/>
      </c>
      <c r="AT53" s="119" t="str">
        <f ca="1">IF(AND(base_de_datos[[#This Row],[Tecnologías Energéticas]]&lt;&gt;"",base_de_datos[[#This Row],[Misma o no]]=1),base_de_datos[[#This Row],[Índice]],"")</f>
        <v/>
      </c>
      <c r="AU53" s="119" t="str">
        <f ca="1">IF(AND(base_de_datos[[#This Row],[Civil y Administración]]&lt;&gt;"",base_de_datos[[#This Row],[Misma o no]]=1),base_de_datos[[#This Row],[Índice]],"")</f>
        <v/>
      </c>
      <c r="AV53" s="119" t="str">
        <f ca="1">IF(AND(base_de_datos[[#This Row],[Bioelectrónica]]&lt;&gt;"",base_de_datos[[#This Row],[Misma o no]]=1),base_de_datos[[#This Row],[Índice]],"")</f>
        <v/>
      </c>
      <c r="AW53" s="120"/>
      <c r="AX53" s="4">
        <v>2</v>
      </c>
    </row>
    <row r="54" spans="2:50" s="6" customFormat="1" ht="11.25" customHeight="1" x14ac:dyDescent="0.3">
      <c r="B54" s="6" t="s">
        <v>188</v>
      </c>
      <c r="C54" s="1" t="s">
        <v>189</v>
      </c>
      <c r="D54" s="4">
        <v>1</v>
      </c>
      <c r="E54" s="113">
        <v>0.33333333333333298</v>
      </c>
      <c r="F54" s="113">
        <v>0.41666666666666502</v>
      </c>
      <c r="G54" s="4" t="s">
        <v>87</v>
      </c>
      <c r="H54" s="4" t="s">
        <v>191</v>
      </c>
      <c r="I54" s="4"/>
      <c r="J54" s="231">
        <v>6</v>
      </c>
      <c r="K54" s="115"/>
      <c r="L54" s="3"/>
      <c r="M54" s="127"/>
      <c r="N54" s="3"/>
      <c r="O54" s="4" t="s">
        <v>190</v>
      </c>
      <c r="P54" s="114"/>
      <c r="Q54" s="114"/>
      <c r="R54" s="114"/>
      <c r="S54" s="114"/>
      <c r="T54" s="114" t="s">
        <v>90</v>
      </c>
      <c r="U54" s="114"/>
      <c r="V54" s="114"/>
      <c r="W54" s="114"/>
      <c r="X54" s="117">
        <f>_xlfn.XLOOKUP(base_de_datos[[#This Row],[Materia]],Materias,Horas)/16</f>
        <v>3</v>
      </c>
      <c r="Y54" s="117">
        <f>ROUND(((base_de_datos[[#This Row],[Hora fin]]-base_de_datos[[#This Row],[Hora inicio]])*24)*(COUNTA(base_de_datos[[#This Row],[Lunes]:[Sábado]])),1)</f>
        <v>2</v>
      </c>
      <c r="Z54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54" s="117">
        <f ca="1">IF(base_de_datos[[#This Row],[No clase]]=OFFSET(base_de_datos[[#This Row],[No clase]],-1,0),0,1)</f>
        <v>1</v>
      </c>
      <c r="AB54" s="117">
        <f ca="1">IF(NOT(OR(base_de_datos[[#This Row],[Horas totales]]=base_de_datos[[#This Row],[HT Plan]],base_de_datos[[#This Row],[Horas totales]]="N/A")),1,0)</f>
        <v>1</v>
      </c>
      <c r="AC54" s="117" t="str">
        <f>_xlfn.XLOOKUP(base_de_datos[[#This Row],[Profesor]],Nombre,Grado)</f>
        <v>E</v>
      </c>
      <c r="AD54" s="118" t="str">
        <f>_xlfn.XLOOKUP(base_de_datos[[#This Row],[Profesor]],Nombre,Tipo)</f>
        <v>A</v>
      </c>
      <c r="AE54" s="117" t="str">
        <f>IF(IFERROR(VLOOKUP($C54,Planes_de_estudio[],MATCH($AE$2,Carreras,0)+2,0),"")&gt;0,IFERROR(VLOOKUP($C54,Planes_de_estudio[],MATCH($AE$2,Carreras,0)+2,0),""),"")</f>
        <v/>
      </c>
      <c r="AF54" s="117">
        <f>IF(IFERROR(VLOOKUP($C54,Planes_de_estudio[],MATCH($AF$2,Carreras,0)+2,0),"")&gt;0,IFERROR(VLOOKUP($C54,Planes_de_estudio[],MATCH($AF$2,Carreras,0)+2,0),""),"")</f>
        <v>3</v>
      </c>
      <c r="AG54" s="117" t="str">
        <f>IF(IFERROR(VLOOKUP($C54,Planes_de_estudio[],MATCH($AG$2,Carreras,0)+2,0),"")&gt;0,IFERROR(VLOOKUP($C54,Planes_de_estudio[],MATCH($AG$2,Carreras,0)+2,0),""),"")</f>
        <v/>
      </c>
      <c r="AH54" s="117">
        <f>IF(IFERROR(VLOOKUP($C54,Planes_de_estudio[],MATCH($AH$2,Carreras,0)+2,0),"")&gt;0,IFERROR(VLOOKUP($C54,Planes_de_estudio[],MATCH($AH$2,Carreras,0)+2,0),""),"")</f>
        <v>3</v>
      </c>
      <c r="AI54" s="117">
        <f>IF(IFERROR(VLOOKUP($C54,Planes_de_estudio[],MATCH($AI$2,Carreras,0)+2,0),"")&gt;0,IFERROR(VLOOKUP($C54,Planes_de_estudio[],MATCH($AI$2,Carreras,0)+2,0),""),"")</f>
        <v>4</v>
      </c>
      <c r="AJ54" s="117" t="str">
        <f>IF(IFERROR(VLOOKUP($C54,Planes_de_estudio[],MATCH($AJ$2,Carreras,0)+2,0),"")&gt;0,IFERROR(VLOOKUP($C54,Planes_de_estudio[],MATCH($AJ$2,Carreras,0)+2,0),""),"")</f>
        <v/>
      </c>
      <c r="AK54" s="117">
        <f>IF(IFERROR(VLOOKUP($C54,Planes_de_estudio[],MATCH($AK$2,Carreras,0)+2,0),"")&gt;0,IFERROR(VLOOKUP($C54,Planes_de_estudio[],MATCH($AK$2,Carreras,0)+2,0),""),"")</f>
        <v>3</v>
      </c>
      <c r="AL54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54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</v>
      </c>
      <c r="AN54" s="117">
        <f>base_de_datos[[#This Row],[Pronóstico]]/25</f>
        <v>0.44</v>
      </c>
      <c r="AO54" s="117" t="str">
        <f>VLOOKUP($C54,Planes_de_estudio[],2)</f>
        <v>EEC</v>
      </c>
      <c r="AP54" s="119" t="str">
        <f ca="1">IF(AND(base_de_datos[[#This Row],[Industrial]]&lt;&gt;"",base_de_datos[[#This Row],[Misma o no]]=1),base_de_datos[[#This Row],[Índice]],"")</f>
        <v/>
      </c>
      <c r="AQ54" s="119">
        <f ca="1">IF(AND(base_de_datos[[#This Row],[Mecatrónica]]&lt;&gt;"",base_de_datos[[#This Row],[Misma o no]]=1),base_de_datos[[#This Row],[Índice]],"")</f>
        <v>2</v>
      </c>
      <c r="AR54" s="119" t="str">
        <f ca="1">IF(AND(base_de_datos[[#This Row],[Innovación y Diseño]]&lt;&gt;"",base_de_datos[[#This Row],[Misma o no]]=1),base_de_datos[[#This Row],[Índice]],"")</f>
        <v/>
      </c>
      <c r="AS54" s="119">
        <f ca="1">IF(AND(base_de_datos[[#This Row],[Inteligencia Artificial]]&lt;&gt;"",base_de_datos[[#This Row],[Misma o no]]=1),base_de_datos[[#This Row],[Índice]],"")</f>
        <v>2</v>
      </c>
      <c r="AT54" s="119">
        <f ca="1">IF(AND(base_de_datos[[#This Row],[Tecnologías Energéticas]]&lt;&gt;"",base_de_datos[[#This Row],[Misma o no]]=1),base_de_datos[[#This Row],[Índice]],"")</f>
        <v>2</v>
      </c>
      <c r="AU54" s="119" t="str">
        <f ca="1">IF(AND(base_de_datos[[#This Row],[Civil y Administración]]&lt;&gt;"",base_de_datos[[#This Row],[Misma o no]]=1),base_de_datos[[#This Row],[Índice]],"")</f>
        <v/>
      </c>
      <c r="AV54" s="119">
        <f ca="1">IF(AND(base_de_datos[[#This Row],[Bioelectrónica]]&lt;&gt;"",base_de_datos[[#This Row],[Misma o no]]=1),base_de_datos[[#This Row],[Índice]],"")</f>
        <v>2</v>
      </c>
      <c r="AW54" s="120"/>
      <c r="AX54" s="4" t="s">
        <v>1811</v>
      </c>
    </row>
    <row r="55" spans="2:50" s="6" customFormat="1" ht="13" x14ac:dyDescent="0.3">
      <c r="B55" s="6" t="s">
        <v>111</v>
      </c>
      <c r="C55" s="1" t="s">
        <v>182</v>
      </c>
      <c r="D55" s="4">
        <v>1</v>
      </c>
      <c r="E55" s="113">
        <v>0.29166666666666669</v>
      </c>
      <c r="F55" s="113">
        <v>0.374999999999999</v>
      </c>
      <c r="G55" s="4" t="s">
        <v>87</v>
      </c>
      <c r="H55" s="4" t="s">
        <v>95</v>
      </c>
      <c r="I55" s="4"/>
      <c r="J55" s="114">
        <v>24</v>
      </c>
      <c r="K55" s="115"/>
      <c r="L55" s="3"/>
      <c r="M55" s="115"/>
      <c r="N55" s="3"/>
      <c r="O55" s="4">
        <v>1715</v>
      </c>
      <c r="P55" s="114" t="s">
        <v>90</v>
      </c>
      <c r="Q55" s="114"/>
      <c r="R55" s="114" t="s">
        <v>90</v>
      </c>
      <c r="S55" s="114"/>
      <c r="T55" s="114"/>
      <c r="U55" s="114"/>
      <c r="V55" s="114"/>
      <c r="W55" s="114"/>
      <c r="X55" s="116">
        <f>_xlfn.XLOOKUP(base_de_datos[[#This Row],[Materia]],Materias,Horas)/16</f>
        <v>4</v>
      </c>
      <c r="Y55" s="116">
        <f>ROUND(((base_de_datos[[#This Row],[Hora fin]]-base_de_datos[[#This Row],[Hora inicio]])*24)*(COUNTA(base_de_datos[[#This Row],[Lunes]:[Sábado]])),1)</f>
        <v>4</v>
      </c>
      <c r="Z55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55" s="117">
        <f ca="1">IF(base_de_datos[[#This Row],[No clase]]=OFFSET(base_de_datos[[#This Row],[No clase]],-1,0),0,1)</f>
        <v>1</v>
      </c>
      <c r="AB55" s="117">
        <f ca="1">IF(NOT(OR(base_de_datos[[#This Row],[Horas totales]]=base_de_datos[[#This Row],[HT Plan]],base_de_datos[[#This Row],[Horas totales]]="N/A")),1,0)</f>
        <v>0</v>
      </c>
      <c r="AC55" s="116" t="str">
        <f>_xlfn.XLOOKUP(base_de_datos[[#This Row],[Profesor]],Nombre,Grado)</f>
        <v>M</v>
      </c>
      <c r="AD55" s="118" t="str">
        <f>_xlfn.XLOOKUP(base_de_datos[[#This Row],[Profesor]],Nombre,Tipo)</f>
        <v>A</v>
      </c>
      <c r="AE55" s="116" t="str">
        <f>IF(IFERROR(VLOOKUP($C55,Planes_de_estudio[],MATCH($AE$2,Carreras,0)+2,0),"")&gt;0,IFERROR(VLOOKUP($C55,Planes_de_estudio[],MATCH($AE$2,Carreras,0)+2,0),""),"")</f>
        <v/>
      </c>
      <c r="AF55" s="116" t="str">
        <f>IF(IFERROR(VLOOKUP($C55,Planes_de_estudio[],MATCH($AF$2,Carreras,0)+2,0),"")&gt;0,IFERROR(VLOOKUP($C55,Planes_de_estudio[],MATCH($AF$2,Carreras,0)+2,0),""),"")</f>
        <v/>
      </c>
      <c r="AG55" s="116" t="str">
        <f>IF(IFERROR(VLOOKUP($C55,Planes_de_estudio[],MATCH($AG$2,Carreras,0)+2,0),"")&gt;0,IFERROR(VLOOKUP($C55,Planes_de_estudio[],MATCH($AG$2,Carreras,0)+2,0),""),"")</f>
        <v/>
      </c>
      <c r="AH55" s="116">
        <f>IF(IFERROR(VLOOKUP($C55,Planes_de_estudio[],MATCH($AH$2,Carreras,0)+2,0),"")&gt;0,IFERROR(VLOOKUP($C55,Planes_de_estudio[],MATCH($AH$2,Carreras,0)+2,0),""),"")</f>
        <v>4</v>
      </c>
      <c r="AI55" s="116" t="str">
        <f>IF(IFERROR(VLOOKUP($C55,Planes_de_estudio[],MATCH($AI$2,Carreras,0)+2,0),"")&gt;0,IFERROR(VLOOKUP($C55,Planes_de_estudio[],MATCH($AI$2,Carreras,0)+2,0),""),"")</f>
        <v/>
      </c>
      <c r="AJ55" s="116" t="str">
        <f>IF(IFERROR(VLOOKUP($C55,Planes_de_estudio[],MATCH($AJ$2,Carreras,0)+2,0),"")&gt;0,IFERROR(VLOOKUP($C55,Planes_de_estudio[],MATCH($AJ$2,Carreras,0)+2,0),""),"")</f>
        <v/>
      </c>
      <c r="AK55" s="116" t="str">
        <f>IF(IFERROR(VLOOKUP($C55,Planes_de_estudio[],MATCH($AK$2,Carreras,0)+2,0),"")&gt;0,IFERROR(VLOOKUP($C55,Planes_de_estudio[],MATCH($AK$2,Carreras,0)+2,0),""),"")</f>
        <v/>
      </c>
      <c r="AL55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55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28</v>
      </c>
      <c r="AN55" s="117">
        <f>base_de_datos[[#This Row],[Pronóstico]]/25</f>
        <v>1.1200000000000001</v>
      </c>
      <c r="AO55" s="117" t="str">
        <f>VLOOKUP($C55,Planes_de_estudio[],2)</f>
        <v>MAT</v>
      </c>
      <c r="AP55" s="119" t="str">
        <f ca="1">IF(AND(base_de_datos[[#This Row],[Industrial]]&lt;&gt;"",base_de_datos[[#This Row],[Misma o no]]=1),base_de_datos[[#This Row],[Índice]],"")</f>
        <v/>
      </c>
      <c r="AQ55" s="119" t="str">
        <f ca="1">IF(AND(base_de_datos[[#This Row],[Mecatrónica]]&lt;&gt;"",base_de_datos[[#This Row],[Misma o no]]=1),base_de_datos[[#This Row],[Índice]],"")</f>
        <v/>
      </c>
      <c r="AR55" s="119" t="str">
        <f ca="1">IF(AND(base_de_datos[[#This Row],[Innovación y Diseño]]&lt;&gt;"",base_de_datos[[#This Row],[Misma o no]]=1),base_de_datos[[#This Row],[Índice]],"")</f>
        <v/>
      </c>
      <c r="AS55" s="119">
        <f ca="1">IF(AND(base_de_datos[[#This Row],[Inteligencia Artificial]]&lt;&gt;"",base_de_datos[[#This Row],[Misma o no]]=1),base_de_datos[[#This Row],[Índice]],"")</f>
        <v>4</v>
      </c>
      <c r="AT55" s="119" t="str">
        <f ca="1">IF(AND(base_de_datos[[#This Row],[Tecnologías Energéticas]]&lt;&gt;"",base_de_datos[[#This Row],[Misma o no]]=1),base_de_datos[[#This Row],[Índice]],"")</f>
        <v/>
      </c>
      <c r="AU55" s="119" t="str">
        <f ca="1">IF(AND(base_de_datos[[#This Row],[Civil y Administración]]&lt;&gt;"",base_de_datos[[#This Row],[Misma o no]]=1),base_de_datos[[#This Row],[Índice]],"")</f>
        <v/>
      </c>
      <c r="AV55" s="119" t="str">
        <f ca="1">IF(AND(base_de_datos[[#This Row],[Bioelectrónica]]&lt;&gt;"",base_de_datos[[#This Row],[Misma o no]]=1),base_de_datos[[#This Row],[Índice]],"")</f>
        <v/>
      </c>
      <c r="AW55" s="120"/>
      <c r="AX55" s="4">
        <v>3</v>
      </c>
    </row>
    <row r="56" spans="2:50" s="6" customFormat="1" ht="13" x14ac:dyDescent="0.3">
      <c r="B56" s="9" t="s">
        <v>192</v>
      </c>
      <c r="C56" s="1" t="s">
        <v>193</v>
      </c>
      <c r="D56" s="4">
        <v>1</v>
      </c>
      <c r="E56" s="113">
        <v>0.5</v>
      </c>
      <c r="F56" s="113">
        <v>0.58333333333332904</v>
      </c>
      <c r="G56" s="226" t="s">
        <v>92</v>
      </c>
      <c r="H56" s="4" t="s">
        <v>194</v>
      </c>
      <c r="I56" s="4"/>
      <c r="J56" s="114">
        <v>23</v>
      </c>
      <c r="K56" s="115"/>
      <c r="L56" s="3"/>
      <c r="M56" s="115"/>
      <c r="N56" s="3"/>
      <c r="O56" s="2" t="s">
        <v>195</v>
      </c>
      <c r="P56" s="114"/>
      <c r="Q56" s="114"/>
      <c r="R56" s="114" t="s">
        <v>90</v>
      </c>
      <c r="S56" s="114"/>
      <c r="T56" s="114"/>
      <c r="U56" s="114"/>
      <c r="V56" s="114"/>
      <c r="W56" s="114"/>
      <c r="X56" s="116">
        <f>_xlfn.XLOOKUP(base_de_datos[[#This Row],[Materia]],Materias,Horas)/16</f>
        <v>4</v>
      </c>
      <c r="Y56" s="116">
        <f>ROUND(((base_de_datos[[#This Row],[Hora fin]]-base_de_datos[[#This Row],[Hora inicio]])*24)*(COUNTA(base_de_datos[[#This Row],[Lunes]:[Sábado]])),1)</f>
        <v>2</v>
      </c>
      <c r="Z56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56" s="117">
        <f ca="1">IF(base_de_datos[[#This Row],[No clase]]=OFFSET(base_de_datos[[#This Row],[No clase]],-1,0),0,1)</f>
        <v>1</v>
      </c>
      <c r="AB56" s="117">
        <f ca="1">IF(NOT(OR(base_de_datos[[#This Row],[Horas totales]]=base_de_datos[[#This Row],[HT Plan]],base_de_datos[[#This Row],[Horas totales]]="N/A")),1,0)</f>
        <v>0</v>
      </c>
      <c r="AC56" s="116" t="str">
        <f>_xlfn.XLOOKUP(base_de_datos[[#This Row],[Profesor]],Nombre,Grado)</f>
        <v>E</v>
      </c>
      <c r="AD56" s="118" t="str">
        <f>_xlfn.XLOOKUP(base_de_datos[[#This Row],[Profesor]],Nombre,Tipo)</f>
        <v>TC</v>
      </c>
      <c r="AE56" s="116" t="str">
        <f>IF(IFERROR(VLOOKUP($C56,Planes_de_estudio[],MATCH($AE$2,Carreras,0)+2,0),"")&gt;0,IFERROR(VLOOKUP($C56,Planes_de_estudio[],MATCH($AE$2,Carreras,0)+2,0),""),"")</f>
        <v/>
      </c>
      <c r="AF56" s="116">
        <f>IF(IFERROR(VLOOKUP($C56,Planes_de_estudio[],MATCH($AF$2,Carreras,0)+2,0),"")&gt;0,IFERROR(VLOOKUP($C56,Planes_de_estudio[],MATCH($AF$2,Carreras,0)+2,0),""),"")</f>
        <v>4</v>
      </c>
      <c r="AG56" s="116" t="str">
        <f>IF(IFERROR(VLOOKUP($C56,Planes_de_estudio[],MATCH($AG$2,Carreras,0)+2,0),"")&gt;0,IFERROR(VLOOKUP($C56,Planes_de_estudio[],MATCH($AG$2,Carreras,0)+2,0),""),"")</f>
        <v/>
      </c>
      <c r="AH56" s="116" t="str">
        <f>IF(IFERROR(VLOOKUP($C56,Planes_de_estudio[],MATCH($AH$2,Carreras,0)+2,0),"")&gt;0,IFERROR(VLOOKUP($C56,Planes_de_estudio[],MATCH($AH$2,Carreras,0)+2,0),""),"")</f>
        <v/>
      </c>
      <c r="AI56" s="116">
        <f>IF(IFERROR(VLOOKUP($C56,Planes_de_estudio[],MATCH($AI$2,Carreras,0)+2,0),"")&gt;0,IFERROR(VLOOKUP($C56,Planes_de_estudio[],MATCH($AI$2,Carreras,0)+2,0),""),"")</f>
        <v>5</v>
      </c>
      <c r="AJ56" s="116" t="str">
        <f>IF(IFERROR(VLOOKUP($C56,Planes_de_estudio[],MATCH($AJ$2,Carreras,0)+2,0),"")&gt;0,IFERROR(VLOOKUP($C56,Planes_de_estudio[],MATCH($AJ$2,Carreras,0)+2,0),""),"")</f>
        <v/>
      </c>
      <c r="AK56" s="116">
        <f>IF(IFERROR(VLOOKUP($C56,Planes_de_estudio[],MATCH($AK$2,Carreras,0)+2,0),"")&gt;0,IFERROR(VLOOKUP($C56,Planes_de_estudio[],MATCH($AK$2,Carreras,0)+2,0),""),"")</f>
        <v>4</v>
      </c>
      <c r="AL56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56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24</v>
      </c>
      <c r="AN56" s="117">
        <f>base_de_datos[[#This Row],[Pronóstico]]/25</f>
        <v>0.96</v>
      </c>
      <c r="AO56" s="117" t="str">
        <f>VLOOKUP($C56,Planes_de_estudio[],2)</f>
        <v>EEC</v>
      </c>
      <c r="AP56" s="119" t="str">
        <f ca="1">IF(AND(base_de_datos[[#This Row],[Industrial]]&lt;&gt;"",base_de_datos[[#This Row],[Misma o no]]=1),base_de_datos[[#This Row],[Índice]],"")</f>
        <v/>
      </c>
      <c r="AQ56" s="119">
        <f ca="1">IF(AND(base_de_datos[[#This Row],[Mecatrónica]]&lt;&gt;"",base_de_datos[[#This Row],[Misma o no]]=1),base_de_datos[[#This Row],[Índice]],"")</f>
        <v>2</v>
      </c>
      <c r="AR56" s="119" t="str">
        <f ca="1">IF(AND(base_de_datos[[#This Row],[Innovación y Diseño]]&lt;&gt;"",base_de_datos[[#This Row],[Misma o no]]=1),base_de_datos[[#This Row],[Índice]],"")</f>
        <v/>
      </c>
      <c r="AS56" s="119" t="str">
        <f ca="1">IF(AND(base_de_datos[[#This Row],[Inteligencia Artificial]]&lt;&gt;"",base_de_datos[[#This Row],[Misma o no]]=1),base_de_datos[[#This Row],[Índice]],"")</f>
        <v/>
      </c>
      <c r="AT56" s="119">
        <f ca="1">IF(AND(base_de_datos[[#This Row],[Tecnologías Energéticas]]&lt;&gt;"",base_de_datos[[#This Row],[Misma o no]]=1),base_de_datos[[#This Row],[Índice]],"")</f>
        <v>2</v>
      </c>
      <c r="AU56" s="119" t="str">
        <f ca="1">IF(AND(base_de_datos[[#This Row],[Civil y Administración]]&lt;&gt;"",base_de_datos[[#This Row],[Misma o no]]=1),base_de_datos[[#This Row],[Índice]],"")</f>
        <v/>
      </c>
      <c r="AV56" s="119">
        <f ca="1">IF(AND(base_de_datos[[#This Row],[Bioelectrónica]]&lt;&gt;"",base_de_datos[[#This Row],[Misma o no]]=1),base_de_datos[[#This Row],[Índice]],"")</f>
        <v>2</v>
      </c>
      <c r="AW56" s="120"/>
      <c r="AX56" s="4" t="s">
        <v>1802</v>
      </c>
    </row>
    <row r="57" spans="2:50" s="6" customFormat="1" ht="13" x14ac:dyDescent="0.3">
      <c r="B57" s="9" t="s">
        <v>192</v>
      </c>
      <c r="C57" s="1" t="s">
        <v>193</v>
      </c>
      <c r="D57" s="4">
        <v>1</v>
      </c>
      <c r="E57" s="113">
        <v>0.375</v>
      </c>
      <c r="F57" s="113">
        <v>0.45833333333333098</v>
      </c>
      <c r="G57" s="226" t="s">
        <v>92</v>
      </c>
      <c r="H57" s="4" t="s">
        <v>194</v>
      </c>
      <c r="I57" s="4"/>
      <c r="J57" s="114">
        <v>23</v>
      </c>
      <c r="K57" s="115"/>
      <c r="L57" s="3"/>
      <c r="M57" s="115"/>
      <c r="N57" s="3"/>
      <c r="O57" s="2" t="s">
        <v>195</v>
      </c>
      <c r="P57" s="114"/>
      <c r="Q57" s="114"/>
      <c r="R57" s="114"/>
      <c r="S57" s="114"/>
      <c r="T57" s="114" t="s">
        <v>90</v>
      </c>
      <c r="U57" s="114"/>
      <c r="V57" s="114"/>
      <c r="W57" s="114"/>
      <c r="X57" s="116">
        <f>_xlfn.XLOOKUP(base_de_datos[[#This Row],[Materia]],Materias,Horas)/16</f>
        <v>4</v>
      </c>
      <c r="Y57" s="116">
        <f>ROUND(((base_de_datos[[#This Row],[Hora fin]]-base_de_datos[[#This Row],[Hora inicio]])*24)*(COUNTA(base_de_datos[[#This Row],[Lunes]:[Sábado]])),1)</f>
        <v>2</v>
      </c>
      <c r="Z57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57" s="117">
        <f ca="1">IF(base_de_datos[[#This Row],[No clase]]=OFFSET(base_de_datos[[#This Row],[No clase]],-1,0),0,1)</f>
        <v>0</v>
      </c>
      <c r="AB57" s="117">
        <f ca="1">IF(NOT(OR(base_de_datos[[#This Row],[Horas totales]]=base_de_datos[[#This Row],[HT Plan]],base_de_datos[[#This Row],[Horas totales]]="N/A")),1,0)</f>
        <v>0</v>
      </c>
      <c r="AC57" s="116" t="str">
        <f>_xlfn.XLOOKUP(base_de_datos[[#This Row],[Profesor]],Nombre,Grado)</f>
        <v>E</v>
      </c>
      <c r="AD57" s="118" t="str">
        <f>_xlfn.XLOOKUP(base_de_datos[[#This Row],[Profesor]],Nombre,Tipo)</f>
        <v>TC</v>
      </c>
      <c r="AE57" s="116" t="str">
        <f>IF(IFERROR(VLOOKUP($C57,Planes_de_estudio[],MATCH($AE$2,Carreras,0)+2,0),"")&gt;0,IFERROR(VLOOKUP($C57,Planes_de_estudio[],MATCH($AE$2,Carreras,0)+2,0),""),"")</f>
        <v/>
      </c>
      <c r="AF57" s="116">
        <f>IF(IFERROR(VLOOKUP($C57,Planes_de_estudio[],MATCH($AF$2,Carreras,0)+2,0),"")&gt;0,IFERROR(VLOOKUP($C57,Planes_de_estudio[],MATCH($AF$2,Carreras,0)+2,0),""),"")</f>
        <v>4</v>
      </c>
      <c r="AG57" s="116" t="str">
        <f>IF(IFERROR(VLOOKUP($C57,Planes_de_estudio[],MATCH($AG$2,Carreras,0)+2,0),"")&gt;0,IFERROR(VLOOKUP($C57,Planes_de_estudio[],MATCH($AG$2,Carreras,0)+2,0),""),"")</f>
        <v/>
      </c>
      <c r="AH57" s="116" t="str">
        <f>IF(IFERROR(VLOOKUP($C57,Planes_de_estudio[],MATCH($AH$2,Carreras,0)+2,0),"")&gt;0,IFERROR(VLOOKUP($C57,Planes_de_estudio[],MATCH($AH$2,Carreras,0)+2,0),""),"")</f>
        <v/>
      </c>
      <c r="AI57" s="116">
        <f>IF(IFERROR(VLOOKUP($C57,Planes_de_estudio[],MATCH($AI$2,Carreras,0)+2,0),"")&gt;0,IFERROR(VLOOKUP($C57,Planes_de_estudio[],MATCH($AI$2,Carreras,0)+2,0),""),"")</f>
        <v>5</v>
      </c>
      <c r="AJ57" s="116" t="str">
        <f>IF(IFERROR(VLOOKUP($C57,Planes_de_estudio[],MATCH($AJ$2,Carreras,0)+2,0),"")&gt;0,IFERROR(VLOOKUP($C57,Planes_de_estudio[],MATCH($AJ$2,Carreras,0)+2,0),""),"")</f>
        <v/>
      </c>
      <c r="AK57" s="116">
        <f>IF(IFERROR(VLOOKUP($C57,Planes_de_estudio[],MATCH($AK$2,Carreras,0)+2,0),"")&gt;0,IFERROR(VLOOKUP($C57,Planes_de_estudio[],MATCH($AK$2,Carreras,0)+2,0),""),"")</f>
        <v>4</v>
      </c>
      <c r="AL57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57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24</v>
      </c>
      <c r="AN57" s="117">
        <f>base_de_datos[[#This Row],[Pronóstico]]/25</f>
        <v>0.96</v>
      </c>
      <c r="AO57" s="117" t="str">
        <f>VLOOKUP($C57,Planes_de_estudio[],2)</f>
        <v>EEC</v>
      </c>
      <c r="AP57" s="119" t="str">
        <f ca="1">IF(AND(base_de_datos[[#This Row],[Industrial]]&lt;&gt;"",base_de_datos[[#This Row],[Misma o no]]=1),base_de_datos[[#This Row],[Índice]],"")</f>
        <v/>
      </c>
      <c r="AQ57" s="119" t="str">
        <f ca="1">IF(AND(base_de_datos[[#This Row],[Mecatrónica]]&lt;&gt;"",base_de_datos[[#This Row],[Misma o no]]=1),base_de_datos[[#This Row],[Índice]],"")</f>
        <v/>
      </c>
      <c r="AR57" s="119" t="str">
        <f ca="1">IF(AND(base_de_datos[[#This Row],[Innovación y Diseño]]&lt;&gt;"",base_de_datos[[#This Row],[Misma o no]]=1),base_de_datos[[#This Row],[Índice]],"")</f>
        <v/>
      </c>
      <c r="AS57" s="119" t="str">
        <f ca="1">IF(AND(base_de_datos[[#This Row],[Inteligencia Artificial]]&lt;&gt;"",base_de_datos[[#This Row],[Misma o no]]=1),base_de_datos[[#This Row],[Índice]],"")</f>
        <v/>
      </c>
      <c r="AT57" s="119" t="str">
        <f ca="1">IF(AND(base_de_datos[[#This Row],[Tecnologías Energéticas]]&lt;&gt;"",base_de_datos[[#This Row],[Misma o no]]=1),base_de_datos[[#This Row],[Índice]],"")</f>
        <v/>
      </c>
      <c r="AU57" s="119" t="str">
        <f ca="1">IF(AND(base_de_datos[[#This Row],[Civil y Administración]]&lt;&gt;"",base_de_datos[[#This Row],[Misma o no]]=1),base_de_datos[[#This Row],[Índice]],"")</f>
        <v/>
      </c>
      <c r="AV57" s="119" t="str">
        <f ca="1">IF(AND(base_de_datos[[#This Row],[Bioelectrónica]]&lt;&gt;"",base_de_datos[[#This Row],[Misma o no]]=1),base_de_datos[[#This Row],[Índice]],"")</f>
        <v/>
      </c>
      <c r="AW57" s="120"/>
      <c r="AX57" s="4" t="s">
        <v>1802</v>
      </c>
    </row>
    <row r="58" spans="2:50" s="6" customFormat="1" ht="13" x14ac:dyDescent="0.3">
      <c r="B58" s="6" t="s">
        <v>219</v>
      </c>
      <c r="C58" s="1" t="s">
        <v>220</v>
      </c>
      <c r="D58" s="4">
        <v>2</v>
      </c>
      <c r="E58" s="113">
        <v>0.70833333333333304</v>
      </c>
      <c r="F58" s="113">
        <v>0.79166666666665897</v>
      </c>
      <c r="G58" s="4" t="s">
        <v>87</v>
      </c>
      <c r="H58" s="4" t="s">
        <v>93</v>
      </c>
      <c r="I58" s="4"/>
      <c r="J58" s="126">
        <v>11</v>
      </c>
      <c r="K58" s="142"/>
      <c r="L58" s="3"/>
      <c r="M58" s="3"/>
      <c r="N58" s="3"/>
      <c r="O58" s="4" t="s">
        <v>221</v>
      </c>
      <c r="P58" s="114"/>
      <c r="Q58" s="114"/>
      <c r="R58" s="114" t="s">
        <v>90</v>
      </c>
      <c r="S58" s="114"/>
      <c r="T58" s="114"/>
      <c r="U58" s="114"/>
      <c r="V58" s="114"/>
      <c r="W58" s="114"/>
      <c r="X58" s="143">
        <f>_xlfn.XLOOKUP(base_de_datos[[#This Row],[Materia]],Materias,Horas)/16</f>
        <v>2</v>
      </c>
      <c r="Y58" s="143">
        <f>ROUND(((base_de_datos[[#This Row],[Hora fin]]-base_de_datos[[#This Row],[Hora inicio]])*24)*(COUNTA(base_de_datos[[#This Row],[Lunes]:[Sábado]])),1)</f>
        <v>2</v>
      </c>
      <c r="Z58" s="143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58" s="143">
        <f ca="1">IF(base_de_datos[[#This Row],[No clase]]=OFFSET(base_de_datos[[#This Row],[No clase]],-1,0),0,1)</f>
        <v>1</v>
      </c>
      <c r="AB58" s="143">
        <f ca="1">IF(NOT(OR(base_de_datos[[#This Row],[Horas totales]]=base_de_datos[[#This Row],[HT Plan]],base_de_datos[[#This Row],[Horas totales]]="N/A")),1,0)</f>
        <v>0</v>
      </c>
      <c r="AC58" s="143" t="str">
        <f>_xlfn.XLOOKUP(base_de_datos[[#This Row],[Profesor]],Nombre,Grado)</f>
        <v>D</v>
      </c>
      <c r="AD58" s="144" t="str">
        <f>_xlfn.XLOOKUP(base_de_datos[[#This Row],[Profesor]],Nombre,Tipo)</f>
        <v>A</v>
      </c>
      <c r="AE58" s="143">
        <f>IF(IFERROR(VLOOKUP($C58,Planes_de_estudio[],MATCH($AE$2,Carreras,0)+2,0),"")&gt;0,IFERROR(VLOOKUP($C58,Planes_de_estudio[],MATCH($AE$2,Carreras,0)+2,0),""),"")</f>
        <v>8</v>
      </c>
      <c r="AF58" s="143">
        <f>IF(IFERROR(VLOOKUP($C58,Planes_de_estudio[],MATCH($AF$2,Carreras,0)+2,0),"")&gt;0,IFERROR(VLOOKUP($C58,Planes_de_estudio[],MATCH($AF$2,Carreras,0)+2,0),""),"")</f>
        <v>8</v>
      </c>
      <c r="AG58" s="143" t="str">
        <f>IF(IFERROR(VLOOKUP($C58,Planes_de_estudio[],MATCH($AG$2,Carreras,0)+2,0),"")&gt;0,IFERROR(VLOOKUP($C58,Planes_de_estudio[],MATCH($AG$2,Carreras,0)+2,0),""),"")</f>
        <v/>
      </c>
      <c r="AH58" s="143">
        <f>IF(IFERROR(VLOOKUP($C58,Planes_de_estudio[],MATCH($AH$2,Carreras,0)+2,0),"")&gt;0,IFERROR(VLOOKUP($C58,Planes_de_estudio[],MATCH($AH$2,Carreras,0)+2,0),""),"")</f>
        <v>8</v>
      </c>
      <c r="AI58" s="143">
        <f>IF(IFERROR(VLOOKUP($C58,Planes_de_estudio[],MATCH($AI$2,Carreras,0)+2,0),"")&gt;0,IFERROR(VLOOKUP($C58,Planes_de_estudio[],MATCH($AI$2,Carreras,0)+2,0),""),"")</f>
        <v>8</v>
      </c>
      <c r="AJ58" s="143" t="str">
        <f>IF(IFERROR(VLOOKUP($C58,Planes_de_estudio[],MATCH($AJ$2,Carreras,0)+2,0),"")&gt;0,IFERROR(VLOOKUP($C58,Planes_de_estudio[],MATCH($AJ$2,Carreras,0)+2,0),""),"")</f>
        <v/>
      </c>
      <c r="AK58" s="143">
        <f>IF(IFERROR(VLOOKUP($C58,Planes_de_estudio[],MATCH($AK$2,Carreras,0)+2,0),"")&gt;0,IFERROR(VLOOKUP($C58,Planes_de_estudio[],MATCH($AK$2,Carreras,0)+2,0),""),"")</f>
        <v>8</v>
      </c>
      <c r="AL58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58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81</v>
      </c>
      <c r="AN58" s="143">
        <f>base_de_datos[[#This Row],[Pronóstico]]/25</f>
        <v>3.24</v>
      </c>
      <c r="AO58" s="143" t="str">
        <f>VLOOKUP($C58,Planes_de_estudio[],2)</f>
        <v>EMP</v>
      </c>
      <c r="AP58" s="112">
        <f ca="1">IF(AND(base_de_datos[[#This Row],[Industrial]]&lt;&gt;"",base_de_datos[[#This Row],[Misma o no]]=1),base_de_datos[[#This Row],[Índice]],"")</f>
        <v>6</v>
      </c>
      <c r="AQ58" s="112">
        <f ca="1">IF(AND(base_de_datos[[#This Row],[Mecatrónica]]&lt;&gt;"",base_de_datos[[#This Row],[Misma o no]]=1),base_de_datos[[#This Row],[Índice]],"")</f>
        <v>6</v>
      </c>
      <c r="AR58" s="112" t="str">
        <f ca="1">IF(AND(base_de_datos[[#This Row],[Innovación y Diseño]]&lt;&gt;"",base_de_datos[[#This Row],[Misma o no]]=1),base_de_datos[[#This Row],[Índice]],"")</f>
        <v/>
      </c>
      <c r="AS58" s="112">
        <f ca="1">IF(AND(base_de_datos[[#This Row],[Inteligencia Artificial]]&lt;&gt;"",base_de_datos[[#This Row],[Misma o no]]=1),base_de_datos[[#This Row],[Índice]],"")</f>
        <v>6</v>
      </c>
      <c r="AT58" s="112">
        <f ca="1">IF(AND(base_de_datos[[#This Row],[Tecnologías Energéticas]]&lt;&gt;"",base_de_datos[[#This Row],[Misma o no]]=1),base_de_datos[[#This Row],[Índice]],"")</f>
        <v>6</v>
      </c>
      <c r="AU58" s="112" t="str">
        <f ca="1">IF(AND(base_de_datos[[#This Row],[Civil y Administración]]&lt;&gt;"",base_de_datos[[#This Row],[Misma o no]]=1),base_de_datos[[#This Row],[Índice]],"")</f>
        <v/>
      </c>
      <c r="AV58" s="112">
        <f ca="1">IF(AND(base_de_datos[[#This Row],[Bioelectrónica]]&lt;&gt;"",base_de_datos[[#This Row],[Misma o no]]=1),base_de_datos[[#This Row],[Índice]],"")</f>
        <v>6</v>
      </c>
      <c r="AX58" s="4">
        <v>1</v>
      </c>
    </row>
    <row r="59" spans="2:50" s="6" customFormat="1" ht="13" x14ac:dyDescent="0.3">
      <c r="B59" s="6" t="s">
        <v>222</v>
      </c>
      <c r="C59" s="1" t="s">
        <v>220</v>
      </c>
      <c r="D59" s="4">
        <v>3</v>
      </c>
      <c r="E59" s="113">
        <v>0.70833333333333304</v>
      </c>
      <c r="F59" s="113">
        <v>0.79166666666665897</v>
      </c>
      <c r="G59" s="4" t="s">
        <v>87</v>
      </c>
      <c r="H59" s="4" t="s">
        <v>223</v>
      </c>
      <c r="I59" s="4"/>
      <c r="J59" s="199">
        <v>26</v>
      </c>
      <c r="K59" s="142"/>
      <c r="L59" s="3"/>
      <c r="M59" s="3"/>
      <c r="N59" s="3"/>
      <c r="O59" s="4" t="s">
        <v>224</v>
      </c>
      <c r="P59" s="114"/>
      <c r="Q59" s="114"/>
      <c r="R59" s="114" t="s">
        <v>90</v>
      </c>
      <c r="S59" s="114"/>
      <c r="T59" s="114"/>
      <c r="U59" s="114"/>
      <c r="V59" s="114"/>
      <c r="W59" s="114"/>
      <c r="X59" s="143">
        <f>_xlfn.XLOOKUP(base_de_datos[[#This Row],[Materia]],Materias,Horas)/16</f>
        <v>2</v>
      </c>
      <c r="Y59" s="143">
        <f>ROUND(((base_de_datos[[#This Row],[Hora fin]]-base_de_datos[[#This Row],[Hora inicio]])*24)*(COUNTA(base_de_datos[[#This Row],[Lunes]:[Sábado]])),1)</f>
        <v>2</v>
      </c>
      <c r="Z59" s="143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59" s="143">
        <f ca="1">IF(base_de_datos[[#This Row],[No clase]]=OFFSET(base_de_datos[[#This Row],[No clase]],-1,0),0,1)</f>
        <v>1</v>
      </c>
      <c r="AB59" s="143">
        <f ca="1">IF(NOT(OR(base_de_datos[[#This Row],[Horas totales]]=base_de_datos[[#This Row],[HT Plan]],base_de_datos[[#This Row],[Horas totales]]="N/A")),1,0)</f>
        <v>0</v>
      </c>
      <c r="AC59" s="143" t="str">
        <f>_xlfn.XLOOKUP(base_de_datos[[#This Row],[Profesor]],Nombre,Grado)</f>
        <v>M</v>
      </c>
      <c r="AD59" s="144" t="str">
        <f>_xlfn.XLOOKUP(base_de_datos[[#This Row],[Profesor]],Nombre,Tipo)</f>
        <v>OA</v>
      </c>
      <c r="AE59" s="143">
        <f>IF(IFERROR(VLOOKUP($C59,Planes_de_estudio[],MATCH($AE$2,Carreras,0)+2,0),"")&gt;0,IFERROR(VLOOKUP($C59,Planes_de_estudio[],MATCH($AE$2,Carreras,0)+2,0),""),"")</f>
        <v>8</v>
      </c>
      <c r="AF59" s="143">
        <f>IF(IFERROR(VLOOKUP($C59,Planes_de_estudio[],MATCH($AF$2,Carreras,0)+2,0),"")&gt;0,IFERROR(VLOOKUP($C59,Planes_de_estudio[],MATCH($AF$2,Carreras,0)+2,0),""),"")</f>
        <v>8</v>
      </c>
      <c r="AG59" s="143" t="str">
        <f>IF(IFERROR(VLOOKUP($C59,Planes_de_estudio[],MATCH($AG$2,Carreras,0)+2,0),"")&gt;0,IFERROR(VLOOKUP($C59,Planes_de_estudio[],MATCH($AG$2,Carreras,0)+2,0),""),"")</f>
        <v/>
      </c>
      <c r="AH59" s="143">
        <f>IF(IFERROR(VLOOKUP($C59,Planes_de_estudio[],MATCH($AH$2,Carreras,0)+2,0),"")&gt;0,IFERROR(VLOOKUP($C59,Planes_de_estudio[],MATCH($AH$2,Carreras,0)+2,0),""),"")</f>
        <v>8</v>
      </c>
      <c r="AI59" s="143">
        <f>IF(IFERROR(VLOOKUP($C59,Planes_de_estudio[],MATCH($AI$2,Carreras,0)+2,0),"")&gt;0,IFERROR(VLOOKUP($C59,Planes_de_estudio[],MATCH($AI$2,Carreras,0)+2,0),""),"")</f>
        <v>8</v>
      </c>
      <c r="AJ59" s="143" t="str">
        <f>IF(IFERROR(VLOOKUP($C59,Planes_de_estudio[],MATCH($AJ$2,Carreras,0)+2,0),"")&gt;0,IFERROR(VLOOKUP($C59,Planes_de_estudio[],MATCH($AJ$2,Carreras,0)+2,0),""),"")</f>
        <v/>
      </c>
      <c r="AK59" s="143">
        <f>IF(IFERROR(VLOOKUP($C59,Planes_de_estudio[],MATCH($AK$2,Carreras,0)+2,0),"")&gt;0,IFERROR(VLOOKUP($C59,Planes_de_estudio[],MATCH($AK$2,Carreras,0)+2,0),""),"")</f>
        <v>8</v>
      </c>
      <c r="AL59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59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81</v>
      </c>
      <c r="AN59" s="143">
        <f>base_de_datos[[#This Row],[Pronóstico]]/25</f>
        <v>3.24</v>
      </c>
      <c r="AO59" s="143" t="str">
        <f>VLOOKUP($C59,Planes_de_estudio[],2)</f>
        <v>EMP</v>
      </c>
      <c r="AP59" s="112">
        <f ca="1">IF(AND(base_de_datos[[#This Row],[Industrial]]&lt;&gt;"",base_de_datos[[#This Row],[Misma o no]]=1),base_de_datos[[#This Row],[Índice]],"")</f>
        <v>4</v>
      </c>
      <c r="AQ59" s="112">
        <f ca="1">IF(AND(base_de_datos[[#This Row],[Mecatrónica]]&lt;&gt;"",base_de_datos[[#This Row],[Misma o no]]=1),base_de_datos[[#This Row],[Índice]],"")</f>
        <v>4</v>
      </c>
      <c r="AR59" s="112" t="str">
        <f ca="1">IF(AND(base_de_datos[[#This Row],[Innovación y Diseño]]&lt;&gt;"",base_de_datos[[#This Row],[Misma o no]]=1),base_de_datos[[#This Row],[Índice]],"")</f>
        <v/>
      </c>
      <c r="AS59" s="112">
        <f ca="1">IF(AND(base_de_datos[[#This Row],[Inteligencia Artificial]]&lt;&gt;"",base_de_datos[[#This Row],[Misma o no]]=1),base_de_datos[[#This Row],[Índice]],"")</f>
        <v>4</v>
      </c>
      <c r="AT59" s="112">
        <f ca="1">IF(AND(base_de_datos[[#This Row],[Tecnologías Energéticas]]&lt;&gt;"",base_de_datos[[#This Row],[Misma o no]]=1),base_de_datos[[#This Row],[Índice]],"")</f>
        <v>4</v>
      </c>
      <c r="AU59" s="112" t="str">
        <f ca="1">IF(AND(base_de_datos[[#This Row],[Civil y Administración]]&lt;&gt;"",base_de_datos[[#This Row],[Misma o no]]=1),base_de_datos[[#This Row],[Índice]],"")</f>
        <v/>
      </c>
      <c r="AV59" s="112">
        <f ca="1">IF(AND(base_de_datos[[#This Row],[Bioelectrónica]]&lt;&gt;"",base_de_datos[[#This Row],[Misma o no]]=1),base_de_datos[[#This Row],[Índice]],"")</f>
        <v>4</v>
      </c>
      <c r="AX59" s="4">
        <v>1</v>
      </c>
    </row>
    <row r="60" spans="2:50" s="6" customFormat="1" ht="13" x14ac:dyDescent="0.3">
      <c r="B60" s="9" t="s">
        <v>225</v>
      </c>
      <c r="C60" s="1" t="s">
        <v>220</v>
      </c>
      <c r="D60" s="4">
        <v>1</v>
      </c>
      <c r="E60" s="113">
        <v>0.70833333333333304</v>
      </c>
      <c r="F60" s="113">
        <v>0.79166666666665897</v>
      </c>
      <c r="G60" s="4" t="s">
        <v>87</v>
      </c>
      <c r="H60" s="4" t="s">
        <v>169</v>
      </c>
      <c r="I60" s="4"/>
      <c r="J60" s="199">
        <v>26</v>
      </c>
      <c r="K60" s="115"/>
      <c r="L60" s="3"/>
      <c r="M60" s="127"/>
      <c r="N60" s="3"/>
      <c r="O60" s="4" t="s">
        <v>226</v>
      </c>
      <c r="P60" s="114"/>
      <c r="Q60" s="114"/>
      <c r="R60" s="114" t="s">
        <v>90</v>
      </c>
      <c r="S60" s="114"/>
      <c r="T60" s="114"/>
      <c r="U60" s="114"/>
      <c r="V60" s="114"/>
      <c r="W60" s="114"/>
      <c r="X60" s="117">
        <f>_xlfn.XLOOKUP(base_de_datos[[#This Row],[Materia]],Materias,Horas)/16</f>
        <v>2</v>
      </c>
      <c r="Y60" s="117">
        <f>ROUND(((base_de_datos[[#This Row],[Hora fin]]-base_de_datos[[#This Row],[Hora inicio]])*24)*(COUNTA(base_de_datos[[#This Row],[Lunes]:[Sábado]])),1)</f>
        <v>2</v>
      </c>
      <c r="Z60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60" s="117">
        <f ca="1">IF(base_de_datos[[#This Row],[No clase]]=OFFSET(base_de_datos[[#This Row],[No clase]],-1,0),0,1)</f>
        <v>1</v>
      </c>
      <c r="AB60" s="117">
        <f ca="1">IF(NOT(OR(base_de_datos[[#This Row],[Horas totales]]=base_de_datos[[#This Row],[HT Plan]],base_de_datos[[#This Row],[Horas totales]]="N/A")),1,0)</f>
        <v>0</v>
      </c>
      <c r="AC60" s="117" t="str">
        <f>_xlfn.XLOOKUP(base_de_datos[[#This Row],[Profesor]],Nombre,Grado)</f>
        <v>M</v>
      </c>
      <c r="AD60" s="118" t="str">
        <f>_xlfn.XLOOKUP(base_de_datos[[#This Row],[Profesor]],Nombre,Tipo)</f>
        <v>A</v>
      </c>
      <c r="AE60" s="117">
        <f>IF(IFERROR(VLOOKUP($C60,Planes_de_estudio[],MATCH($AE$2,Carreras,0)+2,0),"")&gt;0,IFERROR(VLOOKUP($C60,Planes_de_estudio[],MATCH($AE$2,Carreras,0)+2,0),""),"")</f>
        <v>8</v>
      </c>
      <c r="AF60" s="117">
        <f>IF(IFERROR(VLOOKUP($C60,Planes_de_estudio[],MATCH($AF$2,Carreras,0)+2,0),"")&gt;0,IFERROR(VLOOKUP($C60,Planes_de_estudio[],MATCH($AF$2,Carreras,0)+2,0),""),"")</f>
        <v>8</v>
      </c>
      <c r="AG60" s="117" t="str">
        <f>IF(IFERROR(VLOOKUP($C60,Planes_de_estudio[],MATCH($AG$2,Carreras,0)+2,0),"")&gt;0,IFERROR(VLOOKUP($C60,Planes_de_estudio[],MATCH($AG$2,Carreras,0)+2,0),""),"")</f>
        <v/>
      </c>
      <c r="AH60" s="117">
        <f>IF(IFERROR(VLOOKUP($C60,Planes_de_estudio[],MATCH($AH$2,Carreras,0)+2,0),"")&gt;0,IFERROR(VLOOKUP($C60,Planes_de_estudio[],MATCH($AH$2,Carreras,0)+2,0),""),"")</f>
        <v>8</v>
      </c>
      <c r="AI60" s="117">
        <f>IF(IFERROR(VLOOKUP($C60,Planes_de_estudio[],MATCH($AI$2,Carreras,0)+2,0),"")&gt;0,IFERROR(VLOOKUP($C60,Planes_de_estudio[],MATCH($AI$2,Carreras,0)+2,0),""),"")</f>
        <v>8</v>
      </c>
      <c r="AJ60" s="117" t="str">
        <f>IF(IFERROR(VLOOKUP($C60,Planes_de_estudio[],MATCH($AJ$2,Carreras,0)+2,0),"")&gt;0,IFERROR(VLOOKUP($C60,Planes_de_estudio[],MATCH($AJ$2,Carreras,0)+2,0),""),"")</f>
        <v/>
      </c>
      <c r="AK60" s="117">
        <f>IF(IFERROR(VLOOKUP($C60,Planes_de_estudio[],MATCH($AK$2,Carreras,0)+2,0),"")&gt;0,IFERROR(VLOOKUP($C60,Planes_de_estudio[],MATCH($AK$2,Carreras,0)+2,0),""),"")</f>
        <v>8</v>
      </c>
      <c r="AL60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60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81</v>
      </c>
      <c r="AN60" s="117">
        <f>base_de_datos[[#This Row],[Pronóstico]]/25</f>
        <v>3.24</v>
      </c>
      <c r="AO60" s="117" t="str">
        <f>VLOOKUP($C60,Planes_de_estudio[],2)</f>
        <v>EMP</v>
      </c>
      <c r="AP60" s="119">
        <f ca="1">IF(AND(base_de_datos[[#This Row],[Industrial]]&lt;&gt;"",base_de_datos[[#This Row],[Misma o no]]=1),base_de_datos[[#This Row],[Índice]],"")</f>
        <v>4</v>
      </c>
      <c r="AQ60" s="119">
        <f ca="1">IF(AND(base_de_datos[[#This Row],[Mecatrónica]]&lt;&gt;"",base_de_datos[[#This Row],[Misma o no]]=1),base_de_datos[[#This Row],[Índice]],"")</f>
        <v>4</v>
      </c>
      <c r="AR60" s="119" t="str">
        <f ca="1">IF(AND(base_de_datos[[#This Row],[Innovación y Diseño]]&lt;&gt;"",base_de_datos[[#This Row],[Misma o no]]=1),base_de_datos[[#This Row],[Índice]],"")</f>
        <v/>
      </c>
      <c r="AS60" s="119">
        <f ca="1">IF(AND(base_de_datos[[#This Row],[Inteligencia Artificial]]&lt;&gt;"",base_de_datos[[#This Row],[Misma o no]]=1),base_de_datos[[#This Row],[Índice]],"")</f>
        <v>4</v>
      </c>
      <c r="AT60" s="119">
        <f ca="1">IF(AND(base_de_datos[[#This Row],[Tecnologías Energéticas]]&lt;&gt;"",base_de_datos[[#This Row],[Misma o no]]=1),base_de_datos[[#This Row],[Índice]],"")</f>
        <v>4</v>
      </c>
      <c r="AU60" s="119" t="str">
        <f ca="1">IF(AND(base_de_datos[[#This Row],[Civil y Administración]]&lt;&gt;"",base_de_datos[[#This Row],[Misma o no]]=1),base_de_datos[[#This Row],[Índice]],"")</f>
        <v/>
      </c>
      <c r="AV60" s="119">
        <f ca="1">IF(AND(base_de_datos[[#This Row],[Bioelectrónica]]&lt;&gt;"",base_de_datos[[#This Row],[Misma o no]]=1),base_de_datos[[#This Row],[Índice]],"")</f>
        <v>4</v>
      </c>
      <c r="AW60" s="120"/>
      <c r="AX60" s="4">
        <v>1</v>
      </c>
    </row>
    <row r="61" spans="2:50" s="6" customFormat="1" ht="13" x14ac:dyDescent="0.3">
      <c r="B61" s="6" t="s">
        <v>227</v>
      </c>
      <c r="C61" s="1" t="s">
        <v>228</v>
      </c>
      <c r="D61" s="4">
        <v>1</v>
      </c>
      <c r="E61" s="113">
        <v>0.29166666666666669</v>
      </c>
      <c r="F61" s="113">
        <v>0.374999999999999</v>
      </c>
      <c r="G61" s="4" t="s">
        <v>87</v>
      </c>
      <c r="H61" s="4" t="s">
        <v>229</v>
      </c>
      <c r="I61" s="4"/>
      <c r="J61" s="114">
        <v>15</v>
      </c>
      <c r="K61" s="115"/>
      <c r="L61" s="3"/>
      <c r="M61" s="115"/>
      <c r="N61" s="3"/>
      <c r="O61" s="4" t="s">
        <v>230</v>
      </c>
      <c r="P61" s="114"/>
      <c r="Q61" s="114" t="s">
        <v>90</v>
      </c>
      <c r="R61" s="114"/>
      <c r="S61" s="114" t="s">
        <v>90</v>
      </c>
      <c r="T61" s="114"/>
      <c r="U61" s="114"/>
      <c r="V61" s="114"/>
      <c r="W61" s="114"/>
      <c r="X61" s="116">
        <f>_xlfn.XLOOKUP(base_de_datos[[#This Row],[Materia]],Materias,Horas)/16</f>
        <v>4</v>
      </c>
      <c r="Y61" s="116">
        <f>ROUND(((base_de_datos[[#This Row],[Hora fin]]-base_de_datos[[#This Row],[Hora inicio]])*24)*(COUNTA(base_de_datos[[#This Row],[Lunes]:[Sábado]])),1)</f>
        <v>4</v>
      </c>
      <c r="Z61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61" s="117">
        <f ca="1">IF(base_de_datos[[#This Row],[No clase]]=OFFSET(base_de_datos[[#This Row],[No clase]],-1,0),0,1)</f>
        <v>1</v>
      </c>
      <c r="AB61" s="117">
        <f ca="1">IF(NOT(OR(base_de_datos[[#This Row],[Horas totales]]=base_de_datos[[#This Row],[HT Plan]],base_de_datos[[#This Row],[Horas totales]]="N/A")),1,0)</f>
        <v>0</v>
      </c>
      <c r="AC61" s="116" t="str">
        <f>_xlfn.XLOOKUP(base_de_datos[[#This Row],[Profesor]],Nombre,Grado)</f>
        <v>E</v>
      </c>
      <c r="AD61" s="118" t="str">
        <f>_xlfn.XLOOKUP(base_de_datos[[#This Row],[Profesor]],Nombre,Tipo)</f>
        <v>A</v>
      </c>
      <c r="AE61" s="116">
        <f>IF(IFERROR(VLOOKUP($C61,Planes_de_estudio[],MATCH($AE$2,Carreras,0)+2,0),"")&gt;0,IFERROR(VLOOKUP($C61,Planes_de_estudio[],MATCH($AE$2,Carreras,0)+2,0),""),"")</f>
        <v>2</v>
      </c>
      <c r="AF61" s="116">
        <f>IF(IFERROR(VLOOKUP($C61,Planes_de_estudio[],MATCH($AF$2,Carreras,0)+2,0),"")&gt;0,IFERROR(VLOOKUP($C61,Planes_de_estudio[],MATCH($AF$2,Carreras,0)+2,0),""),"")</f>
        <v>5</v>
      </c>
      <c r="AG61" s="116">
        <f>IF(IFERROR(VLOOKUP($C61,Planes_de_estudio[],MATCH($AG$2,Carreras,0)+2,0),"")&gt;0,IFERROR(VLOOKUP($C61,Planes_de_estudio[],MATCH($AG$2,Carreras,0)+2,0),""),"")</f>
        <v>2</v>
      </c>
      <c r="AH61" s="116" t="str">
        <f>IF(IFERROR(VLOOKUP($C61,Planes_de_estudio[],MATCH($AH$2,Carreras,0)+2,0),"")&gt;0,IFERROR(VLOOKUP($C61,Planes_de_estudio[],MATCH($AH$2,Carreras,0)+2,0),""),"")</f>
        <v/>
      </c>
      <c r="AI61" s="116">
        <f>IF(IFERROR(VLOOKUP($C61,Planes_de_estudio[],MATCH($AI$2,Carreras,0)+2,0),"")&gt;0,IFERROR(VLOOKUP($C61,Planes_de_estudio[],MATCH($AI$2,Carreras,0)+2,0),""),"")</f>
        <v>3</v>
      </c>
      <c r="AJ61" s="116" t="str">
        <f>IF(IFERROR(VLOOKUP($C61,Planes_de_estudio[],MATCH($AJ$2,Carreras,0)+2,0),"")&gt;0,IFERROR(VLOOKUP($C61,Planes_de_estudio[],MATCH($AJ$2,Carreras,0)+2,0),""),"")</f>
        <v/>
      </c>
      <c r="AK61" s="116" t="str">
        <f>IF(IFERROR(VLOOKUP($C61,Planes_de_estudio[],MATCH($AK$2,Carreras,0)+2,0),"")&gt;0,IFERROR(VLOOKUP($C61,Planes_de_estudio[],MATCH($AK$2,Carreras,0)+2,0),""),"")</f>
        <v/>
      </c>
      <c r="AL61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61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42</v>
      </c>
      <c r="AN61" s="117">
        <f>base_de_datos[[#This Row],[Pronóstico]]/25</f>
        <v>1.68</v>
      </c>
      <c r="AO61" s="117" t="str">
        <f>VLOOKUP($C61,Planes_de_estudio[],2)</f>
        <v>MEC</v>
      </c>
      <c r="AP61" s="119">
        <f ca="1">IF(AND(base_de_datos[[#This Row],[Industrial]]&lt;&gt;"",base_de_datos[[#This Row],[Misma o no]]=1),base_de_datos[[#This Row],[Índice]],"")</f>
        <v>2</v>
      </c>
      <c r="AQ61" s="119">
        <f ca="1">IF(AND(base_de_datos[[#This Row],[Mecatrónica]]&lt;&gt;"",base_de_datos[[#This Row],[Misma o no]]=1),base_de_datos[[#This Row],[Índice]],"")</f>
        <v>2</v>
      </c>
      <c r="AR61" s="119">
        <f ca="1">IF(AND(base_de_datos[[#This Row],[Innovación y Diseño]]&lt;&gt;"",base_de_datos[[#This Row],[Misma o no]]=1),base_de_datos[[#This Row],[Índice]],"")</f>
        <v>2</v>
      </c>
      <c r="AS61" s="119" t="str">
        <f ca="1">IF(AND(base_de_datos[[#This Row],[Inteligencia Artificial]]&lt;&gt;"",base_de_datos[[#This Row],[Misma o no]]=1),base_de_datos[[#This Row],[Índice]],"")</f>
        <v/>
      </c>
      <c r="AT61" s="119">
        <f ca="1">IF(AND(base_de_datos[[#This Row],[Tecnologías Energéticas]]&lt;&gt;"",base_de_datos[[#This Row],[Misma o no]]=1),base_de_datos[[#This Row],[Índice]],"")</f>
        <v>2</v>
      </c>
      <c r="AU61" s="119" t="str">
        <f ca="1">IF(AND(base_de_datos[[#This Row],[Civil y Administración]]&lt;&gt;"",base_de_datos[[#This Row],[Misma o no]]=1),base_de_datos[[#This Row],[Índice]],"")</f>
        <v/>
      </c>
      <c r="AV61" s="119" t="str">
        <f ca="1">IF(AND(base_de_datos[[#This Row],[Bioelectrónica]]&lt;&gt;"",base_de_datos[[#This Row],[Misma o no]]=1),base_de_datos[[#This Row],[Índice]],"")</f>
        <v/>
      </c>
      <c r="AW61" s="120"/>
      <c r="AX61" s="4" t="s">
        <v>1812</v>
      </c>
    </row>
    <row r="62" spans="2:50" s="6" customFormat="1" ht="13" x14ac:dyDescent="0.3">
      <c r="B62" s="6" t="s">
        <v>240</v>
      </c>
      <c r="C62" s="1" t="s">
        <v>241</v>
      </c>
      <c r="D62" s="4">
        <v>1</v>
      </c>
      <c r="E62" s="113">
        <v>0.70833333333333304</v>
      </c>
      <c r="F62" s="113">
        <v>0.79166666666665897</v>
      </c>
      <c r="G62" s="4" t="s">
        <v>87</v>
      </c>
      <c r="H62" s="4" t="s">
        <v>242</v>
      </c>
      <c r="I62" s="4"/>
      <c r="J62" s="126">
        <v>19</v>
      </c>
      <c r="K62" s="142"/>
      <c r="L62" s="3"/>
      <c r="M62" s="3"/>
      <c r="N62" s="3"/>
      <c r="O62" s="4">
        <v>2311</v>
      </c>
      <c r="P62" s="114" t="s">
        <v>90</v>
      </c>
      <c r="Q62" s="114"/>
      <c r="R62" s="114"/>
      <c r="S62" s="114"/>
      <c r="T62" s="114"/>
      <c r="U62" s="114"/>
      <c r="V62" s="114"/>
      <c r="W62" s="114"/>
      <c r="X62" s="143">
        <f>_xlfn.XLOOKUP(base_de_datos[[#This Row],[Materia]],Materias,Horas)/16</f>
        <v>4</v>
      </c>
      <c r="Y62" s="143">
        <f>ROUND(((base_de_datos[[#This Row],[Hora fin]]-base_de_datos[[#This Row],[Hora inicio]])*24)*(COUNTA(base_de_datos[[#This Row],[Lunes]:[Sábado]])),1)</f>
        <v>2</v>
      </c>
      <c r="Z62" s="14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62" s="143">
        <f ca="1">IF(base_de_datos[[#This Row],[No clase]]=OFFSET(base_de_datos[[#This Row],[No clase]],-1,0),0,1)</f>
        <v>1</v>
      </c>
      <c r="AB62" s="143">
        <f ca="1">IF(NOT(OR(base_de_datos[[#This Row],[Horas totales]]=base_de_datos[[#This Row],[HT Plan]],base_de_datos[[#This Row],[Horas totales]]="N/A")),1,0)</f>
        <v>0</v>
      </c>
      <c r="AC62" s="143" t="str">
        <f>_xlfn.XLOOKUP(base_de_datos[[#This Row],[Profesor]],Nombre,Grado)</f>
        <v>E</v>
      </c>
      <c r="AD62" s="144" t="str">
        <f>_xlfn.XLOOKUP(base_de_datos[[#This Row],[Profesor]],Nombre,Tipo)</f>
        <v>OA</v>
      </c>
      <c r="AE62" s="143">
        <f>IF(IFERROR(VLOOKUP($C62,Planes_de_estudio[],MATCH($AE$2,Carreras,0)+2,0),"")&gt;0,IFERROR(VLOOKUP($C62,Planes_de_estudio[],MATCH($AE$2,Carreras,0)+2,0),""),"")</f>
        <v>8</v>
      </c>
      <c r="AF62" s="143" t="str">
        <f>IF(IFERROR(VLOOKUP($C62,Planes_de_estudio[],MATCH($AF$2,Carreras,0)+2,0),"")&gt;0,IFERROR(VLOOKUP($C62,Planes_de_estudio[],MATCH($AF$2,Carreras,0)+2,0),""),"")</f>
        <v/>
      </c>
      <c r="AG62" s="143" t="str">
        <f>IF(IFERROR(VLOOKUP($C62,Planes_de_estudio[],MATCH($AG$2,Carreras,0)+2,0),"")&gt;0,IFERROR(VLOOKUP($C62,Planes_de_estudio[],MATCH($AG$2,Carreras,0)+2,0),""),"")</f>
        <v/>
      </c>
      <c r="AH62" s="143" t="str">
        <f>IF(IFERROR(VLOOKUP($C62,Planes_de_estudio[],MATCH($AH$2,Carreras,0)+2,0),"")&gt;0,IFERROR(VLOOKUP($C62,Planes_de_estudio[],MATCH($AH$2,Carreras,0)+2,0),""),"")</f>
        <v/>
      </c>
      <c r="AI62" s="143" t="str">
        <f>IF(IFERROR(VLOOKUP($C62,Planes_de_estudio[],MATCH($AI$2,Carreras,0)+2,0),"")&gt;0,IFERROR(VLOOKUP($C62,Planes_de_estudio[],MATCH($AI$2,Carreras,0)+2,0),""),"")</f>
        <v/>
      </c>
      <c r="AJ62" s="143" t="str">
        <f>IF(IFERROR(VLOOKUP($C62,Planes_de_estudio[],MATCH($AJ$2,Carreras,0)+2,0),"")&gt;0,IFERROR(VLOOKUP($C62,Planes_de_estudio[],MATCH($AJ$2,Carreras,0)+2,0),""),"")</f>
        <v/>
      </c>
      <c r="AK62" s="143" t="str">
        <f>IF(IFERROR(VLOOKUP($C62,Planes_de_estudio[],MATCH($AK$2,Carreras,0)+2,0),"")&gt;0,IFERROR(VLOOKUP($C62,Planes_de_estudio[],MATCH($AK$2,Carreras,0)+2,0),""),"")</f>
        <v/>
      </c>
      <c r="AL62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62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22</v>
      </c>
      <c r="AN62" s="143">
        <f>base_de_datos[[#This Row],[Pronóstico]]/25</f>
        <v>0.88</v>
      </c>
      <c r="AO62" s="143" t="str">
        <f>VLOOKUP($C62,Planes_de_estudio[],2)</f>
        <v>DOP</v>
      </c>
      <c r="AP62" s="112">
        <f ca="1">IF(AND(base_de_datos[[#This Row],[Industrial]]&lt;&gt;"",base_de_datos[[#This Row],[Misma o no]]=1),base_de_datos[[#This Row],[Índice]],"")</f>
        <v>2</v>
      </c>
      <c r="AQ62" s="112" t="str">
        <f ca="1">IF(AND(base_de_datos[[#This Row],[Mecatrónica]]&lt;&gt;"",base_de_datos[[#This Row],[Misma o no]]=1),base_de_datos[[#This Row],[Índice]],"")</f>
        <v/>
      </c>
      <c r="AR62" s="112" t="str">
        <f ca="1">IF(AND(base_de_datos[[#This Row],[Innovación y Diseño]]&lt;&gt;"",base_de_datos[[#This Row],[Misma o no]]=1),base_de_datos[[#This Row],[Índice]],"")</f>
        <v/>
      </c>
      <c r="AS62" s="112" t="str">
        <f ca="1">IF(AND(base_de_datos[[#This Row],[Inteligencia Artificial]]&lt;&gt;"",base_de_datos[[#This Row],[Misma o no]]=1),base_de_datos[[#This Row],[Índice]],"")</f>
        <v/>
      </c>
      <c r="AT62" s="112" t="str">
        <f ca="1">IF(AND(base_de_datos[[#This Row],[Tecnologías Energéticas]]&lt;&gt;"",base_de_datos[[#This Row],[Misma o no]]=1),base_de_datos[[#This Row],[Índice]],"")</f>
        <v/>
      </c>
      <c r="AU62" s="112" t="str">
        <f ca="1">IF(AND(base_de_datos[[#This Row],[Civil y Administración]]&lt;&gt;"",base_de_datos[[#This Row],[Misma o no]]=1),base_de_datos[[#This Row],[Índice]],"")</f>
        <v/>
      </c>
      <c r="AV62" s="112" t="str">
        <f ca="1">IF(AND(base_de_datos[[#This Row],[Bioelectrónica]]&lt;&gt;"",base_de_datos[[#This Row],[Misma o no]]=1),base_de_datos[[#This Row],[Índice]],"")</f>
        <v/>
      </c>
      <c r="AX62" s="4">
        <v>1</v>
      </c>
    </row>
    <row r="63" spans="2:50" s="6" customFormat="1" ht="13" x14ac:dyDescent="0.3">
      <c r="B63" s="9" t="s">
        <v>240</v>
      </c>
      <c r="C63" s="1" t="s">
        <v>241</v>
      </c>
      <c r="D63" s="4">
        <v>1</v>
      </c>
      <c r="E63" s="113">
        <v>0.70833333333333304</v>
      </c>
      <c r="F63" s="113">
        <v>0.79166666666665897</v>
      </c>
      <c r="G63" s="4" t="s">
        <v>87</v>
      </c>
      <c r="H63" s="4" t="s">
        <v>98</v>
      </c>
      <c r="I63" s="4"/>
      <c r="J63" s="114">
        <v>19</v>
      </c>
      <c r="K63" s="115"/>
      <c r="L63" s="3"/>
      <c r="M63" s="115"/>
      <c r="N63" s="3"/>
      <c r="O63" s="4">
        <v>2311</v>
      </c>
      <c r="P63" s="114"/>
      <c r="Q63" s="114" t="s">
        <v>90</v>
      </c>
      <c r="R63" s="114"/>
      <c r="S63" s="114"/>
      <c r="T63" s="114"/>
      <c r="U63" s="114"/>
      <c r="V63" s="114"/>
      <c r="W63" s="114"/>
      <c r="X63" s="116">
        <f>_xlfn.XLOOKUP(base_de_datos[[#This Row],[Materia]],Materias,Horas)/16</f>
        <v>4</v>
      </c>
      <c r="Y63" s="116">
        <f>ROUND(((base_de_datos[[#This Row],[Hora fin]]-base_de_datos[[#This Row],[Hora inicio]])*24)*(COUNTA(base_de_datos[[#This Row],[Lunes]:[Sábado]])),1)</f>
        <v>2</v>
      </c>
      <c r="Z63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63" s="117">
        <f ca="1">IF(base_de_datos[[#This Row],[No clase]]=OFFSET(base_de_datos[[#This Row],[No clase]],-1,0),0,1)</f>
        <v>0</v>
      </c>
      <c r="AB63" s="117">
        <f ca="1">IF(NOT(OR(base_de_datos[[#This Row],[Horas totales]]=base_de_datos[[#This Row],[HT Plan]],base_de_datos[[#This Row],[Horas totales]]="N/A")),1,0)</f>
        <v>0</v>
      </c>
      <c r="AC63" s="116" t="str">
        <f>_xlfn.XLOOKUP(base_de_datos[[#This Row],[Profesor]],Nombre,Grado)</f>
        <v>E</v>
      </c>
      <c r="AD63" s="118" t="str">
        <f>_xlfn.XLOOKUP(base_de_datos[[#This Row],[Profesor]],Nombre,Tipo)</f>
        <v>OA</v>
      </c>
      <c r="AE63" s="116">
        <f>IF(IFERROR(VLOOKUP($C63,Planes_de_estudio[],MATCH($AE$2,Carreras,0)+2,0),"")&gt;0,IFERROR(VLOOKUP($C63,Planes_de_estudio[],MATCH($AE$2,Carreras,0)+2,0),""),"")</f>
        <v>8</v>
      </c>
      <c r="AF63" s="116" t="str">
        <f>IF(IFERROR(VLOOKUP($C63,Planes_de_estudio[],MATCH($AF$2,Carreras,0)+2,0),"")&gt;0,IFERROR(VLOOKUP($C63,Planes_de_estudio[],MATCH($AF$2,Carreras,0)+2,0),""),"")</f>
        <v/>
      </c>
      <c r="AG63" s="116" t="str">
        <f>IF(IFERROR(VLOOKUP($C63,Planes_de_estudio[],MATCH($AG$2,Carreras,0)+2,0),"")&gt;0,IFERROR(VLOOKUP($C63,Planes_de_estudio[],MATCH($AG$2,Carreras,0)+2,0),""),"")</f>
        <v/>
      </c>
      <c r="AH63" s="116" t="str">
        <f>IF(IFERROR(VLOOKUP($C63,Planes_de_estudio[],MATCH($AH$2,Carreras,0)+2,0),"")&gt;0,IFERROR(VLOOKUP($C63,Planes_de_estudio[],MATCH($AH$2,Carreras,0)+2,0),""),"")</f>
        <v/>
      </c>
      <c r="AI63" s="116" t="str">
        <f>IF(IFERROR(VLOOKUP($C63,Planes_de_estudio[],MATCH($AI$2,Carreras,0)+2,0),"")&gt;0,IFERROR(VLOOKUP($C63,Planes_de_estudio[],MATCH($AI$2,Carreras,0)+2,0),""),"")</f>
        <v/>
      </c>
      <c r="AJ63" s="116" t="str">
        <f>IF(IFERROR(VLOOKUP($C63,Planes_de_estudio[],MATCH($AJ$2,Carreras,0)+2,0),"")&gt;0,IFERROR(VLOOKUP($C63,Planes_de_estudio[],MATCH($AJ$2,Carreras,0)+2,0),""),"")</f>
        <v/>
      </c>
      <c r="AK63" s="116" t="str">
        <f>IF(IFERROR(VLOOKUP($C63,Planes_de_estudio[],MATCH($AK$2,Carreras,0)+2,0),"")&gt;0,IFERROR(VLOOKUP($C63,Planes_de_estudio[],MATCH($AK$2,Carreras,0)+2,0),""),"")</f>
        <v/>
      </c>
      <c r="AL63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63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22</v>
      </c>
      <c r="AN63" s="117">
        <f>base_de_datos[[#This Row],[Pronóstico]]/25</f>
        <v>0.88</v>
      </c>
      <c r="AO63" s="117" t="str">
        <f>VLOOKUP($C63,Planes_de_estudio[],2)</f>
        <v>DOP</v>
      </c>
      <c r="AP63" s="119" t="str">
        <f ca="1">IF(AND(base_de_datos[[#This Row],[Industrial]]&lt;&gt;"",base_de_datos[[#This Row],[Misma o no]]=1),base_de_datos[[#This Row],[Índice]],"")</f>
        <v/>
      </c>
      <c r="AQ63" s="119" t="str">
        <f ca="1">IF(AND(base_de_datos[[#This Row],[Mecatrónica]]&lt;&gt;"",base_de_datos[[#This Row],[Misma o no]]=1),base_de_datos[[#This Row],[Índice]],"")</f>
        <v/>
      </c>
      <c r="AR63" s="119" t="str">
        <f ca="1">IF(AND(base_de_datos[[#This Row],[Innovación y Diseño]]&lt;&gt;"",base_de_datos[[#This Row],[Misma o no]]=1),base_de_datos[[#This Row],[Índice]],"")</f>
        <v/>
      </c>
      <c r="AS63" s="119" t="str">
        <f ca="1">IF(AND(base_de_datos[[#This Row],[Inteligencia Artificial]]&lt;&gt;"",base_de_datos[[#This Row],[Misma o no]]=1),base_de_datos[[#This Row],[Índice]],"")</f>
        <v/>
      </c>
      <c r="AT63" s="119" t="str">
        <f ca="1">IF(AND(base_de_datos[[#This Row],[Tecnologías Energéticas]]&lt;&gt;"",base_de_datos[[#This Row],[Misma o no]]=1),base_de_datos[[#This Row],[Índice]],"")</f>
        <v/>
      </c>
      <c r="AU63" s="119" t="str">
        <f ca="1">IF(AND(base_de_datos[[#This Row],[Civil y Administración]]&lt;&gt;"",base_de_datos[[#This Row],[Misma o no]]=1),base_de_datos[[#This Row],[Índice]],"")</f>
        <v/>
      </c>
      <c r="AV63" s="119" t="str">
        <f ca="1">IF(AND(base_de_datos[[#This Row],[Bioelectrónica]]&lt;&gt;"",base_de_datos[[#This Row],[Misma o no]]=1),base_de_datos[[#This Row],[Índice]],"")</f>
        <v/>
      </c>
      <c r="AW63" s="120"/>
      <c r="AX63" s="4">
        <v>1</v>
      </c>
    </row>
    <row r="64" spans="2:50" s="6" customFormat="1" ht="13" x14ac:dyDescent="0.3">
      <c r="B64" s="6" t="s">
        <v>231</v>
      </c>
      <c r="C64" s="1" t="s">
        <v>228</v>
      </c>
      <c r="D64" s="4">
        <v>2</v>
      </c>
      <c r="E64" s="113">
        <v>0.375</v>
      </c>
      <c r="F64" s="113">
        <v>0.45833333333333098</v>
      </c>
      <c r="G64" s="4" t="s">
        <v>87</v>
      </c>
      <c r="H64" s="4" t="s">
        <v>229</v>
      </c>
      <c r="I64" s="4"/>
      <c r="J64" s="114">
        <v>17</v>
      </c>
      <c r="K64" s="115"/>
      <c r="L64" s="3"/>
      <c r="M64" s="115"/>
      <c r="N64" s="3"/>
      <c r="O64" s="4" t="s">
        <v>232</v>
      </c>
      <c r="P64" s="114"/>
      <c r="Q64" s="114"/>
      <c r="R64" s="114" t="s">
        <v>90</v>
      </c>
      <c r="S64" s="114"/>
      <c r="T64" s="114"/>
      <c r="U64" s="114"/>
      <c r="V64" s="114"/>
      <c r="W64" s="114"/>
      <c r="X64" s="116">
        <f>_xlfn.XLOOKUP(base_de_datos[[#This Row],[Materia]],Materias,Horas)/16</f>
        <v>4</v>
      </c>
      <c r="Y64" s="116">
        <f>ROUND(((base_de_datos[[#This Row],[Hora fin]]-base_de_datos[[#This Row],[Hora inicio]])*24)*(COUNTA(base_de_datos[[#This Row],[Lunes]:[Sábado]])),1)</f>
        <v>2</v>
      </c>
      <c r="Z64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64" s="117">
        <f ca="1">IF(base_de_datos[[#This Row],[No clase]]=OFFSET(base_de_datos[[#This Row],[No clase]],-1,0),0,1)</f>
        <v>1</v>
      </c>
      <c r="AB64" s="117">
        <f ca="1">IF(NOT(OR(base_de_datos[[#This Row],[Horas totales]]=base_de_datos[[#This Row],[HT Plan]],base_de_datos[[#This Row],[Horas totales]]="N/A")),1,0)</f>
        <v>1</v>
      </c>
      <c r="AC64" s="116" t="str">
        <f>_xlfn.XLOOKUP(base_de_datos[[#This Row],[Profesor]],Nombre,Grado)</f>
        <v>M</v>
      </c>
      <c r="AD64" s="118" t="str">
        <f>_xlfn.XLOOKUP(base_de_datos[[#This Row],[Profesor]],Nombre,Tipo)</f>
        <v>A</v>
      </c>
      <c r="AE64" s="116">
        <f>IF(IFERROR(VLOOKUP($C64,Planes_de_estudio[],MATCH($AE$2,Carreras,0)+2,0),"")&gt;0,IFERROR(VLOOKUP($C64,Planes_de_estudio[],MATCH($AE$2,Carreras,0)+2,0),""),"")</f>
        <v>2</v>
      </c>
      <c r="AF64" s="116">
        <f>IF(IFERROR(VLOOKUP($C64,Planes_de_estudio[],MATCH($AF$2,Carreras,0)+2,0),"")&gt;0,IFERROR(VLOOKUP($C64,Planes_de_estudio[],MATCH($AF$2,Carreras,0)+2,0),""),"")</f>
        <v>5</v>
      </c>
      <c r="AG64" s="116">
        <f>IF(IFERROR(VLOOKUP($C64,Planes_de_estudio[],MATCH($AG$2,Carreras,0)+2,0),"")&gt;0,IFERROR(VLOOKUP($C64,Planes_de_estudio[],MATCH($AG$2,Carreras,0)+2,0),""),"")</f>
        <v>2</v>
      </c>
      <c r="AH64" s="116" t="str">
        <f>IF(IFERROR(VLOOKUP($C64,Planes_de_estudio[],MATCH($AH$2,Carreras,0)+2,0),"")&gt;0,IFERROR(VLOOKUP($C64,Planes_de_estudio[],MATCH($AH$2,Carreras,0)+2,0),""),"")</f>
        <v/>
      </c>
      <c r="AI64" s="116">
        <f>IF(IFERROR(VLOOKUP($C64,Planes_de_estudio[],MATCH($AI$2,Carreras,0)+2,0),"")&gt;0,IFERROR(VLOOKUP($C64,Planes_de_estudio[],MATCH($AI$2,Carreras,0)+2,0),""),"")</f>
        <v>3</v>
      </c>
      <c r="AJ64" s="116" t="str">
        <f>IF(IFERROR(VLOOKUP($C64,Planes_de_estudio[],MATCH($AJ$2,Carreras,0)+2,0),"")&gt;0,IFERROR(VLOOKUP($C64,Planes_de_estudio[],MATCH($AJ$2,Carreras,0)+2,0),""),"")</f>
        <v/>
      </c>
      <c r="AK64" s="116" t="str">
        <f>IF(IFERROR(VLOOKUP($C64,Planes_de_estudio[],MATCH($AK$2,Carreras,0)+2,0),"")&gt;0,IFERROR(VLOOKUP($C64,Planes_de_estudio[],MATCH($AK$2,Carreras,0)+2,0),""),"")</f>
        <v/>
      </c>
      <c r="AL64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64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42</v>
      </c>
      <c r="AN64" s="117">
        <f>base_de_datos[[#This Row],[Pronóstico]]/25</f>
        <v>1.68</v>
      </c>
      <c r="AO64" s="117" t="str">
        <f>VLOOKUP($C64,Planes_de_estudio[],2)</f>
        <v>MEC</v>
      </c>
      <c r="AP64" s="119">
        <f ca="1">IF(AND(base_de_datos[[#This Row],[Industrial]]&lt;&gt;"",base_de_datos[[#This Row],[Misma o no]]=1),base_de_datos[[#This Row],[Índice]],"")</f>
        <v>4</v>
      </c>
      <c r="AQ64" s="119">
        <f ca="1">IF(AND(base_de_datos[[#This Row],[Mecatrónica]]&lt;&gt;"",base_de_datos[[#This Row],[Misma o no]]=1),base_de_datos[[#This Row],[Índice]],"")</f>
        <v>4</v>
      </c>
      <c r="AR64" s="119">
        <f ca="1">IF(AND(base_de_datos[[#This Row],[Innovación y Diseño]]&lt;&gt;"",base_de_datos[[#This Row],[Misma o no]]=1),base_de_datos[[#This Row],[Índice]],"")</f>
        <v>4</v>
      </c>
      <c r="AS64" s="119" t="str">
        <f ca="1">IF(AND(base_de_datos[[#This Row],[Inteligencia Artificial]]&lt;&gt;"",base_de_datos[[#This Row],[Misma o no]]=1),base_de_datos[[#This Row],[Índice]],"")</f>
        <v/>
      </c>
      <c r="AT64" s="119">
        <f ca="1">IF(AND(base_de_datos[[#This Row],[Tecnologías Energéticas]]&lt;&gt;"",base_de_datos[[#This Row],[Misma o no]]=1),base_de_datos[[#This Row],[Índice]],"")</f>
        <v>4</v>
      </c>
      <c r="AU64" s="119" t="str">
        <f ca="1">IF(AND(base_de_datos[[#This Row],[Civil y Administración]]&lt;&gt;"",base_de_datos[[#This Row],[Misma o no]]=1),base_de_datos[[#This Row],[Índice]],"")</f>
        <v/>
      </c>
      <c r="AV64" s="119" t="str">
        <f ca="1">IF(AND(base_de_datos[[#This Row],[Bioelectrónica]]&lt;&gt;"",base_de_datos[[#This Row],[Misma o no]]=1),base_de_datos[[#This Row],[Índice]],"")</f>
        <v/>
      </c>
      <c r="AW64" s="120"/>
      <c r="AX64" s="4" t="s">
        <v>1812</v>
      </c>
    </row>
    <row r="65" spans="2:50" s="6" customFormat="1" ht="13" x14ac:dyDescent="0.3">
      <c r="B65" s="6" t="s">
        <v>196</v>
      </c>
      <c r="C65" s="1" t="s">
        <v>212</v>
      </c>
      <c r="D65" s="4">
        <v>1</v>
      </c>
      <c r="E65" s="113">
        <v>0.375</v>
      </c>
      <c r="F65" s="113">
        <v>0.45833333333333098</v>
      </c>
      <c r="G65" s="4" t="s">
        <v>87</v>
      </c>
      <c r="H65" s="4" t="s">
        <v>125</v>
      </c>
      <c r="I65" s="4"/>
      <c r="J65" s="126">
        <v>10</v>
      </c>
      <c r="K65" s="115"/>
      <c r="L65" s="3"/>
      <c r="M65" s="127"/>
      <c r="N65" s="3"/>
      <c r="O65" s="4">
        <v>7688</v>
      </c>
      <c r="P65" s="114"/>
      <c r="Q65" s="114"/>
      <c r="R65" s="114"/>
      <c r="S65" s="114"/>
      <c r="T65" s="114" t="s">
        <v>90</v>
      </c>
      <c r="U65" s="114"/>
      <c r="V65" s="114"/>
      <c r="W65" s="114"/>
      <c r="X65" s="117">
        <f>_xlfn.XLOOKUP(base_de_datos[[#This Row],[Materia]],Materias,Horas)/16</f>
        <v>4</v>
      </c>
      <c r="Y65" s="117">
        <f>ROUND(((base_de_datos[[#This Row],[Hora fin]]-base_de_datos[[#This Row],[Hora inicio]])*24)*(COUNTA(base_de_datos[[#This Row],[Lunes]:[Sábado]])),1)</f>
        <v>2</v>
      </c>
      <c r="Z65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65" s="117">
        <f ca="1">IF(base_de_datos[[#This Row],[No clase]]=OFFSET(base_de_datos[[#This Row],[No clase]],-1,0),0,1)</f>
        <v>1</v>
      </c>
      <c r="AB65" s="117">
        <f ca="1">IF(NOT(OR(base_de_datos[[#This Row],[Horas totales]]=base_de_datos[[#This Row],[HT Plan]],base_de_datos[[#This Row],[Horas totales]]="N/A")),1,0)</f>
        <v>1</v>
      </c>
      <c r="AC65" s="117" t="str">
        <f>_xlfn.XLOOKUP(base_de_datos[[#This Row],[Profesor]],Nombre,Grado)</f>
        <v>D</v>
      </c>
      <c r="AD65" s="118" t="str">
        <f>_xlfn.XLOOKUP(base_de_datos[[#This Row],[Profesor]],Nombre,Tipo)</f>
        <v>A</v>
      </c>
      <c r="AE65" s="117" t="str">
        <f>IF(IFERROR(VLOOKUP($C65,Planes_de_estudio[],MATCH($AE$2,Carreras,0)+2,0),"")&gt;0,IFERROR(VLOOKUP($C65,Planes_de_estudio[],MATCH($AE$2,Carreras,0)+2,0),""),"")</f>
        <v/>
      </c>
      <c r="AF65" s="117" t="str">
        <f>IF(IFERROR(VLOOKUP($C65,Planes_de_estudio[],MATCH($AF$2,Carreras,0)+2,0),"")&gt;0,IFERROR(VLOOKUP($C65,Planes_de_estudio[],MATCH($AF$2,Carreras,0)+2,0),""),"")</f>
        <v/>
      </c>
      <c r="AG65" s="117" t="str">
        <f>IF(IFERROR(VLOOKUP($C65,Planes_de_estudio[],MATCH($AG$2,Carreras,0)+2,0),"")&gt;0,IFERROR(VLOOKUP($C65,Planes_de_estudio[],MATCH($AG$2,Carreras,0)+2,0),""),"")</f>
        <v/>
      </c>
      <c r="AH65" s="117" t="str">
        <f>IF(IFERROR(VLOOKUP($C65,Planes_de_estudio[],MATCH($AH$2,Carreras,0)+2,0),"")&gt;0,IFERROR(VLOOKUP($C65,Planes_de_estudio[],MATCH($AH$2,Carreras,0)+2,0),""),"")</f>
        <v/>
      </c>
      <c r="AI65" s="117" t="str">
        <f>IF(IFERROR(VLOOKUP($C65,Planes_de_estudio[],MATCH($AI$2,Carreras,0)+2,0),"")&gt;0,IFERROR(VLOOKUP($C65,Planes_de_estudio[],MATCH($AI$2,Carreras,0)+2,0),""),"")</f>
        <v/>
      </c>
      <c r="AJ65" s="117">
        <f>IF(IFERROR(VLOOKUP($C65,Planes_de_estudio[],MATCH($AJ$2,Carreras,0)+2,0),"")&gt;0,IFERROR(VLOOKUP($C65,Planes_de_estudio[],MATCH($AJ$2,Carreras,0)+2,0),""),"")</f>
        <v>4</v>
      </c>
      <c r="AK65" s="117" t="str">
        <f>IF(IFERROR(VLOOKUP($C65,Planes_de_estudio[],MATCH($AK$2,Carreras,0)+2,0),"")&gt;0,IFERROR(VLOOKUP($C65,Planes_de_estudio[],MATCH($AK$2,Carreras,0)+2,0),""),"")</f>
        <v/>
      </c>
      <c r="AL65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65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</v>
      </c>
      <c r="AN65" s="117">
        <f>base_de_datos[[#This Row],[Pronóstico]]/25</f>
        <v>0.44</v>
      </c>
      <c r="AO65" s="117" t="str">
        <f>VLOOKUP($C65,Planes_de_estudio[],2)</f>
        <v>EEC</v>
      </c>
      <c r="AP65" s="119" t="str">
        <f ca="1">IF(AND(base_de_datos[[#This Row],[Industrial]]&lt;&gt;"",base_de_datos[[#This Row],[Misma o no]]=1),base_de_datos[[#This Row],[Índice]],"")</f>
        <v/>
      </c>
      <c r="AQ65" s="119" t="str">
        <f ca="1">IF(AND(base_de_datos[[#This Row],[Mecatrónica]]&lt;&gt;"",base_de_datos[[#This Row],[Misma o no]]=1),base_de_datos[[#This Row],[Índice]],"")</f>
        <v/>
      </c>
      <c r="AR65" s="119" t="str">
        <f ca="1">IF(AND(base_de_datos[[#This Row],[Innovación y Diseño]]&lt;&gt;"",base_de_datos[[#This Row],[Misma o no]]=1),base_de_datos[[#This Row],[Índice]],"")</f>
        <v/>
      </c>
      <c r="AS65" s="119" t="str">
        <f ca="1">IF(AND(base_de_datos[[#This Row],[Inteligencia Artificial]]&lt;&gt;"",base_de_datos[[#This Row],[Misma o no]]=1),base_de_datos[[#This Row],[Índice]],"")</f>
        <v/>
      </c>
      <c r="AT65" s="119" t="str">
        <f ca="1">IF(AND(base_de_datos[[#This Row],[Tecnologías Energéticas]]&lt;&gt;"",base_de_datos[[#This Row],[Misma o no]]=1),base_de_datos[[#This Row],[Índice]],"")</f>
        <v/>
      </c>
      <c r="AU65" s="119">
        <f ca="1">IF(AND(base_de_datos[[#This Row],[Civil y Administración]]&lt;&gt;"",base_de_datos[[#This Row],[Misma o no]]=1),base_de_datos[[#This Row],[Índice]],"")</f>
        <v>6</v>
      </c>
      <c r="AV65" s="119" t="str">
        <f ca="1">IF(AND(base_de_datos[[#This Row],[Bioelectrónica]]&lt;&gt;"",base_de_datos[[#This Row],[Misma o no]]=1),base_de_datos[[#This Row],[Índice]],"")</f>
        <v/>
      </c>
      <c r="AW65" s="120"/>
      <c r="AX65" s="4">
        <v>1</v>
      </c>
    </row>
    <row r="66" spans="2:50" s="6" customFormat="1" ht="13" x14ac:dyDescent="0.3">
      <c r="B66" s="6" t="s">
        <v>231</v>
      </c>
      <c r="C66" s="1" t="s">
        <v>228</v>
      </c>
      <c r="D66" s="4">
        <v>2</v>
      </c>
      <c r="E66" s="113">
        <v>0.29166666666666669</v>
      </c>
      <c r="F66" s="113">
        <v>0.374999999999999</v>
      </c>
      <c r="G66" s="4" t="s">
        <v>87</v>
      </c>
      <c r="H66" s="4" t="s">
        <v>229</v>
      </c>
      <c r="I66" s="4"/>
      <c r="J66" s="114">
        <v>17</v>
      </c>
      <c r="K66" s="115"/>
      <c r="L66" s="3"/>
      <c r="M66" s="115"/>
      <c r="N66" s="3"/>
      <c r="O66" s="4" t="s">
        <v>232</v>
      </c>
      <c r="P66" s="114"/>
      <c r="Q66" s="114"/>
      <c r="R66" s="114"/>
      <c r="S66" s="114"/>
      <c r="T66" s="114" t="s">
        <v>90</v>
      </c>
      <c r="U66" s="114"/>
      <c r="V66" s="114"/>
      <c r="W66" s="114"/>
      <c r="X66" s="116">
        <f>_xlfn.XLOOKUP(base_de_datos[[#This Row],[Materia]],Materias,Horas)/16</f>
        <v>4</v>
      </c>
      <c r="Y66" s="116">
        <f>ROUND(((base_de_datos[[#This Row],[Hora fin]]-base_de_datos[[#This Row],[Hora inicio]])*24)*(COUNTA(base_de_datos[[#This Row],[Lunes]:[Sábado]])),1)</f>
        <v>2</v>
      </c>
      <c r="Z66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66" s="117">
        <f ca="1">IF(base_de_datos[[#This Row],[No clase]]=OFFSET(base_de_datos[[#This Row],[No clase]],-1,0),0,1)</f>
        <v>1</v>
      </c>
      <c r="AB66" s="117">
        <f ca="1">IF(NOT(OR(base_de_datos[[#This Row],[Horas totales]]=base_de_datos[[#This Row],[HT Plan]],base_de_datos[[#This Row],[Horas totales]]="N/A")),1,0)</f>
        <v>1</v>
      </c>
      <c r="AC66" s="116" t="str">
        <f>_xlfn.XLOOKUP(base_de_datos[[#This Row],[Profesor]],Nombre,Grado)</f>
        <v>M</v>
      </c>
      <c r="AD66" s="118" t="str">
        <f>_xlfn.XLOOKUP(base_de_datos[[#This Row],[Profesor]],Nombre,Tipo)</f>
        <v>A</v>
      </c>
      <c r="AE66" s="116">
        <f>IF(IFERROR(VLOOKUP($C66,Planes_de_estudio[],MATCH($AE$2,Carreras,0)+2,0),"")&gt;0,IFERROR(VLOOKUP($C66,Planes_de_estudio[],MATCH($AE$2,Carreras,0)+2,0),""),"")</f>
        <v>2</v>
      </c>
      <c r="AF66" s="116">
        <f>IF(IFERROR(VLOOKUP($C66,Planes_de_estudio[],MATCH($AF$2,Carreras,0)+2,0),"")&gt;0,IFERROR(VLOOKUP($C66,Planes_de_estudio[],MATCH($AF$2,Carreras,0)+2,0),""),"")</f>
        <v>5</v>
      </c>
      <c r="AG66" s="116">
        <f>IF(IFERROR(VLOOKUP($C66,Planes_de_estudio[],MATCH($AG$2,Carreras,0)+2,0),"")&gt;0,IFERROR(VLOOKUP($C66,Planes_de_estudio[],MATCH($AG$2,Carreras,0)+2,0),""),"")</f>
        <v>2</v>
      </c>
      <c r="AH66" s="116" t="str">
        <f>IF(IFERROR(VLOOKUP($C66,Planes_de_estudio[],MATCH($AH$2,Carreras,0)+2,0),"")&gt;0,IFERROR(VLOOKUP($C66,Planes_de_estudio[],MATCH($AH$2,Carreras,0)+2,0),""),"")</f>
        <v/>
      </c>
      <c r="AI66" s="116">
        <f>IF(IFERROR(VLOOKUP($C66,Planes_de_estudio[],MATCH($AI$2,Carreras,0)+2,0),"")&gt;0,IFERROR(VLOOKUP($C66,Planes_de_estudio[],MATCH($AI$2,Carreras,0)+2,0),""),"")</f>
        <v>3</v>
      </c>
      <c r="AJ66" s="116" t="str">
        <f>IF(IFERROR(VLOOKUP($C66,Planes_de_estudio[],MATCH($AJ$2,Carreras,0)+2,0),"")&gt;0,IFERROR(VLOOKUP($C66,Planes_de_estudio[],MATCH($AJ$2,Carreras,0)+2,0),""),"")</f>
        <v/>
      </c>
      <c r="AK66" s="116" t="str">
        <f>IF(IFERROR(VLOOKUP($C66,Planes_de_estudio[],MATCH($AK$2,Carreras,0)+2,0),"")&gt;0,IFERROR(VLOOKUP($C66,Planes_de_estudio[],MATCH($AK$2,Carreras,0)+2,0),""),"")</f>
        <v/>
      </c>
      <c r="AL66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66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42</v>
      </c>
      <c r="AN66" s="117">
        <f>base_de_datos[[#This Row],[Pronóstico]]/25</f>
        <v>1.68</v>
      </c>
      <c r="AO66" s="117" t="str">
        <f>VLOOKUP($C66,Planes_de_estudio[],2)</f>
        <v>MEC</v>
      </c>
      <c r="AP66" s="119">
        <f ca="1">IF(AND(base_de_datos[[#This Row],[Industrial]]&lt;&gt;"",base_de_datos[[#This Row],[Misma o no]]=1),base_de_datos[[#This Row],[Índice]],"")</f>
        <v>4</v>
      </c>
      <c r="AQ66" s="119">
        <f ca="1">IF(AND(base_de_datos[[#This Row],[Mecatrónica]]&lt;&gt;"",base_de_datos[[#This Row],[Misma o no]]=1),base_de_datos[[#This Row],[Índice]],"")</f>
        <v>4</v>
      </c>
      <c r="AR66" s="119">
        <f ca="1">IF(AND(base_de_datos[[#This Row],[Innovación y Diseño]]&lt;&gt;"",base_de_datos[[#This Row],[Misma o no]]=1),base_de_datos[[#This Row],[Índice]],"")</f>
        <v>4</v>
      </c>
      <c r="AS66" s="119" t="str">
        <f ca="1">IF(AND(base_de_datos[[#This Row],[Inteligencia Artificial]]&lt;&gt;"",base_de_datos[[#This Row],[Misma o no]]=1),base_de_datos[[#This Row],[Índice]],"")</f>
        <v/>
      </c>
      <c r="AT66" s="119">
        <f ca="1">IF(AND(base_de_datos[[#This Row],[Tecnologías Energéticas]]&lt;&gt;"",base_de_datos[[#This Row],[Misma o no]]=1),base_de_datos[[#This Row],[Índice]],"")</f>
        <v>4</v>
      </c>
      <c r="AU66" s="119" t="str">
        <f ca="1">IF(AND(base_de_datos[[#This Row],[Civil y Administración]]&lt;&gt;"",base_de_datos[[#This Row],[Misma o no]]=1),base_de_datos[[#This Row],[Índice]],"")</f>
        <v/>
      </c>
      <c r="AV66" s="119" t="str">
        <f ca="1">IF(AND(base_de_datos[[#This Row],[Bioelectrónica]]&lt;&gt;"",base_de_datos[[#This Row],[Misma o no]]=1),base_de_datos[[#This Row],[Índice]],"")</f>
        <v/>
      </c>
      <c r="AW66" s="120"/>
      <c r="AX66" s="4" t="s">
        <v>1812</v>
      </c>
    </row>
    <row r="67" spans="2:50" s="6" customFormat="1" ht="13" x14ac:dyDescent="0.3">
      <c r="B67" s="6" t="s">
        <v>196</v>
      </c>
      <c r="C67" s="1" t="s">
        <v>212</v>
      </c>
      <c r="D67" s="4">
        <v>1</v>
      </c>
      <c r="E67" s="113">
        <v>0.5</v>
      </c>
      <c r="F67" s="113">
        <v>0.58333333333332904</v>
      </c>
      <c r="G67" s="4" t="s">
        <v>87</v>
      </c>
      <c r="H67" s="4" t="s">
        <v>125</v>
      </c>
      <c r="I67" s="4"/>
      <c r="J67" s="126">
        <v>10</v>
      </c>
      <c r="K67" s="115"/>
      <c r="L67" s="3"/>
      <c r="M67" s="127"/>
      <c r="N67" s="3"/>
      <c r="O67" s="4">
        <v>7688</v>
      </c>
      <c r="P67" s="114"/>
      <c r="Q67" s="114"/>
      <c r="R67" s="114"/>
      <c r="S67" s="114"/>
      <c r="T67" s="114" t="s">
        <v>90</v>
      </c>
      <c r="U67" s="114"/>
      <c r="V67" s="114"/>
      <c r="W67" s="114"/>
      <c r="X67" s="117">
        <f>_xlfn.XLOOKUP(base_de_datos[[#This Row],[Materia]],Materias,Horas)/16</f>
        <v>4</v>
      </c>
      <c r="Y67" s="117">
        <f>ROUND(((base_de_datos[[#This Row],[Hora fin]]-base_de_datos[[#This Row],[Hora inicio]])*24)*(COUNTA(base_de_datos[[#This Row],[Lunes]:[Sábado]])),1)</f>
        <v>2</v>
      </c>
      <c r="Z67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67" s="117">
        <f ca="1">IF(base_de_datos[[#This Row],[No clase]]=OFFSET(base_de_datos[[#This Row],[No clase]],-1,0),0,1)</f>
        <v>1</v>
      </c>
      <c r="AB67" s="117">
        <f ca="1">IF(NOT(OR(base_de_datos[[#This Row],[Horas totales]]=base_de_datos[[#This Row],[HT Plan]],base_de_datos[[#This Row],[Horas totales]]="N/A")),1,0)</f>
        <v>1</v>
      </c>
      <c r="AC67" s="117" t="str">
        <f>_xlfn.XLOOKUP(base_de_datos[[#This Row],[Profesor]],Nombre,Grado)</f>
        <v>D</v>
      </c>
      <c r="AD67" s="118" t="str">
        <f>_xlfn.XLOOKUP(base_de_datos[[#This Row],[Profesor]],Nombre,Tipo)</f>
        <v>A</v>
      </c>
      <c r="AE67" s="117" t="str">
        <f>IF(IFERROR(VLOOKUP($C67,Planes_de_estudio[],MATCH($AE$2,Carreras,0)+2,0),"")&gt;0,IFERROR(VLOOKUP($C67,Planes_de_estudio[],MATCH($AE$2,Carreras,0)+2,0),""),"")</f>
        <v/>
      </c>
      <c r="AF67" s="117" t="str">
        <f>IF(IFERROR(VLOOKUP($C67,Planes_de_estudio[],MATCH($AF$2,Carreras,0)+2,0),"")&gt;0,IFERROR(VLOOKUP($C67,Planes_de_estudio[],MATCH($AF$2,Carreras,0)+2,0),""),"")</f>
        <v/>
      </c>
      <c r="AG67" s="117" t="str">
        <f>IF(IFERROR(VLOOKUP($C67,Planes_de_estudio[],MATCH($AG$2,Carreras,0)+2,0),"")&gt;0,IFERROR(VLOOKUP($C67,Planes_de_estudio[],MATCH($AG$2,Carreras,0)+2,0),""),"")</f>
        <v/>
      </c>
      <c r="AH67" s="117" t="str">
        <f>IF(IFERROR(VLOOKUP($C67,Planes_de_estudio[],MATCH($AH$2,Carreras,0)+2,0),"")&gt;0,IFERROR(VLOOKUP($C67,Planes_de_estudio[],MATCH($AH$2,Carreras,0)+2,0),""),"")</f>
        <v/>
      </c>
      <c r="AI67" s="117" t="str">
        <f>IF(IFERROR(VLOOKUP($C67,Planes_de_estudio[],MATCH($AI$2,Carreras,0)+2,0),"")&gt;0,IFERROR(VLOOKUP($C67,Planes_de_estudio[],MATCH($AI$2,Carreras,0)+2,0),""),"")</f>
        <v/>
      </c>
      <c r="AJ67" s="117">
        <f>IF(IFERROR(VLOOKUP($C67,Planes_de_estudio[],MATCH($AJ$2,Carreras,0)+2,0),"")&gt;0,IFERROR(VLOOKUP($C67,Planes_de_estudio[],MATCH($AJ$2,Carreras,0)+2,0),""),"")</f>
        <v>4</v>
      </c>
      <c r="AK67" s="117" t="str">
        <f>IF(IFERROR(VLOOKUP($C67,Planes_de_estudio[],MATCH($AK$2,Carreras,0)+2,0),"")&gt;0,IFERROR(VLOOKUP($C67,Planes_de_estudio[],MATCH($AK$2,Carreras,0)+2,0),""),"")</f>
        <v/>
      </c>
      <c r="AL67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67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</v>
      </c>
      <c r="AN67" s="117">
        <f>base_de_datos[[#This Row],[Pronóstico]]/25</f>
        <v>0.44</v>
      </c>
      <c r="AO67" s="117" t="str">
        <f>VLOOKUP($C67,Planes_de_estudio[],2)</f>
        <v>EEC</v>
      </c>
      <c r="AP67" s="119" t="str">
        <f ca="1">IF(AND(base_de_datos[[#This Row],[Industrial]]&lt;&gt;"",base_de_datos[[#This Row],[Misma o no]]=1),base_de_datos[[#This Row],[Índice]],"")</f>
        <v/>
      </c>
      <c r="AQ67" s="119" t="str">
        <f ca="1">IF(AND(base_de_datos[[#This Row],[Mecatrónica]]&lt;&gt;"",base_de_datos[[#This Row],[Misma o no]]=1),base_de_datos[[#This Row],[Índice]],"")</f>
        <v/>
      </c>
      <c r="AR67" s="119" t="str">
        <f ca="1">IF(AND(base_de_datos[[#This Row],[Innovación y Diseño]]&lt;&gt;"",base_de_datos[[#This Row],[Misma o no]]=1),base_de_datos[[#This Row],[Índice]],"")</f>
        <v/>
      </c>
      <c r="AS67" s="119" t="str">
        <f ca="1">IF(AND(base_de_datos[[#This Row],[Inteligencia Artificial]]&lt;&gt;"",base_de_datos[[#This Row],[Misma o no]]=1),base_de_datos[[#This Row],[Índice]],"")</f>
        <v/>
      </c>
      <c r="AT67" s="119" t="str">
        <f ca="1">IF(AND(base_de_datos[[#This Row],[Tecnologías Energéticas]]&lt;&gt;"",base_de_datos[[#This Row],[Misma o no]]=1),base_de_datos[[#This Row],[Índice]],"")</f>
        <v/>
      </c>
      <c r="AU67" s="119">
        <f ca="1">IF(AND(base_de_datos[[#This Row],[Civil y Administración]]&lt;&gt;"",base_de_datos[[#This Row],[Misma o no]]=1),base_de_datos[[#This Row],[Índice]],"")</f>
        <v>6</v>
      </c>
      <c r="AV67" s="119" t="str">
        <f ca="1">IF(AND(base_de_datos[[#This Row],[Bioelectrónica]]&lt;&gt;"",base_de_datos[[#This Row],[Misma o no]]=1),base_de_datos[[#This Row],[Índice]],"")</f>
        <v/>
      </c>
      <c r="AW67" s="120"/>
      <c r="AX67" s="4">
        <v>1</v>
      </c>
    </row>
    <row r="68" spans="2:50" s="6" customFormat="1" ht="13" x14ac:dyDescent="0.3">
      <c r="B68" s="6" t="s">
        <v>233</v>
      </c>
      <c r="C68" s="1" t="s">
        <v>234</v>
      </c>
      <c r="D68" s="4">
        <v>1</v>
      </c>
      <c r="E68" s="113">
        <v>0.77083333333333304</v>
      </c>
      <c r="F68" s="113">
        <v>0.85416666666665797</v>
      </c>
      <c r="G68" s="4" t="s">
        <v>87</v>
      </c>
      <c r="H68" s="4" t="s">
        <v>235</v>
      </c>
      <c r="I68" s="4"/>
      <c r="J68" s="231">
        <v>9</v>
      </c>
      <c r="K68" s="115"/>
      <c r="L68" s="3"/>
      <c r="M68" s="127"/>
      <c r="N68" s="3"/>
      <c r="O68" s="4" t="s">
        <v>236</v>
      </c>
      <c r="P68" s="114" t="s">
        <v>90</v>
      </c>
      <c r="Q68" s="114"/>
      <c r="R68" s="114" t="s">
        <v>90</v>
      </c>
      <c r="S68" s="114"/>
      <c r="T68" s="114"/>
      <c r="U68" s="114"/>
      <c r="V68" s="114"/>
      <c r="W68" s="114"/>
      <c r="X68" s="117">
        <f>_xlfn.XLOOKUP(base_de_datos[[#This Row],[Materia]],Materias,Horas)/16</f>
        <v>4</v>
      </c>
      <c r="Y68" s="117">
        <f>ROUND(((base_de_datos[[#This Row],[Hora fin]]-base_de_datos[[#This Row],[Hora inicio]])*24)*(COUNTA(base_de_datos[[#This Row],[Lunes]:[Sábado]])),1)</f>
        <v>4</v>
      </c>
      <c r="Z68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68" s="117">
        <f ca="1">IF(base_de_datos[[#This Row],[No clase]]=OFFSET(base_de_datos[[#This Row],[No clase]],-1,0),0,1)</f>
        <v>1</v>
      </c>
      <c r="AB68" s="117">
        <f ca="1">IF(NOT(OR(base_de_datos[[#This Row],[Horas totales]]=base_de_datos[[#This Row],[HT Plan]],base_de_datos[[#This Row],[Horas totales]]="N/A")),1,0)</f>
        <v>0</v>
      </c>
      <c r="AC68" s="117" t="str">
        <f>_xlfn.XLOOKUP(base_de_datos[[#This Row],[Profesor]],Nombre,Grado)</f>
        <v>M</v>
      </c>
      <c r="AD68" s="118" t="str">
        <f>_xlfn.XLOOKUP(base_de_datos[[#This Row],[Profesor]],Nombre,Tipo)</f>
        <v>A</v>
      </c>
      <c r="AE68" s="117" t="str">
        <f>IF(IFERROR(VLOOKUP($C68,Planes_de_estudio[],MATCH($AE$2,Carreras,0)+2,0),"")&gt;0,IFERROR(VLOOKUP($C68,Planes_de_estudio[],MATCH($AE$2,Carreras,0)+2,0),""),"")</f>
        <v/>
      </c>
      <c r="AF68" s="117" t="str">
        <f>IF(IFERROR(VLOOKUP($C68,Planes_de_estudio[],MATCH($AF$2,Carreras,0)+2,0),"")&gt;0,IFERROR(VLOOKUP($C68,Planes_de_estudio[],MATCH($AF$2,Carreras,0)+2,0),""),"")</f>
        <v/>
      </c>
      <c r="AG68" s="117" t="str">
        <f>IF(IFERROR(VLOOKUP($C68,Planes_de_estudio[],MATCH($AG$2,Carreras,0)+2,0),"")&gt;0,IFERROR(VLOOKUP($C68,Planes_de_estudio[],MATCH($AG$2,Carreras,0)+2,0),""),"")</f>
        <v/>
      </c>
      <c r="AH68" s="117" t="str">
        <f>IF(IFERROR(VLOOKUP($C68,Planes_de_estudio[],MATCH($AH$2,Carreras,0)+2,0),"")&gt;0,IFERROR(VLOOKUP($C68,Planes_de_estudio[],MATCH($AH$2,Carreras,0)+2,0),""),"")</f>
        <v/>
      </c>
      <c r="AI68" s="117" t="str">
        <f>IF(IFERROR(VLOOKUP($C68,Planes_de_estudio[],MATCH($AI$2,Carreras,0)+2,0),"")&gt;0,IFERROR(VLOOKUP($C68,Planes_de_estudio[],MATCH($AI$2,Carreras,0)+2,0),""),"")</f>
        <v/>
      </c>
      <c r="AJ68" s="117">
        <f>IF(IFERROR(VLOOKUP($C68,Planes_de_estudio[],MATCH($AJ$2,Carreras,0)+2,0),"")&gt;0,IFERROR(VLOOKUP($C68,Planes_de_estudio[],MATCH($AJ$2,Carreras,0)+2,0),""),"")</f>
        <v>8</v>
      </c>
      <c r="AK68" s="117" t="str">
        <f>IF(IFERROR(VLOOKUP($C68,Planes_de_estudio[],MATCH($AK$2,Carreras,0)+2,0),"")&gt;0,IFERROR(VLOOKUP($C68,Planes_de_estudio[],MATCH($AK$2,Carreras,0)+2,0),""),"")</f>
        <v/>
      </c>
      <c r="AL68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68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14</v>
      </c>
      <c r="AN68" s="117">
        <f>base_de_datos[[#This Row],[Pronóstico]]/25</f>
        <v>0.56000000000000005</v>
      </c>
      <c r="AO68" s="117" t="str">
        <f>VLOOKUP($C68,Planes_de_estudio[],2)</f>
        <v>ESC</v>
      </c>
      <c r="AP68" s="119" t="str">
        <f ca="1">IF(AND(base_de_datos[[#This Row],[Industrial]]&lt;&gt;"",base_de_datos[[#This Row],[Misma o no]]=1),base_de_datos[[#This Row],[Índice]],"")</f>
        <v/>
      </c>
      <c r="AQ68" s="119" t="str">
        <f ca="1">IF(AND(base_de_datos[[#This Row],[Mecatrónica]]&lt;&gt;"",base_de_datos[[#This Row],[Misma o no]]=1),base_de_datos[[#This Row],[Índice]],"")</f>
        <v/>
      </c>
      <c r="AR68" s="119" t="str">
        <f ca="1">IF(AND(base_de_datos[[#This Row],[Innovación y Diseño]]&lt;&gt;"",base_de_datos[[#This Row],[Misma o no]]=1),base_de_datos[[#This Row],[Índice]],"")</f>
        <v/>
      </c>
      <c r="AS68" s="119" t="str">
        <f ca="1">IF(AND(base_de_datos[[#This Row],[Inteligencia Artificial]]&lt;&gt;"",base_de_datos[[#This Row],[Misma o no]]=1),base_de_datos[[#This Row],[Índice]],"")</f>
        <v/>
      </c>
      <c r="AT68" s="119" t="str">
        <f ca="1">IF(AND(base_de_datos[[#This Row],[Tecnologías Energéticas]]&lt;&gt;"",base_de_datos[[#This Row],[Misma o no]]=1),base_de_datos[[#This Row],[Índice]],"")</f>
        <v/>
      </c>
      <c r="AU68" s="119">
        <f ca="1">IF(AND(base_de_datos[[#This Row],[Civil y Administración]]&lt;&gt;"",base_de_datos[[#This Row],[Misma o no]]=1),base_de_datos[[#This Row],[Índice]],"")</f>
        <v>4</v>
      </c>
      <c r="AV68" s="119" t="str">
        <f ca="1">IF(AND(base_de_datos[[#This Row],[Bioelectrónica]]&lt;&gt;"",base_de_datos[[#This Row],[Misma o no]]=1),base_de_datos[[#This Row],[Índice]],"")</f>
        <v/>
      </c>
      <c r="AW68" s="120"/>
      <c r="AX68" s="4">
        <v>3</v>
      </c>
    </row>
    <row r="69" spans="2:50" s="6" customFormat="1" ht="13" x14ac:dyDescent="0.3">
      <c r="B69" s="6" t="s">
        <v>243</v>
      </c>
      <c r="C69" s="1" t="s">
        <v>244</v>
      </c>
      <c r="D69" s="4">
        <v>1</v>
      </c>
      <c r="E69" s="113">
        <v>0.79166666666666696</v>
      </c>
      <c r="F69" s="113">
        <v>0.87499999999999001</v>
      </c>
      <c r="G69" s="4" t="s">
        <v>87</v>
      </c>
      <c r="H69" s="4" t="s">
        <v>106</v>
      </c>
      <c r="I69" s="4"/>
      <c r="J69" s="126">
        <v>12</v>
      </c>
      <c r="K69" s="115"/>
      <c r="L69" s="3"/>
      <c r="M69" s="127"/>
      <c r="N69" s="3"/>
      <c r="O69" s="4" t="s">
        <v>245</v>
      </c>
      <c r="P69" s="114"/>
      <c r="Q69" s="114" t="s">
        <v>90</v>
      </c>
      <c r="R69" s="114"/>
      <c r="S69" s="114"/>
      <c r="T69" s="114" t="s">
        <v>90</v>
      </c>
      <c r="U69" s="114"/>
      <c r="V69" s="114"/>
      <c r="W69" s="114"/>
      <c r="X69" s="117">
        <f>_xlfn.XLOOKUP(base_de_datos[[#This Row],[Materia]],Materias,Horas)/16</f>
        <v>4</v>
      </c>
      <c r="Y69" s="117">
        <f>ROUND(((base_de_datos[[#This Row],[Hora fin]]-base_de_datos[[#This Row],[Hora inicio]])*24)*(COUNTA(base_de_datos[[#This Row],[Lunes]:[Sábado]])),1)</f>
        <v>4</v>
      </c>
      <c r="Z69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69" s="117">
        <f ca="1">IF(base_de_datos[[#This Row],[No clase]]=OFFSET(base_de_datos[[#This Row],[No clase]],-1,0),0,1)</f>
        <v>1</v>
      </c>
      <c r="AB69" s="117">
        <f ca="1">IF(NOT(OR(base_de_datos[[#This Row],[Horas totales]]=base_de_datos[[#This Row],[HT Plan]],base_de_datos[[#This Row],[Horas totales]]="N/A")),1,0)</f>
        <v>0</v>
      </c>
      <c r="AC69" s="117" t="str">
        <f>_xlfn.XLOOKUP(base_de_datos[[#This Row],[Profesor]],Nombre,Grado)</f>
        <v>M</v>
      </c>
      <c r="AD69" s="118" t="str">
        <f>_xlfn.XLOOKUP(base_de_datos[[#This Row],[Profesor]],Nombre,Tipo)</f>
        <v>A</v>
      </c>
      <c r="AE69" s="117" t="str">
        <f>IF(IFERROR(VLOOKUP($C69,Planes_de_estudio[],MATCH($AE$2,Carreras,0)+2,0),"")&gt;0,IFERROR(VLOOKUP($C69,Planes_de_estudio[],MATCH($AE$2,Carreras,0)+2,0),""),"")</f>
        <v/>
      </c>
      <c r="AF69" s="117">
        <f>IF(IFERROR(VLOOKUP($C69,Planes_de_estudio[],MATCH($AF$2,Carreras,0)+2,0),"")&gt;0,IFERROR(VLOOKUP($C69,Planes_de_estudio[],MATCH($AF$2,Carreras,0)+2,0),""),"")</f>
        <v>8</v>
      </c>
      <c r="AG69" s="117" t="str">
        <f>IF(IFERROR(VLOOKUP($C69,Planes_de_estudio[],MATCH($AG$2,Carreras,0)+2,0),"")&gt;0,IFERROR(VLOOKUP($C69,Planes_de_estudio[],MATCH($AG$2,Carreras,0)+2,0),""),"")</f>
        <v/>
      </c>
      <c r="AH69" s="117" t="str">
        <f>IF(IFERROR(VLOOKUP($C69,Planes_de_estudio[],MATCH($AH$2,Carreras,0)+2,0),"")&gt;0,IFERROR(VLOOKUP($C69,Planes_de_estudio[],MATCH($AH$2,Carreras,0)+2,0),""),"")</f>
        <v/>
      </c>
      <c r="AI69" s="117" t="str">
        <f>IF(IFERROR(VLOOKUP($C69,Planes_de_estudio[],MATCH($AI$2,Carreras,0)+2,0),"")&gt;0,IFERROR(VLOOKUP($C69,Planes_de_estudio[],MATCH($AI$2,Carreras,0)+2,0),""),"")</f>
        <v/>
      </c>
      <c r="AJ69" s="117" t="str">
        <f>IF(IFERROR(VLOOKUP($C69,Planes_de_estudio[],MATCH($AJ$2,Carreras,0)+2,0),"")&gt;0,IFERROR(VLOOKUP($C69,Planes_de_estudio[],MATCH($AJ$2,Carreras,0)+2,0),""),"")</f>
        <v/>
      </c>
      <c r="AK69" s="117" t="str">
        <f>IF(IFERROR(VLOOKUP($C69,Planes_de_estudio[],MATCH($AK$2,Carreras,0)+2,0),"")&gt;0,IFERROR(VLOOKUP($C69,Planes_de_estudio[],MATCH($AK$2,Carreras,0)+2,0),""),"")</f>
        <v/>
      </c>
      <c r="AL69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69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16</v>
      </c>
      <c r="AN69" s="117">
        <f>base_de_datos[[#This Row],[Pronóstico]]/25</f>
        <v>0.64</v>
      </c>
      <c r="AO69" s="117" t="str">
        <f>VLOOKUP($C69,Planes_de_estudio[],2)</f>
        <v>MEC</v>
      </c>
      <c r="AP69" s="119" t="str">
        <f ca="1">IF(AND(base_de_datos[[#This Row],[Industrial]]&lt;&gt;"",base_de_datos[[#This Row],[Misma o no]]=1),base_de_datos[[#This Row],[Índice]],"")</f>
        <v/>
      </c>
      <c r="AQ69" s="119">
        <f ca="1">IF(AND(base_de_datos[[#This Row],[Mecatrónica]]&lt;&gt;"",base_de_datos[[#This Row],[Misma o no]]=1),base_de_datos[[#This Row],[Índice]],"")</f>
        <v>4</v>
      </c>
      <c r="AR69" s="119" t="str">
        <f ca="1">IF(AND(base_de_datos[[#This Row],[Innovación y Diseño]]&lt;&gt;"",base_de_datos[[#This Row],[Misma o no]]=1),base_de_datos[[#This Row],[Índice]],"")</f>
        <v/>
      </c>
      <c r="AS69" s="119" t="str">
        <f ca="1">IF(AND(base_de_datos[[#This Row],[Inteligencia Artificial]]&lt;&gt;"",base_de_datos[[#This Row],[Misma o no]]=1),base_de_datos[[#This Row],[Índice]],"")</f>
        <v/>
      </c>
      <c r="AT69" s="119" t="str">
        <f ca="1">IF(AND(base_de_datos[[#This Row],[Tecnologías Energéticas]]&lt;&gt;"",base_de_datos[[#This Row],[Misma o no]]=1),base_de_datos[[#This Row],[Índice]],"")</f>
        <v/>
      </c>
      <c r="AU69" s="119" t="str">
        <f ca="1">IF(AND(base_de_datos[[#This Row],[Civil y Administración]]&lt;&gt;"",base_de_datos[[#This Row],[Misma o no]]=1),base_de_datos[[#This Row],[Índice]],"")</f>
        <v/>
      </c>
      <c r="AV69" s="119" t="str">
        <f ca="1">IF(AND(base_de_datos[[#This Row],[Bioelectrónica]]&lt;&gt;"",base_de_datos[[#This Row],[Misma o no]]=1),base_de_datos[[#This Row],[Índice]],"")</f>
        <v/>
      </c>
      <c r="AW69" s="120"/>
      <c r="AX69" s="4">
        <v>3</v>
      </c>
    </row>
    <row r="70" spans="2:50" s="6" customFormat="1" ht="13" x14ac:dyDescent="0.3">
      <c r="B70" s="6" t="s">
        <v>249</v>
      </c>
      <c r="C70" s="1" t="s">
        <v>250</v>
      </c>
      <c r="D70" s="4"/>
      <c r="E70" s="113">
        <v>0.60416666666666696</v>
      </c>
      <c r="F70" s="113">
        <v>0.70833333333332704</v>
      </c>
      <c r="G70" s="4" t="s">
        <v>87</v>
      </c>
      <c r="H70" s="4" t="s">
        <v>102</v>
      </c>
      <c r="I70" s="4"/>
      <c r="J70" s="231">
        <v>5</v>
      </c>
      <c r="K70" s="115"/>
      <c r="L70" s="3"/>
      <c r="M70" s="127"/>
      <c r="N70" s="3"/>
      <c r="O70" s="4" t="s">
        <v>251</v>
      </c>
      <c r="P70" s="114" t="s">
        <v>90</v>
      </c>
      <c r="Q70" s="114"/>
      <c r="R70" s="114" t="s">
        <v>90</v>
      </c>
      <c r="S70" s="114"/>
      <c r="T70" s="114"/>
      <c r="U70" s="114"/>
      <c r="V70" s="114"/>
      <c r="W70" s="114"/>
      <c r="X70" s="117">
        <f>_xlfn.XLOOKUP(base_de_datos[[#This Row],[Materia]],Materias,Horas)/16</f>
        <v>5</v>
      </c>
      <c r="Y70" s="117">
        <f>ROUND(((base_de_datos[[#This Row],[Hora fin]]-base_de_datos[[#This Row],[Hora inicio]])*24)*(COUNTA(base_de_datos[[#This Row],[Lunes]:[Sábado]])),1)</f>
        <v>5</v>
      </c>
      <c r="Z70" s="117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70" s="117">
        <f ca="1">IF(base_de_datos[[#This Row],[No clase]]=OFFSET(base_de_datos[[#This Row],[No clase]],-1,0),0,1)</f>
        <v>1</v>
      </c>
      <c r="AB70" s="117">
        <f ca="1">IF(NOT(OR(base_de_datos[[#This Row],[Horas totales]]=base_de_datos[[#This Row],[HT Plan]],base_de_datos[[#This Row],[Horas totales]]="N/A")),1,0)</f>
        <v>0</v>
      </c>
      <c r="AC70" s="117" t="str">
        <f>_xlfn.XLOOKUP(base_de_datos[[#This Row],[Profesor]],Nombre,Grado)</f>
        <v>L</v>
      </c>
      <c r="AD70" s="118" t="str">
        <f>_xlfn.XLOOKUP(base_de_datos[[#This Row],[Profesor]],Nombre,Tipo)</f>
        <v>A</v>
      </c>
      <c r="AE70" s="117" t="str">
        <f>IF(IFERROR(VLOOKUP($C70,Planes_de_estudio[],MATCH($AE$2,Carreras,0)+2,0),"")&gt;0,IFERROR(VLOOKUP($C70,Planes_de_estudio[],MATCH($AE$2,Carreras,0)+2,0),""),"")</f>
        <v/>
      </c>
      <c r="AF70" s="117" t="str">
        <f>IF(IFERROR(VLOOKUP($C70,Planes_de_estudio[],MATCH($AF$2,Carreras,0)+2,0),"")&gt;0,IFERROR(VLOOKUP($C70,Planes_de_estudio[],MATCH($AF$2,Carreras,0)+2,0),""),"")</f>
        <v/>
      </c>
      <c r="AG70" s="117" t="str">
        <f>IF(IFERROR(VLOOKUP($C70,Planes_de_estudio[],MATCH($AG$2,Carreras,0)+2,0),"")&gt;0,IFERROR(VLOOKUP($C70,Planes_de_estudio[],MATCH($AG$2,Carreras,0)+2,0),""),"")</f>
        <v/>
      </c>
      <c r="AH70" s="117" t="str">
        <f>IF(IFERROR(VLOOKUP($C70,Planes_de_estudio[],MATCH($AH$2,Carreras,0)+2,0),"")&gt;0,IFERROR(VLOOKUP($C70,Planes_de_estudio[],MATCH($AH$2,Carreras,0)+2,0),""),"")</f>
        <v/>
      </c>
      <c r="AI70" s="117">
        <f>IF(IFERROR(VLOOKUP($C70,Planes_de_estudio[],MATCH($AI$2,Carreras,0)+2,0),"")&gt;0,IFERROR(VLOOKUP($C70,Planes_de_estudio[],MATCH($AI$2,Carreras,0)+2,0),""),"")</f>
        <v>8</v>
      </c>
      <c r="AJ70" s="117" t="str">
        <f>IF(IFERROR(VLOOKUP($C70,Planes_de_estudio[],MATCH($AJ$2,Carreras,0)+2,0),"")&gt;0,IFERROR(VLOOKUP($C70,Planes_de_estudio[],MATCH($AJ$2,Carreras,0)+2,0),""),"")</f>
        <v/>
      </c>
      <c r="AK70" s="117" t="str">
        <f>IF(IFERROR(VLOOKUP($C70,Planes_de_estudio[],MATCH($AK$2,Carreras,0)+2,0),"")&gt;0,IFERROR(VLOOKUP($C70,Planes_de_estudio[],MATCH($AK$2,Carreras,0)+2,0),""),"")</f>
        <v/>
      </c>
      <c r="AL70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70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9</v>
      </c>
      <c r="AN70" s="117">
        <f>base_de_datos[[#This Row],[Pronóstico]]/25</f>
        <v>0.36</v>
      </c>
      <c r="AO70" s="117" t="str">
        <f>VLOOKUP($C70,Planes_de_estudio[],2)</f>
        <v>ETF</v>
      </c>
      <c r="AP70" s="119" t="str">
        <f ca="1">IF(AND(base_de_datos[[#This Row],[Industrial]]&lt;&gt;"",base_de_datos[[#This Row],[Misma o no]]=1),base_de_datos[[#This Row],[Índice]],"")</f>
        <v/>
      </c>
      <c r="AQ70" s="119" t="str">
        <f ca="1">IF(AND(base_de_datos[[#This Row],[Mecatrónica]]&lt;&gt;"",base_de_datos[[#This Row],[Misma o no]]=1),base_de_datos[[#This Row],[Índice]],"")</f>
        <v/>
      </c>
      <c r="AR70" s="119" t="str">
        <f ca="1">IF(AND(base_de_datos[[#This Row],[Innovación y Diseño]]&lt;&gt;"",base_de_datos[[#This Row],[Misma o no]]=1),base_de_datos[[#This Row],[Índice]],"")</f>
        <v/>
      </c>
      <c r="AS70" s="119" t="str">
        <f ca="1">IF(AND(base_de_datos[[#This Row],[Inteligencia Artificial]]&lt;&gt;"",base_de_datos[[#This Row],[Misma o no]]=1),base_de_datos[[#This Row],[Índice]],"")</f>
        <v/>
      </c>
      <c r="AT70" s="119">
        <f ca="1">IF(AND(base_de_datos[[#This Row],[Tecnologías Energéticas]]&lt;&gt;"",base_de_datos[[#This Row],[Misma o no]]=1),base_de_datos[[#This Row],[Índice]],"")</f>
        <v>1</v>
      </c>
      <c r="AU70" s="119" t="str">
        <f ca="1">IF(AND(base_de_datos[[#This Row],[Civil y Administración]]&lt;&gt;"",base_de_datos[[#This Row],[Misma o no]]=1),base_de_datos[[#This Row],[Índice]],"")</f>
        <v/>
      </c>
      <c r="AV70" s="119" t="str">
        <f ca="1">IF(AND(base_de_datos[[#This Row],[Bioelectrónica]]&lt;&gt;"",base_de_datos[[#This Row],[Misma o no]]=1),base_de_datos[[#This Row],[Índice]],"")</f>
        <v/>
      </c>
      <c r="AW70" s="120"/>
      <c r="AX70" s="4">
        <v>2</v>
      </c>
    </row>
    <row r="71" spans="2:50" s="6" customFormat="1" ht="13" x14ac:dyDescent="0.3">
      <c r="B71" s="9" t="s">
        <v>216</v>
      </c>
      <c r="C71" s="1" t="s">
        <v>255</v>
      </c>
      <c r="D71" s="4">
        <v>2</v>
      </c>
      <c r="E71" s="113">
        <v>0.39583333333333398</v>
      </c>
      <c r="F71" s="113">
        <v>0.45833333333333098</v>
      </c>
      <c r="G71" s="226" t="s">
        <v>92</v>
      </c>
      <c r="H71" s="4" t="s">
        <v>256</v>
      </c>
      <c r="I71" s="4"/>
      <c r="J71" s="199">
        <v>24</v>
      </c>
      <c r="K71" s="115"/>
      <c r="L71" s="3"/>
      <c r="M71" s="127"/>
      <c r="N71" s="3"/>
      <c r="O71" s="4" t="s">
        <v>257</v>
      </c>
      <c r="P71" s="114" t="s">
        <v>90</v>
      </c>
      <c r="Q71" s="114"/>
      <c r="R71" s="114"/>
      <c r="S71" s="114"/>
      <c r="T71" s="114"/>
      <c r="U71" s="114"/>
      <c r="V71" s="114"/>
      <c r="W71" s="114"/>
      <c r="X71" s="117">
        <f>_xlfn.XLOOKUP(base_de_datos[[#This Row],[Materia]],Materias,Horas)/16</f>
        <v>3</v>
      </c>
      <c r="Y71" s="117">
        <f>ROUND(((base_de_datos[[#This Row],[Hora fin]]-base_de_datos[[#This Row],[Hora inicio]])*24)*(COUNTA(base_de_datos[[#This Row],[Lunes]:[Sábado]])),1)</f>
        <v>1.5</v>
      </c>
      <c r="Z71" s="117">
        <f ca="1">IF(base_de_datos[[#This Row],[Misma o no]]=0,"N/A",IF((OFFSET(base_de_datos[[#This Row],[Misma o no]],1,0))=0,base_de_datos[[#This Row],[Horas]]+(OFFSET(base_de_datos[[#This Row],[Horas]],1,0)),base_de_datos[[#This Row],[Horas]]))</f>
        <v>1.5</v>
      </c>
      <c r="AA71" s="117">
        <f ca="1">IF(base_de_datos[[#This Row],[No clase]]=OFFSET(base_de_datos[[#This Row],[No clase]],-1,0),0,1)</f>
        <v>1</v>
      </c>
      <c r="AB71" s="117">
        <f ca="1">IF(NOT(OR(base_de_datos[[#This Row],[Horas totales]]=base_de_datos[[#This Row],[HT Plan]],base_de_datos[[#This Row],[Horas totales]]="N/A")),1,0)</f>
        <v>1</v>
      </c>
      <c r="AC71" s="117" t="str">
        <f>_xlfn.XLOOKUP(base_de_datos[[#This Row],[Profesor]],Nombre,Grado)</f>
        <v>SNI</v>
      </c>
      <c r="AD71" s="118" t="str">
        <f>_xlfn.XLOOKUP(base_de_datos[[#This Row],[Profesor]],Nombre,Tipo)</f>
        <v>TC</v>
      </c>
      <c r="AE71" s="117">
        <f>IF(IFERROR(VLOOKUP($C71,Planes_de_estudio[],MATCH($AE$2,Carreras,0)+2,0),"")&gt;0,IFERROR(VLOOKUP($C71,Planes_de_estudio[],MATCH($AE$2,Carreras,0)+2,0),""),"")</f>
        <v>3</v>
      </c>
      <c r="AF71" s="117">
        <f>IF(IFERROR(VLOOKUP($C71,Planes_de_estudio[],MATCH($AF$2,Carreras,0)+2,0),"")&gt;0,IFERROR(VLOOKUP($C71,Planes_de_estudio[],MATCH($AF$2,Carreras,0)+2,0),""),"")</f>
        <v>3</v>
      </c>
      <c r="AG71" s="117" t="str">
        <f>IF(IFERROR(VLOOKUP($C71,Planes_de_estudio[],MATCH($AG$2,Carreras,0)+2,0),"")&gt;0,IFERROR(VLOOKUP($C71,Planes_de_estudio[],MATCH($AG$2,Carreras,0)+2,0),""),"")</f>
        <v/>
      </c>
      <c r="AH71" s="117">
        <f>IF(IFERROR(VLOOKUP($C71,Planes_de_estudio[],MATCH($AH$2,Carreras,0)+2,0),"")&gt;0,IFERROR(VLOOKUP($C71,Planes_de_estudio[],MATCH($AH$2,Carreras,0)+2,0),""),"")</f>
        <v>4</v>
      </c>
      <c r="AI71" s="117">
        <f>IF(IFERROR(VLOOKUP($C71,Planes_de_estudio[],MATCH($AI$2,Carreras,0)+2,0),"")&gt;0,IFERROR(VLOOKUP($C71,Planes_de_estudio[],MATCH($AI$2,Carreras,0)+2,0),""),"")</f>
        <v>4</v>
      </c>
      <c r="AJ71" s="117">
        <f>IF(IFERROR(VLOOKUP($C71,Planes_de_estudio[],MATCH($AJ$2,Carreras,0)+2,0),"")&gt;0,IFERROR(VLOOKUP($C71,Planes_de_estudio[],MATCH($AJ$2,Carreras,0)+2,0),""),"")</f>
        <v>4</v>
      </c>
      <c r="AK71" s="117">
        <f>IF(IFERROR(VLOOKUP($C71,Planes_de_estudio[],MATCH($AK$2,Carreras,0)+2,0),"")&gt;0,IFERROR(VLOOKUP($C71,Planes_de_estudio[],MATCH($AK$2,Carreras,0)+2,0),""),"")</f>
        <v>3</v>
      </c>
      <c r="AL71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71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47</v>
      </c>
      <c r="AN71" s="117">
        <f>base_de_datos[[#This Row],[Pronóstico]]/25</f>
        <v>1.88</v>
      </c>
      <c r="AO71" s="117" t="str">
        <f>VLOOKUP($C71,Planes_de_estudio[],2)</f>
        <v>MAT</v>
      </c>
      <c r="AP71" s="119">
        <f ca="1">IF(AND(base_de_datos[[#This Row],[Industrial]]&lt;&gt;"",base_de_datos[[#This Row],[Misma o no]]=1),base_de_datos[[#This Row],[Índice]],"")</f>
        <v>6</v>
      </c>
      <c r="AQ71" s="119">
        <f ca="1">IF(AND(base_de_datos[[#This Row],[Mecatrónica]]&lt;&gt;"",base_de_datos[[#This Row],[Misma o no]]=1),base_de_datos[[#This Row],[Índice]],"")</f>
        <v>6</v>
      </c>
      <c r="AR71" s="119" t="str">
        <f ca="1">IF(AND(base_de_datos[[#This Row],[Innovación y Diseño]]&lt;&gt;"",base_de_datos[[#This Row],[Misma o no]]=1),base_de_datos[[#This Row],[Índice]],"")</f>
        <v/>
      </c>
      <c r="AS71" s="119">
        <f ca="1">IF(AND(base_de_datos[[#This Row],[Inteligencia Artificial]]&lt;&gt;"",base_de_datos[[#This Row],[Misma o no]]=1),base_de_datos[[#This Row],[Índice]],"")</f>
        <v>6</v>
      </c>
      <c r="AT71" s="119">
        <f ca="1">IF(AND(base_de_datos[[#This Row],[Tecnologías Energéticas]]&lt;&gt;"",base_de_datos[[#This Row],[Misma o no]]=1),base_de_datos[[#This Row],[Índice]],"")</f>
        <v>6</v>
      </c>
      <c r="AU71" s="119">
        <f ca="1">IF(AND(base_de_datos[[#This Row],[Civil y Administración]]&lt;&gt;"",base_de_datos[[#This Row],[Misma o no]]=1),base_de_datos[[#This Row],[Índice]],"")</f>
        <v>6</v>
      </c>
      <c r="AV71" s="119">
        <f ca="1">IF(AND(base_de_datos[[#This Row],[Bioelectrónica]]&lt;&gt;"",base_de_datos[[#This Row],[Misma o no]]=1),base_de_datos[[#This Row],[Índice]],"")</f>
        <v>6</v>
      </c>
      <c r="AW71" s="120"/>
      <c r="AX71" s="4" t="s">
        <v>1809</v>
      </c>
    </row>
    <row r="72" spans="2:50" s="6" customFormat="1" ht="13" x14ac:dyDescent="0.3">
      <c r="B72" s="6" t="s">
        <v>130</v>
      </c>
      <c r="C72" s="1" t="s">
        <v>237</v>
      </c>
      <c r="D72" s="4">
        <v>1</v>
      </c>
      <c r="E72" s="113">
        <v>0.625</v>
      </c>
      <c r="F72" s="113">
        <v>0.70833333333332704</v>
      </c>
      <c r="G72" s="4" t="s">
        <v>87</v>
      </c>
      <c r="H72" s="4" t="s">
        <v>238</v>
      </c>
      <c r="I72" s="4"/>
      <c r="J72" s="231">
        <v>9</v>
      </c>
      <c r="K72" s="115"/>
      <c r="L72" s="3"/>
      <c r="M72" s="127"/>
      <c r="N72" s="3"/>
      <c r="O72" s="4" t="s">
        <v>239</v>
      </c>
      <c r="P72" s="114"/>
      <c r="Q72" s="114" t="s">
        <v>90</v>
      </c>
      <c r="R72" s="114"/>
      <c r="S72" s="114" t="s">
        <v>90</v>
      </c>
      <c r="T72" s="114"/>
      <c r="U72" s="114"/>
      <c r="V72" s="114"/>
      <c r="W72" s="114"/>
      <c r="X72" s="117">
        <f>_xlfn.XLOOKUP(base_de_datos[[#This Row],[Materia]],Materias,Horas)/16</f>
        <v>4</v>
      </c>
      <c r="Y72" s="117">
        <f>ROUND(((base_de_datos[[#This Row],[Hora fin]]-base_de_datos[[#This Row],[Hora inicio]])*24)*(COUNTA(base_de_datos[[#This Row],[Lunes]:[Sábado]])),1)</f>
        <v>4</v>
      </c>
      <c r="Z72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72" s="117">
        <f ca="1">IF(base_de_datos[[#This Row],[No clase]]=OFFSET(base_de_datos[[#This Row],[No clase]],-1,0),0,1)</f>
        <v>1</v>
      </c>
      <c r="AB72" s="117">
        <f ca="1">IF(NOT(OR(base_de_datos[[#This Row],[Horas totales]]=base_de_datos[[#This Row],[HT Plan]],base_de_datos[[#This Row],[Horas totales]]="N/A")),1,0)</f>
        <v>0</v>
      </c>
      <c r="AC72" s="117" t="str">
        <f>_xlfn.XLOOKUP(base_de_datos[[#This Row],[Profesor]],Nombre,Grado)</f>
        <v>M</v>
      </c>
      <c r="AD72" s="118" t="str">
        <f>_xlfn.XLOOKUP(base_de_datos[[#This Row],[Profesor]],Nombre,Tipo)</f>
        <v>A</v>
      </c>
      <c r="AE72" s="117" t="str">
        <f>IF(IFERROR(VLOOKUP($C72,Planes_de_estudio[],MATCH($AE$2,Carreras,0)+2,0),"")&gt;0,IFERROR(VLOOKUP($C72,Planes_de_estudio[],MATCH($AE$2,Carreras,0)+2,0),""),"")</f>
        <v/>
      </c>
      <c r="AF72" s="117" t="str">
        <f>IF(IFERROR(VLOOKUP($C72,Planes_de_estudio[],MATCH($AF$2,Carreras,0)+2,0),"")&gt;0,IFERROR(VLOOKUP($C72,Planes_de_estudio[],MATCH($AF$2,Carreras,0)+2,0),""),"")</f>
        <v/>
      </c>
      <c r="AG72" s="117" t="str">
        <f>IF(IFERROR(VLOOKUP($C72,Planes_de_estudio[],MATCH($AG$2,Carreras,0)+2,0),"")&gt;0,IFERROR(VLOOKUP($C72,Planes_de_estudio[],MATCH($AG$2,Carreras,0)+2,0),""),"")</f>
        <v/>
      </c>
      <c r="AH72" s="117" t="str">
        <f>IF(IFERROR(VLOOKUP($C72,Planes_de_estudio[],MATCH($AH$2,Carreras,0)+2,0),"")&gt;0,IFERROR(VLOOKUP($C72,Planes_de_estudio[],MATCH($AH$2,Carreras,0)+2,0),""),"")</f>
        <v/>
      </c>
      <c r="AI72" s="117" t="str">
        <f>IF(IFERROR(VLOOKUP($C72,Planes_de_estudio[],MATCH($AI$2,Carreras,0)+2,0),"")&gt;0,IFERROR(VLOOKUP($C72,Planes_de_estudio[],MATCH($AI$2,Carreras,0)+2,0),""),"")</f>
        <v/>
      </c>
      <c r="AJ72" s="117">
        <f>IF(IFERROR(VLOOKUP($C72,Planes_de_estudio[],MATCH($AJ$2,Carreras,0)+2,0),"")&gt;0,IFERROR(VLOOKUP($C72,Planes_de_estudio[],MATCH($AJ$2,Carreras,0)+2,0),""),"")</f>
        <v>8</v>
      </c>
      <c r="AK72" s="117" t="str">
        <f>IF(IFERROR(VLOOKUP($C72,Planes_de_estudio[],MATCH($AK$2,Carreras,0)+2,0),"")&gt;0,IFERROR(VLOOKUP($C72,Planes_de_estudio[],MATCH($AK$2,Carreras,0)+2,0),""),"")</f>
        <v/>
      </c>
      <c r="AL72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72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14</v>
      </c>
      <c r="AN72" s="117">
        <f>base_de_datos[[#This Row],[Pronóstico]]/25</f>
        <v>0.56000000000000005</v>
      </c>
      <c r="AO72" s="117" t="str">
        <f>VLOOKUP($C72,Planes_de_estudio[],2)</f>
        <v>ESC</v>
      </c>
      <c r="AP72" s="119" t="str">
        <f ca="1">IF(AND(base_de_datos[[#This Row],[Industrial]]&lt;&gt;"",base_de_datos[[#This Row],[Misma o no]]=1),base_de_datos[[#This Row],[Índice]],"")</f>
        <v/>
      </c>
      <c r="AQ72" s="119" t="str">
        <f ca="1">IF(AND(base_de_datos[[#This Row],[Mecatrónica]]&lt;&gt;"",base_de_datos[[#This Row],[Misma o no]]=1),base_de_datos[[#This Row],[Índice]],"")</f>
        <v/>
      </c>
      <c r="AR72" s="119" t="str">
        <f ca="1">IF(AND(base_de_datos[[#This Row],[Innovación y Diseño]]&lt;&gt;"",base_de_datos[[#This Row],[Misma o no]]=1),base_de_datos[[#This Row],[Índice]],"")</f>
        <v/>
      </c>
      <c r="AS72" s="119" t="str">
        <f ca="1">IF(AND(base_de_datos[[#This Row],[Inteligencia Artificial]]&lt;&gt;"",base_de_datos[[#This Row],[Misma o no]]=1),base_de_datos[[#This Row],[Índice]],"")</f>
        <v/>
      </c>
      <c r="AT72" s="119" t="str">
        <f ca="1">IF(AND(base_de_datos[[#This Row],[Tecnologías Energéticas]]&lt;&gt;"",base_de_datos[[#This Row],[Misma o no]]=1),base_de_datos[[#This Row],[Índice]],"")</f>
        <v/>
      </c>
      <c r="AU72" s="119">
        <f ca="1">IF(AND(base_de_datos[[#This Row],[Civil y Administración]]&lt;&gt;"",base_de_datos[[#This Row],[Misma o no]]=1),base_de_datos[[#This Row],[Índice]],"")</f>
        <v>4</v>
      </c>
      <c r="AV72" s="119" t="str">
        <f ca="1">IF(AND(base_de_datos[[#This Row],[Bioelectrónica]]&lt;&gt;"",base_de_datos[[#This Row],[Misma o no]]=1),base_de_datos[[#This Row],[Índice]],"")</f>
        <v/>
      </c>
      <c r="AW72" s="120"/>
      <c r="AX72" s="4">
        <v>3</v>
      </c>
    </row>
    <row r="73" spans="2:50" s="6" customFormat="1" ht="13" x14ac:dyDescent="0.3">
      <c r="B73" s="6" t="s">
        <v>246</v>
      </c>
      <c r="C73" s="1" t="s">
        <v>247</v>
      </c>
      <c r="D73" s="4">
        <v>1</v>
      </c>
      <c r="E73" s="113">
        <v>0.77083333333333304</v>
      </c>
      <c r="F73" s="113">
        <v>0.85416666666665797</v>
      </c>
      <c r="G73" s="4" t="s">
        <v>87</v>
      </c>
      <c r="H73" s="4" t="s">
        <v>133</v>
      </c>
      <c r="I73" s="4"/>
      <c r="J73" s="231">
        <v>10</v>
      </c>
      <c r="K73" s="115"/>
      <c r="L73" s="3"/>
      <c r="M73" s="127"/>
      <c r="N73" s="3"/>
      <c r="O73" s="4">
        <v>2973</v>
      </c>
      <c r="P73" s="114"/>
      <c r="Q73" s="114" t="s">
        <v>90</v>
      </c>
      <c r="R73" s="114"/>
      <c r="S73" s="114"/>
      <c r="T73" s="114"/>
      <c r="U73" s="114"/>
      <c r="V73" s="114"/>
      <c r="W73" s="114"/>
      <c r="X73" s="117">
        <f>_xlfn.XLOOKUP(base_de_datos[[#This Row],[Materia]],Materias,Horas)/16</f>
        <v>4</v>
      </c>
      <c r="Y73" s="117">
        <f>ROUND(((base_de_datos[[#This Row],[Hora fin]]-base_de_datos[[#This Row],[Hora inicio]])*24)*(COUNTA(base_de_datos[[#This Row],[Lunes]:[Sábado]])),1)</f>
        <v>2</v>
      </c>
      <c r="Z73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73" s="117">
        <f ca="1">IF(base_de_datos[[#This Row],[No clase]]=OFFSET(base_de_datos[[#This Row],[No clase]],-1,0),0,1)</f>
        <v>1</v>
      </c>
      <c r="AB73" s="117">
        <f ca="1">IF(NOT(OR(base_de_datos[[#This Row],[Horas totales]]=base_de_datos[[#This Row],[HT Plan]],base_de_datos[[#This Row],[Horas totales]]="N/A")),1,0)</f>
        <v>1</v>
      </c>
      <c r="AC73" s="229">
        <f>_xlfn.XLOOKUP(base_de_datos[[#This Row],[Profesor]],Nombre,Grado)</f>
        <v>0</v>
      </c>
      <c r="AD73" s="118" t="str">
        <f>_xlfn.XLOOKUP(base_de_datos[[#This Row],[Profesor]],Nombre,Tipo)</f>
        <v>A</v>
      </c>
      <c r="AE73" s="117" t="str">
        <f>IF(IFERROR(VLOOKUP($C73,Planes_de_estudio[],MATCH($AE$2,Carreras,0)+2,0),"")&gt;0,IFERROR(VLOOKUP($C73,Planes_de_estudio[],MATCH($AE$2,Carreras,0)+2,0),""),"")</f>
        <v/>
      </c>
      <c r="AF73" s="117" t="str">
        <f>IF(IFERROR(VLOOKUP($C73,Planes_de_estudio[],MATCH($AF$2,Carreras,0)+2,0),"")&gt;0,IFERROR(VLOOKUP($C73,Planes_de_estudio[],MATCH($AF$2,Carreras,0)+2,0),""),"")</f>
        <v/>
      </c>
      <c r="AG73" s="117" t="str">
        <f>IF(IFERROR(VLOOKUP($C73,Planes_de_estudio[],MATCH($AG$2,Carreras,0)+2,0),"")&gt;0,IFERROR(VLOOKUP($C73,Planes_de_estudio[],MATCH($AG$2,Carreras,0)+2,0),""),"")</f>
        <v/>
      </c>
      <c r="AH73" s="117" t="str">
        <f>IF(IFERROR(VLOOKUP($C73,Planes_de_estudio[],MATCH($AH$2,Carreras,0)+2,0),"")&gt;0,IFERROR(VLOOKUP($C73,Planes_de_estudio[],MATCH($AH$2,Carreras,0)+2,0),""),"")</f>
        <v/>
      </c>
      <c r="AI73" s="117" t="str">
        <f>IF(IFERROR(VLOOKUP($C73,Planes_de_estudio[],MATCH($AI$2,Carreras,0)+2,0),"")&gt;0,IFERROR(VLOOKUP($C73,Planes_de_estudio[],MATCH($AI$2,Carreras,0)+2,0),""),"")</f>
        <v/>
      </c>
      <c r="AJ73" s="117">
        <f>IF(IFERROR(VLOOKUP($C73,Planes_de_estudio[],MATCH($AJ$2,Carreras,0)+2,0),"")&gt;0,IFERROR(VLOOKUP($C73,Planes_de_estudio[],MATCH($AJ$2,Carreras,0)+2,0),""),"")</f>
        <v>10</v>
      </c>
      <c r="AK73" s="117" t="str">
        <f>IF(IFERROR(VLOOKUP($C73,Planes_de_estudio[],MATCH($AK$2,Carreras,0)+2,0),"")&gt;0,IFERROR(VLOOKUP($C73,Planes_de_estudio[],MATCH($AK$2,Carreras,0)+2,0),""),"")</f>
        <v/>
      </c>
      <c r="AL73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73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73" s="117">
        <f>base_de_datos[[#This Row],[Pronóstico]]/25</f>
        <v>0</v>
      </c>
      <c r="AO73" s="117" t="str">
        <f>VLOOKUP($C73,Planes_de_estudio[],2)</f>
        <v>ESC</v>
      </c>
      <c r="AP73" s="119" t="str">
        <f ca="1">IF(AND(base_de_datos[[#This Row],[Industrial]]&lt;&gt;"",base_de_datos[[#This Row],[Misma o no]]=1),base_de_datos[[#This Row],[Índice]],"")</f>
        <v/>
      </c>
      <c r="AQ73" s="119" t="str">
        <f ca="1">IF(AND(base_de_datos[[#This Row],[Mecatrónica]]&lt;&gt;"",base_de_datos[[#This Row],[Misma o no]]=1),base_de_datos[[#This Row],[Índice]],"")</f>
        <v/>
      </c>
      <c r="AR73" s="119" t="str">
        <f ca="1">IF(AND(base_de_datos[[#This Row],[Innovación y Diseño]]&lt;&gt;"",base_de_datos[[#This Row],[Misma o no]]=1),base_de_datos[[#This Row],[Índice]],"")</f>
        <v/>
      </c>
      <c r="AS73" s="119" t="str">
        <f ca="1">IF(AND(base_de_datos[[#This Row],[Inteligencia Artificial]]&lt;&gt;"",base_de_datos[[#This Row],[Misma o no]]=1),base_de_datos[[#This Row],[Índice]],"")</f>
        <v/>
      </c>
      <c r="AT73" s="119" t="str">
        <f ca="1">IF(AND(base_de_datos[[#This Row],[Tecnologías Energéticas]]&lt;&gt;"",base_de_datos[[#This Row],[Misma o no]]=1),base_de_datos[[#This Row],[Índice]],"")</f>
        <v/>
      </c>
      <c r="AU73" s="119">
        <f ca="1">IF(AND(base_de_datos[[#This Row],[Civil y Administración]]&lt;&gt;"",base_de_datos[[#This Row],[Misma o no]]=1),base_de_datos[[#This Row],[Índice]],"")</f>
        <v>6</v>
      </c>
      <c r="AV73" s="119" t="str">
        <f ca="1">IF(AND(base_de_datos[[#This Row],[Bioelectrónica]]&lt;&gt;"",base_de_datos[[#This Row],[Misma o no]]=1),base_de_datos[[#This Row],[Índice]],"")</f>
        <v/>
      </c>
      <c r="AW73" s="120"/>
      <c r="AX73" s="4">
        <v>2</v>
      </c>
    </row>
    <row r="74" spans="2:50" s="6" customFormat="1" ht="13" x14ac:dyDescent="0.3">
      <c r="B74" s="9" t="s">
        <v>216</v>
      </c>
      <c r="C74" s="1" t="s">
        <v>255</v>
      </c>
      <c r="D74" s="4">
        <v>2</v>
      </c>
      <c r="E74" s="113">
        <v>0.39583333333333398</v>
      </c>
      <c r="F74" s="113">
        <v>0.45833333333333098</v>
      </c>
      <c r="G74" s="226" t="s">
        <v>92</v>
      </c>
      <c r="H74" s="4" t="s">
        <v>258</v>
      </c>
      <c r="I74" s="4"/>
      <c r="J74" s="198">
        <v>24</v>
      </c>
      <c r="K74" s="115"/>
      <c r="L74" s="3"/>
      <c r="M74" s="115"/>
      <c r="N74" s="3"/>
      <c r="O74" s="4" t="s">
        <v>257</v>
      </c>
      <c r="P74" s="114"/>
      <c r="Q74" s="114"/>
      <c r="R74" s="114" t="s">
        <v>90</v>
      </c>
      <c r="S74" s="114"/>
      <c r="T74" s="114"/>
      <c r="U74" s="114"/>
      <c r="V74" s="114"/>
      <c r="W74" s="114"/>
      <c r="X74" s="116">
        <f>_xlfn.XLOOKUP(base_de_datos[[#This Row],[Materia]],Materias,Horas)/16</f>
        <v>3</v>
      </c>
      <c r="Y74" s="116">
        <f>ROUND(((base_de_datos[[#This Row],[Hora fin]]-base_de_datos[[#This Row],[Hora inicio]])*24)*(COUNTA(base_de_datos[[#This Row],[Lunes]:[Sábado]])),1)</f>
        <v>1.5</v>
      </c>
      <c r="Z74" s="117">
        <f ca="1">IF(base_de_datos[[#This Row],[Misma o no]]=0,"N/A",IF((OFFSET(base_de_datos[[#This Row],[Misma o no]],1,0))=0,base_de_datos[[#This Row],[Horas]]+(OFFSET(base_de_datos[[#This Row],[Horas]],1,0)),base_de_datos[[#This Row],[Horas]]))</f>
        <v>1.5</v>
      </c>
      <c r="AA74" s="117">
        <f ca="1">IF(base_de_datos[[#This Row],[No clase]]=OFFSET(base_de_datos[[#This Row],[No clase]],-1,0),0,1)</f>
        <v>1</v>
      </c>
      <c r="AB74" s="117">
        <f ca="1">IF(NOT(OR(base_de_datos[[#This Row],[Horas totales]]=base_de_datos[[#This Row],[HT Plan]],base_de_datos[[#This Row],[Horas totales]]="N/A")),1,0)</f>
        <v>1</v>
      </c>
      <c r="AC74" s="116" t="str">
        <f>_xlfn.XLOOKUP(base_de_datos[[#This Row],[Profesor]],Nombre,Grado)</f>
        <v>SNI</v>
      </c>
      <c r="AD74" s="118" t="str">
        <f>_xlfn.XLOOKUP(base_de_datos[[#This Row],[Profesor]],Nombre,Tipo)</f>
        <v>TC</v>
      </c>
      <c r="AE74" s="116">
        <f>IF(IFERROR(VLOOKUP($C74,Planes_de_estudio[],MATCH($AE$2,Carreras,0)+2,0),"")&gt;0,IFERROR(VLOOKUP($C74,Planes_de_estudio[],MATCH($AE$2,Carreras,0)+2,0),""),"")</f>
        <v>3</v>
      </c>
      <c r="AF74" s="116">
        <f>IF(IFERROR(VLOOKUP($C74,Planes_de_estudio[],MATCH($AF$2,Carreras,0)+2,0),"")&gt;0,IFERROR(VLOOKUP($C74,Planes_de_estudio[],MATCH($AF$2,Carreras,0)+2,0),""),"")</f>
        <v>3</v>
      </c>
      <c r="AG74" s="116" t="str">
        <f>IF(IFERROR(VLOOKUP($C74,Planes_de_estudio[],MATCH($AG$2,Carreras,0)+2,0),"")&gt;0,IFERROR(VLOOKUP($C74,Planes_de_estudio[],MATCH($AG$2,Carreras,0)+2,0),""),"")</f>
        <v/>
      </c>
      <c r="AH74" s="116">
        <f>IF(IFERROR(VLOOKUP($C74,Planes_de_estudio[],MATCH($AH$2,Carreras,0)+2,0),"")&gt;0,IFERROR(VLOOKUP($C74,Planes_de_estudio[],MATCH($AH$2,Carreras,0)+2,0),""),"")</f>
        <v>4</v>
      </c>
      <c r="AI74" s="116">
        <f>IF(IFERROR(VLOOKUP($C74,Planes_de_estudio[],MATCH($AI$2,Carreras,0)+2,0),"")&gt;0,IFERROR(VLOOKUP($C74,Planes_de_estudio[],MATCH($AI$2,Carreras,0)+2,0),""),"")</f>
        <v>4</v>
      </c>
      <c r="AJ74" s="116">
        <f>IF(IFERROR(VLOOKUP($C74,Planes_de_estudio[],MATCH($AJ$2,Carreras,0)+2,0),"")&gt;0,IFERROR(VLOOKUP($C74,Planes_de_estudio[],MATCH($AJ$2,Carreras,0)+2,0),""),"")</f>
        <v>4</v>
      </c>
      <c r="AK74" s="116">
        <f>IF(IFERROR(VLOOKUP($C74,Planes_de_estudio[],MATCH($AK$2,Carreras,0)+2,0),"")&gt;0,IFERROR(VLOOKUP($C74,Planes_de_estudio[],MATCH($AK$2,Carreras,0)+2,0),""),"")</f>
        <v>3</v>
      </c>
      <c r="AL74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74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47</v>
      </c>
      <c r="AN74" s="117">
        <f>base_de_datos[[#This Row],[Pronóstico]]/25</f>
        <v>1.88</v>
      </c>
      <c r="AO74" s="117" t="str">
        <f>VLOOKUP($C74,Planes_de_estudio[],2)</f>
        <v>MAT</v>
      </c>
      <c r="AP74" s="119">
        <f ca="1">IF(AND(base_de_datos[[#This Row],[Industrial]]&lt;&gt;"",base_de_datos[[#This Row],[Misma o no]]=1),base_de_datos[[#This Row],[Índice]],"")</f>
        <v>6</v>
      </c>
      <c r="AQ74" s="119">
        <f ca="1">IF(AND(base_de_datos[[#This Row],[Mecatrónica]]&lt;&gt;"",base_de_datos[[#This Row],[Misma o no]]=1),base_de_datos[[#This Row],[Índice]],"")</f>
        <v>6</v>
      </c>
      <c r="AR74" s="119" t="str">
        <f ca="1">IF(AND(base_de_datos[[#This Row],[Innovación y Diseño]]&lt;&gt;"",base_de_datos[[#This Row],[Misma o no]]=1),base_de_datos[[#This Row],[Índice]],"")</f>
        <v/>
      </c>
      <c r="AS74" s="119">
        <f ca="1">IF(AND(base_de_datos[[#This Row],[Inteligencia Artificial]]&lt;&gt;"",base_de_datos[[#This Row],[Misma o no]]=1),base_de_datos[[#This Row],[Índice]],"")</f>
        <v>6</v>
      </c>
      <c r="AT74" s="119">
        <f ca="1">IF(AND(base_de_datos[[#This Row],[Tecnologías Energéticas]]&lt;&gt;"",base_de_datos[[#This Row],[Misma o no]]=1),base_de_datos[[#This Row],[Índice]],"")</f>
        <v>6</v>
      </c>
      <c r="AU74" s="119">
        <f ca="1">IF(AND(base_de_datos[[#This Row],[Civil y Administración]]&lt;&gt;"",base_de_datos[[#This Row],[Misma o no]]=1),base_de_datos[[#This Row],[Índice]],"")</f>
        <v>6</v>
      </c>
      <c r="AV74" s="119">
        <f ca="1">IF(AND(base_de_datos[[#This Row],[Bioelectrónica]]&lt;&gt;"",base_de_datos[[#This Row],[Misma o no]]=1),base_de_datos[[#This Row],[Índice]],"")</f>
        <v>6</v>
      </c>
      <c r="AW74" s="120"/>
      <c r="AX74" s="4" t="s">
        <v>1809</v>
      </c>
    </row>
    <row r="75" spans="2:50" s="6" customFormat="1" ht="13" x14ac:dyDescent="0.3">
      <c r="B75" s="141" t="s">
        <v>213</v>
      </c>
      <c r="C75" s="1" t="s">
        <v>214</v>
      </c>
      <c r="D75" s="4">
        <v>1</v>
      </c>
      <c r="E75" s="113">
        <v>0.75</v>
      </c>
      <c r="F75" s="113">
        <v>0.87499999999999001</v>
      </c>
      <c r="G75" s="4" t="s">
        <v>87</v>
      </c>
      <c r="H75" s="4" t="s">
        <v>215</v>
      </c>
      <c r="I75" s="4"/>
      <c r="J75" s="126">
        <v>25</v>
      </c>
      <c r="K75" s="115"/>
      <c r="L75" s="3"/>
      <c r="M75" s="127"/>
      <c r="N75" s="3"/>
      <c r="O75" s="4">
        <v>1729</v>
      </c>
      <c r="P75" s="114"/>
      <c r="Q75" s="114" t="s">
        <v>90</v>
      </c>
      <c r="R75" s="114"/>
      <c r="S75" s="114"/>
      <c r="T75" s="114"/>
      <c r="U75" s="114"/>
      <c r="V75" s="114" t="s">
        <v>90</v>
      </c>
      <c r="W75" s="114"/>
      <c r="X75" s="117">
        <f>_xlfn.XLOOKUP(base_de_datos[[#This Row],[Materia]],Materias,Horas)/16</f>
        <v>3</v>
      </c>
      <c r="Y75" s="117">
        <f>ROUND(((base_de_datos[[#This Row],[Hora fin]]-base_de_datos[[#This Row],[Hora inicio]])*24)*(COUNTA(base_de_datos[[#This Row],[Lunes]:[Sábado]])),1)</f>
        <v>3</v>
      </c>
      <c r="Z75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75" s="117">
        <f ca="1">IF(base_de_datos[[#This Row],[No clase]]=OFFSET(base_de_datos[[#This Row],[No clase]],-1,0),0,1)</f>
        <v>1</v>
      </c>
      <c r="AB75" s="117">
        <f ca="1">IF(NOT(OR(base_de_datos[[#This Row],[Horas totales]]=base_de_datos[[#This Row],[HT Plan]],base_de_datos[[#This Row],[Horas totales]]="N/A")),1,0)</f>
        <v>0</v>
      </c>
      <c r="AC75" s="117" t="str">
        <f>_xlfn.XLOOKUP(base_de_datos[[#This Row],[Profesor]],Nombre,Grado)</f>
        <v>M</v>
      </c>
      <c r="AD75" s="118" t="str">
        <f>_xlfn.XLOOKUP(base_de_datos[[#This Row],[Profesor]],Nombre,Tipo)</f>
        <v>OA</v>
      </c>
      <c r="AE75" s="117" t="str">
        <f>IF(IFERROR(VLOOKUP($C75,Planes_de_estudio[],MATCH($AE$2,Carreras,0)+2,0),"")&gt;0,IFERROR(VLOOKUP($C75,Planes_de_estudio[],MATCH($AE$2,Carreras,0)+2,0),""),"")</f>
        <v/>
      </c>
      <c r="AF75" s="117" t="str">
        <f>IF(IFERROR(VLOOKUP($C75,Planes_de_estudio[],MATCH($AF$2,Carreras,0)+2,0),"")&gt;0,IFERROR(VLOOKUP($C75,Planes_de_estudio[],MATCH($AF$2,Carreras,0)+2,0),""),"")</f>
        <v/>
      </c>
      <c r="AG75" s="117" t="str">
        <f>IF(IFERROR(VLOOKUP($C75,Planes_de_estudio[],MATCH($AG$2,Carreras,0)+2,0),"")&gt;0,IFERROR(VLOOKUP($C75,Planes_de_estudio[],MATCH($AG$2,Carreras,0)+2,0),""),"")</f>
        <v/>
      </c>
      <c r="AH75" s="117">
        <f>IF(IFERROR(VLOOKUP($C75,Planes_de_estudio[],MATCH($AH$2,Carreras,0)+2,0),"")&gt;0,IFERROR(VLOOKUP($C75,Planes_de_estudio[],MATCH($AH$2,Carreras,0)+2,0),""),"")</f>
        <v>8</v>
      </c>
      <c r="AI75" s="117" t="str">
        <f>IF(IFERROR(VLOOKUP($C75,Planes_de_estudio[],MATCH($AI$2,Carreras,0)+2,0),"")&gt;0,IFERROR(VLOOKUP($C75,Planes_de_estudio[],MATCH($AI$2,Carreras,0)+2,0),""),"")</f>
        <v/>
      </c>
      <c r="AJ75" s="117" t="str">
        <f>IF(IFERROR(VLOOKUP($C75,Planes_de_estudio[],MATCH($AJ$2,Carreras,0)+2,0),"")&gt;0,IFERROR(VLOOKUP($C75,Planes_de_estudio[],MATCH($AJ$2,Carreras,0)+2,0),""),"")</f>
        <v/>
      </c>
      <c r="AK75" s="117" t="str">
        <f>IF(IFERROR(VLOOKUP($C75,Planes_de_estudio[],MATCH($AK$2,Carreras,0)+2,0),"")&gt;0,IFERROR(VLOOKUP($C75,Planes_de_estudio[],MATCH($AK$2,Carreras,0)+2,0),""),"")</f>
        <v/>
      </c>
      <c r="AL75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75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24</v>
      </c>
      <c r="AN75" s="117">
        <f>base_de_datos[[#This Row],[Pronóstico]]/25</f>
        <v>0.96</v>
      </c>
      <c r="AO75" s="117" t="str">
        <f>VLOOKUP($C75,Planes_de_estudio[],2)</f>
        <v>COM</v>
      </c>
      <c r="AP75" s="119" t="str">
        <f ca="1">IF(AND(base_de_datos[[#This Row],[Industrial]]&lt;&gt;"",base_de_datos[[#This Row],[Misma o no]]=1),base_de_datos[[#This Row],[Índice]],"")</f>
        <v/>
      </c>
      <c r="AQ75" s="119" t="str">
        <f ca="1">IF(AND(base_de_datos[[#This Row],[Mecatrónica]]&lt;&gt;"",base_de_datos[[#This Row],[Misma o no]]=1),base_de_datos[[#This Row],[Índice]],"")</f>
        <v/>
      </c>
      <c r="AR75" s="119" t="str">
        <f ca="1">IF(AND(base_de_datos[[#This Row],[Innovación y Diseño]]&lt;&gt;"",base_de_datos[[#This Row],[Misma o no]]=1),base_de_datos[[#This Row],[Índice]],"")</f>
        <v/>
      </c>
      <c r="AS75" s="119">
        <f ca="1">IF(AND(base_de_datos[[#This Row],[Inteligencia Artificial]]&lt;&gt;"",base_de_datos[[#This Row],[Misma o no]]=1),base_de_datos[[#This Row],[Índice]],"")</f>
        <v>4</v>
      </c>
      <c r="AT75" s="119" t="str">
        <f ca="1">IF(AND(base_de_datos[[#This Row],[Tecnologías Energéticas]]&lt;&gt;"",base_de_datos[[#This Row],[Misma o no]]=1),base_de_datos[[#This Row],[Índice]],"")</f>
        <v/>
      </c>
      <c r="AU75" s="119" t="str">
        <f ca="1">IF(AND(base_de_datos[[#This Row],[Civil y Administración]]&lt;&gt;"",base_de_datos[[#This Row],[Misma o no]]=1),base_de_datos[[#This Row],[Índice]],"")</f>
        <v/>
      </c>
      <c r="AV75" s="119" t="str">
        <f ca="1">IF(AND(base_de_datos[[#This Row],[Bioelectrónica]]&lt;&gt;"",base_de_datos[[#This Row],[Misma o no]]=1),base_de_datos[[#This Row],[Índice]],"")</f>
        <v/>
      </c>
      <c r="AW75" s="120"/>
      <c r="AX75" s="4">
        <v>1</v>
      </c>
    </row>
    <row r="76" spans="2:50" s="6" customFormat="1" ht="13" x14ac:dyDescent="0.3">
      <c r="B76" s="6" t="s">
        <v>246</v>
      </c>
      <c r="C76" s="1" t="s">
        <v>247</v>
      </c>
      <c r="D76" s="4">
        <v>1</v>
      </c>
      <c r="E76" s="113">
        <v>0.77083333333333304</v>
      </c>
      <c r="F76" s="113">
        <v>0.85416666666665797</v>
      </c>
      <c r="G76" s="4" t="s">
        <v>87</v>
      </c>
      <c r="H76" s="4" t="s">
        <v>248</v>
      </c>
      <c r="I76" s="4"/>
      <c r="J76" s="231">
        <v>10</v>
      </c>
      <c r="K76" s="115"/>
      <c r="L76" s="3"/>
      <c r="M76" s="127"/>
      <c r="N76" s="3"/>
      <c r="O76" s="4">
        <v>2973</v>
      </c>
      <c r="P76" s="114"/>
      <c r="Q76" s="114"/>
      <c r="R76" s="114"/>
      <c r="S76" s="114" t="s">
        <v>90</v>
      </c>
      <c r="T76" s="114"/>
      <c r="U76" s="114"/>
      <c r="V76" s="114"/>
      <c r="W76" s="114"/>
      <c r="X76" s="117">
        <f>_xlfn.XLOOKUP(base_de_datos[[#This Row],[Materia]],Materias,Horas)/16</f>
        <v>4</v>
      </c>
      <c r="Y76" s="117">
        <f>ROUND(((base_de_datos[[#This Row],[Hora fin]]-base_de_datos[[#This Row],[Hora inicio]])*24)*(COUNTA(base_de_datos[[#This Row],[Lunes]:[Sábado]])),1)</f>
        <v>2</v>
      </c>
      <c r="Z76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76" s="117">
        <f ca="1">IF(base_de_datos[[#This Row],[No clase]]=OFFSET(base_de_datos[[#This Row],[No clase]],-1,0),0,1)</f>
        <v>1</v>
      </c>
      <c r="AB76" s="117">
        <f ca="1">IF(NOT(OR(base_de_datos[[#This Row],[Horas totales]]=base_de_datos[[#This Row],[HT Plan]],base_de_datos[[#This Row],[Horas totales]]="N/A")),1,0)</f>
        <v>1</v>
      </c>
      <c r="AC76" s="229">
        <f>_xlfn.XLOOKUP(base_de_datos[[#This Row],[Profesor]],Nombre,Grado)</f>
        <v>0</v>
      </c>
      <c r="AD76" s="118" t="str">
        <f>_xlfn.XLOOKUP(base_de_datos[[#This Row],[Profesor]],Nombre,Tipo)</f>
        <v>A</v>
      </c>
      <c r="AE76" s="117" t="str">
        <f>IF(IFERROR(VLOOKUP($C76,Planes_de_estudio[],MATCH($AE$2,Carreras,0)+2,0),"")&gt;0,IFERROR(VLOOKUP($C76,Planes_de_estudio[],MATCH($AE$2,Carreras,0)+2,0),""),"")</f>
        <v/>
      </c>
      <c r="AF76" s="117" t="str">
        <f>IF(IFERROR(VLOOKUP($C76,Planes_de_estudio[],MATCH($AF$2,Carreras,0)+2,0),"")&gt;0,IFERROR(VLOOKUP($C76,Planes_de_estudio[],MATCH($AF$2,Carreras,0)+2,0),""),"")</f>
        <v/>
      </c>
      <c r="AG76" s="117" t="str">
        <f>IF(IFERROR(VLOOKUP($C76,Planes_de_estudio[],MATCH($AG$2,Carreras,0)+2,0),"")&gt;0,IFERROR(VLOOKUP($C76,Planes_de_estudio[],MATCH($AG$2,Carreras,0)+2,0),""),"")</f>
        <v/>
      </c>
      <c r="AH76" s="117" t="str">
        <f>IF(IFERROR(VLOOKUP($C76,Planes_de_estudio[],MATCH($AH$2,Carreras,0)+2,0),"")&gt;0,IFERROR(VLOOKUP($C76,Planes_de_estudio[],MATCH($AH$2,Carreras,0)+2,0),""),"")</f>
        <v/>
      </c>
      <c r="AI76" s="117" t="str">
        <f>IF(IFERROR(VLOOKUP($C76,Planes_de_estudio[],MATCH($AI$2,Carreras,0)+2,0),"")&gt;0,IFERROR(VLOOKUP($C76,Planes_de_estudio[],MATCH($AI$2,Carreras,0)+2,0),""),"")</f>
        <v/>
      </c>
      <c r="AJ76" s="117">
        <f>IF(IFERROR(VLOOKUP($C76,Planes_de_estudio[],MATCH($AJ$2,Carreras,0)+2,0),"")&gt;0,IFERROR(VLOOKUP($C76,Planes_de_estudio[],MATCH($AJ$2,Carreras,0)+2,0),""),"")</f>
        <v>10</v>
      </c>
      <c r="AK76" s="117" t="str">
        <f>IF(IFERROR(VLOOKUP($C76,Planes_de_estudio[],MATCH($AK$2,Carreras,0)+2,0),"")&gt;0,IFERROR(VLOOKUP($C76,Planes_de_estudio[],MATCH($AK$2,Carreras,0)+2,0),""),"")</f>
        <v/>
      </c>
      <c r="AL76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76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76" s="117">
        <f>base_de_datos[[#This Row],[Pronóstico]]/25</f>
        <v>0</v>
      </c>
      <c r="AO76" s="117" t="str">
        <f>VLOOKUP($C76,Planes_de_estudio[],2)</f>
        <v>ESC</v>
      </c>
      <c r="AP76" s="119" t="str">
        <f ca="1">IF(AND(base_de_datos[[#This Row],[Industrial]]&lt;&gt;"",base_de_datos[[#This Row],[Misma o no]]=1),base_de_datos[[#This Row],[Índice]],"")</f>
        <v/>
      </c>
      <c r="AQ76" s="119" t="str">
        <f ca="1">IF(AND(base_de_datos[[#This Row],[Mecatrónica]]&lt;&gt;"",base_de_datos[[#This Row],[Misma o no]]=1),base_de_datos[[#This Row],[Índice]],"")</f>
        <v/>
      </c>
      <c r="AR76" s="119" t="str">
        <f ca="1">IF(AND(base_de_datos[[#This Row],[Innovación y Diseño]]&lt;&gt;"",base_de_datos[[#This Row],[Misma o no]]=1),base_de_datos[[#This Row],[Índice]],"")</f>
        <v/>
      </c>
      <c r="AS76" s="119" t="str">
        <f ca="1">IF(AND(base_de_datos[[#This Row],[Inteligencia Artificial]]&lt;&gt;"",base_de_datos[[#This Row],[Misma o no]]=1),base_de_datos[[#This Row],[Índice]],"")</f>
        <v/>
      </c>
      <c r="AT76" s="119" t="str">
        <f ca="1">IF(AND(base_de_datos[[#This Row],[Tecnologías Energéticas]]&lt;&gt;"",base_de_datos[[#This Row],[Misma o no]]=1),base_de_datos[[#This Row],[Índice]],"")</f>
        <v/>
      </c>
      <c r="AU76" s="119">
        <f ca="1">IF(AND(base_de_datos[[#This Row],[Civil y Administración]]&lt;&gt;"",base_de_datos[[#This Row],[Misma o no]]=1),base_de_datos[[#This Row],[Índice]],"")</f>
        <v>6</v>
      </c>
      <c r="AV76" s="119" t="str">
        <f ca="1">IF(AND(base_de_datos[[#This Row],[Bioelectrónica]]&lt;&gt;"",base_de_datos[[#This Row],[Misma o no]]=1),base_de_datos[[#This Row],[Índice]],"")</f>
        <v/>
      </c>
      <c r="AW76" s="120"/>
      <c r="AX76" s="4">
        <v>2</v>
      </c>
    </row>
    <row r="77" spans="2:50" s="6" customFormat="1" ht="13" x14ac:dyDescent="0.3">
      <c r="B77" s="141" t="s">
        <v>252</v>
      </c>
      <c r="C77" s="1" t="s">
        <v>253</v>
      </c>
      <c r="D77" s="4">
        <v>1</v>
      </c>
      <c r="E77" s="113">
        <v>0.5</v>
      </c>
      <c r="F77" s="113">
        <v>0.624999999999995</v>
      </c>
      <c r="G77" s="4" t="s">
        <v>87</v>
      </c>
      <c r="H77" s="84" t="s">
        <v>160</v>
      </c>
      <c r="I77" s="4"/>
      <c r="J77" s="114">
        <v>14</v>
      </c>
      <c r="K77" s="115"/>
      <c r="L77" s="3"/>
      <c r="M77" s="115"/>
      <c r="N77" s="3"/>
      <c r="O77" s="4" t="s">
        <v>254</v>
      </c>
      <c r="P77" s="114"/>
      <c r="Q77" s="114"/>
      <c r="R77" s="114"/>
      <c r="S77" s="114"/>
      <c r="T77" s="114" t="s">
        <v>90</v>
      </c>
      <c r="U77" s="114"/>
      <c r="V77" s="114"/>
      <c r="W77" s="114"/>
      <c r="X77" s="116">
        <f>_xlfn.XLOOKUP(base_de_datos[[#This Row],[Materia]],Materias,Horas)/16</f>
        <v>3</v>
      </c>
      <c r="Y77" s="116">
        <f>ROUND(((base_de_datos[[#This Row],[Hora fin]]-base_de_datos[[#This Row],[Hora inicio]])*24)*(COUNTA(base_de_datos[[#This Row],[Lunes]:[Sábado]])),1)</f>
        <v>3</v>
      </c>
      <c r="Z77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77" s="117">
        <f ca="1">IF(base_de_datos[[#This Row],[No clase]]=OFFSET(base_de_datos[[#This Row],[No clase]],-1,0),0,1)</f>
        <v>1</v>
      </c>
      <c r="AB77" s="117">
        <f ca="1">IF(NOT(OR(base_de_datos[[#This Row],[Horas totales]]=base_de_datos[[#This Row],[HT Plan]],base_de_datos[[#This Row],[Horas totales]]="N/A")),1,0)</f>
        <v>0</v>
      </c>
      <c r="AC77" s="116" t="str">
        <f>_xlfn.XLOOKUP(base_de_datos[[#This Row],[Profesor]],Nombre,Grado)</f>
        <v>M</v>
      </c>
      <c r="AD77" s="118" t="str">
        <f>_xlfn.XLOOKUP(base_de_datos[[#This Row],[Profesor]],Nombre,Tipo)</f>
        <v>A</v>
      </c>
      <c r="AE77" s="116" t="str">
        <f>IF(IFERROR(VLOOKUP($C77,Planes_de_estudio[],MATCH($AE$2,Carreras,0)+2,0),"")&gt;0,IFERROR(VLOOKUP($C77,Planes_de_estudio[],MATCH($AE$2,Carreras,0)+2,0),""),"")</f>
        <v/>
      </c>
      <c r="AF77" s="116" t="str">
        <f>IF(IFERROR(VLOOKUP($C77,Planes_de_estudio[],MATCH($AF$2,Carreras,0)+2,0),"")&gt;0,IFERROR(VLOOKUP($C77,Planes_de_estudio[],MATCH($AF$2,Carreras,0)+2,0),""),"")</f>
        <v/>
      </c>
      <c r="AG77" s="116" t="str">
        <f>IF(IFERROR(VLOOKUP($C77,Planes_de_estudio[],MATCH($AG$2,Carreras,0)+2,0),"")&gt;0,IFERROR(VLOOKUP($C77,Planes_de_estudio[],MATCH($AG$2,Carreras,0)+2,0),""),"")</f>
        <v/>
      </c>
      <c r="AH77" s="116" t="str">
        <f>IF(IFERROR(VLOOKUP($C77,Planes_de_estudio[],MATCH($AH$2,Carreras,0)+2,0),"")&gt;0,IFERROR(VLOOKUP($C77,Planes_de_estudio[],MATCH($AH$2,Carreras,0)+2,0),""),"")</f>
        <v/>
      </c>
      <c r="AI77" s="116" t="str">
        <f>IF(IFERROR(VLOOKUP($C77,Planes_de_estudio[],MATCH($AI$2,Carreras,0)+2,0),"")&gt;0,IFERROR(VLOOKUP($C77,Planes_de_estudio[],MATCH($AI$2,Carreras,0)+2,0),""),"")</f>
        <v/>
      </c>
      <c r="AJ77" s="116">
        <f>IF(IFERROR(VLOOKUP($C77,Planes_de_estudio[],MATCH($AJ$2,Carreras,0)+2,0),"")&gt;0,IFERROR(VLOOKUP($C77,Planes_de_estudio[],MATCH($AJ$2,Carreras,0)+2,0),""),"")</f>
        <v>2</v>
      </c>
      <c r="AK77" s="116" t="str">
        <f>IF(IFERROR(VLOOKUP($C77,Planes_de_estudio[],MATCH($AK$2,Carreras,0)+2,0),"")&gt;0,IFERROR(VLOOKUP($C77,Planes_de_estudio[],MATCH($AK$2,Carreras,0)+2,0),""),"")</f>
        <v/>
      </c>
      <c r="AL77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77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15</v>
      </c>
      <c r="AN77" s="117">
        <f>base_de_datos[[#This Row],[Pronóstico]]/25</f>
        <v>0.6</v>
      </c>
      <c r="AO77" s="117" t="str">
        <f>VLOOKUP($C77,Planes_de_estudio[],2)</f>
        <v>ESC</v>
      </c>
      <c r="AP77" s="119" t="str">
        <f ca="1">IF(AND(base_de_datos[[#This Row],[Industrial]]&lt;&gt;"",base_de_datos[[#This Row],[Misma o no]]=1),base_de_datos[[#This Row],[Índice]],"")</f>
        <v/>
      </c>
      <c r="AQ77" s="119" t="str">
        <f ca="1">IF(AND(base_de_datos[[#This Row],[Mecatrónica]]&lt;&gt;"",base_de_datos[[#This Row],[Misma o no]]=1),base_de_datos[[#This Row],[Índice]],"")</f>
        <v/>
      </c>
      <c r="AR77" s="119" t="str">
        <f ca="1">IF(AND(base_de_datos[[#This Row],[Innovación y Diseño]]&lt;&gt;"",base_de_datos[[#This Row],[Misma o no]]=1),base_de_datos[[#This Row],[Índice]],"")</f>
        <v/>
      </c>
      <c r="AS77" s="119" t="str">
        <f ca="1">IF(AND(base_de_datos[[#This Row],[Inteligencia Artificial]]&lt;&gt;"",base_de_datos[[#This Row],[Misma o no]]=1),base_de_datos[[#This Row],[Índice]],"")</f>
        <v/>
      </c>
      <c r="AT77" s="119" t="str">
        <f ca="1">IF(AND(base_de_datos[[#This Row],[Tecnologías Energéticas]]&lt;&gt;"",base_de_datos[[#This Row],[Misma o no]]=1),base_de_datos[[#This Row],[Índice]],"")</f>
        <v/>
      </c>
      <c r="AU77" s="119">
        <f ca="1">IF(AND(base_de_datos[[#This Row],[Civil y Administración]]&lt;&gt;"",base_de_datos[[#This Row],[Misma o no]]=1),base_de_datos[[#This Row],[Índice]],"")</f>
        <v>4</v>
      </c>
      <c r="AV77" s="119" t="str">
        <f ca="1">IF(AND(base_de_datos[[#This Row],[Bioelectrónica]]&lt;&gt;"",base_de_datos[[#This Row],[Misma o no]]=1),base_de_datos[[#This Row],[Índice]],"")</f>
        <v/>
      </c>
      <c r="AW77" s="120"/>
      <c r="AX77" s="4">
        <v>1</v>
      </c>
    </row>
    <row r="78" spans="2:50" s="6" customFormat="1" ht="13" x14ac:dyDescent="0.3">
      <c r="B78" s="9" t="s">
        <v>180</v>
      </c>
      <c r="C78" s="1" t="s">
        <v>255</v>
      </c>
      <c r="D78" s="4">
        <v>1</v>
      </c>
      <c r="E78" s="113">
        <v>0.39583333333333398</v>
      </c>
      <c r="F78" s="113">
        <v>0.45833333333333098</v>
      </c>
      <c r="G78" s="226" t="s">
        <v>92</v>
      </c>
      <c r="H78" s="4" t="s">
        <v>116</v>
      </c>
      <c r="I78" s="4"/>
      <c r="J78" s="126">
        <v>15</v>
      </c>
      <c r="K78" s="115"/>
      <c r="L78" s="3"/>
      <c r="M78" s="127"/>
      <c r="N78" s="3"/>
      <c r="O78" s="4" t="s">
        <v>259</v>
      </c>
      <c r="P78" s="114" t="s">
        <v>90</v>
      </c>
      <c r="Q78" s="114"/>
      <c r="R78" s="114" t="s">
        <v>90</v>
      </c>
      <c r="S78" s="114"/>
      <c r="T78" s="114"/>
      <c r="U78" s="114"/>
      <c r="V78" s="114"/>
      <c r="W78" s="114"/>
      <c r="X78" s="117">
        <f>_xlfn.XLOOKUP(base_de_datos[[#This Row],[Materia]],Materias,Horas)/16</f>
        <v>3</v>
      </c>
      <c r="Y78" s="117">
        <f>ROUND(((base_de_datos[[#This Row],[Hora fin]]-base_de_datos[[#This Row],[Hora inicio]])*24)*(COUNTA(base_de_datos[[#This Row],[Lunes]:[Sábado]])),1)</f>
        <v>3</v>
      </c>
      <c r="Z78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78" s="117">
        <f ca="1">IF(base_de_datos[[#This Row],[No clase]]=OFFSET(base_de_datos[[#This Row],[No clase]],-1,0),0,1)</f>
        <v>1</v>
      </c>
      <c r="AB78" s="117">
        <f ca="1">IF(NOT(OR(base_de_datos[[#This Row],[Horas totales]]=base_de_datos[[#This Row],[HT Plan]],base_de_datos[[#This Row],[Horas totales]]="N/A")),1,0)</f>
        <v>0</v>
      </c>
      <c r="AC78" s="117" t="str">
        <f>_xlfn.XLOOKUP(base_de_datos[[#This Row],[Profesor]],Nombre,Grado)</f>
        <v>M</v>
      </c>
      <c r="AD78" s="118" t="str">
        <f>_xlfn.XLOOKUP(base_de_datos[[#This Row],[Profesor]],Nombre,Tipo)</f>
        <v>TC</v>
      </c>
      <c r="AE78" s="117">
        <f>IF(IFERROR(VLOOKUP($C78,Planes_de_estudio[],MATCH($AE$2,Carreras,0)+2,0),"")&gt;0,IFERROR(VLOOKUP($C78,Planes_de_estudio[],MATCH($AE$2,Carreras,0)+2,0),""),"")</f>
        <v>3</v>
      </c>
      <c r="AF78" s="117">
        <f>IF(IFERROR(VLOOKUP($C78,Planes_de_estudio[],MATCH($AF$2,Carreras,0)+2,0),"")&gt;0,IFERROR(VLOOKUP($C78,Planes_de_estudio[],MATCH($AF$2,Carreras,0)+2,0),""),"")</f>
        <v>3</v>
      </c>
      <c r="AG78" s="117" t="str">
        <f>IF(IFERROR(VLOOKUP($C78,Planes_de_estudio[],MATCH($AG$2,Carreras,0)+2,0),"")&gt;0,IFERROR(VLOOKUP($C78,Planes_de_estudio[],MATCH($AG$2,Carreras,0)+2,0),""),"")</f>
        <v/>
      </c>
      <c r="AH78" s="117">
        <f>IF(IFERROR(VLOOKUP($C78,Planes_de_estudio[],MATCH($AH$2,Carreras,0)+2,0),"")&gt;0,IFERROR(VLOOKUP($C78,Planes_de_estudio[],MATCH($AH$2,Carreras,0)+2,0),""),"")</f>
        <v>4</v>
      </c>
      <c r="AI78" s="117">
        <f>IF(IFERROR(VLOOKUP($C78,Planes_de_estudio[],MATCH($AI$2,Carreras,0)+2,0),"")&gt;0,IFERROR(VLOOKUP($C78,Planes_de_estudio[],MATCH($AI$2,Carreras,0)+2,0),""),"")</f>
        <v>4</v>
      </c>
      <c r="AJ78" s="117">
        <f>IF(IFERROR(VLOOKUP($C78,Planes_de_estudio[],MATCH($AJ$2,Carreras,0)+2,0),"")&gt;0,IFERROR(VLOOKUP($C78,Planes_de_estudio[],MATCH($AJ$2,Carreras,0)+2,0),""),"")</f>
        <v>4</v>
      </c>
      <c r="AK78" s="117">
        <f>IF(IFERROR(VLOOKUP($C78,Planes_de_estudio[],MATCH($AK$2,Carreras,0)+2,0),"")&gt;0,IFERROR(VLOOKUP($C78,Planes_de_estudio[],MATCH($AK$2,Carreras,0)+2,0),""),"")</f>
        <v>3</v>
      </c>
      <c r="AL78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78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47</v>
      </c>
      <c r="AN78" s="117">
        <f>base_de_datos[[#This Row],[Pronóstico]]/25</f>
        <v>1.88</v>
      </c>
      <c r="AO78" s="117" t="str">
        <f>VLOOKUP($C78,Planes_de_estudio[],2)</f>
        <v>MAT</v>
      </c>
      <c r="AP78" s="119">
        <f ca="1">IF(AND(base_de_datos[[#This Row],[Industrial]]&lt;&gt;"",base_de_datos[[#This Row],[Misma o no]]=1),base_de_datos[[#This Row],[Índice]],"")</f>
        <v>4</v>
      </c>
      <c r="AQ78" s="119">
        <f ca="1">IF(AND(base_de_datos[[#This Row],[Mecatrónica]]&lt;&gt;"",base_de_datos[[#This Row],[Misma o no]]=1),base_de_datos[[#This Row],[Índice]],"")</f>
        <v>4</v>
      </c>
      <c r="AR78" s="119" t="str">
        <f ca="1">IF(AND(base_de_datos[[#This Row],[Innovación y Diseño]]&lt;&gt;"",base_de_datos[[#This Row],[Misma o no]]=1),base_de_datos[[#This Row],[Índice]],"")</f>
        <v/>
      </c>
      <c r="AS78" s="119">
        <f ca="1">IF(AND(base_de_datos[[#This Row],[Inteligencia Artificial]]&lt;&gt;"",base_de_datos[[#This Row],[Misma o no]]=1),base_de_datos[[#This Row],[Índice]],"")</f>
        <v>4</v>
      </c>
      <c r="AT78" s="119">
        <f ca="1">IF(AND(base_de_datos[[#This Row],[Tecnologías Energéticas]]&lt;&gt;"",base_de_datos[[#This Row],[Misma o no]]=1),base_de_datos[[#This Row],[Índice]],"")</f>
        <v>4</v>
      </c>
      <c r="AU78" s="119">
        <f ca="1">IF(AND(base_de_datos[[#This Row],[Civil y Administración]]&lt;&gt;"",base_de_datos[[#This Row],[Misma o no]]=1),base_de_datos[[#This Row],[Índice]],"")</f>
        <v>4</v>
      </c>
      <c r="AV78" s="119">
        <f ca="1">IF(AND(base_de_datos[[#This Row],[Bioelectrónica]]&lt;&gt;"",base_de_datos[[#This Row],[Misma o no]]=1),base_de_datos[[#This Row],[Índice]],"")</f>
        <v>4</v>
      </c>
      <c r="AW78" s="120"/>
      <c r="AX78" s="4" t="s">
        <v>1809</v>
      </c>
    </row>
    <row r="79" spans="2:50" s="6" customFormat="1" ht="13" x14ac:dyDescent="0.3">
      <c r="B79" s="9" t="s">
        <v>281</v>
      </c>
      <c r="C79" s="1" t="s">
        <v>282</v>
      </c>
      <c r="D79" s="4">
        <v>1</v>
      </c>
      <c r="E79" s="113">
        <v>0.5</v>
      </c>
      <c r="F79" s="113">
        <v>0.562499999999996</v>
      </c>
      <c r="G79" s="226" t="s">
        <v>92</v>
      </c>
      <c r="H79" s="4" t="s">
        <v>207</v>
      </c>
      <c r="I79" s="4"/>
      <c r="J79" s="114">
        <v>15</v>
      </c>
      <c r="K79" s="115"/>
      <c r="L79" s="3"/>
      <c r="M79" s="115"/>
      <c r="N79" s="3"/>
      <c r="O79" s="4">
        <v>1819</v>
      </c>
      <c r="P79" s="114"/>
      <c r="Q79" s="114" t="s">
        <v>90</v>
      </c>
      <c r="R79" s="114"/>
      <c r="S79" s="114" t="s">
        <v>90</v>
      </c>
      <c r="T79" s="114"/>
      <c r="U79" s="114"/>
      <c r="V79" s="114" t="s">
        <v>90</v>
      </c>
      <c r="W79" s="114"/>
      <c r="X79" s="116">
        <f>_xlfn.XLOOKUP(base_de_datos[[#This Row],[Materia]],Materias,Horas)/16</f>
        <v>3</v>
      </c>
      <c r="Y79" s="116">
        <f>ROUND(((base_de_datos[[#This Row],[Hora fin]]-base_de_datos[[#This Row],[Hora inicio]])*24)*(COUNTA(base_de_datos[[#This Row],[Lunes]:[Sábado]])),1)</f>
        <v>3</v>
      </c>
      <c r="Z79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79" s="117">
        <f ca="1">IF(base_de_datos[[#This Row],[No clase]]=OFFSET(base_de_datos[[#This Row],[No clase]],-1,0),0,1)</f>
        <v>1</v>
      </c>
      <c r="AB79" s="117">
        <f ca="1">IF(NOT(OR(base_de_datos[[#This Row],[Horas totales]]=base_de_datos[[#This Row],[HT Plan]],base_de_datos[[#This Row],[Horas totales]]="N/A")),1,0)</f>
        <v>0</v>
      </c>
      <c r="AC79" s="116" t="str">
        <f>_xlfn.XLOOKUP(base_de_datos[[#This Row],[Profesor]],Nombre,Grado)</f>
        <v>M</v>
      </c>
      <c r="AD79" s="118" t="str">
        <f>_xlfn.XLOOKUP(base_de_datos[[#This Row],[Profesor]],Nombre,Tipo)</f>
        <v>TC</v>
      </c>
      <c r="AE79" s="116" t="str">
        <f>IF(IFERROR(VLOOKUP($C79,Planes_de_estudio[],MATCH($AE$2,Carreras,0)+2,0),"")&gt;0,IFERROR(VLOOKUP($C79,Planes_de_estudio[],MATCH($AE$2,Carreras,0)+2,0),""),"")</f>
        <v/>
      </c>
      <c r="AF79" s="116" t="str">
        <f>IF(IFERROR(VLOOKUP($C79,Planes_de_estudio[],MATCH($AF$2,Carreras,0)+2,0),"")&gt;0,IFERROR(VLOOKUP($C79,Planes_de_estudio[],MATCH($AF$2,Carreras,0)+2,0),""),"")</f>
        <v/>
      </c>
      <c r="AG79" s="116">
        <f>IF(IFERROR(VLOOKUP($C79,Planes_de_estudio[],MATCH($AG$2,Carreras,0)+2,0),"")&gt;0,IFERROR(VLOOKUP($C79,Planes_de_estudio[],MATCH($AG$2,Carreras,0)+2,0),""),"")</f>
        <v>2</v>
      </c>
      <c r="AH79" s="116" t="str">
        <f>IF(IFERROR(VLOOKUP($C79,Planes_de_estudio[],MATCH($AH$2,Carreras,0)+2,0),"")&gt;0,IFERROR(VLOOKUP($C79,Planes_de_estudio[],MATCH($AH$2,Carreras,0)+2,0),""),"")</f>
        <v/>
      </c>
      <c r="AI79" s="116" t="str">
        <f>IF(IFERROR(VLOOKUP($C79,Planes_de_estudio[],MATCH($AI$2,Carreras,0)+2,0),"")&gt;0,IFERROR(VLOOKUP($C79,Planes_de_estudio[],MATCH($AI$2,Carreras,0)+2,0),""),"")</f>
        <v/>
      </c>
      <c r="AJ79" s="116" t="str">
        <f>IF(IFERROR(VLOOKUP($C79,Planes_de_estudio[],MATCH($AJ$2,Carreras,0)+2,0),"")&gt;0,IFERROR(VLOOKUP($C79,Planes_de_estudio[],MATCH($AJ$2,Carreras,0)+2,0),""),"")</f>
        <v/>
      </c>
      <c r="AK79" s="116" t="str">
        <f>IF(IFERROR(VLOOKUP($C79,Planes_de_estudio[],MATCH($AK$2,Carreras,0)+2,0),"")&gt;0,IFERROR(VLOOKUP($C79,Planes_de_estudio[],MATCH($AK$2,Carreras,0)+2,0),""),"")</f>
        <v/>
      </c>
      <c r="AL79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79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16</v>
      </c>
      <c r="AN79" s="117">
        <f>base_de_datos[[#This Row],[Pronóstico]]/25</f>
        <v>0.64</v>
      </c>
      <c r="AO79" s="117" t="str">
        <f>VLOOKUP($C79,Planes_de_estudio[],2)</f>
        <v>IID</v>
      </c>
      <c r="AP79" s="119" t="str">
        <f ca="1">IF(AND(base_de_datos[[#This Row],[Industrial]]&lt;&gt;"",base_de_datos[[#This Row],[Misma o no]]=1),base_de_datos[[#This Row],[Índice]],"")</f>
        <v/>
      </c>
      <c r="AQ79" s="119" t="str">
        <f ca="1">IF(AND(base_de_datos[[#This Row],[Mecatrónica]]&lt;&gt;"",base_de_datos[[#This Row],[Misma o no]]=1),base_de_datos[[#This Row],[Índice]],"")</f>
        <v/>
      </c>
      <c r="AR79" s="119">
        <f ca="1">IF(AND(base_de_datos[[#This Row],[Innovación y Diseño]]&lt;&gt;"",base_de_datos[[#This Row],[Misma o no]]=1),base_de_datos[[#This Row],[Índice]],"")</f>
        <v>4</v>
      </c>
      <c r="AS79" s="119" t="str">
        <f ca="1">IF(AND(base_de_datos[[#This Row],[Inteligencia Artificial]]&lt;&gt;"",base_de_datos[[#This Row],[Misma o no]]=1),base_de_datos[[#This Row],[Índice]],"")</f>
        <v/>
      </c>
      <c r="AT79" s="119" t="str">
        <f ca="1">IF(AND(base_de_datos[[#This Row],[Tecnologías Energéticas]]&lt;&gt;"",base_de_datos[[#This Row],[Misma o no]]=1),base_de_datos[[#This Row],[Índice]],"")</f>
        <v/>
      </c>
      <c r="AU79" s="119" t="str">
        <f ca="1">IF(AND(base_de_datos[[#This Row],[Civil y Administración]]&lt;&gt;"",base_de_datos[[#This Row],[Misma o no]]=1),base_de_datos[[#This Row],[Índice]],"")</f>
        <v/>
      </c>
      <c r="AV79" s="119" t="str">
        <f ca="1">IF(AND(base_de_datos[[#This Row],[Bioelectrónica]]&lt;&gt;"",base_de_datos[[#This Row],[Misma o no]]=1),base_de_datos[[#This Row],[Índice]],"")</f>
        <v/>
      </c>
      <c r="AW79" s="120"/>
      <c r="AX79" s="4">
        <v>2</v>
      </c>
    </row>
    <row r="80" spans="2:50" s="6" customFormat="1" ht="13" x14ac:dyDescent="0.3">
      <c r="B80" s="6" t="s">
        <v>279</v>
      </c>
      <c r="C80" s="1" t="s">
        <v>289</v>
      </c>
      <c r="D80" s="4">
        <v>1</v>
      </c>
      <c r="E80" s="113">
        <v>0.66666666666666696</v>
      </c>
      <c r="F80" s="113">
        <v>0.79166666666665897</v>
      </c>
      <c r="G80" s="226" t="s">
        <v>87</v>
      </c>
      <c r="H80" s="4" t="s">
        <v>223</v>
      </c>
      <c r="I80" s="4"/>
      <c r="J80" s="114">
        <v>16</v>
      </c>
      <c r="K80" s="115"/>
      <c r="L80" s="3"/>
      <c r="M80" s="115"/>
      <c r="N80" s="3"/>
      <c r="O80" s="4" t="s">
        <v>290</v>
      </c>
      <c r="P80" s="114"/>
      <c r="Q80" s="114" t="s">
        <v>90</v>
      </c>
      <c r="R80" s="114"/>
      <c r="S80" s="114"/>
      <c r="T80" s="114"/>
      <c r="U80" s="114"/>
      <c r="V80" s="114"/>
      <c r="W80" s="114"/>
      <c r="X80" s="116">
        <f>_xlfn.XLOOKUP(base_de_datos[[#This Row],[Materia]],Materias,Horas)/16</f>
        <v>3</v>
      </c>
      <c r="Y80" s="116">
        <f>ROUND(((base_de_datos[[#This Row],[Hora fin]]-base_de_datos[[#This Row],[Hora inicio]])*24)*(COUNTA(base_de_datos[[#This Row],[Lunes]:[Sábado]])),1)</f>
        <v>3</v>
      </c>
      <c r="Z80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80" s="117">
        <f ca="1">IF(base_de_datos[[#This Row],[No clase]]=OFFSET(base_de_datos[[#This Row],[No clase]],-1,0),0,1)</f>
        <v>1</v>
      </c>
      <c r="AB80" s="117">
        <f ca="1">IF(NOT(OR(base_de_datos[[#This Row],[Horas totales]]=base_de_datos[[#This Row],[HT Plan]],base_de_datos[[#This Row],[Horas totales]]="N/A")),1,0)</f>
        <v>0</v>
      </c>
      <c r="AC80" s="116" t="str">
        <f>_xlfn.XLOOKUP(base_de_datos[[#This Row],[Profesor]],Nombre,Grado)</f>
        <v>M</v>
      </c>
      <c r="AD80" s="118" t="str">
        <f>_xlfn.XLOOKUP(base_de_datos[[#This Row],[Profesor]],Nombre,Tipo)</f>
        <v>TC</v>
      </c>
      <c r="AE80" s="116" t="str">
        <f>IF(IFERROR(VLOOKUP($C80,Planes_de_estudio[],MATCH($AE$2,Carreras,0)+2,0),"")&gt;0,IFERROR(VLOOKUP($C80,Planes_de_estudio[],MATCH($AE$2,Carreras,0)+2,0),""),"")</f>
        <v/>
      </c>
      <c r="AF80" s="116" t="str">
        <f>IF(IFERROR(VLOOKUP($C80,Planes_de_estudio[],MATCH($AF$2,Carreras,0)+2,0),"")&gt;0,IFERROR(VLOOKUP($C80,Planes_de_estudio[],MATCH($AF$2,Carreras,0)+2,0),""),"")</f>
        <v/>
      </c>
      <c r="AG80" s="116">
        <f>IF(IFERROR(VLOOKUP($C80,Planes_de_estudio[],MATCH($AG$2,Carreras,0)+2,0),"")&gt;0,IFERROR(VLOOKUP($C80,Planes_de_estudio[],MATCH($AG$2,Carreras,0)+2,0),""),"")</f>
        <v>6</v>
      </c>
      <c r="AH80" s="116" t="str">
        <f>IF(IFERROR(VLOOKUP($C80,Planes_de_estudio[],MATCH($AH$2,Carreras,0)+2,0),"")&gt;0,IFERROR(VLOOKUP($C80,Planes_de_estudio[],MATCH($AH$2,Carreras,0)+2,0),""),"")</f>
        <v/>
      </c>
      <c r="AI80" s="116" t="str">
        <f>IF(IFERROR(VLOOKUP($C80,Planes_de_estudio[],MATCH($AI$2,Carreras,0)+2,0),"")&gt;0,IFERROR(VLOOKUP($C80,Planes_de_estudio[],MATCH($AI$2,Carreras,0)+2,0),""),"")</f>
        <v/>
      </c>
      <c r="AJ80" s="116" t="str">
        <f>IF(IFERROR(VLOOKUP($C80,Planes_de_estudio[],MATCH($AJ$2,Carreras,0)+2,0),"")&gt;0,IFERROR(VLOOKUP($C80,Planes_de_estudio[],MATCH($AJ$2,Carreras,0)+2,0),""),"")</f>
        <v/>
      </c>
      <c r="AK80" s="116" t="str">
        <f>IF(IFERROR(VLOOKUP($C80,Planes_de_estudio[],MATCH($AK$2,Carreras,0)+2,0),"")&gt;0,IFERROR(VLOOKUP($C80,Planes_de_estudio[],MATCH($AK$2,Carreras,0)+2,0),""),"")</f>
        <v/>
      </c>
      <c r="AL80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80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28</v>
      </c>
      <c r="AN80" s="117">
        <f>base_de_datos[[#This Row],[Pronóstico]]/25</f>
        <v>1.1200000000000001</v>
      </c>
      <c r="AO80" s="117" t="str">
        <f>VLOOKUP($C80,Planes_de_estudio[],2)</f>
        <v>IID</v>
      </c>
      <c r="AP80" s="119" t="str">
        <f ca="1">IF(AND(base_de_datos[[#This Row],[Industrial]]&lt;&gt;"",base_de_datos[[#This Row],[Misma o no]]=1),base_de_datos[[#This Row],[Índice]],"")</f>
        <v/>
      </c>
      <c r="AQ80" s="119" t="str">
        <f ca="1">IF(AND(base_de_datos[[#This Row],[Mecatrónica]]&lt;&gt;"",base_de_datos[[#This Row],[Misma o no]]=1),base_de_datos[[#This Row],[Índice]],"")</f>
        <v/>
      </c>
      <c r="AR80" s="119">
        <f ca="1">IF(AND(base_de_datos[[#This Row],[Innovación y Diseño]]&lt;&gt;"",base_de_datos[[#This Row],[Misma o no]]=1),base_de_datos[[#This Row],[Índice]],"")</f>
        <v>4</v>
      </c>
      <c r="AS80" s="119" t="str">
        <f ca="1">IF(AND(base_de_datos[[#This Row],[Inteligencia Artificial]]&lt;&gt;"",base_de_datos[[#This Row],[Misma o no]]=1),base_de_datos[[#This Row],[Índice]],"")</f>
        <v/>
      </c>
      <c r="AT80" s="119" t="str">
        <f ca="1">IF(AND(base_de_datos[[#This Row],[Tecnologías Energéticas]]&lt;&gt;"",base_de_datos[[#This Row],[Misma o no]]=1),base_de_datos[[#This Row],[Índice]],"")</f>
        <v/>
      </c>
      <c r="AU80" s="119" t="str">
        <f ca="1">IF(AND(base_de_datos[[#This Row],[Civil y Administración]]&lt;&gt;"",base_de_datos[[#This Row],[Misma o no]]=1),base_de_datos[[#This Row],[Índice]],"")</f>
        <v/>
      </c>
      <c r="AV80" s="119" t="str">
        <f ca="1">IF(AND(base_de_datos[[#This Row],[Bioelectrónica]]&lt;&gt;"",base_de_datos[[#This Row],[Misma o no]]=1),base_de_datos[[#This Row],[Índice]],"")</f>
        <v/>
      </c>
      <c r="AW80" s="120"/>
      <c r="AX80" s="4">
        <v>1</v>
      </c>
    </row>
    <row r="81" spans="2:50" s="6" customFormat="1" ht="13" x14ac:dyDescent="0.3">
      <c r="B81" s="9" t="s">
        <v>216</v>
      </c>
      <c r="C81" s="1" t="s">
        <v>260</v>
      </c>
      <c r="D81" s="4">
        <v>1</v>
      </c>
      <c r="E81" s="113">
        <v>0.29166666666666669</v>
      </c>
      <c r="F81" s="113">
        <v>0.374999999999999</v>
      </c>
      <c r="G81" s="226" t="s">
        <v>92</v>
      </c>
      <c r="H81" s="4" t="s">
        <v>194</v>
      </c>
      <c r="I81" s="4"/>
      <c r="J81" s="198">
        <v>22</v>
      </c>
      <c r="K81" s="128"/>
      <c r="L81" s="3"/>
      <c r="M81" s="128"/>
      <c r="N81" s="3"/>
      <c r="O81" s="2" t="s">
        <v>261</v>
      </c>
      <c r="P81" s="114"/>
      <c r="Q81" s="114"/>
      <c r="R81" s="114"/>
      <c r="S81" s="114" t="s">
        <v>90</v>
      </c>
      <c r="T81" s="114"/>
      <c r="U81" s="114"/>
      <c r="V81" s="114"/>
      <c r="W81" s="114"/>
      <c r="X81" s="116">
        <f>_xlfn.XLOOKUP(base_de_datos[[#This Row],[Materia]],Materias,Horas)/16</f>
        <v>4</v>
      </c>
      <c r="Y81" s="116">
        <f>ROUND(((base_de_datos[[#This Row],[Hora fin]]-base_de_datos[[#This Row],[Hora inicio]])*24)*(COUNTA(base_de_datos[[#This Row],[Lunes]:[Sábado]])),1)</f>
        <v>2</v>
      </c>
      <c r="Z81" s="116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81" s="116">
        <f ca="1">IF(base_de_datos[[#This Row],[No clase]]=OFFSET(base_de_datos[[#This Row],[No clase]],-1,0),0,1)</f>
        <v>1</v>
      </c>
      <c r="AB81" s="116">
        <f ca="1">IF(NOT(OR(base_de_datos[[#This Row],[Horas totales]]=base_de_datos[[#This Row],[HT Plan]],base_de_datos[[#This Row],[Horas totales]]="N/A")),1,0)</f>
        <v>0</v>
      </c>
      <c r="AC81" s="116" t="str">
        <f>_xlfn.XLOOKUP(base_de_datos[[#This Row],[Profesor]],Nombre,Grado)</f>
        <v>SNI</v>
      </c>
      <c r="AD81" s="118" t="str">
        <f>_xlfn.XLOOKUP(base_de_datos[[#This Row],[Profesor]],Nombre,Tipo)</f>
        <v>TC</v>
      </c>
      <c r="AE81" s="116">
        <f>IF(IFERROR(VLOOKUP($C81,Planes_de_estudio[],MATCH($AE$2,Carreras,0)+2,0),"")&gt;0,IFERROR(VLOOKUP($C81,Planes_de_estudio[],MATCH($AE$2,Carreras,0)+2,0),""),"")</f>
        <v>4</v>
      </c>
      <c r="AF81" s="116">
        <f>IF(IFERROR(VLOOKUP($C81,Planes_de_estudio[],MATCH($AF$2,Carreras,0)+2,0),"")&gt;0,IFERROR(VLOOKUP($C81,Planes_de_estudio[],MATCH($AF$2,Carreras,0)+2,0),""),"")</f>
        <v>4</v>
      </c>
      <c r="AG81" s="116">
        <f>IF(IFERROR(VLOOKUP($C81,Planes_de_estudio[],MATCH($AG$2,Carreras,0)+2,0),"")&gt;0,IFERROR(VLOOKUP($C81,Planes_de_estudio[],MATCH($AG$2,Carreras,0)+2,0),""),"")</f>
        <v>5</v>
      </c>
      <c r="AH81" s="116" t="str">
        <f>IF(IFERROR(VLOOKUP($C81,Planes_de_estudio[],MATCH($AH$2,Carreras,0)+2,0),"")&gt;0,IFERROR(VLOOKUP($C81,Planes_de_estudio[],MATCH($AH$2,Carreras,0)+2,0),""),"")</f>
        <v/>
      </c>
      <c r="AI81" s="116">
        <f>IF(IFERROR(VLOOKUP($C81,Planes_de_estudio[],MATCH($AI$2,Carreras,0)+2,0),"")&gt;0,IFERROR(VLOOKUP($C81,Planes_de_estudio[],MATCH($AI$2,Carreras,0)+2,0),""),"")</f>
        <v>3</v>
      </c>
      <c r="AJ81" s="116" t="str">
        <f>IF(IFERROR(VLOOKUP($C81,Planes_de_estudio[],MATCH($AJ$2,Carreras,0)+2,0),"")&gt;0,IFERROR(VLOOKUP($C81,Planes_de_estudio[],MATCH($AJ$2,Carreras,0)+2,0),""),"")</f>
        <v/>
      </c>
      <c r="AK81" s="116">
        <f>IF(IFERROR(VLOOKUP($C81,Planes_de_estudio[],MATCH($AK$2,Carreras,0)+2,0),"")&gt;0,IFERROR(VLOOKUP($C81,Planes_de_estudio[],MATCH($AK$2,Carreras,0)+2,0),""),"")</f>
        <v>4</v>
      </c>
      <c r="AL81" s="116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81" s="116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44</v>
      </c>
      <c r="AN81" s="116">
        <f>base_de_datos[[#This Row],[Pronóstico]]/25</f>
        <v>1.76</v>
      </c>
      <c r="AO81" s="116" t="str">
        <f>VLOOKUP($C81,Planes_de_estudio[],2)</f>
        <v>EEC</v>
      </c>
      <c r="AP81" s="129">
        <f ca="1">IF(AND(base_de_datos[[#This Row],[Industrial]]&lt;&gt;"",base_de_datos[[#This Row],[Misma o no]]=1),base_de_datos[[#This Row],[Índice]],"")</f>
        <v>6</v>
      </c>
      <c r="AQ81" s="129">
        <f ca="1">IF(AND(base_de_datos[[#This Row],[Mecatrónica]]&lt;&gt;"",base_de_datos[[#This Row],[Misma o no]]=1),base_de_datos[[#This Row],[Índice]],"")</f>
        <v>6</v>
      </c>
      <c r="AR81" s="129">
        <f ca="1">IF(AND(base_de_datos[[#This Row],[Innovación y Diseño]]&lt;&gt;"",base_de_datos[[#This Row],[Misma o no]]=1),base_de_datos[[#This Row],[Índice]],"")</f>
        <v>6</v>
      </c>
      <c r="AS81" s="129" t="str">
        <f ca="1">IF(AND(base_de_datos[[#This Row],[Inteligencia Artificial]]&lt;&gt;"",base_de_datos[[#This Row],[Misma o no]]=1),base_de_datos[[#This Row],[Índice]],"")</f>
        <v/>
      </c>
      <c r="AT81" s="129">
        <f ca="1">IF(AND(base_de_datos[[#This Row],[Tecnologías Energéticas]]&lt;&gt;"",base_de_datos[[#This Row],[Misma o no]]=1),base_de_datos[[#This Row],[Índice]],"")</f>
        <v>6</v>
      </c>
      <c r="AU81" s="129" t="str">
        <f ca="1">IF(AND(base_de_datos[[#This Row],[Civil y Administración]]&lt;&gt;"",base_de_datos[[#This Row],[Misma o no]]=1),base_de_datos[[#This Row],[Índice]],"")</f>
        <v/>
      </c>
      <c r="AV81" s="129">
        <f ca="1">IF(AND(base_de_datos[[#This Row],[Bioelectrónica]]&lt;&gt;"",base_de_datos[[#This Row],[Misma o no]]=1),base_de_datos[[#This Row],[Índice]],"")</f>
        <v>6</v>
      </c>
      <c r="AW81" s="130"/>
      <c r="AX81" s="4" t="s">
        <v>1813</v>
      </c>
    </row>
    <row r="82" spans="2:50" s="6" customFormat="1" ht="13.5" customHeight="1" x14ac:dyDescent="0.3">
      <c r="B82" s="9" t="s">
        <v>216</v>
      </c>
      <c r="C82" s="1" t="s">
        <v>260</v>
      </c>
      <c r="D82" s="4">
        <v>1</v>
      </c>
      <c r="E82" s="113">
        <v>0.5</v>
      </c>
      <c r="F82" s="113">
        <v>0.58333333333332904</v>
      </c>
      <c r="G82" s="226" t="s">
        <v>92</v>
      </c>
      <c r="H82" s="4" t="s">
        <v>194</v>
      </c>
      <c r="I82" s="4"/>
      <c r="J82" s="198">
        <v>22</v>
      </c>
      <c r="K82" s="115"/>
      <c r="L82" s="3"/>
      <c r="M82" s="115"/>
      <c r="N82" s="3"/>
      <c r="O82" s="2" t="s">
        <v>261</v>
      </c>
      <c r="P82" s="114"/>
      <c r="Q82" s="114"/>
      <c r="R82" s="114"/>
      <c r="S82" s="114"/>
      <c r="T82" s="114" t="s">
        <v>90</v>
      </c>
      <c r="U82" s="114"/>
      <c r="V82" s="114"/>
      <c r="W82" s="114"/>
      <c r="X82" s="116">
        <f>_xlfn.XLOOKUP(base_de_datos[[#This Row],[Materia]],Materias,Horas)/16</f>
        <v>4</v>
      </c>
      <c r="Y82" s="116">
        <f>ROUND(((base_de_datos[[#This Row],[Hora fin]]-base_de_datos[[#This Row],[Hora inicio]])*24)*(COUNTA(base_de_datos[[#This Row],[Lunes]:[Sábado]])),1)</f>
        <v>2</v>
      </c>
      <c r="Z82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82" s="117">
        <f ca="1">IF(base_de_datos[[#This Row],[No clase]]=OFFSET(base_de_datos[[#This Row],[No clase]],-1,0),0,1)</f>
        <v>0</v>
      </c>
      <c r="AB82" s="117">
        <f ca="1">IF(NOT(OR(base_de_datos[[#This Row],[Horas totales]]=base_de_datos[[#This Row],[HT Plan]],base_de_datos[[#This Row],[Horas totales]]="N/A")),1,0)</f>
        <v>0</v>
      </c>
      <c r="AC82" s="116" t="str">
        <f>_xlfn.XLOOKUP(base_de_datos[[#This Row],[Profesor]],Nombre,Grado)</f>
        <v>SNI</v>
      </c>
      <c r="AD82" s="118" t="str">
        <f>_xlfn.XLOOKUP(base_de_datos[[#This Row],[Profesor]],Nombre,Tipo)</f>
        <v>TC</v>
      </c>
      <c r="AE82" s="116">
        <f>IF(IFERROR(VLOOKUP($C82,Planes_de_estudio[],MATCH($AE$2,Carreras,0)+2,0),"")&gt;0,IFERROR(VLOOKUP($C82,Planes_de_estudio[],MATCH($AE$2,Carreras,0)+2,0),""),"")</f>
        <v>4</v>
      </c>
      <c r="AF82" s="116">
        <f>IF(IFERROR(VLOOKUP($C82,Planes_de_estudio[],MATCH($AF$2,Carreras,0)+2,0),"")&gt;0,IFERROR(VLOOKUP($C82,Planes_de_estudio[],MATCH($AF$2,Carreras,0)+2,0),""),"")</f>
        <v>4</v>
      </c>
      <c r="AG82" s="116">
        <f>IF(IFERROR(VLOOKUP($C82,Planes_de_estudio[],MATCH($AG$2,Carreras,0)+2,0),"")&gt;0,IFERROR(VLOOKUP($C82,Planes_de_estudio[],MATCH($AG$2,Carreras,0)+2,0),""),"")</f>
        <v>5</v>
      </c>
      <c r="AH82" s="116" t="str">
        <f>IF(IFERROR(VLOOKUP($C82,Planes_de_estudio[],MATCH($AH$2,Carreras,0)+2,0),"")&gt;0,IFERROR(VLOOKUP($C82,Planes_de_estudio[],MATCH($AH$2,Carreras,0)+2,0),""),"")</f>
        <v/>
      </c>
      <c r="AI82" s="116">
        <f>IF(IFERROR(VLOOKUP($C82,Planes_de_estudio[],MATCH($AI$2,Carreras,0)+2,0),"")&gt;0,IFERROR(VLOOKUP($C82,Planes_de_estudio[],MATCH($AI$2,Carreras,0)+2,0),""),"")</f>
        <v>3</v>
      </c>
      <c r="AJ82" s="116" t="str">
        <f>IF(IFERROR(VLOOKUP($C82,Planes_de_estudio[],MATCH($AJ$2,Carreras,0)+2,0),"")&gt;0,IFERROR(VLOOKUP($C82,Planes_de_estudio[],MATCH($AJ$2,Carreras,0)+2,0),""),"")</f>
        <v/>
      </c>
      <c r="AK82" s="116">
        <f>IF(IFERROR(VLOOKUP($C82,Planes_de_estudio[],MATCH($AK$2,Carreras,0)+2,0),"")&gt;0,IFERROR(VLOOKUP($C82,Planes_de_estudio[],MATCH($AK$2,Carreras,0)+2,0),""),"")</f>
        <v>4</v>
      </c>
      <c r="AL82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82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44</v>
      </c>
      <c r="AN82" s="117">
        <f>base_de_datos[[#This Row],[Pronóstico]]/25</f>
        <v>1.76</v>
      </c>
      <c r="AO82" s="117" t="str">
        <f>VLOOKUP($C82,Planes_de_estudio[],2)</f>
        <v>EEC</v>
      </c>
      <c r="AP82" s="119" t="str">
        <f ca="1">IF(AND(base_de_datos[[#This Row],[Industrial]]&lt;&gt;"",base_de_datos[[#This Row],[Misma o no]]=1),base_de_datos[[#This Row],[Índice]],"")</f>
        <v/>
      </c>
      <c r="AQ82" s="119" t="str">
        <f ca="1">IF(AND(base_de_datos[[#This Row],[Mecatrónica]]&lt;&gt;"",base_de_datos[[#This Row],[Misma o no]]=1),base_de_datos[[#This Row],[Índice]],"")</f>
        <v/>
      </c>
      <c r="AR82" s="119" t="str">
        <f ca="1">IF(AND(base_de_datos[[#This Row],[Innovación y Diseño]]&lt;&gt;"",base_de_datos[[#This Row],[Misma o no]]=1),base_de_datos[[#This Row],[Índice]],"")</f>
        <v/>
      </c>
      <c r="AS82" s="119" t="str">
        <f ca="1">IF(AND(base_de_datos[[#This Row],[Inteligencia Artificial]]&lt;&gt;"",base_de_datos[[#This Row],[Misma o no]]=1),base_de_datos[[#This Row],[Índice]],"")</f>
        <v/>
      </c>
      <c r="AT82" s="119" t="str">
        <f ca="1">IF(AND(base_de_datos[[#This Row],[Tecnologías Energéticas]]&lt;&gt;"",base_de_datos[[#This Row],[Misma o no]]=1),base_de_datos[[#This Row],[Índice]],"")</f>
        <v/>
      </c>
      <c r="AU82" s="119" t="str">
        <f ca="1">IF(AND(base_de_datos[[#This Row],[Civil y Administración]]&lt;&gt;"",base_de_datos[[#This Row],[Misma o no]]=1),base_de_datos[[#This Row],[Índice]],"")</f>
        <v/>
      </c>
      <c r="AV82" s="119" t="str">
        <f ca="1">IF(AND(base_de_datos[[#This Row],[Bioelectrónica]]&lt;&gt;"",base_de_datos[[#This Row],[Misma o no]]=1),base_de_datos[[#This Row],[Índice]],"")</f>
        <v/>
      </c>
      <c r="AW82" s="120"/>
      <c r="AX82" s="4" t="s">
        <v>1813</v>
      </c>
    </row>
    <row r="83" spans="2:50" s="6" customFormat="1" ht="13" x14ac:dyDescent="0.3">
      <c r="B83" s="6" t="s">
        <v>295</v>
      </c>
      <c r="C83" s="1" t="s">
        <v>296</v>
      </c>
      <c r="D83" s="4">
        <v>1</v>
      </c>
      <c r="E83" s="113">
        <v>0.39583333333333398</v>
      </c>
      <c r="F83" s="113">
        <v>0.45833333333333098</v>
      </c>
      <c r="G83" s="4" t="s">
        <v>87</v>
      </c>
      <c r="H83" s="4" t="s">
        <v>297</v>
      </c>
      <c r="I83" s="4"/>
      <c r="J83" s="126">
        <v>15</v>
      </c>
      <c r="K83" s="115"/>
      <c r="L83" s="3"/>
      <c r="M83" s="127"/>
      <c r="N83" s="3"/>
      <c r="O83" s="4">
        <v>1901</v>
      </c>
      <c r="P83" s="114"/>
      <c r="Q83" s="114"/>
      <c r="R83" s="114"/>
      <c r="S83" s="114"/>
      <c r="T83" s="114" t="s">
        <v>90</v>
      </c>
      <c r="U83" s="114"/>
      <c r="V83" s="114"/>
      <c r="W83" s="114"/>
      <c r="X83" s="117">
        <f>_xlfn.XLOOKUP(base_de_datos[[#This Row],[Materia]],Materias,Horas)/16</f>
        <v>4</v>
      </c>
      <c r="Y83" s="117">
        <f>ROUND(((base_de_datos[[#This Row],[Hora fin]]-base_de_datos[[#This Row],[Hora inicio]])*24)*(COUNTA(base_de_datos[[#This Row],[Lunes]:[Sábado]])),1)</f>
        <v>1.5</v>
      </c>
      <c r="Z83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83" s="117">
        <f ca="1">IF(base_de_datos[[#This Row],[No clase]]=OFFSET(base_de_datos[[#This Row],[No clase]],-1,0),0,1)</f>
        <v>1</v>
      </c>
      <c r="AB83" s="117">
        <f ca="1">IF(NOT(OR(base_de_datos[[#This Row],[Horas totales]]=base_de_datos[[#This Row],[HT Plan]],base_de_datos[[#This Row],[Horas totales]]="N/A")),1,0)</f>
        <v>0</v>
      </c>
      <c r="AC83" s="117" t="str">
        <f>_xlfn.XLOOKUP(base_de_datos[[#This Row],[Profesor]],Nombre,Grado)</f>
        <v>D</v>
      </c>
      <c r="AD83" s="118" t="str">
        <f>_xlfn.XLOOKUP(base_de_datos[[#This Row],[Profesor]],Nombre,Tipo)</f>
        <v>A</v>
      </c>
      <c r="AE83" s="117" t="str">
        <f>IF(IFERROR(VLOOKUP($C83,Planes_de_estudio[],MATCH($AE$2,Carreras,0)+2,0),"")&gt;0,IFERROR(VLOOKUP($C83,Planes_de_estudio[],MATCH($AE$2,Carreras,0)+2,0),""),"")</f>
        <v/>
      </c>
      <c r="AF83" s="117" t="str">
        <f>IF(IFERROR(VLOOKUP($C83,Planes_de_estudio[],MATCH($AF$2,Carreras,0)+2,0),"")&gt;0,IFERROR(VLOOKUP($C83,Planes_de_estudio[],MATCH($AF$2,Carreras,0)+2,0),""),"")</f>
        <v/>
      </c>
      <c r="AG83" s="117">
        <f>IF(IFERROR(VLOOKUP($C83,Planes_de_estudio[],MATCH($AG$2,Carreras,0)+2,0),"")&gt;0,IFERROR(VLOOKUP($C83,Planes_de_estudio[],MATCH($AG$2,Carreras,0)+2,0),""),"")</f>
        <v>4</v>
      </c>
      <c r="AH83" s="117" t="str">
        <f>IF(IFERROR(VLOOKUP($C83,Planes_de_estudio[],MATCH($AH$2,Carreras,0)+2,0),"")&gt;0,IFERROR(VLOOKUP($C83,Planes_de_estudio[],MATCH($AH$2,Carreras,0)+2,0),""),"")</f>
        <v/>
      </c>
      <c r="AI83" s="117" t="str">
        <f>IF(IFERROR(VLOOKUP($C83,Planes_de_estudio[],MATCH($AI$2,Carreras,0)+2,0),"")&gt;0,IFERROR(VLOOKUP($C83,Planes_de_estudio[],MATCH($AI$2,Carreras,0)+2,0),""),"")</f>
        <v/>
      </c>
      <c r="AJ83" s="117" t="str">
        <f>IF(IFERROR(VLOOKUP($C83,Planes_de_estudio[],MATCH($AJ$2,Carreras,0)+2,0),"")&gt;0,IFERROR(VLOOKUP($C83,Planes_de_estudio[],MATCH($AJ$2,Carreras,0)+2,0),""),"")</f>
        <v/>
      </c>
      <c r="AK83" s="117" t="str">
        <f>IF(IFERROR(VLOOKUP($C83,Planes_de_estudio[],MATCH($AK$2,Carreras,0)+2,0),"")&gt;0,IFERROR(VLOOKUP($C83,Planes_de_estudio[],MATCH($AK$2,Carreras,0)+2,0),""),"")</f>
        <v/>
      </c>
      <c r="AL83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83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15</v>
      </c>
      <c r="AN83" s="117">
        <f>base_de_datos[[#This Row],[Pronóstico]]/25</f>
        <v>0.6</v>
      </c>
      <c r="AO83" s="117" t="str">
        <f>VLOOKUP($C83,Planes_de_estudio[],2)</f>
        <v>IID</v>
      </c>
      <c r="AP83" s="119" t="str">
        <f ca="1">IF(AND(base_de_datos[[#This Row],[Industrial]]&lt;&gt;"",base_de_datos[[#This Row],[Misma o no]]=1),base_de_datos[[#This Row],[Índice]],"")</f>
        <v/>
      </c>
      <c r="AQ83" s="119" t="str">
        <f ca="1">IF(AND(base_de_datos[[#This Row],[Mecatrónica]]&lt;&gt;"",base_de_datos[[#This Row],[Misma o no]]=1),base_de_datos[[#This Row],[Índice]],"")</f>
        <v/>
      </c>
      <c r="AR83" s="119">
        <f ca="1">IF(AND(base_de_datos[[#This Row],[Innovación y Diseño]]&lt;&gt;"",base_de_datos[[#This Row],[Misma o no]]=1),base_de_datos[[#This Row],[Índice]],"")</f>
        <v>6</v>
      </c>
      <c r="AS83" s="119" t="str">
        <f ca="1">IF(AND(base_de_datos[[#This Row],[Inteligencia Artificial]]&lt;&gt;"",base_de_datos[[#This Row],[Misma o no]]=1),base_de_datos[[#This Row],[Índice]],"")</f>
        <v/>
      </c>
      <c r="AT83" s="119" t="str">
        <f ca="1">IF(AND(base_de_datos[[#This Row],[Tecnologías Energéticas]]&lt;&gt;"",base_de_datos[[#This Row],[Misma o no]]=1),base_de_datos[[#This Row],[Índice]],"")</f>
        <v/>
      </c>
      <c r="AU83" s="119" t="str">
        <f ca="1">IF(AND(base_de_datos[[#This Row],[Civil y Administración]]&lt;&gt;"",base_de_datos[[#This Row],[Misma o no]]=1),base_de_datos[[#This Row],[Índice]],"")</f>
        <v/>
      </c>
      <c r="AV83" s="119" t="str">
        <f ca="1">IF(AND(base_de_datos[[#This Row],[Bioelectrónica]]&lt;&gt;"",base_de_datos[[#This Row],[Misma o no]]=1),base_de_datos[[#This Row],[Índice]],"")</f>
        <v/>
      </c>
      <c r="AW83" s="120"/>
      <c r="AX83" s="4">
        <v>2</v>
      </c>
    </row>
    <row r="84" spans="2:50" s="6" customFormat="1" ht="13" x14ac:dyDescent="0.3">
      <c r="B84" s="6" t="s">
        <v>295</v>
      </c>
      <c r="C84" s="1" t="s">
        <v>296</v>
      </c>
      <c r="D84" s="4">
        <v>1</v>
      </c>
      <c r="E84" s="113">
        <v>0.5</v>
      </c>
      <c r="F84" s="113">
        <v>0.60416666666666197</v>
      </c>
      <c r="G84" s="4" t="s">
        <v>87</v>
      </c>
      <c r="H84" s="4" t="s">
        <v>297</v>
      </c>
      <c r="I84" s="4"/>
      <c r="J84" s="126">
        <v>15</v>
      </c>
      <c r="K84" s="115"/>
      <c r="L84" s="3"/>
      <c r="M84" s="127"/>
      <c r="N84" s="3"/>
      <c r="O84" s="4">
        <v>1901</v>
      </c>
      <c r="P84" s="114"/>
      <c r="Q84" s="114"/>
      <c r="R84" s="114"/>
      <c r="S84" s="114"/>
      <c r="T84" s="114" t="s">
        <v>90</v>
      </c>
      <c r="U84" s="114"/>
      <c r="V84" s="114"/>
      <c r="W84" s="114"/>
      <c r="X84" s="117">
        <f>_xlfn.XLOOKUP(base_de_datos[[#This Row],[Materia]],Materias,Horas)/16</f>
        <v>4</v>
      </c>
      <c r="Y84" s="117">
        <f>ROUND(((base_de_datos[[#This Row],[Hora fin]]-base_de_datos[[#This Row],[Hora inicio]])*24)*(COUNTA(base_de_datos[[#This Row],[Lunes]:[Sábado]])),1)</f>
        <v>2.5</v>
      </c>
      <c r="Z84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84" s="117">
        <f ca="1">IF(base_de_datos[[#This Row],[No clase]]=OFFSET(base_de_datos[[#This Row],[No clase]],-1,0),0,1)</f>
        <v>0</v>
      </c>
      <c r="AB84" s="117">
        <f ca="1">IF(NOT(OR(base_de_datos[[#This Row],[Horas totales]]=base_de_datos[[#This Row],[HT Plan]],base_de_datos[[#This Row],[Horas totales]]="N/A")),1,0)</f>
        <v>0</v>
      </c>
      <c r="AC84" s="117" t="str">
        <f>_xlfn.XLOOKUP(base_de_datos[[#This Row],[Profesor]],Nombre,Grado)</f>
        <v>D</v>
      </c>
      <c r="AD84" s="118" t="str">
        <f>_xlfn.XLOOKUP(base_de_datos[[#This Row],[Profesor]],Nombre,Tipo)</f>
        <v>A</v>
      </c>
      <c r="AE84" s="117" t="str">
        <f>IF(IFERROR(VLOOKUP($C84,Planes_de_estudio[],MATCH($AE$2,Carreras,0)+2,0),"")&gt;0,IFERROR(VLOOKUP($C84,Planes_de_estudio[],MATCH($AE$2,Carreras,0)+2,0),""),"")</f>
        <v/>
      </c>
      <c r="AF84" s="117" t="str">
        <f>IF(IFERROR(VLOOKUP($C84,Planes_de_estudio[],MATCH($AF$2,Carreras,0)+2,0),"")&gt;0,IFERROR(VLOOKUP($C84,Planes_de_estudio[],MATCH($AF$2,Carreras,0)+2,0),""),"")</f>
        <v/>
      </c>
      <c r="AG84" s="117">
        <f>IF(IFERROR(VLOOKUP($C84,Planes_de_estudio[],MATCH($AG$2,Carreras,0)+2,0),"")&gt;0,IFERROR(VLOOKUP($C84,Planes_de_estudio[],MATCH($AG$2,Carreras,0)+2,0),""),"")</f>
        <v>4</v>
      </c>
      <c r="AH84" s="117" t="str">
        <f>IF(IFERROR(VLOOKUP($C84,Planes_de_estudio[],MATCH($AH$2,Carreras,0)+2,0),"")&gt;0,IFERROR(VLOOKUP($C84,Planes_de_estudio[],MATCH($AH$2,Carreras,0)+2,0),""),"")</f>
        <v/>
      </c>
      <c r="AI84" s="117" t="str">
        <f>IF(IFERROR(VLOOKUP($C84,Planes_de_estudio[],MATCH($AI$2,Carreras,0)+2,0),"")&gt;0,IFERROR(VLOOKUP($C84,Planes_de_estudio[],MATCH($AI$2,Carreras,0)+2,0),""),"")</f>
        <v/>
      </c>
      <c r="AJ84" s="117" t="str">
        <f>IF(IFERROR(VLOOKUP($C84,Planes_de_estudio[],MATCH($AJ$2,Carreras,0)+2,0),"")&gt;0,IFERROR(VLOOKUP($C84,Planes_de_estudio[],MATCH($AJ$2,Carreras,0)+2,0),""),"")</f>
        <v/>
      </c>
      <c r="AK84" s="117" t="str">
        <f>IF(IFERROR(VLOOKUP($C84,Planes_de_estudio[],MATCH($AK$2,Carreras,0)+2,0),"")&gt;0,IFERROR(VLOOKUP($C84,Planes_de_estudio[],MATCH($AK$2,Carreras,0)+2,0),""),"")</f>
        <v/>
      </c>
      <c r="AL84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84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15</v>
      </c>
      <c r="AN84" s="117">
        <f>base_de_datos[[#This Row],[Pronóstico]]/25</f>
        <v>0.6</v>
      </c>
      <c r="AO84" s="117" t="str">
        <f>VLOOKUP($C84,Planes_de_estudio[],2)</f>
        <v>IID</v>
      </c>
      <c r="AP84" s="119" t="str">
        <f ca="1">IF(AND(base_de_datos[[#This Row],[Industrial]]&lt;&gt;"",base_de_datos[[#This Row],[Misma o no]]=1),base_de_datos[[#This Row],[Índice]],"")</f>
        <v/>
      </c>
      <c r="AQ84" s="119" t="str">
        <f ca="1">IF(AND(base_de_datos[[#This Row],[Mecatrónica]]&lt;&gt;"",base_de_datos[[#This Row],[Misma o no]]=1),base_de_datos[[#This Row],[Índice]],"")</f>
        <v/>
      </c>
      <c r="AR84" s="119" t="str">
        <f ca="1">IF(AND(base_de_datos[[#This Row],[Innovación y Diseño]]&lt;&gt;"",base_de_datos[[#This Row],[Misma o no]]=1),base_de_datos[[#This Row],[Índice]],"")</f>
        <v/>
      </c>
      <c r="AS84" s="119" t="str">
        <f ca="1">IF(AND(base_de_datos[[#This Row],[Inteligencia Artificial]]&lt;&gt;"",base_de_datos[[#This Row],[Misma o no]]=1),base_de_datos[[#This Row],[Índice]],"")</f>
        <v/>
      </c>
      <c r="AT84" s="119" t="str">
        <f ca="1">IF(AND(base_de_datos[[#This Row],[Tecnologías Energéticas]]&lt;&gt;"",base_de_datos[[#This Row],[Misma o no]]=1),base_de_datos[[#This Row],[Índice]],"")</f>
        <v/>
      </c>
      <c r="AU84" s="119" t="str">
        <f ca="1">IF(AND(base_de_datos[[#This Row],[Civil y Administración]]&lt;&gt;"",base_de_datos[[#This Row],[Misma o no]]=1),base_de_datos[[#This Row],[Índice]],"")</f>
        <v/>
      </c>
      <c r="AV84" s="119" t="str">
        <f ca="1">IF(AND(base_de_datos[[#This Row],[Bioelectrónica]]&lt;&gt;"",base_de_datos[[#This Row],[Misma o no]]=1),base_de_datos[[#This Row],[Índice]],"")</f>
        <v/>
      </c>
      <c r="AW84" s="120"/>
      <c r="AX84" s="4">
        <v>2</v>
      </c>
    </row>
    <row r="85" spans="2:50" s="6" customFormat="1" ht="13" x14ac:dyDescent="0.3">
      <c r="B85" s="9" t="s">
        <v>262</v>
      </c>
      <c r="C85" s="1" t="s">
        <v>260</v>
      </c>
      <c r="D85" s="4">
        <v>2</v>
      </c>
      <c r="E85" s="113">
        <v>0.29166666666666669</v>
      </c>
      <c r="F85" s="113">
        <v>0.374999999999999</v>
      </c>
      <c r="G85" s="4" t="s">
        <v>87</v>
      </c>
      <c r="H85" s="4" t="s">
        <v>144</v>
      </c>
      <c r="I85" s="4"/>
      <c r="J85" s="114">
        <v>22</v>
      </c>
      <c r="K85" s="115"/>
      <c r="L85" s="3"/>
      <c r="M85" s="115"/>
      <c r="N85" s="3"/>
      <c r="O85" s="2" t="s">
        <v>263</v>
      </c>
      <c r="P85" s="114"/>
      <c r="Q85" s="114"/>
      <c r="R85" s="114"/>
      <c r="S85" s="114" t="s">
        <v>90</v>
      </c>
      <c r="T85" s="114"/>
      <c r="U85" s="114"/>
      <c r="V85" s="114"/>
      <c r="W85" s="114"/>
      <c r="X85" s="116">
        <f>_xlfn.XLOOKUP(base_de_datos[[#This Row],[Materia]],Materias,Horas)/16</f>
        <v>4</v>
      </c>
      <c r="Y85" s="116">
        <f>ROUND(((base_de_datos[[#This Row],[Hora fin]]-base_de_datos[[#This Row],[Hora inicio]])*24)*(COUNTA(base_de_datos[[#This Row],[Lunes]:[Sábado]])),1)</f>
        <v>2</v>
      </c>
      <c r="Z85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85" s="117">
        <f ca="1">IF(base_de_datos[[#This Row],[No clase]]=OFFSET(base_de_datos[[#This Row],[No clase]],-1,0),0,1)</f>
        <v>1</v>
      </c>
      <c r="AB85" s="117">
        <f ca="1">IF(NOT(OR(base_de_datos[[#This Row],[Horas totales]]=base_de_datos[[#This Row],[HT Plan]],base_de_datos[[#This Row],[Horas totales]]="N/A")),1,0)</f>
        <v>0</v>
      </c>
      <c r="AC85" s="116" t="str">
        <f>_xlfn.XLOOKUP(base_de_datos[[#This Row],[Profesor]],Nombre,Grado)</f>
        <v>D</v>
      </c>
      <c r="AD85" s="118" t="str">
        <f>_xlfn.XLOOKUP(base_de_datos[[#This Row],[Profesor]],Nombre,Tipo)</f>
        <v>A</v>
      </c>
      <c r="AE85" s="116">
        <f>IF(IFERROR(VLOOKUP($C85,Planes_de_estudio[],MATCH($AE$2,Carreras,0)+2,0),"")&gt;0,IFERROR(VLOOKUP($C85,Planes_de_estudio[],MATCH($AE$2,Carreras,0)+2,0),""),"")</f>
        <v>4</v>
      </c>
      <c r="AF85" s="116">
        <f>IF(IFERROR(VLOOKUP($C85,Planes_de_estudio[],MATCH($AF$2,Carreras,0)+2,0),"")&gt;0,IFERROR(VLOOKUP($C85,Planes_de_estudio[],MATCH($AF$2,Carreras,0)+2,0),""),"")</f>
        <v>4</v>
      </c>
      <c r="AG85" s="116">
        <f>IF(IFERROR(VLOOKUP($C85,Planes_de_estudio[],MATCH($AG$2,Carreras,0)+2,0),"")&gt;0,IFERROR(VLOOKUP($C85,Planes_de_estudio[],MATCH($AG$2,Carreras,0)+2,0),""),"")</f>
        <v>5</v>
      </c>
      <c r="AH85" s="116" t="str">
        <f>IF(IFERROR(VLOOKUP($C85,Planes_de_estudio[],MATCH($AH$2,Carreras,0)+2,0),"")&gt;0,IFERROR(VLOOKUP($C85,Planes_de_estudio[],MATCH($AH$2,Carreras,0)+2,0),""),"")</f>
        <v/>
      </c>
      <c r="AI85" s="116">
        <f>IF(IFERROR(VLOOKUP($C85,Planes_de_estudio[],MATCH($AI$2,Carreras,0)+2,0),"")&gt;0,IFERROR(VLOOKUP($C85,Planes_de_estudio[],MATCH($AI$2,Carreras,0)+2,0),""),"")</f>
        <v>3</v>
      </c>
      <c r="AJ85" s="116" t="str">
        <f>IF(IFERROR(VLOOKUP($C85,Planes_de_estudio[],MATCH($AJ$2,Carreras,0)+2,0),"")&gt;0,IFERROR(VLOOKUP($C85,Planes_de_estudio[],MATCH($AJ$2,Carreras,0)+2,0),""),"")</f>
        <v/>
      </c>
      <c r="AK85" s="116">
        <f>IF(IFERROR(VLOOKUP($C85,Planes_de_estudio[],MATCH($AK$2,Carreras,0)+2,0),"")&gt;0,IFERROR(VLOOKUP($C85,Planes_de_estudio[],MATCH($AK$2,Carreras,0)+2,0),""),"")</f>
        <v>4</v>
      </c>
      <c r="AL85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85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44</v>
      </c>
      <c r="AN85" s="117">
        <f>base_de_datos[[#This Row],[Pronóstico]]/25</f>
        <v>1.76</v>
      </c>
      <c r="AO85" s="117" t="str">
        <f>VLOOKUP($C85,Planes_de_estudio[],2)</f>
        <v>EEC</v>
      </c>
      <c r="AP85" s="119">
        <f ca="1">IF(AND(base_de_datos[[#This Row],[Industrial]]&lt;&gt;"",base_de_datos[[#This Row],[Misma o no]]=1),base_de_datos[[#This Row],[Índice]],"")</f>
        <v>6</v>
      </c>
      <c r="AQ85" s="119">
        <f ca="1">IF(AND(base_de_datos[[#This Row],[Mecatrónica]]&lt;&gt;"",base_de_datos[[#This Row],[Misma o no]]=1),base_de_datos[[#This Row],[Índice]],"")</f>
        <v>6</v>
      </c>
      <c r="AR85" s="119">
        <f ca="1">IF(AND(base_de_datos[[#This Row],[Innovación y Diseño]]&lt;&gt;"",base_de_datos[[#This Row],[Misma o no]]=1),base_de_datos[[#This Row],[Índice]],"")</f>
        <v>6</v>
      </c>
      <c r="AS85" s="119" t="str">
        <f ca="1">IF(AND(base_de_datos[[#This Row],[Inteligencia Artificial]]&lt;&gt;"",base_de_datos[[#This Row],[Misma o no]]=1),base_de_datos[[#This Row],[Índice]],"")</f>
        <v/>
      </c>
      <c r="AT85" s="119">
        <f ca="1">IF(AND(base_de_datos[[#This Row],[Tecnologías Energéticas]]&lt;&gt;"",base_de_datos[[#This Row],[Misma o no]]=1),base_de_datos[[#This Row],[Índice]],"")</f>
        <v>6</v>
      </c>
      <c r="AU85" s="119" t="str">
        <f ca="1">IF(AND(base_de_datos[[#This Row],[Civil y Administración]]&lt;&gt;"",base_de_datos[[#This Row],[Misma o no]]=1),base_de_datos[[#This Row],[Índice]],"")</f>
        <v/>
      </c>
      <c r="AV85" s="119">
        <f ca="1">IF(AND(base_de_datos[[#This Row],[Bioelectrónica]]&lt;&gt;"",base_de_datos[[#This Row],[Misma o no]]=1),base_de_datos[[#This Row],[Índice]],"")</f>
        <v>6</v>
      </c>
      <c r="AW85" s="120"/>
      <c r="AX85" s="4" t="s">
        <v>1813</v>
      </c>
    </row>
    <row r="86" spans="2:50" s="6" customFormat="1" ht="13" x14ac:dyDescent="0.3">
      <c r="B86" s="9" t="s">
        <v>262</v>
      </c>
      <c r="C86" s="1" t="s">
        <v>260</v>
      </c>
      <c r="D86" s="4">
        <v>2</v>
      </c>
      <c r="E86" s="258">
        <v>0.5</v>
      </c>
      <c r="F86" s="258">
        <v>0.58333333333332904</v>
      </c>
      <c r="G86" s="4" t="s">
        <v>87</v>
      </c>
      <c r="H86" s="4" t="s">
        <v>116</v>
      </c>
      <c r="I86" s="4"/>
      <c r="J86" s="114">
        <v>22</v>
      </c>
      <c r="K86" s="115"/>
      <c r="L86" s="3"/>
      <c r="M86" s="115"/>
      <c r="N86" s="3"/>
      <c r="O86" s="2" t="s">
        <v>263</v>
      </c>
      <c r="P86" s="114"/>
      <c r="Q86" s="114"/>
      <c r="R86" s="114"/>
      <c r="S86" s="114"/>
      <c r="T86" s="114" t="s">
        <v>90</v>
      </c>
      <c r="U86" s="114"/>
      <c r="V86" s="114"/>
      <c r="W86" s="114"/>
      <c r="X86" s="116">
        <f>_xlfn.XLOOKUP(base_de_datos[[#This Row],[Materia]],Materias,Horas)/16</f>
        <v>4</v>
      </c>
      <c r="Y86" s="116">
        <f>ROUND(((base_de_datos[[#This Row],[Hora fin]]-base_de_datos[[#This Row],[Hora inicio]])*24)*(COUNTA(base_de_datos[[#This Row],[Lunes]:[Sábado]])),1)</f>
        <v>2</v>
      </c>
      <c r="Z86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86" s="117">
        <f ca="1">IF(base_de_datos[[#This Row],[No clase]]=OFFSET(base_de_datos[[#This Row],[No clase]],-1,0),0,1)</f>
        <v>0</v>
      </c>
      <c r="AB86" s="117">
        <f ca="1">IF(NOT(OR(base_de_datos[[#This Row],[Horas totales]]=base_de_datos[[#This Row],[HT Plan]],base_de_datos[[#This Row],[Horas totales]]="N/A")),1,0)</f>
        <v>0</v>
      </c>
      <c r="AC86" s="116" t="str">
        <f>_xlfn.XLOOKUP(base_de_datos[[#This Row],[Profesor]],Nombre,Grado)</f>
        <v>D</v>
      </c>
      <c r="AD86" s="118" t="str">
        <f>_xlfn.XLOOKUP(base_de_datos[[#This Row],[Profesor]],Nombre,Tipo)</f>
        <v>A</v>
      </c>
      <c r="AE86" s="116">
        <f>IF(IFERROR(VLOOKUP($C86,Planes_de_estudio[],MATCH($AE$2,Carreras,0)+2,0),"")&gt;0,IFERROR(VLOOKUP($C86,Planes_de_estudio[],MATCH($AE$2,Carreras,0)+2,0),""),"")</f>
        <v>4</v>
      </c>
      <c r="AF86" s="116">
        <f>IF(IFERROR(VLOOKUP($C86,Planes_de_estudio[],MATCH($AF$2,Carreras,0)+2,0),"")&gt;0,IFERROR(VLOOKUP($C86,Planes_de_estudio[],MATCH($AF$2,Carreras,0)+2,0),""),"")</f>
        <v>4</v>
      </c>
      <c r="AG86" s="116">
        <f>IF(IFERROR(VLOOKUP($C86,Planes_de_estudio[],MATCH($AG$2,Carreras,0)+2,0),"")&gt;0,IFERROR(VLOOKUP($C86,Planes_de_estudio[],MATCH($AG$2,Carreras,0)+2,0),""),"")</f>
        <v>5</v>
      </c>
      <c r="AH86" s="116" t="str">
        <f>IF(IFERROR(VLOOKUP($C86,Planes_de_estudio[],MATCH($AH$2,Carreras,0)+2,0),"")&gt;0,IFERROR(VLOOKUP($C86,Planes_de_estudio[],MATCH($AH$2,Carreras,0)+2,0),""),"")</f>
        <v/>
      </c>
      <c r="AI86" s="116">
        <f>IF(IFERROR(VLOOKUP($C86,Planes_de_estudio[],MATCH($AI$2,Carreras,0)+2,0),"")&gt;0,IFERROR(VLOOKUP($C86,Planes_de_estudio[],MATCH($AI$2,Carreras,0)+2,0),""),"")</f>
        <v>3</v>
      </c>
      <c r="AJ86" s="116" t="str">
        <f>IF(IFERROR(VLOOKUP($C86,Planes_de_estudio[],MATCH($AJ$2,Carreras,0)+2,0),"")&gt;0,IFERROR(VLOOKUP($C86,Planes_de_estudio[],MATCH($AJ$2,Carreras,0)+2,0),""),"")</f>
        <v/>
      </c>
      <c r="AK86" s="116">
        <f>IF(IFERROR(VLOOKUP($C86,Planes_de_estudio[],MATCH($AK$2,Carreras,0)+2,0),"")&gt;0,IFERROR(VLOOKUP($C86,Planes_de_estudio[],MATCH($AK$2,Carreras,0)+2,0),""),"")</f>
        <v>4</v>
      </c>
      <c r="AL86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86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44</v>
      </c>
      <c r="AN86" s="117">
        <f>base_de_datos[[#This Row],[Pronóstico]]/25</f>
        <v>1.76</v>
      </c>
      <c r="AO86" s="117" t="str">
        <f>VLOOKUP($C86,Planes_de_estudio[],2)</f>
        <v>EEC</v>
      </c>
      <c r="AP86" s="119" t="str">
        <f ca="1">IF(AND(base_de_datos[[#This Row],[Industrial]]&lt;&gt;"",base_de_datos[[#This Row],[Misma o no]]=1),base_de_datos[[#This Row],[Índice]],"")</f>
        <v/>
      </c>
      <c r="AQ86" s="119" t="str">
        <f ca="1">IF(AND(base_de_datos[[#This Row],[Mecatrónica]]&lt;&gt;"",base_de_datos[[#This Row],[Misma o no]]=1),base_de_datos[[#This Row],[Índice]],"")</f>
        <v/>
      </c>
      <c r="AR86" s="119" t="str">
        <f ca="1">IF(AND(base_de_datos[[#This Row],[Innovación y Diseño]]&lt;&gt;"",base_de_datos[[#This Row],[Misma o no]]=1),base_de_datos[[#This Row],[Índice]],"")</f>
        <v/>
      </c>
      <c r="AS86" s="119" t="str">
        <f ca="1">IF(AND(base_de_datos[[#This Row],[Inteligencia Artificial]]&lt;&gt;"",base_de_datos[[#This Row],[Misma o no]]=1),base_de_datos[[#This Row],[Índice]],"")</f>
        <v/>
      </c>
      <c r="AT86" s="119" t="str">
        <f ca="1">IF(AND(base_de_datos[[#This Row],[Tecnologías Energéticas]]&lt;&gt;"",base_de_datos[[#This Row],[Misma o no]]=1),base_de_datos[[#This Row],[Índice]],"")</f>
        <v/>
      </c>
      <c r="AU86" s="119" t="str">
        <f ca="1">IF(AND(base_de_datos[[#This Row],[Civil y Administración]]&lt;&gt;"",base_de_datos[[#This Row],[Misma o no]]=1),base_de_datos[[#This Row],[Índice]],"")</f>
        <v/>
      </c>
      <c r="AV86" s="119" t="str">
        <f ca="1">IF(AND(base_de_datos[[#This Row],[Bioelectrónica]]&lt;&gt;"",base_de_datos[[#This Row],[Misma o no]]=1),base_de_datos[[#This Row],[Índice]],"")</f>
        <v/>
      </c>
      <c r="AW86" s="120"/>
      <c r="AX86" s="4" t="s">
        <v>1813</v>
      </c>
    </row>
    <row r="87" spans="2:50" s="6" customFormat="1" ht="13" x14ac:dyDescent="0.3">
      <c r="B87" s="6" t="s">
        <v>198</v>
      </c>
      <c r="C87" s="1" t="s">
        <v>194</v>
      </c>
      <c r="D87" s="4">
        <v>1</v>
      </c>
      <c r="E87" s="113">
        <v>0.79166666666666696</v>
      </c>
      <c r="F87" s="113">
        <v>0.87499999999999001</v>
      </c>
      <c r="G87" s="226" t="s">
        <v>92</v>
      </c>
      <c r="H87" s="4" t="s">
        <v>194</v>
      </c>
      <c r="I87" s="4"/>
      <c r="J87" s="198">
        <v>23</v>
      </c>
      <c r="K87" s="115"/>
      <c r="L87" s="3"/>
      <c r="M87" s="115"/>
      <c r="N87" s="3"/>
      <c r="O87" s="2" t="s">
        <v>264</v>
      </c>
      <c r="P87" s="114"/>
      <c r="Q87" s="114"/>
      <c r="R87" s="114"/>
      <c r="S87" s="114" t="s">
        <v>90</v>
      </c>
      <c r="T87" s="114"/>
      <c r="U87" s="114"/>
      <c r="V87" s="114"/>
      <c r="W87" s="114"/>
      <c r="X87" s="116">
        <f>_xlfn.XLOOKUP(base_de_datos[[#This Row],[Materia]],Materias,Horas)/16</f>
        <v>4</v>
      </c>
      <c r="Y87" s="116">
        <f>ROUND(((base_de_datos[[#This Row],[Hora fin]]-base_de_datos[[#This Row],[Hora inicio]])*24)*(COUNTA(base_de_datos[[#This Row],[Lunes]:[Sábado]])),1)</f>
        <v>2</v>
      </c>
      <c r="Z87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87" s="117">
        <f ca="1">IF(base_de_datos[[#This Row],[No clase]]=OFFSET(base_de_datos[[#This Row],[No clase]],-1,0),0,1)</f>
        <v>1</v>
      </c>
      <c r="AB87" s="117">
        <f ca="1">IF(NOT(OR(base_de_datos[[#This Row],[Horas totales]]=base_de_datos[[#This Row],[HT Plan]],base_de_datos[[#This Row],[Horas totales]]="N/A")),1,0)</f>
        <v>0</v>
      </c>
      <c r="AC87" s="116" t="str">
        <f>_xlfn.XLOOKUP(base_de_datos[[#This Row],[Profesor]],Nombre,Grado)</f>
        <v>SNI</v>
      </c>
      <c r="AD87" s="118" t="str">
        <f>_xlfn.XLOOKUP(base_de_datos[[#This Row],[Profesor]],Nombre,Tipo)</f>
        <v>TC</v>
      </c>
      <c r="AE87" s="116" t="str">
        <f>IF(IFERROR(VLOOKUP($C87,Planes_de_estudio[],MATCH($AE$2,Carreras,0)+2,0),"")&gt;0,IFERROR(VLOOKUP($C87,Planes_de_estudio[],MATCH($AE$2,Carreras,0)+2,0),""),"")</f>
        <v/>
      </c>
      <c r="AF87" s="116">
        <f>IF(IFERROR(VLOOKUP($C87,Planes_de_estudio[],MATCH($AF$2,Carreras,0)+2,0),"")&gt;0,IFERROR(VLOOKUP($C87,Planes_de_estudio[],MATCH($AF$2,Carreras,0)+2,0),""),"")</f>
        <v>6</v>
      </c>
      <c r="AG87" s="116" t="str">
        <f>IF(IFERROR(VLOOKUP($C87,Planes_de_estudio[],MATCH($AG$2,Carreras,0)+2,0),"")&gt;0,IFERROR(VLOOKUP($C87,Planes_de_estudio[],MATCH($AG$2,Carreras,0)+2,0),""),"")</f>
        <v/>
      </c>
      <c r="AH87" s="116" t="str">
        <f>IF(IFERROR(VLOOKUP($C87,Planes_de_estudio[],MATCH($AH$2,Carreras,0)+2,0),"")&gt;0,IFERROR(VLOOKUP($C87,Planes_de_estudio[],MATCH($AH$2,Carreras,0)+2,0),""),"")</f>
        <v/>
      </c>
      <c r="AI87" s="116">
        <f>IF(IFERROR(VLOOKUP($C87,Planes_de_estudio[],MATCH($AI$2,Carreras,0)+2,0),"")&gt;0,IFERROR(VLOOKUP($C87,Planes_de_estudio[],MATCH($AI$2,Carreras,0)+2,0),""),"")</f>
        <v>5</v>
      </c>
      <c r="AJ87" s="116" t="str">
        <f>IF(IFERROR(VLOOKUP($C87,Planes_de_estudio[],MATCH($AJ$2,Carreras,0)+2,0),"")&gt;0,IFERROR(VLOOKUP($C87,Planes_de_estudio[],MATCH($AJ$2,Carreras,0)+2,0),""),"")</f>
        <v/>
      </c>
      <c r="AK87" s="116">
        <f>IF(IFERROR(VLOOKUP($C87,Planes_de_estudio[],MATCH($AK$2,Carreras,0)+2,0),"")&gt;0,IFERROR(VLOOKUP($C87,Planes_de_estudio[],MATCH($AK$2,Carreras,0)+2,0),""),"")</f>
        <v>6</v>
      </c>
      <c r="AL87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87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21</v>
      </c>
      <c r="AN87" s="117">
        <f>base_de_datos[[#This Row],[Pronóstico]]/25</f>
        <v>0.84</v>
      </c>
      <c r="AO87" s="117" t="str">
        <f>VLOOKUP($C87,Planes_de_estudio[],2)</f>
        <v>EEC</v>
      </c>
      <c r="AP87" s="119" t="str">
        <f ca="1">IF(AND(base_de_datos[[#This Row],[Industrial]]&lt;&gt;"",base_de_datos[[#This Row],[Misma o no]]=1),base_de_datos[[#This Row],[Índice]],"")</f>
        <v/>
      </c>
      <c r="AQ87" s="119">
        <f ca="1">IF(AND(base_de_datos[[#This Row],[Mecatrónica]]&lt;&gt;"",base_de_datos[[#This Row],[Misma o no]]=1),base_de_datos[[#This Row],[Índice]],"")</f>
        <v>6</v>
      </c>
      <c r="AR87" s="119" t="str">
        <f ca="1">IF(AND(base_de_datos[[#This Row],[Innovación y Diseño]]&lt;&gt;"",base_de_datos[[#This Row],[Misma o no]]=1),base_de_datos[[#This Row],[Índice]],"")</f>
        <v/>
      </c>
      <c r="AS87" s="119" t="str">
        <f ca="1">IF(AND(base_de_datos[[#This Row],[Inteligencia Artificial]]&lt;&gt;"",base_de_datos[[#This Row],[Misma o no]]=1),base_de_datos[[#This Row],[Índice]],"")</f>
        <v/>
      </c>
      <c r="AT87" s="119">
        <f ca="1">IF(AND(base_de_datos[[#This Row],[Tecnologías Energéticas]]&lt;&gt;"",base_de_datos[[#This Row],[Misma o no]]=1),base_de_datos[[#This Row],[Índice]],"")</f>
        <v>6</v>
      </c>
      <c r="AU87" s="119" t="str">
        <f ca="1">IF(AND(base_de_datos[[#This Row],[Civil y Administración]]&lt;&gt;"",base_de_datos[[#This Row],[Misma o no]]=1),base_de_datos[[#This Row],[Índice]],"")</f>
        <v/>
      </c>
      <c r="AV87" s="119">
        <f ca="1">IF(AND(base_de_datos[[#This Row],[Bioelectrónica]]&lt;&gt;"",base_de_datos[[#This Row],[Misma o no]]=1),base_de_datos[[#This Row],[Índice]],"")</f>
        <v>6</v>
      </c>
      <c r="AW87" s="120"/>
      <c r="AX87" s="4">
        <v>2</v>
      </c>
    </row>
    <row r="88" spans="2:50" s="6" customFormat="1" ht="13" x14ac:dyDescent="0.3">
      <c r="B88" s="6" t="s">
        <v>198</v>
      </c>
      <c r="C88" s="1" t="s">
        <v>194</v>
      </c>
      <c r="D88" s="4">
        <v>1</v>
      </c>
      <c r="E88" s="113">
        <v>0.79166666666666696</v>
      </c>
      <c r="F88" s="113">
        <v>0.87499999999999001</v>
      </c>
      <c r="G88" s="226" t="s">
        <v>92</v>
      </c>
      <c r="H88" s="4" t="s">
        <v>215</v>
      </c>
      <c r="I88" s="4"/>
      <c r="J88" s="198">
        <v>23</v>
      </c>
      <c r="K88" s="115"/>
      <c r="L88" s="3"/>
      <c r="M88" s="115"/>
      <c r="N88" s="3"/>
      <c r="O88" s="2" t="s">
        <v>264</v>
      </c>
      <c r="P88" s="114"/>
      <c r="Q88" s="114"/>
      <c r="R88" s="114" t="s">
        <v>90</v>
      </c>
      <c r="S88" s="114"/>
      <c r="T88" s="114"/>
      <c r="U88" s="114"/>
      <c r="V88" s="114"/>
      <c r="W88" s="114"/>
      <c r="X88" s="116">
        <f>_xlfn.XLOOKUP(base_de_datos[[#This Row],[Materia]],Materias,Horas)/16</f>
        <v>4</v>
      </c>
      <c r="Y88" s="116">
        <f>ROUND(((base_de_datos[[#This Row],[Hora fin]]-base_de_datos[[#This Row],[Hora inicio]])*24)*(COUNTA(base_de_datos[[#This Row],[Lunes]:[Sábado]])),1)</f>
        <v>2</v>
      </c>
      <c r="Z88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88" s="117">
        <f ca="1">IF(base_de_datos[[#This Row],[No clase]]=OFFSET(base_de_datos[[#This Row],[No clase]],-1,0),0,1)</f>
        <v>0</v>
      </c>
      <c r="AB88" s="117">
        <f ca="1">IF(NOT(OR(base_de_datos[[#This Row],[Horas totales]]=base_de_datos[[#This Row],[HT Plan]],base_de_datos[[#This Row],[Horas totales]]="N/A")),1,0)</f>
        <v>0</v>
      </c>
      <c r="AC88" s="116" t="str">
        <f>_xlfn.XLOOKUP(base_de_datos[[#This Row],[Profesor]],Nombre,Grado)</f>
        <v>SNI</v>
      </c>
      <c r="AD88" s="118" t="str">
        <f>_xlfn.XLOOKUP(base_de_datos[[#This Row],[Profesor]],Nombre,Tipo)</f>
        <v>TC</v>
      </c>
      <c r="AE88" s="116" t="str">
        <f>IF(IFERROR(VLOOKUP($C88,Planes_de_estudio[],MATCH($AE$2,Carreras,0)+2,0),"")&gt;0,IFERROR(VLOOKUP($C88,Planes_de_estudio[],MATCH($AE$2,Carreras,0)+2,0),""),"")</f>
        <v/>
      </c>
      <c r="AF88" s="116">
        <f>IF(IFERROR(VLOOKUP($C88,Planes_de_estudio[],MATCH($AF$2,Carreras,0)+2,0),"")&gt;0,IFERROR(VLOOKUP($C88,Planes_de_estudio[],MATCH($AF$2,Carreras,0)+2,0),""),"")</f>
        <v>6</v>
      </c>
      <c r="AG88" s="116" t="str">
        <f>IF(IFERROR(VLOOKUP($C88,Planes_de_estudio[],MATCH($AG$2,Carreras,0)+2,0),"")&gt;0,IFERROR(VLOOKUP($C88,Planes_de_estudio[],MATCH($AG$2,Carreras,0)+2,0),""),"")</f>
        <v/>
      </c>
      <c r="AH88" s="116" t="str">
        <f>IF(IFERROR(VLOOKUP($C88,Planes_de_estudio[],MATCH($AH$2,Carreras,0)+2,0),"")&gt;0,IFERROR(VLOOKUP($C88,Planes_de_estudio[],MATCH($AH$2,Carreras,0)+2,0),""),"")</f>
        <v/>
      </c>
      <c r="AI88" s="116">
        <f>IF(IFERROR(VLOOKUP($C88,Planes_de_estudio[],MATCH($AI$2,Carreras,0)+2,0),"")&gt;0,IFERROR(VLOOKUP($C88,Planes_de_estudio[],MATCH($AI$2,Carreras,0)+2,0),""),"")</f>
        <v>5</v>
      </c>
      <c r="AJ88" s="116" t="str">
        <f>IF(IFERROR(VLOOKUP($C88,Planes_de_estudio[],MATCH($AJ$2,Carreras,0)+2,0),"")&gt;0,IFERROR(VLOOKUP($C88,Planes_de_estudio[],MATCH($AJ$2,Carreras,0)+2,0),""),"")</f>
        <v/>
      </c>
      <c r="AK88" s="116">
        <f>IF(IFERROR(VLOOKUP($C88,Planes_de_estudio[],MATCH($AK$2,Carreras,0)+2,0),"")&gt;0,IFERROR(VLOOKUP($C88,Planes_de_estudio[],MATCH($AK$2,Carreras,0)+2,0),""),"")</f>
        <v>6</v>
      </c>
      <c r="AL88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88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21</v>
      </c>
      <c r="AN88" s="117">
        <f>base_de_datos[[#This Row],[Pronóstico]]/25</f>
        <v>0.84</v>
      </c>
      <c r="AO88" s="117" t="str">
        <f>VLOOKUP($C88,Planes_de_estudio[],2)</f>
        <v>EEC</v>
      </c>
      <c r="AP88" s="119" t="str">
        <f ca="1">IF(AND(base_de_datos[[#This Row],[Industrial]]&lt;&gt;"",base_de_datos[[#This Row],[Misma o no]]=1),base_de_datos[[#This Row],[Índice]],"")</f>
        <v/>
      </c>
      <c r="AQ88" s="119" t="str">
        <f ca="1">IF(AND(base_de_datos[[#This Row],[Mecatrónica]]&lt;&gt;"",base_de_datos[[#This Row],[Misma o no]]=1),base_de_datos[[#This Row],[Índice]],"")</f>
        <v/>
      </c>
      <c r="AR88" s="119" t="str">
        <f ca="1">IF(AND(base_de_datos[[#This Row],[Innovación y Diseño]]&lt;&gt;"",base_de_datos[[#This Row],[Misma o no]]=1),base_de_datos[[#This Row],[Índice]],"")</f>
        <v/>
      </c>
      <c r="AS88" s="119" t="str">
        <f ca="1">IF(AND(base_de_datos[[#This Row],[Inteligencia Artificial]]&lt;&gt;"",base_de_datos[[#This Row],[Misma o no]]=1),base_de_datos[[#This Row],[Índice]],"")</f>
        <v/>
      </c>
      <c r="AT88" s="119" t="str">
        <f ca="1">IF(AND(base_de_datos[[#This Row],[Tecnologías Energéticas]]&lt;&gt;"",base_de_datos[[#This Row],[Misma o no]]=1),base_de_datos[[#This Row],[Índice]],"")</f>
        <v/>
      </c>
      <c r="AU88" s="119" t="str">
        <f ca="1">IF(AND(base_de_datos[[#This Row],[Civil y Administración]]&lt;&gt;"",base_de_datos[[#This Row],[Misma o no]]=1),base_de_datos[[#This Row],[Índice]],"")</f>
        <v/>
      </c>
      <c r="AV88" s="119" t="str">
        <f ca="1">IF(AND(base_de_datos[[#This Row],[Bioelectrónica]]&lt;&gt;"",base_de_datos[[#This Row],[Misma o no]]=1),base_de_datos[[#This Row],[Índice]],"")</f>
        <v/>
      </c>
      <c r="AW88" s="120"/>
      <c r="AX88" s="4">
        <v>2</v>
      </c>
    </row>
    <row r="89" spans="2:50" s="6" customFormat="1" ht="13" x14ac:dyDescent="0.3">
      <c r="B89" s="6" t="s">
        <v>298</v>
      </c>
      <c r="C89" s="1" t="s">
        <v>299</v>
      </c>
      <c r="D89" s="4">
        <v>1</v>
      </c>
      <c r="E89" s="113">
        <v>0.8125</v>
      </c>
      <c r="F89" s="113">
        <v>0.89583333333332305</v>
      </c>
      <c r="G89" s="4" t="s">
        <v>87</v>
      </c>
      <c r="H89" s="4" t="s">
        <v>297</v>
      </c>
      <c r="I89" s="4"/>
      <c r="J89" s="126">
        <v>18</v>
      </c>
      <c r="K89" s="115"/>
      <c r="L89" s="3"/>
      <c r="M89" s="127"/>
      <c r="N89" s="3"/>
      <c r="O89" s="4">
        <v>5375</v>
      </c>
      <c r="P89" s="114"/>
      <c r="Q89" s="114"/>
      <c r="R89" s="114"/>
      <c r="S89" s="114"/>
      <c r="T89" s="114" t="s">
        <v>90</v>
      </c>
      <c r="U89" s="114"/>
      <c r="V89" s="114"/>
      <c r="W89" s="114"/>
      <c r="X89" s="117">
        <f>_xlfn.XLOOKUP(base_de_datos[[#This Row],[Materia]],Materias,Horas)/16</f>
        <v>4</v>
      </c>
      <c r="Y89" s="117">
        <f>ROUND(((base_de_datos[[#This Row],[Hora fin]]-base_de_datos[[#This Row],[Hora inicio]])*24)*(COUNTA(base_de_datos[[#This Row],[Lunes]:[Sábado]])),1)</f>
        <v>2</v>
      </c>
      <c r="Z89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89" s="117">
        <f ca="1">IF(base_de_datos[[#This Row],[No clase]]=OFFSET(base_de_datos[[#This Row],[No clase]],-1,0),0,1)</f>
        <v>1</v>
      </c>
      <c r="AB89" s="117">
        <f ca="1">IF(NOT(OR(base_de_datos[[#This Row],[Horas totales]]=base_de_datos[[#This Row],[HT Plan]],base_de_datos[[#This Row],[Horas totales]]="N/A")),1,0)</f>
        <v>0</v>
      </c>
      <c r="AC89" s="117" t="str">
        <f>_xlfn.XLOOKUP(base_de_datos[[#This Row],[Profesor]],Nombre,Grado)</f>
        <v>M</v>
      </c>
      <c r="AD89" s="118" t="str">
        <f>_xlfn.XLOOKUP(base_de_datos[[#This Row],[Profesor]],Nombre,Tipo)</f>
        <v>A</v>
      </c>
      <c r="AE89" s="117" t="str">
        <f>IF(IFERROR(VLOOKUP($C89,Planes_de_estudio[],MATCH($AE$2,Carreras,0)+2,0),"")&gt;0,IFERROR(VLOOKUP($C89,Planes_de_estudio[],MATCH($AE$2,Carreras,0)+2,0),""),"")</f>
        <v/>
      </c>
      <c r="AF89" s="117" t="str">
        <f>IF(IFERROR(VLOOKUP($C89,Planes_de_estudio[],MATCH($AF$2,Carreras,0)+2,0),"")&gt;0,IFERROR(VLOOKUP($C89,Planes_de_estudio[],MATCH($AF$2,Carreras,0)+2,0),""),"")</f>
        <v/>
      </c>
      <c r="AG89" s="117">
        <f>IF(IFERROR(VLOOKUP($C89,Planes_de_estudio[],MATCH($AG$2,Carreras,0)+2,0),"")&gt;0,IFERROR(VLOOKUP($C89,Planes_de_estudio[],MATCH($AG$2,Carreras,0)+2,0),""),"")</f>
        <v>6</v>
      </c>
      <c r="AH89" s="117" t="str">
        <f>IF(IFERROR(VLOOKUP($C89,Planes_de_estudio[],MATCH($AH$2,Carreras,0)+2,0),"")&gt;0,IFERROR(VLOOKUP($C89,Planes_de_estudio[],MATCH($AH$2,Carreras,0)+2,0),""),"")</f>
        <v/>
      </c>
      <c r="AI89" s="117" t="str">
        <f>IF(IFERROR(VLOOKUP($C89,Planes_de_estudio[],MATCH($AI$2,Carreras,0)+2,0),"")&gt;0,IFERROR(VLOOKUP($C89,Planes_de_estudio[],MATCH($AI$2,Carreras,0)+2,0),""),"")</f>
        <v/>
      </c>
      <c r="AJ89" s="117" t="str">
        <f>IF(IFERROR(VLOOKUP($C89,Planes_de_estudio[],MATCH($AJ$2,Carreras,0)+2,0),"")&gt;0,IFERROR(VLOOKUP($C89,Planes_de_estudio[],MATCH($AJ$2,Carreras,0)+2,0),""),"")</f>
        <v/>
      </c>
      <c r="AK89" s="117" t="str">
        <f>IF(IFERROR(VLOOKUP($C89,Planes_de_estudio[],MATCH($AK$2,Carreras,0)+2,0),"")&gt;0,IFERROR(VLOOKUP($C89,Planes_de_estudio[],MATCH($AK$2,Carreras,0)+2,0),""),"")</f>
        <v/>
      </c>
      <c r="AL89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89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28</v>
      </c>
      <c r="AN89" s="117">
        <f>base_de_datos[[#This Row],[Pronóstico]]/25</f>
        <v>1.1200000000000001</v>
      </c>
      <c r="AO89" s="117" t="str">
        <f>VLOOKUP($C89,Planes_de_estudio[],2)</f>
        <v>MEC</v>
      </c>
      <c r="AP89" s="119" t="str">
        <f ca="1">IF(AND(base_de_datos[[#This Row],[Industrial]]&lt;&gt;"",base_de_datos[[#This Row],[Misma o no]]=1),base_de_datos[[#This Row],[Índice]],"")</f>
        <v/>
      </c>
      <c r="AQ89" s="119" t="str">
        <f ca="1">IF(AND(base_de_datos[[#This Row],[Mecatrónica]]&lt;&gt;"",base_de_datos[[#This Row],[Misma o no]]=1),base_de_datos[[#This Row],[Índice]],"")</f>
        <v/>
      </c>
      <c r="AR89" s="119">
        <f ca="1">IF(AND(base_de_datos[[#This Row],[Innovación y Diseño]]&lt;&gt;"",base_de_datos[[#This Row],[Misma o no]]=1),base_de_datos[[#This Row],[Índice]],"")</f>
        <v>4</v>
      </c>
      <c r="AS89" s="119" t="str">
        <f ca="1">IF(AND(base_de_datos[[#This Row],[Inteligencia Artificial]]&lt;&gt;"",base_de_datos[[#This Row],[Misma o no]]=1),base_de_datos[[#This Row],[Índice]],"")</f>
        <v/>
      </c>
      <c r="AT89" s="119" t="str">
        <f ca="1">IF(AND(base_de_datos[[#This Row],[Tecnologías Energéticas]]&lt;&gt;"",base_de_datos[[#This Row],[Misma o no]]=1),base_de_datos[[#This Row],[Índice]],"")</f>
        <v/>
      </c>
      <c r="AU89" s="119" t="str">
        <f ca="1">IF(AND(base_de_datos[[#This Row],[Civil y Administración]]&lt;&gt;"",base_de_datos[[#This Row],[Misma o no]]=1),base_de_datos[[#This Row],[Índice]],"")</f>
        <v/>
      </c>
      <c r="AV89" s="119" t="str">
        <f ca="1">IF(AND(base_de_datos[[#This Row],[Bioelectrónica]]&lt;&gt;"",base_de_datos[[#This Row],[Misma o no]]=1),base_de_datos[[#This Row],[Índice]],"")</f>
        <v/>
      </c>
      <c r="AW89" s="120"/>
      <c r="AX89" s="4">
        <v>2</v>
      </c>
    </row>
    <row r="90" spans="2:50" s="6" customFormat="1" ht="13" x14ac:dyDescent="0.3">
      <c r="B90" s="6" t="s">
        <v>298</v>
      </c>
      <c r="C90" s="1" t="s">
        <v>299</v>
      </c>
      <c r="D90" s="4">
        <v>1</v>
      </c>
      <c r="E90" s="113">
        <v>0.70833333333333304</v>
      </c>
      <c r="F90" s="113">
        <v>0.79166666666665897</v>
      </c>
      <c r="G90" s="4" t="s">
        <v>87</v>
      </c>
      <c r="H90" s="4" t="s">
        <v>297</v>
      </c>
      <c r="I90" s="4"/>
      <c r="J90" s="126">
        <v>18</v>
      </c>
      <c r="K90" s="115"/>
      <c r="L90" s="3"/>
      <c r="M90" s="127"/>
      <c r="N90" s="3"/>
      <c r="O90" s="4">
        <v>5375</v>
      </c>
      <c r="P90" s="114"/>
      <c r="Q90" s="114"/>
      <c r="R90" s="114"/>
      <c r="S90" s="114" t="s">
        <v>90</v>
      </c>
      <c r="T90" s="114"/>
      <c r="U90" s="114"/>
      <c r="V90" s="114"/>
      <c r="W90" s="114"/>
      <c r="X90" s="117">
        <f>_xlfn.XLOOKUP(base_de_datos[[#This Row],[Materia]],Materias,Horas)/16</f>
        <v>4</v>
      </c>
      <c r="Y90" s="117">
        <f>ROUND(((base_de_datos[[#This Row],[Hora fin]]-base_de_datos[[#This Row],[Hora inicio]])*24)*(COUNTA(base_de_datos[[#This Row],[Lunes]:[Sábado]])),1)</f>
        <v>2</v>
      </c>
      <c r="Z90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90" s="117">
        <f ca="1">IF(base_de_datos[[#This Row],[No clase]]=OFFSET(base_de_datos[[#This Row],[No clase]],-1,0),0,1)</f>
        <v>0</v>
      </c>
      <c r="AB90" s="117">
        <f ca="1">IF(NOT(OR(base_de_datos[[#This Row],[Horas totales]]=base_de_datos[[#This Row],[HT Plan]],base_de_datos[[#This Row],[Horas totales]]="N/A")),1,0)</f>
        <v>0</v>
      </c>
      <c r="AC90" s="117" t="str">
        <f>_xlfn.XLOOKUP(base_de_datos[[#This Row],[Profesor]],Nombre,Grado)</f>
        <v>M</v>
      </c>
      <c r="AD90" s="118" t="str">
        <f>_xlfn.XLOOKUP(base_de_datos[[#This Row],[Profesor]],Nombre,Tipo)</f>
        <v>A</v>
      </c>
      <c r="AE90" s="117" t="str">
        <f>IF(IFERROR(VLOOKUP($C90,Planes_de_estudio[],MATCH($AE$2,Carreras,0)+2,0),"")&gt;0,IFERROR(VLOOKUP($C90,Planes_de_estudio[],MATCH($AE$2,Carreras,0)+2,0),""),"")</f>
        <v/>
      </c>
      <c r="AF90" s="117" t="str">
        <f>IF(IFERROR(VLOOKUP($C90,Planes_de_estudio[],MATCH($AF$2,Carreras,0)+2,0),"")&gt;0,IFERROR(VLOOKUP($C90,Planes_de_estudio[],MATCH($AF$2,Carreras,0)+2,0),""),"")</f>
        <v/>
      </c>
      <c r="AG90" s="117">
        <f>IF(IFERROR(VLOOKUP($C90,Planes_de_estudio[],MATCH($AG$2,Carreras,0)+2,0),"")&gt;0,IFERROR(VLOOKUP($C90,Planes_de_estudio[],MATCH($AG$2,Carreras,0)+2,0),""),"")</f>
        <v>6</v>
      </c>
      <c r="AH90" s="117" t="str">
        <f>IF(IFERROR(VLOOKUP($C90,Planes_de_estudio[],MATCH($AH$2,Carreras,0)+2,0),"")&gt;0,IFERROR(VLOOKUP($C90,Planes_de_estudio[],MATCH($AH$2,Carreras,0)+2,0),""),"")</f>
        <v/>
      </c>
      <c r="AI90" s="117" t="str">
        <f>IF(IFERROR(VLOOKUP($C90,Planes_de_estudio[],MATCH($AI$2,Carreras,0)+2,0),"")&gt;0,IFERROR(VLOOKUP($C90,Planes_de_estudio[],MATCH($AI$2,Carreras,0)+2,0),""),"")</f>
        <v/>
      </c>
      <c r="AJ90" s="117" t="str">
        <f>IF(IFERROR(VLOOKUP($C90,Planes_de_estudio[],MATCH($AJ$2,Carreras,0)+2,0),"")&gt;0,IFERROR(VLOOKUP($C90,Planes_de_estudio[],MATCH($AJ$2,Carreras,0)+2,0),""),"")</f>
        <v/>
      </c>
      <c r="AK90" s="117" t="str">
        <f>IF(IFERROR(VLOOKUP($C90,Planes_de_estudio[],MATCH($AK$2,Carreras,0)+2,0),"")&gt;0,IFERROR(VLOOKUP($C90,Planes_de_estudio[],MATCH($AK$2,Carreras,0)+2,0),""),"")</f>
        <v/>
      </c>
      <c r="AL90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90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28</v>
      </c>
      <c r="AN90" s="117">
        <f>base_de_datos[[#This Row],[Pronóstico]]/25</f>
        <v>1.1200000000000001</v>
      </c>
      <c r="AO90" s="117" t="str">
        <f>VLOOKUP($C90,Planes_de_estudio[],2)</f>
        <v>MEC</v>
      </c>
      <c r="AP90" s="119" t="str">
        <f ca="1">IF(AND(base_de_datos[[#This Row],[Industrial]]&lt;&gt;"",base_de_datos[[#This Row],[Misma o no]]=1),base_de_datos[[#This Row],[Índice]],"")</f>
        <v/>
      </c>
      <c r="AQ90" s="119" t="str">
        <f ca="1">IF(AND(base_de_datos[[#This Row],[Mecatrónica]]&lt;&gt;"",base_de_datos[[#This Row],[Misma o no]]=1),base_de_datos[[#This Row],[Índice]],"")</f>
        <v/>
      </c>
      <c r="AR90" s="119" t="str">
        <f ca="1">IF(AND(base_de_datos[[#This Row],[Innovación y Diseño]]&lt;&gt;"",base_de_datos[[#This Row],[Misma o no]]=1),base_de_datos[[#This Row],[Índice]],"")</f>
        <v/>
      </c>
      <c r="AS90" s="119" t="str">
        <f ca="1">IF(AND(base_de_datos[[#This Row],[Inteligencia Artificial]]&lt;&gt;"",base_de_datos[[#This Row],[Misma o no]]=1),base_de_datos[[#This Row],[Índice]],"")</f>
        <v/>
      </c>
      <c r="AT90" s="119" t="str">
        <f ca="1">IF(AND(base_de_datos[[#This Row],[Tecnologías Energéticas]]&lt;&gt;"",base_de_datos[[#This Row],[Misma o no]]=1),base_de_datos[[#This Row],[Índice]],"")</f>
        <v/>
      </c>
      <c r="AU90" s="119" t="str">
        <f ca="1">IF(AND(base_de_datos[[#This Row],[Civil y Administración]]&lt;&gt;"",base_de_datos[[#This Row],[Misma o no]]=1),base_de_datos[[#This Row],[Índice]],"")</f>
        <v/>
      </c>
      <c r="AV90" s="119" t="str">
        <f ca="1">IF(AND(base_de_datos[[#This Row],[Bioelectrónica]]&lt;&gt;"",base_de_datos[[#This Row],[Misma o no]]=1),base_de_datos[[#This Row],[Índice]],"")</f>
        <v/>
      </c>
      <c r="AW90" s="120"/>
      <c r="AX90" s="4">
        <v>2</v>
      </c>
    </row>
    <row r="91" spans="2:50" s="6" customFormat="1" ht="13" x14ac:dyDescent="0.3">
      <c r="B91" s="9" t="s">
        <v>265</v>
      </c>
      <c r="C91" s="1" t="s">
        <v>266</v>
      </c>
      <c r="D91" s="4">
        <v>1</v>
      </c>
      <c r="E91" s="113">
        <v>0.70833333333333304</v>
      </c>
      <c r="F91" s="113">
        <v>0.79166666666665897</v>
      </c>
      <c r="G91" s="226" t="s">
        <v>92</v>
      </c>
      <c r="H91" s="4" t="s">
        <v>194</v>
      </c>
      <c r="I91" s="4"/>
      <c r="J91" s="114">
        <v>8</v>
      </c>
      <c r="K91" s="115"/>
      <c r="L91" s="3"/>
      <c r="M91" s="115"/>
      <c r="N91" s="3"/>
      <c r="O91" s="2" t="s">
        <v>267</v>
      </c>
      <c r="P91" s="114" t="s">
        <v>90</v>
      </c>
      <c r="Q91" s="114"/>
      <c r="R91" s="114"/>
      <c r="S91" s="114"/>
      <c r="T91" s="114"/>
      <c r="U91" s="114"/>
      <c r="V91" s="114"/>
      <c r="W91" s="114"/>
      <c r="X91" s="116">
        <f>_xlfn.XLOOKUP(base_de_datos[[#This Row],[Materia]],Materias,Horas)/16</f>
        <v>4</v>
      </c>
      <c r="Y91" s="116">
        <f>ROUND(((base_de_datos[[#This Row],[Hora fin]]-base_de_datos[[#This Row],[Hora inicio]])*24)*(COUNTA(base_de_datos[[#This Row],[Lunes]:[Sábado]])),1)</f>
        <v>2</v>
      </c>
      <c r="Z91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91" s="117">
        <f ca="1">IF(base_de_datos[[#This Row],[No clase]]=OFFSET(base_de_datos[[#This Row],[No clase]],-1,0),0,1)</f>
        <v>1</v>
      </c>
      <c r="AB91" s="117">
        <f ca="1">IF(NOT(OR(base_de_datos[[#This Row],[Horas totales]]=base_de_datos[[#This Row],[HT Plan]],base_de_datos[[#This Row],[Horas totales]]="N/A")),1,0)</f>
        <v>0</v>
      </c>
      <c r="AC91" s="116" t="str">
        <f>_xlfn.XLOOKUP(base_de_datos[[#This Row],[Profesor]],Nombre,Grado)</f>
        <v>M</v>
      </c>
      <c r="AD91" s="118" t="str">
        <f>_xlfn.XLOOKUP(base_de_datos[[#This Row],[Profesor]],Nombre,Tipo)</f>
        <v>TC</v>
      </c>
      <c r="AE91" s="116" t="str">
        <f>IF(IFERROR(VLOOKUP($C91,Planes_de_estudio[],MATCH($AE$2,Carreras,0)+2,0),"")&gt;0,IFERROR(VLOOKUP($C91,Planes_de_estudio[],MATCH($AE$2,Carreras,0)+2,0),""),"")</f>
        <v/>
      </c>
      <c r="AF91" s="116">
        <f>IF(IFERROR(VLOOKUP($C91,Planes_de_estudio[],MATCH($AF$2,Carreras,0)+2,0),"")&gt;0,IFERROR(VLOOKUP($C91,Planes_de_estudio[],MATCH($AF$2,Carreras,0)+2,0),""),"")</f>
        <v>8</v>
      </c>
      <c r="AG91" s="116" t="str">
        <f>IF(IFERROR(VLOOKUP($C91,Planes_de_estudio[],MATCH($AG$2,Carreras,0)+2,0),"")&gt;0,IFERROR(VLOOKUP($C91,Planes_de_estudio[],MATCH($AG$2,Carreras,0)+2,0),""),"")</f>
        <v/>
      </c>
      <c r="AH91" s="116" t="str">
        <f>IF(IFERROR(VLOOKUP($C91,Planes_de_estudio[],MATCH($AH$2,Carreras,0)+2,0),"")&gt;0,IFERROR(VLOOKUP($C91,Planes_de_estudio[],MATCH($AH$2,Carreras,0)+2,0),""),"")</f>
        <v/>
      </c>
      <c r="AI91" s="116">
        <f>IF(IFERROR(VLOOKUP($C91,Planes_de_estudio[],MATCH($AI$2,Carreras,0)+2,0),"")&gt;0,IFERROR(VLOOKUP($C91,Planes_de_estudio[],MATCH($AI$2,Carreras,0)+2,0),""),"")</f>
        <v>8</v>
      </c>
      <c r="AJ91" s="116" t="str">
        <f>IF(IFERROR(VLOOKUP($C91,Planes_de_estudio[],MATCH($AJ$2,Carreras,0)+2,0),"")&gt;0,IFERROR(VLOOKUP($C91,Planes_de_estudio[],MATCH($AJ$2,Carreras,0)+2,0),""),"")</f>
        <v/>
      </c>
      <c r="AK91" s="116">
        <f>IF(IFERROR(VLOOKUP($C91,Planes_de_estudio[],MATCH($AK$2,Carreras,0)+2,0),"")&gt;0,IFERROR(VLOOKUP($C91,Planes_de_estudio[],MATCH($AK$2,Carreras,0)+2,0),""),"")</f>
        <v>8</v>
      </c>
      <c r="AL91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91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35</v>
      </c>
      <c r="AN91" s="117">
        <f>base_de_datos[[#This Row],[Pronóstico]]/25</f>
        <v>1.4</v>
      </c>
      <c r="AO91" s="117" t="str">
        <f>VLOOKUP($C91,Planes_de_estudio[],2)</f>
        <v>EEC</v>
      </c>
      <c r="AP91" s="119" t="str">
        <f ca="1">IF(AND(base_de_datos[[#This Row],[Industrial]]&lt;&gt;"",base_de_datos[[#This Row],[Misma o no]]=1),base_de_datos[[#This Row],[Índice]],"")</f>
        <v/>
      </c>
      <c r="AQ91" s="119">
        <f ca="1">IF(AND(base_de_datos[[#This Row],[Mecatrónica]]&lt;&gt;"",base_de_datos[[#This Row],[Misma o no]]=1),base_de_datos[[#This Row],[Índice]],"")</f>
        <v>4</v>
      </c>
      <c r="AR91" s="119" t="str">
        <f ca="1">IF(AND(base_de_datos[[#This Row],[Innovación y Diseño]]&lt;&gt;"",base_de_datos[[#This Row],[Misma o no]]=1),base_de_datos[[#This Row],[Índice]],"")</f>
        <v/>
      </c>
      <c r="AS91" s="119" t="str">
        <f ca="1">IF(AND(base_de_datos[[#This Row],[Inteligencia Artificial]]&lt;&gt;"",base_de_datos[[#This Row],[Misma o no]]=1),base_de_datos[[#This Row],[Índice]],"")</f>
        <v/>
      </c>
      <c r="AT91" s="119">
        <f ca="1">IF(AND(base_de_datos[[#This Row],[Tecnologías Energéticas]]&lt;&gt;"",base_de_datos[[#This Row],[Misma o no]]=1),base_de_datos[[#This Row],[Índice]],"")</f>
        <v>4</v>
      </c>
      <c r="AU91" s="119" t="str">
        <f ca="1">IF(AND(base_de_datos[[#This Row],[Civil y Administración]]&lt;&gt;"",base_de_datos[[#This Row],[Misma o no]]=1),base_de_datos[[#This Row],[Índice]],"")</f>
        <v/>
      </c>
      <c r="AV91" s="119">
        <f ca="1">IF(AND(base_de_datos[[#This Row],[Bioelectrónica]]&lt;&gt;"",base_de_datos[[#This Row],[Misma o no]]=1),base_de_datos[[#This Row],[Índice]],"")</f>
        <v>4</v>
      </c>
      <c r="AW91" s="120"/>
      <c r="AX91" s="4" t="s">
        <v>1799</v>
      </c>
    </row>
    <row r="92" spans="2:50" s="6" customFormat="1" ht="13" x14ac:dyDescent="0.3">
      <c r="B92" s="9" t="s">
        <v>265</v>
      </c>
      <c r="C92" s="1" t="s">
        <v>266</v>
      </c>
      <c r="D92" s="4">
        <v>1</v>
      </c>
      <c r="E92" s="113">
        <v>0.70833333333333304</v>
      </c>
      <c r="F92" s="113">
        <v>0.79166666666665897</v>
      </c>
      <c r="G92" s="226" t="s">
        <v>92</v>
      </c>
      <c r="H92" s="4" t="s">
        <v>119</v>
      </c>
      <c r="I92" s="4"/>
      <c r="J92" s="126">
        <v>8</v>
      </c>
      <c r="K92" s="115"/>
      <c r="L92" s="3"/>
      <c r="M92" s="127"/>
      <c r="N92" s="3"/>
      <c r="O92" s="2" t="s">
        <v>267</v>
      </c>
      <c r="P92" s="114"/>
      <c r="Q92" s="114"/>
      <c r="R92" s="114"/>
      <c r="S92" s="114" t="s">
        <v>90</v>
      </c>
      <c r="T92" s="114"/>
      <c r="U92" s="114"/>
      <c r="V92" s="114"/>
      <c r="W92" s="114"/>
      <c r="X92" s="117">
        <f>_xlfn.XLOOKUP(base_de_datos[[#This Row],[Materia]],Materias,Horas)/16</f>
        <v>4</v>
      </c>
      <c r="Y92" s="117">
        <f>ROUND(((base_de_datos[[#This Row],[Hora fin]]-base_de_datos[[#This Row],[Hora inicio]])*24)*(COUNTA(base_de_datos[[#This Row],[Lunes]:[Sábado]])),1)</f>
        <v>2</v>
      </c>
      <c r="Z92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92" s="117">
        <f ca="1">IF(base_de_datos[[#This Row],[No clase]]=OFFSET(base_de_datos[[#This Row],[No clase]],-1,0),0,1)</f>
        <v>0</v>
      </c>
      <c r="AB92" s="117">
        <f ca="1">IF(NOT(OR(base_de_datos[[#This Row],[Horas totales]]=base_de_datos[[#This Row],[HT Plan]],base_de_datos[[#This Row],[Horas totales]]="N/A")),1,0)</f>
        <v>0</v>
      </c>
      <c r="AC92" s="117" t="str">
        <f>_xlfn.XLOOKUP(base_de_datos[[#This Row],[Profesor]],Nombre,Grado)</f>
        <v>M</v>
      </c>
      <c r="AD92" s="118" t="str">
        <f>_xlfn.XLOOKUP(base_de_datos[[#This Row],[Profesor]],Nombre,Tipo)</f>
        <v>TC</v>
      </c>
      <c r="AE92" s="117" t="str">
        <f>IF(IFERROR(VLOOKUP($C92,Planes_de_estudio[],MATCH($AE$2,Carreras,0)+2,0),"")&gt;0,IFERROR(VLOOKUP($C92,Planes_de_estudio[],MATCH($AE$2,Carreras,0)+2,0),""),"")</f>
        <v/>
      </c>
      <c r="AF92" s="117">
        <f>IF(IFERROR(VLOOKUP($C92,Planes_de_estudio[],MATCH($AF$2,Carreras,0)+2,0),"")&gt;0,IFERROR(VLOOKUP($C92,Planes_de_estudio[],MATCH($AF$2,Carreras,0)+2,0),""),"")</f>
        <v>8</v>
      </c>
      <c r="AG92" s="117" t="str">
        <f>IF(IFERROR(VLOOKUP($C92,Planes_de_estudio[],MATCH($AG$2,Carreras,0)+2,0),"")&gt;0,IFERROR(VLOOKUP($C92,Planes_de_estudio[],MATCH($AG$2,Carreras,0)+2,0),""),"")</f>
        <v/>
      </c>
      <c r="AH92" s="117" t="str">
        <f>IF(IFERROR(VLOOKUP($C92,Planes_de_estudio[],MATCH($AH$2,Carreras,0)+2,0),"")&gt;0,IFERROR(VLOOKUP($C92,Planes_de_estudio[],MATCH($AH$2,Carreras,0)+2,0),""),"")</f>
        <v/>
      </c>
      <c r="AI92" s="117">
        <f>IF(IFERROR(VLOOKUP($C92,Planes_de_estudio[],MATCH($AI$2,Carreras,0)+2,0),"")&gt;0,IFERROR(VLOOKUP($C92,Planes_de_estudio[],MATCH($AI$2,Carreras,0)+2,0),""),"")</f>
        <v>8</v>
      </c>
      <c r="AJ92" s="117" t="str">
        <f>IF(IFERROR(VLOOKUP($C92,Planes_de_estudio[],MATCH($AJ$2,Carreras,0)+2,0),"")&gt;0,IFERROR(VLOOKUP($C92,Planes_de_estudio[],MATCH($AJ$2,Carreras,0)+2,0),""),"")</f>
        <v/>
      </c>
      <c r="AK92" s="117">
        <f>IF(IFERROR(VLOOKUP($C92,Planes_de_estudio[],MATCH($AK$2,Carreras,0)+2,0),"")&gt;0,IFERROR(VLOOKUP($C92,Planes_de_estudio[],MATCH($AK$2,Carreras,0)+2,0),""),"")</f>
        <v>8</v>
      </c>
      <c r="AL92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92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35</v>
      </c>
      <c r="AN92" s="117">
        <f>base_de_datos[[#This Row],[Pronóstico]]/25</f>
        <v>1.4</v>
      </c>
      <c r="AO92" s="117" t="str">
        <f>VLOOKUP($C92,Planes_de_estudio[],2)</f>
        <v>EEC</v>
      </c>
      <c r="AP92" s="119" t="str">
        <f ca="1">IF(AND(base_de_datos[[#This Row],[Industrial]]&lt;&gt;"",base_de_datos[[#This Row],[Misma o no]]=1),base_de_datos[[#This Row],[Índice]],"")</f>
        <v/>
      </c>
      <c r="AQ92" s="119" t="str">
        <f ca="1">IF(AND(base_de_datos[[#This Row],[Mecatrónica]]&lt;&gt;"",base_de_datos[[#This Row],[Misma o no]]=1),base_de_datos[[#This Row],[Índice]],"")</f>
        <v/>
      </c>
      <c r="AR92" s="119" t="str">
        <f ca="1">IF(AND(base_de_datos[[#This Row],[Innovación y Diseño]]&lt;&gt;"",base_de_datos[[#This Row],[Misma o no]]=1),base_de_datos[[#This Row],[Índice]],"")</f>
        <v/>
      </c>
      <c r="AS92" s="119" t="str">
        <f ca="1">IF(AND(base_de_datos[[#This Row],[Inteligencia Artificial]]&lt;&gt;"",base_de_datos[[#This Row],[Misma o no]]=1),base_de_datos[[#This Row],[Índice]],"")</f>
        <v/>
      </c>
      <c r="AT92" s="119" t="str">
        <f ca="1">IF(AND(base_de_datos[[#This Row],[Tecnologías Energéticas]]&lt;&gt;"",base_de_datos[[#This Row],[Misma o no]]=1),base_de_datos[[#This Row],[Índice]],"")</f>
        <v/>
      </c>
      <c r="AU92" s="119" t="str">
        <f ca="1">IF(AND(base_de_datos[[#This Row],[Civil y Administración]]&lt;&gt;"",base_de_datos[[#This Row],[Misma o no]]=1),base_de_datos[[#This Row],[Índice]],"")</f>
        <v/>
      </c>
      <c r="AV92" s="119" t="str">
        <f ca="1">IF(AND(base_de_datos[[#This Row],[Bioelectrónica]]&lt;&gt;"",base_de_datos[[#This Row],[Misma o no]]=1),base_de_datos[[#This Row],[Índice]],"")</f>
        <v/>
      </c>
      <c r="AW92" s="120"/>
      <c r="AX92" s="4" t="s">
        <v>1799</v>
      </c>
    </row>
    <row r="93" spans="2:50" s="6" customFormat="1" ht="13" x14ac:dyDescent="0.3">
      <c r="B93" s="6" t="s">
        <v>168</v>
      </c>
      <c r="C93" s="1" t="s">
        <v>283</v>
      </c>
      <c r="D93" s="4">
        <v>1</v>
      </c>
      <c r="E93" s="113">
        <v>0.5</v>
      </c>
      <c r="F93" s="113">
        <v>0.562499999999996</v>
      </c>
      <c r="G93" s="226" t="s">
        <v>92</v>
      </c>
      <c r="H93" s="4" t="s">
        <v>93</v>
      </c>
      <c r="I93" s="4"/>
      <c r="J93" s="199">
        <v>26</v>
      </c>
      <c r="K93" s="115"/>
      <c r="L93" s="3"/>
      <c r="M93" s="127"/>
      <c r="N93" s="3"/>
      <c r="O93" s="4">
        <v>1838</v>
      </c>
      <c r="P93" s="114"/>
      <c r="Q93" s="114" t="s">
        <v>90</v>
      </c>
      <c r="R93" s="114"/>
      <c r="S93" s="114" t="s">
        <v>90</v>
      </c>
      <c r="T93" s="114"/>
      <c r="U93" s="114"/>
      <c r="V93" s="114"/>
      <c r="W93" s="114"/>
      <c r="X93" s="117">
        <f>_xlfn.XLOOKUP(base_de_datos[[#This Row],[Materia]],Materias,Horas)/16</f>
        <v>3</v>
      </c>
      <c r="Y93" s="117">
        <f>ROUND(((base_de_datos[[#This Row],[Hora fin]]-base_de_datos[[#This Row],[Hora inicio]])*24)*(COUNTA(base_de_datos[[#This Row],[Lunes]:[Sábado]])),1)</f>
        <v>3</v>
      </c>
      <c r="Z93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93" s="117">
        <f ca="1">IF(base_de_datos[[#This Row],[No clase]]=OFFSET(base_de_datos[[#This Row],[No clase]],-1,0),0,1)</f>
        <v>1</v>
      </c>
      <c r="AB93" s="117">
        <f ca="1">IF(NOT(OR(base_de_datos[[#This Row],[Horas totales]]=base_de_datos[[#This Row],[HT Plan]],base_de_datos[[#This Row],[Horas totales]]="N/A")),1,0)</f>
        <v>0</v>
      </c>
      <c r="AC93" s="117" t="str">
        <f>_xlfn.XLOOKUP(base_de_datos[[#This Row],[Profesor]],Nombre,Grado)</f>
        <v>M</v>
      </c>
      <c r="AD93" s="118" t="str">
        <f>_xlfn.XLOOKUP(base_de_datos[[#This Row],[Profesor]],Nombre,Tipo)</f>
        <v>TC</v>
      </c>
      <c r="AE93" s="117">
        <f>IF(IFERROR(VLOOKUP($C93,Planes_de_estudio[],MATCH($AE$2,Carreras,0)+2,0),"")&gt;0,IFERROR(VLOOKUP($C93,Planes_de_estudio[],MATCH($AE$2,Carreras,0)+2,0),""),"")</f>
        <v>4</v>
      </c>
      <c r="AF93" s="117" t="str">
        <f>IF(IFERROR(VLOOKUP($C93,Planes_de_estudio[],MATCH($AF$2,Carreras,0)+2,0),"")&gt;0,IFERROR(VLOOKUP($C93,Planes_de_estudio[],MATCH($AF$2,Carreras,0)+2,0),""),"")</f>
        <v/>
      </c>
      <c r="AG93" s="117" t="str">
        <f>IF(IFERROR(VLOOKUP($C93,Planes_de_estudio[],MATCH($AG$2,Carreras,0)+2,0),"")&gt;0,IFERROR(VLOOKUP($C93,Planes_de_estudio[],MATCH($AG$2,Carreras,0)+2,0),""),"")</f>
        <v/>
      </c>
      <c r="AH93" s="117" t="str">
        <f>IF(IFERROR(VLOOKUP($C93,Planes_de_estudio[],MATCH($AH$2,Carreras,0)+2,0),"")&gt;0,IFERROR(VLOOKUP($C93,Planes_de_estudio[],MATCH($AH$2,Carreras,0)+2,0),""),"")</f>
        <v/>
      </c>
      <c r="AI93" s="117" t="str">
        <f>IF(IFERROR(VLOOKUP($C93,Planes_de_estudio[],MATCH($AI$2,Carreras,0)+2,0),"")&gt;0,IFERROR(VLOOKUP($C93,Planes_de_estudio[],MATCH($AI$2,Carreras,0)+2,0),""),"")</f>
        <v/>
      </c>
      <c r="AJ93" s="117" t="str">
        <f>IF(IFERROR(VLOOKUP($C93,Planes_de_estudio[],MATCH($AJ$2,Carreras,0)+2,0),"")&gt;0,IFERROR(VLOOKUP($C93,Planes_de_estudio[],MATCH($AJ$2,Carreras,0)+2,0),""),"")</f>
        <v/>
      </c>
      <c r="AK93" s="117" t="str">
        <f>IF(IFERROR(VLOOKUP($C93,Planes_de_estudio[],MATCH($AK$2,Carreras,0)+2,0),"")&gt;0,IFERROR(VLOOKUP($C93,Planes_de_estudio[],MATCH($AK$2,Carreras,0)+2,0),""),"")</f>
        <v/>
      </c>
      <c r="AL93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93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19</v>
      </c>
      <c r="AN93" s="117">
        <f>base_de_datos[[#This Row],[Pronóstico]]/25</f>
        <v>0.76</v>
      </c>
      <c r="AO93" s="117" t="str">
        <f>VLOOKUP($C93,Planes_de_estudio[],2)</f>
        <v>MAT</v>
      </c>
      <c r="AP93" s="119">
        <f ca="1">IF(AND(base_de_datos[[#This Row],[Industrial]]&lt;&gt;"",base_de_datos[[#This Row],[Misma o no]]=1),base_de_datos[[#This Row],[Índice]],"")</f>
        <v>4</v>
      </c>
      <c r="AQ93" s="119" t="str">
        <f ca="1">IF(AND(base_de_datos[[#This Row],[Mecatrónica]]&lt;&gt;"",base_de_datos[[#This Row],[Misma o no]]=1),base_de_datos[[#This Row],[Índice]],"")</f>
        <v/>
      </c>
      <c r="AR93" s="119" t="str">
        <f ca="1">IF(AND(base_de_datos[[#This Row],[Innovación y Diseño]]&lt;&gt;"",base_de_datos[[#This Row],[Misma o no]]=1),base_de_datos[[#This Row],[Índice]],"")</f>
        <v/>
      </c>
      <c r="AS93" s="119" t="str">
        <f ca="1">IF(AND(base_de_datos[[#This Row],[Inteligencia Artificial]]&lt;&gt;"",base_de_datos[[#This Row],[Misma o no]]=1),base_de_datos[[#This Row],[Índice]],"")</f>
        <v/>
      </c>
      <c r="AT93" s="119" t="str">
        <f ca="1">IF(AND(base_de_datos[[#This Row],[Tecnologías Energéticas]]&lt;&gt;"",base_de_datos[[#This Row],[Misma o no]]=1),base_de_datos[[#This Row],[Índice]],"")</f>
        <v/>
      </c>
      <c r="AU93" s="119" t="str">
        <f ca="1">IF(AND(base_de_datos[[#This Row],[Civil y Administración]]&lt;&gt;"",base_de_datos[[#This Row],[Misma o no]]=1),base_de_datos[[#This Row],[Índice]],"")</f>
        <v/>
      </c>
      <c r="AV93" s="119" t="str">
        <f ca="1">IF(AND(base_de_datos[[#This Row],[Bioelectrónica]]&lt;&gt;"",base_de_datos[[#This Row],[Misma o no]]=1),base_de_datos[[#This Row],[Índice]],"")</f>
        <v/>
      </c>
      <c r="AW93" s="120"/>
      <c r="AX93" s="4">
        <v>3</v>
      </c>
    </row>
    <row r="94" spans="2:50" s="6" customFormat="1" ht="13" x14ac:dyDescent="0.3">
      <c r="B94" s="6" t="s">
        <v>268</v>
      </c>
      <c r="C94" s="1" t="s">
        <v>269</v>
      </c>
      <c r="D94" s="4">
        <v>1</v>
      </c>
      <c r="E94" s="113">
        <v>0.375</v>
      </c>
      <c r="F94" s="113">
        <v>0.45833333333333098</v>
      </c>
      <c r="G94" s="226" t="s">
        <v>92</v>
      </c>
      <c r="H94" s="4" t="s">
        <v>102</v>
      </c>
      <c r="I94" s="4"/>
      <c r="J94" s="198">
        <v>4</v>
      </c>
      <c r="K94" s="115"/>
      <c r="L94" s="3"/>
      <c r="M94" s="115"/>
      <c r="N94" s="3"/>
      <c r="O94" s="4" t="s">
        <v>270</v>
      </c>
      <c r="P94" s="114"/>
      <c r="Q94" s="114" t="s">
        <v>90</v>
      </c>
      <c r="R94" s="114"/>
      <c r="S94" s="114" t="s">
        <v>90</v>
      </c>
      <c r="T94" s="114"/>
      <c r="U94" s="114"/>
      <c r="V94" s="114"/>
      <c r="W94" s="114"/>
      <c r="X94" s="116">
        <f>_xlfn.XLOOKUP(base_de_datos[[#This Row],[Materia]],Materias,Horas)/16</f>
        <v>4</v>
      </c>
      <c r="Y94" s="116">
        <f>ROUND(((base_de_datos[[#This Row],[Hora fin]]-base_de_datos[[#This Row],[Hora inicio]])*24)*(COUNTA(base_de_datos[[#This Row],[Lunes]:[Sábado]])),1)</f>
        <v>4</v>
      </c>
      <c r="Z94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94" s="117">
        <f ca="1">IF(base_de_datos[[#This Row],[No clase]]=OFFSET(base_de_datos[[#This Row],[No clase]],-1,0),0,1)</f>
        <v>1</v>
      </c>
      <c r="AB94" s="117">
        <f ca="1">IF(NOT(OR(base_de_datos[[#This Row],[Horas totales]]=base_de_datos[[#This Row],[HT Plan]],base_de_datos[[#This Row],[Horas totales]]="N/A")),1,0)</f>
        <v>0</v>
      </c>
      <c r="AC94" s="116" t="str">
        <f>_xlfn.XLOOKUP(base_de_datos[[#This Row],[Profesor]],Nombre,Grado)</f>
        <v>SNI</v>
      </c>
      <c r="AD94" s="118" t="str">
        <f>_xlfn.XLOOKUP(base_de_datos[[#This Row],[Profesor]],Nombre,Tipo)</f>
        <v>TC</v>
      </c>
      <c r="AE94" s="116" t="str">
        <f>IF(IFERROR(VLOOKUP($C94,Planes_de_estudio[],MATCH($AE$2,Carreras,0)+2,0),"")&gt;0,IFERROR(VLOOKUP($C94,Planes_de_estudio[],MATCH($AE$2,Carreras,0)+2,0),""),"")</f>
        <v/>
      </c>
      <c r="AF94" s="116" t="str">
        <f>IF(IFERROR(VLOOKUP($C94,Planes_de_estudio[],MATCH($AF$2,Carreras,0)+2,0),"")&gt;0,IFERROR(VLOOKUP($C94,Planes_de_estudio[],MATCH($AF$2,Carreras,0)+2,0),""),"")</f>
        <v/>
      </c>
      <c r="AG94" s="116" t="str">
        <f>IF(IFERROR(VLOOKUP($C94,Planes_de_estudio[],MATCH($AG$2,Carreras,0)+2,0),"")&gt;0,IFERROR(VLOOKUP($C94,Planes_de_estudio[],MATCH($AG$2,Carreras,0)+2,0),""),"")</f>
        <v/>
      </c>
      <c r="AH94" s="116" t="str">
        <f>IF(IFERROR(VLOOKUP($C94,Planes_de_estudio[],MATCH($AH$2,Carreras,0)+2,0),"")&gt;0,IFERROR(VLOOKUP($C94,Planes_de_estudio[],MATCH($AH$2,Carreras,0)+2,0),""),"")</f>
        <v/>
      </c>
      <c r="AI94" s="116">
        <f>IF(IFERROR(VLOOKUP($C94,Planes_de_estudio[],MATCH($AI$2,Carreras,0)+2,0),"")&gt;0,IFERROR(VLOOKUP($C94,Planes_de_estudio[],MATCH($AI$2,Carreras,0)+2,0),""),"")</f>
        <v>4</v>
      </c>
      <c r="AJ94" s="116" t="str">
        <f>IF(IFERROR(VLOOKUP($C94,Planes_de_estudio[],MATCH($AJ$2,Carreras,0)+2,0),"")&gt;0,IFERROR(VLOOKUP($C94,Planes_de_estudio[],MATCH($AJ$2,Carreras,0)+2,0),""),"")</f>
        <v/>
      </c>
      <c r="AK94" s="116" t="str">
        <f>IF(IFERROR(VLOOKUP($C94,Planes_de_estudio[],MATCH($AK$2,Carreras,0)+2,0),"")&gt;0,IFERROR(VLOOKUP($C94,Planes_de_estudio[],MATCH($AK$2,Carreras,0)+2,0),""),"")</f>
        <v/>
      </c>
      <c r="AL94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94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</v>
      </c>
      <c r="AN94" s="117">
        <f>base_de_datos[[#This Row],[Pronóstico]]/25</f>
        <v>0.16</v>
      </c>
      <c r="AO94" s="117" t="str">
        <f>VLOOKUP($C94,Planes_de_estudio[],2)</f>
        <v>ETF</v>
      </c>
      <c r="AP94" s="119" t="str">
        <f ca="1">IF(AND(base_de_datos[[#This Row],[Industrial]]&lt;&gt;"",base_de_datos[[#This Row],[Misma o no]]=1),base_de_datos[[#This Row],[Índice]],"")</f>
        <v/>
      </c>
      <c r="AQ94" s="119" t="str">
        <f ca="1">IF(AND(base_de_datos[[#This Row],[Mecatrónica]]&lt;&gt;"",base_de_datos[[#This Row],[Misma o no]]=1),base_de_datos[[#This Row],[Índice]],"")</f>
        <v/>
      </c>
      <c r="AR94" s="119" t="str">
        <f ca="1">IF(AND(base_de_datos[[#This Row],[Innovación y Diseño]]&lt;&gt;"",base_de_datos[[#This Row],[Misma o no]]=1),base_de_datos[[#This Row],[Índice]],"")</f>
        <v/>
      </c>
      <c r="AS94" s="119" t="str">
        <f ca="1">IF(AND(base_de_datos[[#This Row],[Inteligencia Artificial]]&lt;&gt;"",base_de_datos[[#This Row],[Misma o no]]=1),base_de_datos[[#This Row],[Índice]],"")</f>
        <v/>
      </c>
      <c r="AT94" s="119">
        <f ca="1">IF(AND(base_de_datos[[#This Row],[Tecnologías Energéticas]]&lt;&gt;"",base_de_datos[[#This Row],[Misma o no]]=1),base_de_datos[[#This Row],[Índice]],"")</f>
        <v>6</v>
      </c>
      <c r="AU94" s="119" t="str">
        <f ca="1">IF(AND(base_de_datos[[#This Row],[Civil y Administración]]&lt;&gt;"",base_de_datos[[#This Row],[Misma o no]]=1),base_de_datos[[#This Row],[Índice]],"")</f>
        <v/>
      </c>
      <c r="AV94" s="119" t="str">
        <f ca="1">IF(AND(base_de_datos[[#This Row],[Bioelectrónica]]&lt;&gt;"",base_de_datos[[#This Row],[Misma o no]]=1),base_de_datos[[#This Row],[Índice]],"")</f>
        <v/>
      </c>
      <c r="AW94" s="120"/>
      <c r="AX94" s="4">
        <v>2</v>
      </c>
    </row>
    <row r="95" spans="2:50" s="6" customFormat="1" ht="13" x14ac:dyDescent="0.3">
      <c r="B95" s="6" t="s">
        <v>271</v>
      </c>
      <c r="C95" s="1" t="s">
        <v>272</v>
      </c>
      <c r="D95" s="4">
        <v>1</v>
      </c>
      <c r="E95" s="113">
        <v>0.5</v>
      </c>
      <c r="F95" s="113">
        <v>0.58333333333332904</v>
      </c>
      <c r="G95" s="4" t="s">
        <v>87</v>
      </c>
      <c r="H95" s="4" t="s">
        <v>102</v>
      </c>
      <c r="I95" s="4"/>
      <c r="J95" s="199">
        <v>4</v>
      </c>
      <c r="K95" s="142"/>
      <c r="L95" s="3"/>
      <c r="M95" s="3"/>
      <c r="N95" s="3"/>
      <c r="O95" s="4">
        <v>2089</v>
      </c>
      <c r="P95" s="114"/>
      <c r="Q95" s="114"/>
      <c r="R95" s="114" t="s">
        <v>90</v>
      </c>
      <c r="S95" s="114"/>
      <c r="T95" s="114" t="s">
        <v>90</v>
      </c>
      <c r="U95" s="114"/>
      <c r="V95" s="114"/>
      <c r="W95" s="114"/>
      <c r="X95" s="143">
        <f>_xlfn.XLOOKUP(base_de_datos[[#This Row],[Materia]],Materias,Horas)/16</f>
        <v>4</v>
      </c>
      <c r="Y95" s="143">
        <f>ROUND(((base_de_datos[[#This Row],[Hora fin]]-base_de_datos[[#This Row],[Hora inicio]])*24)*(COUNTA(base_de_datos[[#This Row],[Lunes]:[Sábado]])),1)</f>
        <v>4</v>
      </c>
      <c r="Z95" s="14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95" s="143">
        <f ca="1">IF(base_de_datos[[#This Row],[No clase]]=OFFSET(base_de_datos[[#This Row],[No clase]],-1,0),0,1)</f>
        <v>1</v>
      </c>
      <c r="AB95" s="143">
        <f ca="1">IF(NOT(OR(base_de_datos[[#This Row],[Horas totales]]=base_de_datos[[#This Row],[HT Plan]],base_de_datos[[#This Row],[Horas totales]]="N/A")),1,0)</f>
        <v>0</v>
      </c>
      <c r="AC95" s="228">
        <f>_xlfn.XLOOKUP(base_de_datos[[#This Row],[Profesor]],Nombre,Grado)</f>
        <v>0</v>
      </c>
      <c r="AD95" s="144" t="str">
        <f>_xlfn.XLOOKUP(base_de_datos[[#This Row],[Profesor]],Nombre,Tipo)</f>
        <v>A</v>
      </c>
      <c r="AE95" s="143" t="str">
        <f>IF(IFERROR(VLOOKUP($C95,Planes_de_estudio[],MATCH($AE$2,Carreras,0)+2,0),"")&gt;0,IFERROR(VLOOKUP($C95,Planes_de_estudio[],MATCH($AE$2,Carreras,0)+2,0),""),"")</f>
        <v/>
      </c>
      <c r="AF95" s="143" t="str">
        <f>IF(IFERROR(VLOOKUP($C95,Planes_de_estudio[],MATCH($AF$2,Carreras,0)+2,0),"")&gt;0,IFERROR(VLOOKUP($C95,Planes_de_estudio[],MATCH($AF$2,Carreras,0)+2,0),""),"")</f>
        <v/>
      </c>
      <c r="AG95" s="143" t="str">
        <f>IF(IFERROR(VLOOKUP($C95,Planes_de_estudio[],MATCH($AG$2,Carreras,0)+2,0),"")&gt;0,IFERROR(VLOOKUP($C95,Planes_de_estudio[],MATCH($AG$2,Carreras,0)+2,0),""),"")</f>
        <v/>
      </c>
      <c r="AH95" s="143" t="str">
        <f>IF(IFERROR(VLOOKUP($C95,Planes_de_estudio[],MATCH($AH$2,Carreras,0)+2,0),"")&gt;0,IFERROR(VLOOKUP($C95,Planes_de_estudio[],MATCH($AH$2,Carreras,0)+2,0),""),"")</f>
        <v/>
      </c>
      <c r="AI95" s="143">
        <f>IF(IFERROR(VLOOKUP($C95,Planes_de_estudio[],MATCH($AI$2,Carreras,0)+2,0),"")&gt;0,IFERROR(VLOOKUP($C95,Planes_de_estudio[],MATCH($AI$2,Carreras,0)+2,0),""),"")</f>
        <v>4</v>
      </c>
      <c r="AJ95" s="143" t="str">
        <f>IF(IFERROR(VLOOKUP($C95,Planes_de_estudio[],MATCH($AJ$2,Carreras,0)+2,0),"")&gt;0,IFERROR(VLOOKUP($C95,Planes_de_estudio[],MATCH($AJ$2,Carreras,0)+2,0),""),"")</f>
        <v/>
      </c>
      <c r="AK95" s="143" t="str">
        <f>IF(IFERROR(VLOOKUP($C95,Planes_de_estudio[],MATCH($AK$2,Carreras,0)+2,0),"")&gt;0,IFERROR(VLOOKUP($C95,Planes_de_estudio[],MATCH($AK$2,Carreras,0)+2,0),""),"")</f>
        <v/>
      </c>
      <c r="AL95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95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</v>
      </c>
      <c r="AN95" s="143">
        <f>base_de_datos[[#This Row],[Pronóstico]]/25</f>
        <v>0.16</v>
      </c>
      <c r="AO95" s="143" t="str">
        <f>VLOOKUP($C95,Planes_de_estudio[],2)</f>
        <v>ETF</v>
      </c>
      <c r="AP95" s="112" t="str">
        <f ca="1">IF(AND(base_de_datos[[#This Row],[Industrial]]&lt;&gt;"",base_de_datos[[#This Row],[Misma o no]]=1),base_de_datos[[#This Row],[Índice]],"")</f>
        <v/>
      </c>
      <c r="AQ95" s="112" t="str">
        <f ca="1">IF(AND(base_de_datos[[#This Row],[Mecatrónica]]&lt;&gt;"",base_de_datos[[#This Row],[Misma o no]]=1),base_de_datos[[#This Row],[Índice]],"")</f>
        <v/>
      </c>
      <c r="AR95" s="112" t="str">
        <f ca="1">IF(AND(base_de_datos[[#This Row],[Innovación y Diseño]]&lt;&gt;"",base_de_datos[[#This Row],[Misma o no]]=1),base_de_datos[[#This Row],[Índice]],"")</f>
        <v/>
      </c>
      <c r="AS95" s="112" t="str">
        <f ca="1">IF(AND(base_de_datos[[#This Row],[Inteligencia Artificial]]&lt;&gt;"",base_de_datos[[#This Row],[Misma o no]]=1),base_de_datos[[#This Row],[Índice]],"")</f>
        <v/>
      </c>
      <c r="AT95" s="112">
        <f ca="1">IF(AND(base_de_datos[[#This Row],[Tecnologías Energéticas]]&lt;&gt;"",base_de_datos[[#This Row],[Misma o no]]=1),base_de_datos[[#This Row],[Índice]],"")</f>
        <v>6</v>
      </c>
      <c r="AU95" s="112" t="str">
        <f ca="1">IF(AND(base_de_datos[[#This Row],[Civil y Administración]]&lt;&gt;"",base_de_datos[[#This Row],[Misma o no]]=1),base_de_datos[[#This Row],[Índice]],"")</f>
        <v/>
      </c>
      <c r="AV95" s="112" t="str">
        <f ca="1">IF(AND(base_de_datos[[#This Row],[Bioelectrónica]]&lt;&gt;"",base_de_datos[[#This Row],[Misma o no]]=1),base_de_datos[[#This Row],[Índice]],"")</f>
        <v/>
      </c>
      <c r="AX95" s="4">
        <v>2</v>
      </c>
    </row>
    <row r="96" spans="2:50" s="6" customFormat="1" ht="13" x14ac:dyDescent="0.3">
      <c r="B96" s="6" t="s">
        <v>276</v>
      </c>
      <c r="C96" s="1" t="s">
        <v>277</v>
      </c>
      <c r="D96" s="4">
        <v>2</v>
      </c>
      <c r="E96" s="113">
        <v>0.70833333333333304</v>
      </c>
      <c r="F96" s="113">
        <v>0.83333333333332504</v>
      </c>
      <c r="G96" s="226" t="s">
        <v>92</v>
      </c>
      <c r="H96" s="4" t="s">
        <v>98</v>
      </c>
      <c r="I96" s="4"/>
      <c r="J96" s="199">
        <v>21</v>
      </c>
      <c r="K96" s="142"/>
      <c r="L96" s="3"/>
      <c r="M96" s="3"/>
      <c r="N96" s="3"/>
      <c r="O96" s="4" t="s">
        <v>278</v>
      </c>
      <c r="P96" s="114"/>
      <c r="Q96" s="114"/>
      <c r="R96" s="114" t="s">
        <v>90</v>
      </c>
      <c r="S96" s="114"/>
      <c r="T96" s="114"/>
      <c r="U96" s="114"/>
      <c r="V96" s="114"/>
      <c r="W96" s="114"/>
      <c r="X96" s="143">
        <f>_xlfn.XLOOKUP(base_de_datos[[#This Row],[Materia]],Materias,Horas)/16</f>
        <v>3</v>
      </c>
      <c r="Y96" s="143">
        <f>ROUND(((base_de_datos[[#This Row],[Hora fin]]-base_de_datos[[#This Row],[Hora inicio]])*24)*(COUNTA(base_de_datos[[#This Row],[Lunes]:[Sábado]])),1)</f>
        <v>3</v>
      </c>
      <c r="Z96" s="14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96" s="143">
        <f ca="1">IF(base_de_datos[[#This Row],[No clase]]=OFFSET(base_de_datos[[#This Row],[No clase]],-1,0),0,1)</f>
        <v>1</v>
      </c>
      <c r="AB96" s="143">
        <f ca="1">IF(NOT(OR(base_de_datos[[#This Row],[Horas totales]]=base_de_datos[[#This Row],[HT Plan]],base_de_datos[[#This Row],[Horas totales]]="N/A")),1,0)</f>
        <v>0</v>
      </c>
      <c r="AC96" s="143" t="str">
        <f>_xlfn.XLOOKUP(base_de_datos[[#This Row],[Profesor]],Nombre,Grado)</f>
        <v>M</v>
      </c>
      <c r="AD96" s="144" t="str">
        <f>_xlfn.XLOOKUP(base_de_datos[[#This Row],[Profesor]],Nombre,Tipo)</f>
        <v>TC</v>
      </c>
      <c r="AE96" s="143" t="str">
        <f>IF(IFERROR(VLOOKUP($C96,Planes_de_estudio[],MATCH($AE$2,Carreras,0)+2,0),"")&gt;0,IFERROR(VLOOKUP($C96,Planes_de_estudio[],MATCH($AE$2,Carreras,0)+2,0),""),"")</f>
        <v/>
      </c>
      <c r="AF96" s="143">
        <f>IF(IFERROR(VLOOKUP($C96,Planes_de_estudio[],MATCH($AF$2,Carreras,0)+2,0),"")&gt;0,IFERROR(VLOOKUP($C96,Planes_de_estudio[],MATCH($AF$2,Carreras,0)+2,0),""),"")</f>
        <v>2</v>
      </c>
      <c r="AG96" s="143" t="str">
        <f>IF(IFERROR(VLOOKUP($C96,Planes_de_estudio[],MATCH($AG$2,Carreras,0)+2,0),"")&gt;0,IFERROR(VLOOKUP($C96,Planes_de_estudio[],MATCH($AG$2,Carreras,0)+2,0),""),"")</f>
        <v/>
      </c>
      <c r="AH96" s="143">
        <f>IF(IFERROR(VLOOKUP($C96,Planes_de_estudio[],MATCH($AH$2,Carreras,0)+2,0),"")&gt;0,IFERROR(VLOOKUP($C96,Planes_de_estudio[],MATCH($AH$2,Carreras,0)+2,0),""),"")</f>
        <v>6</v>
      </c>
      <c r="AI96" s="143" t="str">
        <f>IF(IFERROR(VLOOKUP($C96,Planes_de_estudio[],MATCH($AI$2,Carreras,0)+2,0),"")&gt;0,IFERROR(VLOOKUP($C96,Planes_de_estudio[],MATCH($AI$2,Carreras,0)+2,0),""),"")</f>
        <v/>
      </c>
      <c r="AJ96" s="143" t="str">
        <f>IF(IFERROR(VLOOKUP($C96,Planes_de_estudio[],MATCH($AJ$2,Carreras,0)+2,0),"")&gt;0,IFERROR(VLOOKUP($C96,Planes_de_estudio[],MATCH($AJ$2,Carreras,0)+2,0),""),"")</f>
        <v/>
      </c>
      <c r="AK96" s="143">
        <f>IF(IFERROR(VLOOKUP($C96,Planes_de_estudio[],MATCH($AK$2,Carreras,0)+2,0),"")&gt;0,IFERROR(VLOOKUP($C96,Planes_de_estudio[],MATCH($AK$2,Carreras,0)+2,0),""),"")</f>
        <v>2</v>
      </c>
      <c r="AL96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96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48</v>
      </c>
      <c r="AN96" s="143">
        <f>base_de_datos[[#This Row],[Pronóstico]]/25</f>
        <v>1.92</v>
      </c>
      <c r="AO96" s="143" t="str">
        <f>VLOOKUP($C96,Planes_de_estudio[],2)</f>
        <v>EMP</v>
      </c>
      <c r="AP96" s="112" t="str">
        <f ca="1">IF(AND(base_de_datos[[#This Row],[Industrial]]&lt;&gt;"",base_de_datos[[#This Row],[Misma o no]]=1),base_de_datos[[#This Row],[Índice]],"")</f>
        <v/>
      </c>
      <c r="AQ96" s="112">
        <f ca="1">IF(AND(base_de_datos[[#This Row],[Mecatrónica]]&lt;&gt;"",base_de_datos[[#This Row],[Misma o no]]=1),base_de_datos[[#This Row],[Índice]],"")</f>
        <v>4</v>
      </c>
      <c r="AR96" s="112" t="str">
        <f ca="1">IF(AND(base_de_datos[[#This Row],[Innovación y Diseño]]&lt;&gt;"",base_de_datos[[#This Row],[Misma o no]]=1),base_de_datos[[#This Row],[Índice]],"")</f>
        <v/>
      </c>
      <c r="AS96" s="112">
        <f ca="1">IF(AND(base_de_datos[[#This Row],[Inteligencia Artificial]]&lt;&gt;"",base_de_datos[[#This Row],[Misma o no]]=1),base_de_datos[[#This Row],[Índice]],"")</f>
        <v>4</v>
      </c>
      <c r="AT96" s="112" t="str">
        <f ca="1">IF(AND(base_de_datos[[#This Row],[Tecnologías Energéticas]]&lt;&gt;"",base_de_datos[[#This Row],[Misma o no]]=1),base_de_datos[[#This Row],[Índice]],"")</f>
        <v/>
      </c>
      <c r="AU96" s="112" t="str">
        <f ca="1">IF(AND(base_de_datos[[#This Row],[Civil y Administración]]&lt;&gt;"",base_de_datos[[#This Row],[Misma o no]]=1),base_de_datos[[#This Row],[Índice]],"")</f>
        <v/>
      </c>
      <c r="AV96" s="112">
        <f ca="1">IF(AND(base_de_datos[[#This Row],[Bioelectrónica]]&lt;&gt;"",base_de_datos[[#This Row],[Misma o no]]=1),base_de_datos[[#This Row],[Índice]],"")</f>
        <v>4</v>
      </c>
      <c r="AX96" s="4">
        <v>1</v>
      </c>
    </row>
    <row r="97" spans="2:50" s="6" customFormat="1" ht="13" x14ac:dyDescent="0.3">
      <c r="B97" s="6" t="s">
        <v>273</v>
      </c>
      <c r="C97" s="1" t="s">
        <v>274</v>
      </c>
      <c r="D97" s="4">
        <v>1</v>
      </c>
      <c r="E97" s="113">
        <v>0.5</v>
      </c>
      <c r="F97" s="113">
        <v>0.562499999999996</v>
      </c>
      <c r="G97" s="226" t="s">
        <v>92</v>
      </c>
      <c r="H97" s="4" t="s">
        <v>102</v>
      </c>
      <c r="I97" s="4"/>
      <c r="J97" s="114">
        <v>14</v>
      </c>
      <c r="K97" s="115"/>
      <c r="L97" s="3"/>
      <c r="M97" s="115"/>
      <c r="N97" s="3"/>
      <c r="O97" s="4" t="s">
        <v>275</v>
      </c>
      <c r="P97" s="114"/>
      <c r="Q97" s="114" t="s">
        <v>90</v>
      </c>
      <c r="R97" s="114"/>
      <c r="S97" s="114" t="s">
        <v>90</v>
      </c>
      <c r="T97" s="114"/>
      <c r="U97" s="114"/>
      <c r="V97" s="114"/>
      <c r="W97" s="114"/>
      <c r="X97" s="116">
        <f>_xlfn.XLOOKUP(base_de_datos[[#This Row],[Materia]],Materias,Horas)/16</f>
        <v>3</v>
      </c>
      <c r="Y97" s="116">
        <f>ROUND(((base_de_datos[[#This Row],[Hora fin]]-base_de_datos[[#This Row],[Hora inicio]])*24)*(COUNTA(base_de_datos[[#This Row],[Lunes]:[Sábado]])),1)</f>
        <v>3</v>
      </c>
      <c r="Z97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97" s="117">
        <f ca="1">IF(base_de_datos[[#This Row],[No clase]]=OFFSET(base_de_datos[[#This Row],[No clase]],-1,0),0,1)</f>
        <v>1</v>
      </c>
      <c r="AB97" s="117">
        <f ca="1">IF(NOT(OR(base_de_datos[[#This Row],[Horas totales]]=base_de_datos[[#This Row],[HT Plan]],base_de_datos[[#This Row],[Horas totales]]="N/A")),1,0)</f>
        <v>0</v>
      </c>
      <c r="AC97" s="116" t="str">
        <f>_xlfn.XLOOKUP(base_de_datos[[#This Row],[Profesor]],Nombre,Grado)</f>
        <v>SNI</v>
      </c>
      <c r="AD97" s="118" t="str">
        <f>_xlfn.XLOOKUP(base_de_datos[[#This Row],[Profesor]],Nombre,Tipo)</f>
        <v>TC</v>
      </c>
      <c r="AE97" s="116" t="str">
        <f>IF(IFERROR(VLOOKUP($C97,Planes_de_estudio[],MATCH($AE$2,Carreras,0)+2,0),"")&gt;0,IFERROR(VLOOKUP($C97,Planes_de_estudio[],MATCH($AE$2,Carreras,0)+2,0),""),"")</f>
        <v/>
      </c>
      <c r="AF97" s="116" t="str">
        <f>IF(IFERROR(VLOOKUP($C97,Planes_de_estudio[],MATCH($AF$2,Carreras,0)+2,0),"")&gt;0,IFERROR(VLOOKUP($C97,Planes_de_estudio[],MATCH($AF$2,Carreras,0)+2,0),""),"")</f>
        <v/>
      </c>
      <c r="AG97" s="116" t="str">
        <f>IF(IFERROR(VLOOKUP($C97,Planes_de_estudio[],MATCH($AG$2,Carreras,0)+2,0),"")&gt;0,IFERROR(VLOOKUP($C97,Planes_de_estudio[],MATCH($AG$2,Carreras,0)+2,0),""),"")</f>
        <v/>
      </c>
      <c r="AH97" s="116" t="str">
        <f>IF(IFERROR(VLOOKUP($C97,Planes_de_estudio[],MATCH($AH$2,Carreras,0)+2,0),"")&gt;0,IFERROR(VLOOKUP($C97,Planes_de_estudio[],MATCH($AH$2,Carreras,0)+2,0),""),"")</f>
        <v/>
      </c>
      <c r="AI97" s="116">
        <f>IF(IFERROR(VLOOKUP($C97,Planes_de_estudio[],MATCH($AI$2,Carreras,0)+2,0),"")&gt;0,IFERROR(VLOOKUP($C97,Planes_de_estudio[],MATCH($AI$2,Carreras,0)+2,0),""),"")</f>
        <v>2</v>
      </c>
      <c r="AJ97" s="116">
        <f>IF(IFERROR(VLOOKUP($C97,Planes_de_estudio[],MATCH($AJ$2,Carreras,0)+2,0),"")&gt;0,IFERROR(VLOOKUP($C97,Planes_de_estudio[],MATCH($AJ$2,Carreras,0)+2,0),""),"")</f>
        <v>4</v>
      </c>
      <c r="AK97" s="116" t="str">
        <f>IF(IFERROR(VLOOKUP($C97,Planes_de_estudio[],MATCH($AK$2,Carreras,0)+2,0),"")&gt;0,IFERROR(VLOOKUP($C97,Planes_de_estudio[],MATCH($AK$2,Carreras,0)+2,0),""),"")</f>
        <v/>
      </c>
      <c r="AL97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97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15</v>
      </c>
      <c r="AN97" s="117">
        <f>base_de_datos[[#This Row],[Pronóstico]]/25</f>
        <v>0.6</v>
      </c>
      <c r="AO97" s="117" t="str">
        <f>VLOOKUP($C97,Planes_de_estudio[],2)</f>
        <v>ETF</v>
      </c>
      <c r="AP97" s="119" t="str">
        <f ca="1">IF(AND(base_de_datos[[#This Row],[Industrial]]&lt;&gt;"",base_de_datos[[#This Row],[Misma o no]]=1),base_de_datos[[#This Row],[Índice]],"")</f>
        <v/>
      </c>
      <c r="AQ97" s="119" t="str">
        <f ca="1">IF(AND(base_de_datos[[#This Row],[Mecatrónica]]&lt;&gt;"",base_de_datos[[#This Row],[Misma o no]]=1),base_de_datos[[#This Row],[Índice]],"")</f>
        <v/>
      </c>
      <c r="AR97" s="119" t="str">
        <f ca="1">IF(AND(base_de_datos[[#This Row],[Innovación y Diseño]]&lt;&gt;"",base_de_datos[[#This Row],[Misma o no]]=1),base_de_datos[[#This Row],[Índice]],"")</f>
        <v/>
      </c>
      <c r="AS97" s="119" t="str">
        <f ca="1">IF(AND(base_de_datos[[#This Row],[Inteligencia Artificial]]&lt;&gt;"",base_de_datos[[#This Row],[Misma o no]]=1),base_de_datos[[#This Row],[Índice]],"")</f>
        <v/>
      </c>
      <c r="AT97" s="119">
        <f ca="1">IF(AND(base_de_datos[[#This Row],[Tecnologías Energéticas]]&lt;&gt;"",base_de_datos[[#This Row],[Misma o no]]=1),base_de_datos[[#This Row],[Índice]],"")</f>
        <v>6</v>
      </c>
      <c r="AU97" s="119">
        <f ca="1">IF(AND(base_de_datos[[#This Row],[Civil y Administración]]&lt;&gt;"",base_de_datos[[#This Row],[Misma o no]]=1),base_de_datos[[#This Row],[Índice]],"")</f>
        <v>6</v>
      </c>
      <c r="AV97" s="119" t="str">
        <f ca="1">IF(AND(base_de_datos[[#This Row],[Bioelectrónica]]&lt;&gt;"",base_de_datos[[#This Row],[Misma o no]]=1),base_de_datos[[#This Row],[Índice]],"")</f>
        <v/>
      </c>
      <c r="AW97" s="120"/>
      <c r="AX97" s="4" t="s">
        <v>1800</v>
      </c>
    </row>
    <row r="98" spans="2:50" s="6" customFormat="1" ht="12.75" customHeight="1" x14ac:dyDescent="0.3">
      <c r="B98" s="9" t="s">
        <v>300</v>
      </c>
      <c r="C98" s="1" t="s">
        <v>301</v>
      </c>
      <c r="D98" s="4">
        <v>2</v>
      </c>
      <c r="E98" s="113">
        <v>0.79166666666666696</v>
      </c>
      <c r="F98" s="113">
        <v>0.91666666666665697</v>
      </c>
      <c r="G98" s="227" t="s">
        <v>92</v>
      </c>
      <c r="H98" s="4" t="s">
        <v>302</v>
      </c>
      <c r="I98" s="4"/>
      <c r="J98" s="114"/>
      <c r="K98" s="115"/>
      <c r="L98" s="3"/>
      <c r="M98" s="115"/>
      <c r="N98" s="3"/>
      <c r="O98" s="4" t="s">
        <v>303</v>
      </c>
      <c r="P98" s="114" t="s">
        <v>90</v>
      </c>
      <c r="Q98" s="114"/>
      <c r="R98" s="114"/>
      <c r="S98" s="114"/>
      <c r="T98" s="114"/>
      <c r="U98" s="114"/>
      <c r="V98" s="114"/>
      <c r="W98" s="114"/>
      <c r="X98" s="116">
        <f>_xlfn.XLOOKUP(base_de_datos[[#This Row],[Materia]],Materias,Horas)/16</f>
        <v>3</v>
      </c>
      <c r="Y98" s="117">
        <f>ROUND(((base_de_datos[[#This Row],[Hora fin]]-base_de_datos[[#This Row],[Hora inicio]])*24)*(COUNTA(base_de_datos[[#This Row],[Lunes]:[Sábado]])),1)</f>
        <v>3</v>
      </c>
      <c r="Z98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98" s="117">
        <f ca="1">IF(base_de_datos[[#This Row],[No clase]]=OFFSET(base_de_datos[[#This Row],[No clase]],-1,0),0,1)</f>
        <v>1</v>
      </c>
      <c r="AB98" s="117">
        <f ca="1">IF(NOT(OR(base_de_datos[[#This Row],[Horas totales]]=base_de_datos[[#This Row],[HT Plan]],base_de_datos[[#This Row],[Horas totales]]="N/A")),1,0)</f>
        <v>0</v>
      </c>
      <c r="AC98" s="117" t="str">
        <f>_xlfn.XLOOKUP(base_de_datos[[#This Row],[Profesor]],Nombre,Grado)</f>
        <v>SNI</v>
      </c>
      <c r="AD98" s="118" t="str">
        <f>_xlfn.XLOOKUP(base_de_datos[[#This Row],[Profesor]],Nombre,Tipo)</f>
        <v>H</v>
      </c>
      <c r="AE98" s="117">
        <f>IF(IFERROR(VLOOKUP($C98,Planes_de_estudio[],MATCH($AE$2,Carreras,0)+2,0),"")&gt;0,IFERROR(VLOOKUP($C98,Planes_de_estudio[],MATCH($AE$2,Carreras,0)+2,0),""),"")</f>
        <v>8</v>
      </c>
      <c r="AF98" s="117">
        <f>IF(IFERROR(VLOOKUP($C98,Planes_de_estudio[],MATCH($AF$2,Carreras,0)+2,0),"")&gt;0,IFERROR(VLOOKUP($C98,Planes_de_estudio[],MATCH($AF$2,Carreras,0)+2,0),""),"")</f>
        <v>8</v>
      </c>
      <c r="AG98" s="117">
        <f>IF(IFERROR(VLOOKUP($C98,Planes_de_estudio[],MATCH($AG$2,Carreras,0)+2,0),"")&gt;0,IFERROR(VLOOKUP($C98,Planes_de_estudio[],MATCH($AG$2,Carreras,0)+2,0),""),"")</f>
        <v>8</v>
      </c>
      <c r="AH98" s="117">
        <f>IF(IFERROR(VLOOKUP($C98,Planes_de_estudio[],MATCH($AH$2,Carreras,0)+2,0),"")&gt;0,IFERROR(VLOOKUP($C98,Planes_de_estudio[],MATCH($AH$2,Carreras,0)+2,0),""),"")</f>
        <v>8</v>
      </c>
      <c r="AI98" s="117">
        <f>IF(IFERROR(VLOOKUP($C98,Planes_de_estudio[],MATCH($AI$2,Carreras,0)+2,0),"")&gt;0,IFERROR(VLOOKUP($C98,Planes_de_estudio[],MATCH($AI$2,Carreras,0)+2,0),""),"")</f>
        <v>8</v>
      </c>
      <c r="AJ98" s="117">
        <f>IF(IFERROR(VLOOKUP($C98,Planes_de_estudio[],MATCH($AJ$2,Carreras,0)+2,0),"")&gt;0,IFERROR(VLOOKUP($C98,Planes_de_estudio[],MATCH($AJ$2,Carreras,0)+2,0),""),"")</f>
        <v>10</v>
      </c>
      <c r="AK98" s="117">
        <f>IF(IFERROR(VLOOKUP($C98,Planes_de_estudio[],MATCH($AK$2,Carreras,0)+2,0),"")&gt;0,IFERROR(VLOOKUP($C98,Planes_de_estudio[],MATCH($AK$2,Carreras,0)+2,0),""),"")</f>
        <v>8</v>
      </c>
      <c r="AL98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98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100</v>
      </c>
      <c r="AN98" s="117">
        <f>base_de_datos[[#This Row],[Pronóstico]]/25</f>
        <v>4</v>
      </c>
      <c r="AO98" s="117" t="str">
        <f>VLOOKUP($C98,Planes_de_estudio[],2)</f>
        <v>HUM</v>
      </c>
      <c r="AP98" s="119">
        <f ca="1">IF(AND(base_de_datos[[#This Row],[Industrial]]&lt;&gt;"",base_de_datos[[#This Row],[Misma o no]]=1),base_de_datos[[#This Row],[Índice]],"")</f>
        <v>6</v>
      </c>
      <c r="AQ98" s="119">
        <f ca="1">IF(AND(base_de_datos[[#This Row],[Mecatrónica]]&lt;&gt;"",base_de_datos[[#This Row],[Misma o no]]=1),base_de_datos[[#This Row],[Índice]],"")</f>
        <v>6</v>
      </c>
      <c r="AR98" s="119">
        <f ca="1">IF(AND(base_de_datos[[#This Row],[Innovación y Diseño]]&lt;&gt;"",base_de_datos[[#This Row],[Misma o no]]=1),base_de_datos[[#This Row],[Índice]],"")</f>
        <v>6</v>
      </c>
      <c r="AS98" s="119">
        <f ca="1">IF(AND(base_de_datos[[#This Row],[Inteligencia Artificial]]&lt;&gt;"",base_de_datos[[#This Row],[Misma o no]]=1),base_de_datos[[#This Row],[Índice]],"")</f>
        <v>6</v>
      </c>
      <c r="AT98" s="119">
        <f ca="1">IF(AND(base_de_datos[[#This Row],[Tecnologías Energéticas]]&lt;&gt;"",base_de_datos[[#This Row],[Misma o no]]=1),base_de_datos[[#This Row],[Índice]],"")</f>
        <v>6</v>
      </c>
      <c r="AU98" s="119">
        <f ca="1">IF(AND(base_de_datos[[#This Row],[Civil y Administración]]&lt;&gt;"",base_de_datos[[#This Row],[Misma o no]]=1),base_de_datos[[#This Row],[Índice]],"")</f>
        <v>6</v>
      </c>
      <c r="AV98" s="119">
        <f ca="1">IF(AND(base_de_datos[[#This Row],[Bioelectrónica]]&lt;&gt;"",base_de_datos[[#This Row],[Misma o no]]=1),base_de_datos[[#This Row],[Índice]],"")</f>
        <v>6</v>
      </c>
      <c r="AW98" s="120"/>
      <c r="AX98" s="4">
        <v>1</v>
      </c>
    </row>
    <row r="99" spans="2:50" s="6" customFormat="1" ht="13" x14ac:dyDescent="0.3">
      <c r="B99" s="6" t="s">
        <v>279</v>
      </c>
      <c r="C99" s="1" t="s">
        <v>277</v>
      </c>
      <c r="D99" s="4">
        <v>1</v>
      </c>
      <c r="E99" s="113">
        <v>0.5</v>
      </c>
      <c r="F99" s="113">
        <v>0.562499999999996</v>
      </c>
      <c r="G99" s="226" t="s">
        <v>87</v>
      </c>
      <c r="H99" s="4" t="s">
        <v>178</v>
      </c>
      <c r="I99" s="4"/>
      <c r="J99" s="198">
        <v>27</v>
      </c>
      <c r="K99" s="115"/>
      <c r="L99" s="3"/>
      <c r="M99" s="115"/>
      <c r="N99" s="3"/>
      <c r="O99" s="2" t="s">
        <v>280</v>
      </c>
      <c r="P99" s="114" t="s">
        <v>90</v>
      </c>
      <c r="Q99" s="114"/>
      <c r="R99" s="114"/>
      <c r="S99" s="114"/>
      <c r="T99" s="114"/>
      <c r="U99" s="114"/>
      <c r="V99" s="114"/>
      <c r="W99" s="114"/>
      <c r="X99" s="116">
        <f>_xlfn.XLOOKUP(base_de_datos[[#This Row],[Materia]],Materias,Horas)/16</f>
        <v>3</v>
      </c>
      <c r="Y99" s="117">
        <f>ROUND(((base_de_datos[[#This Row],[Hora fin]]-base_de_datos[[#This Row],[Hora inicio]])*24)*(COUNTA(base_de_datos[[#This Row],[Lunes]:[Sábado]])),1)</f>
        <v>1.5</v>
      </c>
      <c r="Z99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99" s="117">
        <f ca="1">IF(base_de_datos[[#This Row],[No clase]]=OFFSET(base_de_datos[[#This Row],[No clase]],-1,0),0,1)</f>
        <v>1</v>
      </c>
      <c r="AB99" s="117">
        <f ca="1">IF(NOT(OR(base_de_datos[[#This Row],[Horas totales]]=base_de_datos[[#This Row],[HT Plan]],base_de_datos[[#This Row],[Horas totales]]="N/A")),1,0)</f>
        <v>0</v>
      </c>
      <c r="AC99" s="117" t="str">
        <f>_xlfn.XLOOKUP(base_de_datos[[#This Row],[Profesor]],Nombre,Grado)</f>
        <v>M</v>
      </c>
      <c r="AD99" s="118" t="str">
        <f>_xlfn.XLOOKUP(base_de_datos[[#This Row],[Profesor]],Nombre,Tipo)</f>
        <v>TC</v>
      </c>
      <c r="AE99" s="117" t="str">
        <f>IF(IFERROR(VLOOKUP($C99,Planes_de_estudio[],MATCH($AE$2,Carreras,0)+2,0),"")&gt;0,IFERROR(VLOOKUP($C99,Planes_de_estudio[],MATCH($AE$2,Carreras,0)+2,0),""),"")</f>
        <v/>
      </c>
      <c r="AF99" s="117">
        <f>IF(IFERROR(VLOOKUP($C99,Planes_de_estudio[],MATCH($AF$2,Carreras,0)+2,0),"")&gt;0,IFERROR(VLOOKUP($C99,Planes_de_estudio[],MATCH($AF$2,Carreras,0)+2,0),""),"")</f>
        <v>2</v>
      </c>
      <c r="AG99" s="117" t="str">
        <f>IF(IFERROR(VLOOKUP($C99,Planes_de_estudio[],MATCH($AG$2,Carreras,0)+2,0),"")&gt;0,IFERROR(VLOOKUP($C99,Planes_de_estudio[],MATCH($AG$2,Carreras,0)+2,0),""),"")</f>
        <v/>
      </c>
      <c r="AH99" s="117">
        <f>IF(IFERROR(VLOOKUP($C99,Planes_de_estudio[],MATCH($AH$2,Carreras,0)+2,0),"")&gt;0,IFERROR(VLOOKUP($C99,Planes_de_estudio[],MATCH($AH$2,Carreras,0)+2,0),""),"")</f>
        <v>6</v>
      </c>
      <c r="AI99" s="117" t="str">
        <f>IF(IFERROR(VLOOKUP($C99,Planes_de_estudio[],MATCH($AI$2,Carreras,0)+2,0),"")&gt;0,IFERROR(VLOOKUP($C99,Planes_de_estudio[],MATCH($AI$2,Carreras,0)+2,0),""),"")</f>
        <v/>
      </c>
      <c r="AJ99" s="117" t="str">
        <f>IF(IFERROR(VLOOKUP($C99,Planes_de_estudio[],MATCH($AJ$2,Carreras,0)+2,0),"")&gt;0,IFERROR(VLOOKUP($C99,Planes_de_estudio[],MATCH($AJ$2,Carreras,0)+2,0),""),"")</f>
        <v/>
      </c>
      <c r="AK99" s="117">
        <f>IF(IFERROR(VLOOKUP($C99,Planes_de_estudio[],MATCH($AK$2,Carreras,0)+2,0),"")&gt;0,IFERROR(VLOOKUP($C99,Planes_de_estudio[],MATCH($AK$2,Carreras,0)+2,0),""),"")</f>
        <v>2</v>
      </c>
      <c r="AL99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99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48</v>
      </c>
      <c r="AN99" s="117">
        <f>base_de_datos[[#This Row],[Pronóstico]]/25</f>
        <v>1.92</v>
      </c>
      <c r="AO99" s="117" t="str">
        <f>VLOOKUP($C99,Planes_de_estudio[],2)</f>
        <v>EMP</v>
      </c>
      <c r="AP99" s="119" t="str">
        <f ca="1">IF(AND(base_de_datos[[#This Row],[Industrial]]&lt;&gt;"",base_de_datos[[#This Row],[Misma o no]]=1),base_de_datos[[#This Row],[Índice]],"")</f>
        <v/>
      </c>
      <c r="AQ99" s="119">
        <f ca="1">IF(AND(base_de_datos[[#This Row],[Mecatrónica]]&lt;&gt;"",base_de_datos[[#This Row],[Misma o no]]=1),base_de_datos[[#This Row],[Índice]],"")</f>
        <v>4</v>
      </c>
      <c r="AR99" s="119" t="str">
        <f ca="1">IF(AND(base_de_datos[[#This Row],[Innovación y Diseño]]&lt;&gt;"",base_de_datos[[#This Row],[Misma o no]]=1),base_de_datos[[#This Row],[Índice]],"")</f>
        <v/>
      </c>
      <c r="AS99" s="119">
        <f ca="1">IF(AND(base_de_datos[[#This Row],[Inteligencia Artificial]]&lt;&gt;"",base_de_datos[[#This Row],[Misma o no]]=1),base_de_datos[[#This Row],[Índice]],"")</f>
        <v>4</v>
      </c>
      <c r="AT99" s="119" t="str">
        <f ca="1">IF(AND(base_de_datos[[#This Row],[Tecnologías Energéticas]]&lt;&gt;"",base_de_datos[[#This Row],[Misma o no]]=1),base_de_datos[[#This Row],[Índice]],"")</f>
        <v/>
      </c>
      <c r="AU99" s="119" t="str">
        <f ca="1">IF(AND(base_de_datos[[#This Row],[Civil y Administración]]&lt;&gt;"",base_de_datos[[#This Row],[Misma o no]]=1),base_de_datos[[#This Row],[Índice]],"")</f>
        <v/>
      </c>
      <c r="AV99" s="119">
        <f ca="1">IF(AND(base_de_datos[[#This Row],[Bioelectrónica]]&lt;&gt;"",base_de_datos[[#This Row],[Misma o no]]=1),base_de_datos[[#This Row],[Índice]],"")</f>
        <v>4</v>
      </c>
      <c r="AW99" s="120"/>
      <c r="AX99" s="4">
        <v>1</v>
      </c>
    </row>
    <row r="100" spans="2:50" s="6" customFormat="1" ht="13" x14ac:dyDescent="0.3">
      <c r="B100" s="6" t="s">
        <v>279</v>
      </c>
      <c r="C100" s="1" t="s">
        <v>277</v>
      </c>
      <c r="D100" s="4">
        <v>1</v>
      </c>
      <c r="E100" s="113">
        <v>0.375</v>
      </c>
      <c r="F100" s="113">
        <v>0.437499999999998</v>
      </c>
      <c r="G100" s="226" t="s">
        <v>87</v>
      </c>
      <c r="H100" s="4" t="s">
        <v>178</v>
      </c>
      <c r="I100" s="4"/>
      <c r="J100" s="198">
        <v>27</v>
      </c>
      <c r="K100" s="115"/>
      <c r="L100" s="3"/>
      <c r="M100" s="115"/>
      <c r="N100" s="3"/>
      <c r="O100" s="2" t="s">
        <v>280</v>
      </c>
      <c r="P100" s="114"/>
      <c r="Q100" s="114"/>
      <c r="R100" s="114" t="s">
        <v>90</v>
      </c>
      <c r="S100" s="114"/>
      <c r="T100" s="114"/>
      <c r="U100" s="114"/>
      <c r="V100" s="114"/>
      <c r="W100" s="114"/>
      <c r="X100" s="116">
        <f>_xlfn.XLOOKUP(base_de_datos[[#This Row],[Materia]],Materias,Horas)/16</f>
        <v>3</v>
      </c>
      <c r="Y100" s="116">
        <f>ROUND(((base_de_datos[[#This Row],[Hora fin]]-base_de_datos[[#This Row],[Hora inicio]])*24)*(COUNTA(base_de_datos[[#This Row],[Lunes]:[Sábado]])),1)</f>
        <v>1.5</v>
      </c>
      <c r="Z100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00" s="117">
        <f ca="1">IF(base_de_datos[[#This Row],[No clase]]=OFFSET(base_de_datos[[#This Row],[No clase]],-1,0),0,1)</f>
        <v>0</v>
      </c>
      <c r="AB100" s="117">
        <f ca="1">IF(NOT(OR(base_de_datos[[#This Row],[Horas totales]]=base_de_datos[[#This Row],[HT Plan]],base_de_datos[[#This Row],[Horas totales]]="N/A")),1,0)</f>
        <v>0</v>
      </c>
      <c r="AC100" s="116" t="str">
        <f>_xlfn.XLOOKUP(base_de_datos[[#This Row],[Profesor]],Nombre,Grado)</f>
        <v>M</v>
      </c>
      <c r="AD100" s="118" t="str">
        <f>_xlfn.XLOOKUP(base_de_datos[[#This Row],[Profesor]],Nombre,Tipo)</f>
        <v>TC</v>
      </c>
      <c r="AE100" s="116" t="str">
        <f>IF(IFERROR(VLOOKUP($C100,Planes_de_estudio[],MATCH($AE$2,Carreras,0)+2,0),"")&gt;0,IFERROR(VLOOKUP($C100,Planes_de_estudio[],MATCH($AE$2,Carreras,0)+2,0),""),"")</f>
        <v/>
      </c>
      <c r="AF100" s="116">
        <f>IF(IFERROR(VLOOKUP($C100,Planes_de_estudio[],MATCH($AF$2,Carreras,0)+2,0),"")&gt;0,IFERROR(VLOOKUP($C100,Planes_de_estudio[],MATCH($AF$2,Carreras,0)+2,0),""),"")</f>
        <v>2</v>
      </c>
      <c r="AG100" s="116" t="str">
        <f>IF(IFERROR(VLOOKUP($C100,Planes_de_estudio[],MATCH($AG$2,Carreras,0)+2,0),"")&gt;0,IFERROR(VLOOKUP($C100,Planes_de_estudio[],MATCH($AG$2,Carreras,0)+2,0),""),"")</f>
        <v/>
      </c>
      <c r="AH100" s="116">
        <f>IF(IFERROR(VLOOKUP($C100,Planes_de_estudio[],MATCH($AH$2,Carreras,0)+2,0),"")&gt;0,IFERROR(VLOOKUP($C100,Planes_de_estudio[],MATCH($AH$2,Carreras,0)+2,0),""),"")</f>
        <v>6</v>
      </c>
      <c r="AI100" s="116" t="str">
        <f>IF(IFERROR(VLOOKUP($C100,Planes_de_estudio[],MATCH($AI$2,Carreras,0)+2,0),"")&gt;0,IFERROR(VLOOKUP($C100,Planes_de_estudio[],MATCH($AI$2,Carreras,0)+2,0),""),"")</f>
        <v/>
      </c>
      <c r="AJ100" s="116" t="str">
        <f>IF(IFERROR(VLOOKUP($C100,Planes_de_estudio[],MATCH($AJ$2,Carreras,0)+2,0),"")&gt;0,IFERROR(VLOOKUP($C100,Planes_de_estudio[],MATCH($AJ$2,Carreras,0)+2,0),""),"")</f>
        <v/>
      </c>
      <c r="AK100" s="116">
        <f>IF(IFERROR(VLOOKUP($C100,Planes_de_estudio[],MATCH($AK$2,Carreras,0)+2,0),"")&gt;0,IFERROR(VLOOKUP($C100,Planes_de_estudio[],MATCH($AK$2,Carreras,0)+2,0),""),"")</f>
        <v>2</v>
      </c>
      <c r="AL100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00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48</v>
      </c>
      <c r="AN100" s="117">
        <f>base_de_datos[[#This Row],[Pronóstico]]/25</f>
        <v>1.92</v>
      </c>
      <c r="AO100" s="117" t="str">
        <f>VLOOKUP($C100,Planes_de_estudio[],2)</f>
        <v>EMP</v>
      </c>
      <c r="AP100" s="119" t="str">
        <f ca="1">IF(AND(base_de_datos[[#This Row],[Industrial]]&lt;&gt;"",base_de_datos[[#This Row],[Misma o no]]=1),base_de_datos[[#This Row],[Índice]],"")</f>
        <v/>
      </c>
      <c r="AQ100" s="119" t="str">
        <f ca="1">IF(AND(base_de_datos[[#This Row],[Mecatrónica]]&lt;&gt;"",base_de_datos[[#This Row],[Misma o no]]=1),base_de_datos[[#This Row],[Índice]],"")</f>
        <v/>
      </c>
      <c r="AR100" s="119" t="str">
        <f ca="1">IF(AND(base_de_datos[[#This Row],[Innovación y Diseño]]&lt;&gt;"",base_de_datos[[#This Row],[Misma o no]]=1),base_de_datos[[#This Row],[Índice]],"")</f>
        <v/>
      </c>
      <c r="AS100" s="119" t="str">
        <f ca="1">IF(AND(base_de_datos[[#This Row],[Inteligencia Artificial]]&lt;&gt;"",base_de_datos[[#This Row],[Misma o no]]=1),base_de_datos[[#This Row],[Índice]],"")</f>
        <v/>
      </c>
      <c r="AT100" s="119" t="str">
        <f ca="1">IF(AND(base_de_datos[[#This Row],[Tecnologías Energéticas]]&lt;&gt;"",base_de_datos[[#This Row],[Misma o no]]=1),base_de_datos[[#This Row],[Índice]],"")</f>
        <v/>
      </c>
      <c r="AU100" s="119" t="str">
        <f ca="1">IF(AND(base_de_datos[[#This Row],[Civil y Administración]]&lt;&gt;"",base_de_datos[[#This Row],[Misma o no]]=1),base_de_datos[[#This Row],[Índice]],"")</f>
        <v/>
      </c>
      <c r="AV100" s="119" t="str">
        <f ca="1">IF(AND(base_de_datos[[#This Row],[Bioelectrónica]]&lt;&gt;"",base_de_datos[[#This Row],[Misma o no]]=1),base_de_datos[[#This Row],[Índice]],"")</f>
        <v/>
      </c>
      <c r="AW100" s="120"/>
      <c r="AX100" s="4">
        <v>1</v>
      </c>
    </row>
    <row r="101" spans="2:50" s="6" customFormat="1" ht="12.75" customHeight="1" x14ac:dyDescent="0.3">
      <c r="B101" s="6" t="s">
        <v>291</v>
      </c>
      <c r="C101" s="1" t="s">
        <v>292</v>
      </c>
      <c r="D101" s="4">
        <v>1</v>
      </c>
      <c r="E101" s="113">
        <v>0.5</v>
      </c>
      <c r="F101" s="113">
        <v>0.58333333333332904</v>
      </c>
      <c r="G101" s="4" t="s">
        <v>87</v>
      </c>
      <c r="H101" s="4" t="s">
        <v>116</v>
      </c>
      <c r="I101" s="4"/>
      <c r="J101" s="126">
        <v>29</v>
      </c>
      <c r="K101" s="115"/>
      <c r="L101" s="3"/>
      <c r="M101" s="127"/>
      <c r="N101" s="3"/>
      <c r="O101" s="4">
        <v>2069</v>
      </c>
      <c r="P101" s="114" t="s">
        <v>90</v>
      </c>
      <c r="Q101" s="114"/>
      <c r="R101" s="114" t="s">
        <v>90</v>
      </c>
      <c r="S101" s="114"/>
      <c r="T101" s="114"/>
      <c r="U101" s="114"/>
      <c r="V101" s="114"/>
      <c r="W101" s="114"/>
      <c r="X101" s="117">
        <f>_xlfn.XLOOKUP(base_de_datos[[#This Row],[Materia]],Materias,Horas)/16</f>
        <v>4</v>
      </c>
      <c r="Y101" s="117">
        <f>ROUND(((base_de_datos[[#This Row],[Hora fin]]-base_de_datos[[#This Row],[Hora inicio]])*24)*(COUNTA(base_de_datos[[#This Row],[Lunes]:[Sábado]])),1)</f>
        <v>4</v>
      </c>
      <c r="Z101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01" s="117">
        <f ca="1">IF(base_de_datos[[#This Row],[No clase]]=OFFSET(base_de_datos[[#This Row],[No clase]],-1,0),0,1)</f>
        <v>1</v>
      </c>
      <c r="AB101" s="117">
        <f ca="1">IF(NOT(OR(base_de_datos[[#This Row],[Horas totales]]=base_de_datos[[#This Row],[HT Plan]],base_de_datos[[#This Row],[Horas totales]]="N/A")),1,0)</f>
        <v>0</v>
      </c>
      <c r="AC101" s="117" t="str">
        <f>_xlfn.XLOOKUP(base_de_datos[[#This Row],[Profesor]],Nombre,Grado)</f>
        <v>M</v>
      </c>
      <c r="AD101" s="118" t="str">
        <f>_xlfn.XLOOKUP(base_de_datos[[#This Row],[Profesor]],Nombre,Tipo)</f>
        <v>A</v>
      </c>
      <c r="AE101" s="117" t="str">
        <f>IF(IFERROR(VLOOKUP($C101,Planes_de_estudio[],MATCH($AE$2,Carreras,0)+2,0),"")&gt;0,IFERROR(VLOOKUP($C101,Planes_de_estudio[],MATCH($AE$2,Carreras,0)+2,0),""),"")</f>
        <v/>
      </c>
      <c r="AF101" s="117" t="str">
        <f>IF(IFERROR(VLOOKUP($C101,Planes_de_estudio[],MATCH($AF$2,Carreras,0)+2,0),"")&gt;0,IFERROR(VLOOKUP($C101,Planes_de_estudio[],MATCH($AF$2,Carreras,0)+2,0),""),"")</f>
        <v/>
      </c>
      <c r="AG101" s="117" t="str">
        <f>IF(IFERROR(VLOOKUP($C101,Planes_de_estudio[],MATCH($AG$2,Carreras,0)+2,0),"")&gt;0,IFERROR(VLOOKUP($C101,Planes_de_estudio[],MATCH($AG$2,Carreras,0)+2,0),""),"")</f>
        <v/>
      </c>
      <c r="AH101" s="117">
        <f>IF(IFERROR(VLOOKUP($C101,Planes_de_estudio[],MATCH($AH$2,Carreras,0)+2,0),"")&gt;0,IFERROR(VLOOKUP($C101,Planes_de_estudio[],MATCH($AH$2,Carreras,0)+2,0),""),"")</f>
        <v>2</v>
      </c>
      <c r="AI101" s="117" t="str">
        <f>IF(IFERROR(VLOOKUP($C101,Planes_de_estudio[],MATCH($AI$2,Carreras,0)+2,0),"")&gt;0,IFERROR(VLOOKUP($C101,Planes_de_estudio[],MATCH($AI$2,Carreras,0)+2,0),""),"")</f>
        <v/>
      </c>
      <c r="AJ101" s="117" t="str">
        <f>IF(IFERROR(VLOOKUP($C101,Planes_de_estudio[],MATCH($AJ$2,Carreras,0)+2,0),"")&gt;0,IFERROR(VLOOKUP($C101,Planes_de_estudio[],MATCH($AJ$2,Carreras,0)+2,0),""),"")</f>
        <v/>
      </c>
      <c r="AK101" s="117" t="str">
        <f>IF(IFERROR(VLOOKUP($C101,Planes_de_estudio[],MATCH($AK$2,Carreras,0)+2,0),"")&gt;0,IFERROR(VLOOKUP($C101,Planes_de_estudio[],MATCH($AK$2,Carreras,0)+2,0),""),"")</f>
        <v/>
      </c>
      <c r="AL101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01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27</v>
      </c>
      <c r="AN101" s="117">
        <f>base_de_datos[[#This Row],[Pronóstico]]/25</f>
        <v>1.08</v>
      </c>
      <c r="AO101" s="117" t="str">
        <f>VLOOKUP($C101,Planes_de_estudio[],2)</f>
        <v>COM</v>
      </c>
      <c r="AP101" s="119" t="str">
        <f ca="1">IF(AND(base_de_datos[[#This Row],[Industrial]]&lt;&gt;"",base_de_datos[[#This Row],[Misma o no]]=1),base_de_datos[[#This Row],[Índice]],"")</f>
        <v/>
      </c>
      <c r="AQ101" s="119" t="str">
        <f ca="1">IF(AND(base_de_datos[[#This Row],[Mecatrónica]]&lt;&gt;"",base_de_datos[[#This Row],[Misma o no]]=1),base_de_datos[[#This Row],[Índice]],"")</f>
        <v/>
      </c>
      <c r="AR101" s="119" t="str">
        <f ca="1">IF(AND(base_de_datos[[#This Row],[Innovación y Diseño]]&lt;&gt;"",base_de_datos[[#This Row],[Misma o no]]=1),base_de_datos[[#This Row],[Índice]],"")</f>
        <v/>
      </c>
      <c r="AS101" s="119">
        <f ca="1">IF(AND(base_de_datos[[#This Row],[Inteligencia Artificial]]&lt;&gt;"",base_de_datos[[#This Row],[Misma o no]]=1),base_de_datos[[#This Row],[Índice]],"")</f>
        <v>4</v>
      </c>
      <c r="AT101" s="119" t="str">
        <f ca="1">IF(AND(base_de_datos[[#This Row],[Tecnologías Energéticas]]&lt;&gt;"",base_de_datos[[#This Row],[Misma o no]]=1),base_de_datos[[#This Row],[Índice]],"")</f>
        <v/>
      </c>
      <c r="AU101" s="119" t="str">
        <f ca="1">IF(AND(base_de_datos[[#This Row],[Civil y Administración]]&lt;&gt;"",base_de_datos[[#This Row],[Misma o no]]=1),base_de_datos[[#This Row],[Índice]],"")</f>
        <v/>
      </c>
      <c r="AV101" s="119" t="str">
        <f ca="1">IF(AND(base_de_datos[[#This Row],[Bioelectrónica]]&lt;&gt;"",base_de_datos[[#This Row],[Misma o no]]=1),base_de_datos[[#This Row],[Índice]],"")</f>
        <v/>
      </c>
      <c r="AW101" s="120"/>
      <c r="AX101" s="4">
        <v>3</v>
      </c>
    </row>
    <row r="102" spans="2:50" s="6" customFormat="1" ht="13" x14ac:dyDescent="0.3">
      <c r="B102" s="6" t="s">
        <v>293</v>
      </c>
      <c r="C102" s="1" t="s">
        <v>294</v>
      </c>
      <c r="D102" s="4">
        <v>1</v>
      </c>
      <c r="E102" s="113">
        <v>0.5</v>
      </c>
      <c r="F102" s="113">
        <v>0.58333333333332904</v>
      </c>
      <c r="G102" s="4" t="s">
        <v>87</v>
      </c>
      <c r="H102" s="4" t="s">
        <v>178</v>
      </c>
      <c r="I102" s="4"/>
      <c r="J102" s="114">
        <v>24</v>
      </c>
      <c r="K102" s="115"/>
      <c r="L102" s="3"/>
      <c r="M102" s="115"/>
      <c r="N102" s="3"/>
      <c r="O102" s="4">
        <v>2068</v>
      </c>
      <c r="P102" s="114"/>
      <c r="Q102" s="114" t="s">
        <v>90</v>
      </c>
      <c r="R102" s="114"/>
      <c r="S102" s="114" t="s">
        <v>90</v>
      </c>
      <c r="T102" s="114"/>
      <c r="U102" s="114"/>
      <c r="V102" s="114"/>
      <c r="W102" s="114"/>
      <c r="X102" s="116">
        <f>_xlfn.XLOOKUP(base_de_datos[[#This Row],[Materia]],Materias,Horas)/16</f>
        <v>4</v>
      </c>
      <c r="Y102" s="116">
        <f>ROUND(((base_de_datos[[#This Row],[Hora fin]]-base_de_datos[[#This Row],[Hora inicio]])*24)*(COUNTA(base_de_datos[[#This Row],[Lunes]:[Sábado]])),1)</f>
        <v>4</v>
      </c>
      <c r="Z102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02" s="117">
        <f ca="1">IF(base_de_datos[[#This Row],[No clase]]=OFFSET(base_de_datos[[#This Row],[No clase]],-1,0),0,1)</f>
        <v>1</v>
      </c>
      <c r="AB102" s="117">
        <f ca="1">IF(NOT(OR(base_de_datos[[#This Row],[Horas totales]]=base_de_datos[[#This Row],[HT Plan]],base_de_datos[[#This Row],[Horas totales]]="N/A")),1,0)</f>
        <v>0</v>
      </c>
      <c r="AC102" s="229" t="str">
        <f>_xlfn.XLOOKUP(base_de_datos[[#This Row],[Profesor]],Nombre,Grado)</f>
        <v>E</v>
      </c>
      <c r="AD102" s="118" t="str">
        <f>_xlfn.XLOOKUP(base_de_datos[[#This Row],[Profesor]],Nombre,Tipo)</f>
        <v>OA</v>
      </c>
      <c r="AE102" s="116" t="str">
        <f>IF(IFERROR(VLOOKUP($C102,Planes_de_estudio[],MATCH($AE$2,Carreras,0)+2,0),"")&gt;0,IFERROR(VLOOKUP($C102,Planes_de_estudio[],MATCH($AE$2,Carreras,0)+2,0),""),"")</f>
        <v/>
      </c>
      <c r="AF102" s="116" t="str">
        <f>IF(IFERROR(VLOOKUP($C102,Planes_de_estudio[],MATCH($AF$2,Carreras,0)+2,0),"")&gt;0,IFERROR(VLOOKUP($C102,Planes_de_estudio[],MATCH($AF$2,Carreras,0)+2,0),""),"")</f>
        <v/>
      </c>
      <c r="AG102" s="116" t="str">
        <f>IF(IFERROR(VLOOKUP($C102,Planes_de_estudio[],MATCH($AG$2,Carreras,0)+2,0),"")&gt;0,IFERROR(VLOOKUP($C102,Planes_de_estudio[],MATCH($AG$2,Carreras,0)+2,0),""),"")</f>
        <v/>
      </c>
      <c r="AH102" s="116">
        <f>IF(IFERROR(VLOOKUP($C102,Planes_de_estudio[],MATCH($AH$2,Carreras,0)+2,0),"")&gt;0,IFERROR(VLOOKUP($C102,Planes_de_estudio[],MATCH($AH$2,Carreras,0)+2,0),""),"")</f>
        <v>4</v>
      </c>
      <c r="AI102" s="116" t="str">
        <f>IF(IFERROR(VLOOKUP($C102,Planes_de_estudio[],MATCH($AI$2,Carreras,0)+2,0),"")&gt;0,IFERROR(VLOOKUP($C102,Planes_de_estudio[],MATCH($AI$2,Carreras,0)+2,0),""),"")</f>
        <v/>
      </c>
      <c r="AJ102" s="116" t="str">
        <f>IF(IFERROR(VLOOKUP($C102,Planes_de_estudio[],MATCH($AJ$2,Carreras,0)+2,0),"")&gt;0,IFERROR(VLOOKUP($C102,Planes_de_estudio[],MATCH($AJ$2,Carreras,0)+2,0),""),"")</f>
        <v/>
      </c>
      <c r="AK102" s="116" t="str">
        <f>IF(IFERROR(VLOOKUP($C102,Planes_de_estudio[],MATCH($AK$2,Carreras,0)+2,0),"")&gt;0,IFERROR(VLOOKUP($C102,Planes_de_estudio[],MATCH($AK$2,Carreras,0)+2,0),""),"")</f>
        <v/>
      </c>
      <c r="AL102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02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28</v>
      </c>
      <c r="AN102" s="117">
        <f>base_de_datos[[#This Row],[Pronóstico]]/25</f>
        <v>1.1200000000000001</v>
      </c>
      <c r="AO102" s="117" t="str">
        <f>VLOOKUP($C102,Planes_de_estudio[],2)</f>
        <v>COM</v>
      </c>
      <c r="AP102" s="119" t="str">
        <f ca="1">IF(AND(base_de_datos[[#This Row],[Industrial]]&lt;&gt;"",base_de_datos[[#This Row],[Misma o no]]=1),base_de_datos[[#This Row],[Índice]],"")</f>
        <v/>
      </c>
      <c r="AQ102" s="119" t="str">
        <f ca="1">IF(AND(base_de_datos[[#This Row],[Mecatrónica]]&lt;&gt;"",base_de_datos[[#This Row],[Misma o no]]=1),base_de_datos[[#This Row],[Índice]],"")</f>
        <v/>
      </c>
      <c r="AR102" s="119" t="str">
        <f ca="1">IF(AND(base_de_datos[[#This Row],[Innovación y Diseño]]&lt;&gt;"",base_de_datos[[#This Row],[Misma o no]]=1),base_de_datos[[#This Row],[Índice]],"")</f>
        <v/>
      </c>
      <c r="AS102" s="119">
        <f ca="1">IF(AND(base_de_datos[[#This Row],[Inteligencia Artificial]]&lt;&gt;"",base_de_datos[[#This Row],[Misma o no]]=1),base_de_datos[[#This Row],[Índice]],"")</f>
        <v>2</v>
      </c>
      <c r="AT102" s="119" t="str">
        <f ca="1">IF(AND(base_de_datos[[#This Row],[Tecnologías Energéticas]]&lt;&gt;"",base_de_datos[[#This Row],[Misma o no]]=1),base_de_datos[[#This Row],[Índice]],"")</f>
        <v/>
      </c>
      <c r="AU102" s="119" t="str">
        <f ca="1">IF(AND(base_de_datos[[#This Row],[Civil y Administración]]&lt;&gt;"",base_de_datos[[#This Row],[Misma o no]]=1),base_de_datos[[#This Row],[Índice]],"")</f>
        <v/>
      </c>
      <c r="AV102" s="119" t="str">
        <f ca="1">IF(AND(base_de_datos[[#This Row],[Bioelectrónica]]&lt;&gt;"",base_de_datos[[#This Row],[Misma o no]]=1),base_de_datos[[#This Row],[Índice]],"")</f>
        <v/>
      </c>
      <c r="AW102" s="120"/>
      <c r="AX102" s="4">
        <v>3</v>
      </c>
    </row>
    <row r="103" spans="2:50" s="6" customFormat="1" ht="13" x14ac:dyDescent="0.3">
      <c r="B103" s="6" t="s">
        <v>284</v>
      </c>
      <c r="C103" s="1" t="s">
        <v>285</v>
      </c>
      <c r="D103" s="4">
        <v>2</v>
      </c>
      <c r="E103" s="113">
        <v>0.5</v>
      </c>
      <c r="F103" s="113">
        <v>0.562499999999996</v>
      </c>
      <c r="G103" s="4" t="s">
        <v>87</v>
      </c>
      <c r="H103" s="4" t="s">
        <v>258</v>
      </c>
      <c r="I103" s="4"/>
      <c r="J103" s="126">
        <v>17</v>
      </c>
      <c r="K103" s="115"/>
      <c r="L103" s="3"/>
      <c r="M103" s="127"/>
      <c r="N103" s="3"/>
      <c r="O103" s="4" t="s">
        <v>286</v>
      </c>
      <c r="P103" s="114"/>
      <c r="Q103" s="114" t="s">
        <v>90</v>
      </c>
      <c r="R103" s="114"/>
      <c r="S103" s="114"/>
      <c r="T103" s="114"/>
      <c r="U103" s="114"/>
      <c r="V103" s="114"/>
      <c r="W103" s="114"/>
      <c r="X103" s="117">
        <f>_xlfn.XLOOKUP(base_de_datos[[#This Row],[Materia]],Materias,Horas)/16</f>
        <v>3</v>
      </c>
      <c r="Y103" s="117">
        <f>ROUND(((base_de_datos[[#This Row],[Hora fin]]-base_de_datos[[#This Row],[Hora inicio]])*24)*(COUNTA(base_de_datos[[#This Row],[Lunes]:[Sábado]])),1)</f>
        <v>1.5</v>
      </c>
      <c r="Z103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03" s="117">
        <f ca="1">IF(base_de_datos[[#This Row],[No clase]]=OFFSET(base_de_datos[[#This Row],[No clase]],-1,0),0,1)</f>
        <v>1</v>
      </c>
      <c r="AB103" s="117">
        <f ca="1">IF(NOT(OR(base_de_datos[[#This Row],[Horas totales]]=base_de_datos[[#This Row],[HT Plan]],base_de_datos[[#This Row],[Horas totales]]="N/A")),1,0)</f>
        <v>0</v>
      </c>
      <c r="AC103" s="117" t="str">
        <f>_xlfn.XLOOKUP(base_de_datos[[#This Row],[Profesor]],Nombre,Grado)</f>
        <v>M</v>
      </c>
      <c r="AD103" s="118" t="str">
        <f>_xlfn.XLOOKUP(base_de_datos[[#This Row],[Profesor]],Nombre,Tipo)</f>
        <v>A</v>
      </c>
      <c r="AE103" s="117" t="str">
        <f>IF(IFERROR(VLOOKUP($C103,Planes_de_estudio[],MATCH($AE$2,Carreras,0)+2,0),"")&gt;0,IFERROR(VLOOKUP($C103,Planes_de_estudio[],MATCH($AE$2,Carreras,0)+2,0),""),"")</f>
        <v/>
      </c>
      <c r="AF103" s="117">
        <f>IF(IFERROR(VLOOKUP($C103,Planes_de_estudio[],MATCH($AF$2,Carreras,0)+2,0),"")&gt;0,IFERROR(VLOOKUP($C103,Planes_de_estudio[],MATCH($AF$2,Carreras,0)+2,0),""),"")</f>
        <v>2</v>
      </c>
      <c r="AG103" s="117" t="str">
        <f>IF(IFERROR(VLOOKUP($C103,Planes_de_estudio[],MATCH($AG$2,Carreras,0)+2,0),"")&gt;0,IFERROR(VLOOKUP($C103,Planes_de_estudio[],MATCH($AG$2,Carreras,0)+2,0),""),"")</f>
        <v/>
      </c>
      <c r="AH103" s="117" t="str">
        <f>IF(IFERROR(VLOOKUP($C103,Planes_de_estudio[],MATCH($AH$2,Carreras,0)+2,0),"")&gt;0,IFERROR(VLOOKUP($C103,Planes_de_estudio[],MATCH($AH$2,Carreras,0)+2,0),""),"")</f>
        <v/>
      </c>
      <c r="AI103" s="117" t="str">
        <f>IF(IFERROR(VLOOKUP($C103,Planes_de_estudio[],MATCH($AI$2,Carreras,0)+2,0),"")&gt;0,IFERROR(VLOOKUP($C103,Planes_de_estudio[],MATCH($AI$2,Carreras,0)+2,0),""),"")</f>
        <v/>
      </c>
      <c r="AJ103" s="117">
        <f>IF(IFERROR(VLOOKUP($C103,Planes_de_estudio[],MATCH($AJ$2,Carreras,0)+2,0),"")&gt;0,IFERROR(VLOOKUP($C103,Planes_de_estudio[],MATCH($AJ$2,Carreras,0)+2,0),""),"")</f>
        <v>2</v>
      </c>
      <c r="AK103" s="117" t="str">
        <f>IF(IFERROR(VLOOKUP($C103,Planes_de_estudio[],MATCH($AK$2,Carreras,0)+2,0),"")&gt;0,IFERROR(VLOOKUP($C103,Planes_de_estudio[],MATCH($AK$2,Carreras,0)+2,0),""),"")</f>
        <v/>
      </c>
      <c r="AL103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03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39</v>
      </c>
      <c r="AN103" s="117">
        <f>base_de_datos[[#This Row],[Pronóstico]]/25</f>
        <v>1.56</v>
      </c>
      <c r="AO103" s="117" t="str">
        <f>VLOOKUP($C103,Planes_de_estudio[],2)</f>
        <v>MEC</v>
      </c>
      <c r="AP103" s="119" t="str">
        <f ca="1">IF(AND(base_de_datos[[#This Row],[Industrial]]&lt;&gt;"",base_de_datos[[#This Row],[Misma o no]]=1),base_de_datos[[#This Row],[Índice]],"")</f>
        <v/>
      </c>
      <c r="AQ103" s="119">
        <f ca="1">IF(AND(base_de_datos[[#This Row],[Mecatrónica]]&lt;&gt;"",base_de_datos[[#This Row],[Misma o no]]=1),base_de_datos[[#This Row],[Índice]],"")</f>
        <v>4</v>
      </c>
      <c r="AR103" s="119" t="str">
        <f ca="1">IF(AND(base_de_datos[[#This Row],[Innovación y Diseño]]&lt;&gt;"",base_de_datos[[#This Row],[Misma o no]]=1),base_de_datos[[#This Row],[Índice]],"")</f>
        <v/>
      </c>
      <c r="AS103" s="119" t="str">
        <f ca="1">IF(AND(base_de_datos[[#This Row],[Inteligencia Artificial]]&lt;&gt;"",base_de_datos[[#This Row],[Misma o no]]=1),base_de_datos[[#This Row],[Índice]],"")</f>
        <v/>
      </c>
      <c r="AT103" s="119" t="str">
        <f ca="1">IF(AND(base_de_datos[[#This Row],[Tecnologías Energéticas]]&lt;&gt;"",base_de_datos[[#This Row],[Misma o no]]=1),base_de_datos[[#This Row],[Índice]],"")</f>
        <v/>
      </c>
      <c r="AU103" s="119">
        <f ca="1">IF(AND(base_de_datos[[#This Row],[Civil y Administración]]&lt;&gt;"",base_de_datos[[#This Row],[Misma o no]]=1),base_de_datos[[#This Row],[Índice]],"")</f>
        <v>4</v>
      </c>
      <c r="AV103" s="119" t="str">
        <f ca="1">IF(AND(base_de_datos[[#This Row],[Bioelectrónica]]&lt;&gt;"",base_de_datos[[#This Row],[Misma o no]]=1),base_de_datos[[#This Row],[Índice]],"")</f>
        <v/>
      </c>
      <c r="AW103" s="120"/>
      <c r="AX103" s="4">
        <v>2</v>
      </c>
    </row>
    <row r="104" spans="2:50" s="6" customFormat="1" ht="13" x14ac:dyDescent="0.3">
      <c r="B104" s="6" t="s">
        <v>284</v>
      </c>
      <c r="C104" s="1" t="s">
        <v>285</v>
      </c>
      <c r="D104" s="4">
        <v>2</v>
      </c>
      <c r="E104" s="113">
        <v>0.5</v>
      </c>
      <c r="F104" s="113">
        <v>0.562499999999996</v>
      </c>
      <c r="G104" s="4" t="s">
        <v>87</v>
      </c>
      <c r="H104" s="4" t="s">
        <v>256</v>
      </c>
      <c r="I104" s="4"/>
      <c r="J104" s="114">
        <v>17</v>
      </c>
      <c r="K104" s="115"/>
      <c r="L104" s="3"/>
      <c r="M104" s="115"/>
      <c r="N104" s="3"/>
      <c r="O104" s="4" t="s">
        <v>286</v>
      </c>
      <c r="P104" s="114"/>
      <c r="Q104" s="114"/>
      <c r="R104" s="114"/>
      <c r="S104" s="114" t="s">
        <v>90</v>
      </c>
      <c r="T104" s="114"/>
      <c r="U104" s="114"/>
      <c r="V104" s="114"/>
      <c r="W104" s="114"/>
      <c r="X104" s="116">
        <f>_xlfn.XLOOKUP(base_de_datos[[#This Row],[Materia]],Materias,Horas)/16</f>
        <v>3</v>
      </c>
      <c r="Y104" s="116">
        <f>ROUND(((base_de_datos[[#This Row],[Hora fin]]-base_de_datos[[#This Row],[Hora inicio]])*24)*(COUNTA(base_de_datos[[#This Row],[Lunes]:[Sábado]])),1)</f>
        <v>1.5</v>
      </c>
      <c r="Z104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04" s="117">
        <f ca="1">IF(base_de_datos[[#This Row],[No clase]]=OFFSET(base_de_datos[[#This Row],[No clase]],-1,0),0,1)</f>
        <v>0</v>
      </c>
      <c r="AB104" s="117">
        <f ca="1">IF(NOT(OR(base_de_datos[[#This Row],[Horas totales]]=base_de_datos[[#This Row],[HT Plan]],base_de_datos[[#This Row],[Horas totales]]="N/A")),1,0)</f>
        <v>0</v>
      </c>
      <c r="AC104" s="116" t="str">
        <f>_xlfn.XLOOKUP(base_de_datos[[#This Row],[Profesor]],Nombre,Grado)</f>
        <v>M</v>
      </c>
      <c r="AD104" s="118" t="str">
        <f>_xlfn.XLOOKUP(base_de_datos[[#This Row],[Profesor]],Nombre,Tipo)</f>
        <v>A</v>
      </c>
      <c r="AE104" s="116" t="str">
        <f>IF(IFERROR(VLOOKUP($C104,Planes_de_estudio[],MATCH($AE$2,Carreras,0)+2,0),"")&gt;0,IFERROR(VLOOKUP($C104,Planes_de_estudio[],MATCH($AE$2,Carreras,0)+2,0),""),"")</f>
        <v/>
      </c>
      <c r="AF104" s="116">
        <f>IF(IFERROR(VLOOKUP($C104,Planes_de_estudio[],MATCH($AF$2,Carreras,0)+2,0),"")&gt;0,IFERROR(VLOOKUP($C104,Planes_de_estudio[],MATCH($AF$2,Carreras,0)+2,0),""),"")</f>
        <v>2</v>
      </c>
      <c r="AG104" s="116" t="str">
        <f>IF(IFERROR(VLOOKUP($C104,Planes_de_estudio[],MATCH($AG$2,Carreras,0)+2,0),"")&gt;0,IFERROR(VLOOKUP($C104,Planes_de_estudio[],MATCH($AG$2,Carreras,0)+2,0),""),"")</f>
        <v/>
      </c>
      <c r="AH104" s="116" t="str">
        <f>IF(IFERROR(VLOOKUP($C104,Planes_de_estudio[],MATCH($AH$2,Carreras,0)+2,0),"")&gt;0,IFERROR(VLOOKUP($C104,Planes_de_estudio[],MATCH($AH$2,Carreras,0)+2,0),""),"")</f>
        <v/>
      </c>
      <c r="AI104" s="116" t="str">
        <f>IF(IFERROR(VLOOKUP($C104,Planes_de_estudio[],MATCH($AI$2,Carreras,0)+2,0),"")&gt;0,IFERROR(VLOOKUP($C104,Planes_de_estudio[],MATCH($AI$2,Carreras,0)+2,0),""),"")</f>
        <v/>
      </c>
      <c r="AJ104" s="116">
        <f>IF(IFERROR(VLOOKUP($C104,Planes_de_estudio[],MATCH($AJ$2,Carreras,0)+2,0),"")&gt;0,IFERROR(VLOOKUP($C104,Planes_de_estudio[],MATCH($AJ$2,Carreras,0)+2,0),""),"")</f>
        <v>2</v>
      </c>
      <c r="AK104" s="116" t="str">
        <f>IF(IFERROR(VLOOKUP($C104,Planes_de_estudio[],MATCH($AK$2,Carreras,0)+2,0),"")&gt;0,IFERROR(VLOOKUP($C104,Planes_de_estudio[],MATCH($AK$2,Carreras,0)+2,0),""),"")</f>
        <v/>
      </c>
      <c r="AL104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04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39</v>
      </c>
      <c r="AN104" s="117">
        <f>base_de_datos[[#This Row],[Pronóstico]]/25</f>
        <v>1.56</v>
      </c>
      <c r="AO104" s="117" t="str">
        <f>VLOOKUP($C104,Planes_de_estudio[],2)</f>
        <v>MEC</v>
      </c>
      <c r="AP104" s="119" t="str">
        <f ca="1">IF(AND(base_de_datos[[#This Row],[Industrial]]&lt;&gt;"",base_de_datos[[#This Row],[Misma o no]]=1),base_de_datos[[#This Row],[Índice]],"")</f>
        <v/>
      </c>
      <c r="AQ104" s="119" t="str">
        <f ca="1">IF(AND(base_de_datos[[#This Row],[Mecatrónica]]&lt;&gt;"",base_de_datos[[#This Row],[Misma o no]]=1),base_de_datos[[#This Row],[Índice]],"")</f>
        <v/>
      </c>
      <c r="AR104" s="119" t="str">
        <f ca="1">IF(AND(base_de_datos[[#This Row],[Innovación y Diseño]]&lt;&gt;"",base_de_datos[[#This Row],[Misma o no]]=1),base_de_datos[[#This Row],[Índice]],"")</f>
        <v/>
      </c>
      <c r="AS104" s="119" t="str">
        <f ca="1">IF(AND(base_de_datos[[#This Row],[Inteligencia Artificial]]&lt;&gt;"",base_de_datos[[#This Row],[Misma o no]]=1),base_de_datos[[#This Row],[Índice]],"")</f>
        <v/>
      </c>
      <c r="AT104" s="119" t="str">
        <f ca="1">IF(AND(base_de_datos[[#This Row],[Tecnologías Energéticas]]&lt;&gt;"",base_de_datos[[#This Row],[Misma o no]]=1),base_de_datos[[#This Row],[Índice]],"")</f>
        <v/>
      </c>
      <c r="AU104" s="119" t="str">
        <f ca="1">IF(AND(base_de_datos[[#This Row],[Civil y Administración]]&lt;&gt;"",base_de_datos[[#This Row],[Misma o no]]=1),base_de_datos[[#This Row],[Índice]],"")</f>
        <v/>
      </c>
      <c r="AV104" s="119" t="str">
        <f ca="1">IF(AND(base_de_datos[[#This Row],[Bioelectrónica]]&lt;&gt;"",base_de_datos[[#This Row],[Misma o no]]=1),base_de_datos[[#This Row],[Índice]],"")</f>
        <v/>
      </c>
      <c r="AW104" s="120"/>
      <c r="AX104" s="4">
        <v>2</v>
      </c>
    </row>
    <row r="105" spans="2:50" s="6" customFormat="1" ht="13" x14ac:dyDescent="0.3">
      <c r="B105" s="6" t="s">
        <v>304</v>
      </c>
      <c r="C105" s="1" t="s">
        <v>301</v>
      </c>
      <c r="D105" s="4">
        <v>3</v>
      </c>
      <c r="E105" s="113">
        <v>0.79166666666666696</v>
      </c>
      <c r="F105" s="113">
        <v>0.91666666666665697</v>
      </c>
      <c r="G105" s="227" t="s">
        <v>92</v>
      </c>
      <c r="H105" s="4" t="s">
        <v>109</v>
      </c>
      <c r="I105" s="4"/>
      <c r="J105" s="114"/>
      <c r="K105" s="115"/>
      <c r="L105" s="3"/>
      <c r="M105" s="115"/>
      <c r="N105" s="3"/>
      <c r="O105" s="4" t="s">
        <v>305</v>
      </c>
      <c r="P105" s="114" t="s">
        <v>90</v>
      </c>
      <c r="Q105" s="114"/>
      <c r="R105" s="114"/>
      <c r="S105" s="114"/>
      <c r="T105" s="114"/>
      <c r="U105" s="114"/>
      <c r="V105" s="114"/>
      <c r="W105" s="114"/>
      <c r="X105" s="116">
        <f>_xlfn.XLOOKUP(base_de_datos[[#This Row],[Materia]],Materias,Horas)/16</f>
        <v>3</v>
      </c>
      <c r="Y105" s="116">
        <f>ROUND(((base_de_datos[[#This Row],[Hora fin]]-base_de_datos[[#This Row],[Hora inicio]])*24)*(COUNTA(base_de_datos[[#This Row],[Lunes]:[Sábado]])),1)</f>
        <v>3</v>
      </c>
      <c r="Z105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05" s="117">
        <f ca="1">IF(base_de_datos[[#This Row],[No clase]]=OFFSET(base_de_datos[[#This Row],[No clase]],-1,0),0,1)</f>
        <v>1</v>
      </c>
      <c r="AB105" s="117">
        <f ca="1">IF(NOT(OR(base_de_datos[[#This Row],[Horas totales]]=base_de_datos[[#This Row],[HT Plan]],base_de_datos[[#This Row],[Horas totales]]="N/A")),1,0)</f>
        <v>0</v>
      </c>
      <c r="AC105" s="229">
        <f>_xlfn.XLOOKUP(base_de_datos[[#This Row],[Profesor]],Nombre,Grado)</f>
        <v>0</v>
      </c>
      <c r="AD105" s="118" t="str">
        <f>_xlfn.XLOOKUP(base_de_datos[[#This Row],[Profesor]],Nombre,Tipo)</f>
        <v>H</v>
      </c>
      <c r="AE105" s="116">
        <f>IF(IFERROR(VLOOKUP($C105,Planes_de_estudio[],MATCH($AE$2,Carreras,0)+2,0),"")&gt;0,IFERROR(VLOOKUP($C105,Planes_de_estudio[],MATCH($AE$2,Carreras,0)+2,0),""),"")</f>
        <v>8</v>
      </c>
      <c r="AF105" s="116">
        <f>IF(IFERROR(VLOOKUP($C105,Planes_de_estudio[],MATCH($AF$2,Carreras,0)+2,0),"")&gt;0,IFERROR(VLOOKUP($C105,Planes_de_estudio[],MATCH($AF$2,Carreras,0)+2,0),""),"")</f>
        <v>8</v>
      </c>
      <c r="AG105" s="116">
        <f>IF(IFERROR(VLOOKUP($C105,Planes_de_estudio[],MATCH($AG$2,Carreras,0)+2,0),"")&gt;0,IFERROR(VLOOKUP($C105,Planes_de_estudio[],MATCH($AG$2,Carreras,0)+2,0),""),"")</f>
        <v>8</v>
      </c>
      <c r="AH105" s="116">
        <f>IF(IFERROR(VLOOKUP($C105,Planes_de_estudio[],MATCH($AH$2,Carreras,0)+2,0),"")&gt;0,IFERROR(VLOOKUP($C105,Planes_de_estudio[],MATCH($AH$2,Carreras,0)+2,0),""),"")</f>
        <v>8</v>
      </c>
      <c r="AI105" s="116">
        <f>IF(IFERROR(VLOOKUP($C105,Planes_de_estudio[],MATCH($AI$2,Carreras,0)+2,0),"")&gt;0,IFERROR(VLOOKUP($C105,Planes_de_estudio[],MATCH($AI$2,Carreras,0)+2,0),""),"")</f>
        <v>8</v>
      </c>
      <c r="AJ105" s="116">
        <f>IF(IFERROR(VLOOKUP($C105,Planes_de_estudio[],MATCH($AJ$2,Carreras,0)+2,0),"")&gt;0,IFERROR(VLOOKUP($C105,Planes_de_estudio[],MATCH($AJ$2,Carreras,0)+2,0),""),"")</f>
        <v>10</v>
      </c>
      <c r="AK105" s="116">
        <f>IF(IFERROR(VLOOKUP($C105,Planes_de_estudio[],MATCH($AK$2,Carreras,0)+2,0),"")&gt;0,IFERROR(VLOOKUP($C105,Planes_de_estudio[],MATCH($AK$2,Carreras,0)+2,0),""),"")</f>
        <v>8</v>
      </c>
      <c r="AL105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05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100</v>
      </c>
      <c r="AN105" s="117">
        <f>base_de_datos[[#This Row],[Pronóstico]]/25</f>
        <v>4</v>
      </c>
      <c r="AO105" s="117" t="str">
        <f>VLOOKUP($C105,Planes_de_estudio[],2)</f>
        <v>HUM</v>
      </c>
      <c r="AP105" s="119">
        <f ca="1">IF(AND(base_de_datos[[#This Row],[Industrial]]&lt;&gt;"",base_de_datos[[#This Row],[Misma o no]]=1),base_de_datos[[#This Row],[Índice]],"")</f>
        <v>6</v>
      </c>
      <c r="AQ105" s="119">
        <f ca="1">IF(AND(base_de_datos[[#This Row],[Mecatrónica]]&lt;&gt;"",base_de_datos[[#This Row],[Misma o no]]=1),base_de_datos[[#This Row],[Índice]],"")</f>
        <v>6</v>
      </c>
      <c r="AR105" s="119">
        <f ca="1">IF(AND(base_de_datos[[#This Row],[Innovación y Diseño]]&lt;&gt;"",base_de_datos[[#This Row],[Misma o no]]=1),base_de_datos[[#This Row],[Índice]],"")</f>
        <v>6</v>
      </c>
      <c r="AS105" s="119">
        <f ca="1">IF(AND(base_de_datos[[#This Row],[Inteligencia Artificial]]&lt;&gt;"",base_de_datos[[#This Row],[Misma o no]]=1),base_de_datos[[#This Row],[Índice]],"")</f>
        <v>6</v>
      </c>
      <c r="AT105" s="119">
        <f ca="1">IF(AND(base_de_datos[[#This Row],[Tecnologías Energéticas]]&lt;&gt;"",base_de_datos[[#This Row],[Misma o no]]=1),base_de_datos[[#This Row],[Índice]],"")</f>
        <v>6</v>
      </c>
      <c r="AU105" s="119">
        <f ca="1">IF(AND(base_de_datos[[#This Row],[Civil y Administración]]&lt;&gt;"",base_de_datos[[#This Row],[Misma o no]]=1),base_de_datos[[#This Row],[Índice]],"")</f>
        <v>6</v>
      </c>
      <c r="AV105" s="119">
        <f ca="1">IF(AND(base_de_datos[[#This Row],[Bioelectrónica]]&lt;&gt;"",base_de_datos[[#This Row],[Misma o no]]=1),base_de_datos[[#This Row],[Índice]],"")</f>
        <v>6</v>
      </c>
      <c r="AW105" s="120"/>
      <c r="AX105" s="4">
        <v>1</v>
      </c>
    </row>
    <row r="106" spans="2:50" s="6" customFormat="1" ht="13" x14ac:dyDescent="0.3">
      <c r="B106" s="6" t="s">
        <v>287</v>
      </c>
      <c r="C106" s="1" t="s">
        <v>285</v>
      </c>
      <c r="D106" s="4">
        <v>1</v>
      </c>
      <c r="E106" s="113">
        <v>0.5</v>
      </c>
      <c r="F106" s="113">
        <v>0.562499999999996</v>
      </c>
      <c r="G106" s="226" t="s">
        <v>92</v>
      </c>
      <c r="H106" s="4" t="s">
        <v>256</v>
      </c>
      <c r="I106" s="4"/>
      <c r="J106" s="198">
        <v>20</v>
      </c>
      <c r="K106" s="115"/>
      <c r="L106" s="3"/>
      <c r="M106" s="115"/>
      <c r="N106" s="3"/>
      <c r="O106" s="4" t="s">
        <v>288</v>
      </c>
      <c r="P106" s="114"/>
      <c r="Q106" s="114" t="s">
        <v>90</v>
      </c>
      <c r="R106" s="114"/>
      <c r="S106" s="114"/>
      <c r="T106" s="114"/>
      <c r="U106" s="114"/>
      <c r="V106" s="114"/>
      <c r="W106" s="114"/>
      <c r="X106" s="116">
        <f>_xlfn.XLOOKUP(base_de_datos[[#This Row],[Materia]],Materias,Horas)/16</f>
        <v>3</v>
      </c>
      <c r="Y106" s="116">
        <f>ROUND(((base_de_datos[[#This Row],[Hora fin]]-base_de_datos[[#This Row],[Hora inicio]])*24)*(COUNTA(base_de_datos[[#This Row],[Lunes]:[Sábado]])),1)</f>
        <v>1.5</v>
      </c>
      <c r="Z106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06" s="117">
        <f ca="1">IF(base_de_datos[[#This Row],[No clase]]=OFFSET(base_de_datos[[#This Row],[No clase]],-1,0),0,1)</f>
        <v>1</v>
      </c>
      <c r="AB106" s="117">
        <f ca="1">IF(NOT(OR(base_de_datos[[#This Row],[Horas totales]]=base_de_datos[[#This Row],[HT Plan]],base_de_datos[[#This Row],[Horas totales]]="N/A")),1,0)</f>
        <v>0</v>
      </c>
      <c r="AC106" s="116" t="str">
        <f>_xlfn.XLOOKUP(base_de_datos[[#This Row],[Profesor]],Nombre,Grado)</f>
        <v>L</v>
      </c>
      <c r="AD106" s="118" t="str">
        <f>_xlfn.XLOOKUP(base_de_datos[[#This Row],[Profesor]],Nombre,Tipo)</f>
        <v>TC</v>
      </c>
      <c r="AE106" s="116" t="str">
        <f>IF(IFERROR(VLOOKUP($C106,Planes_de_estudio[],MATCH($AE$2,Carreras,0)+2,0),"")&gt;0,IFERROR(VLOOKUP($C106,Planes_de_estudio[],MATCH($AE$2,Carreras,0)+2,0),""),"")</f>
        <v/>
      </c>
      <c r="AF106" s="116">
        <f>IF(IFERROR(VLOOKUP($C106,Planes_de_estudio[],MATCH($AF$2,Carreras,0)+2,0),"")&gt;0,IFERROR(VLOOKUP($C106,Planes_de_estudio[],MATCH($AF$2,Carreras,0)+2,0),""),"")</f>
        <v>2</v>
      </c>
      <c r="AG106" s="116" t="str">
        <f>IF(IFERROR(VLOOKUP($C106,Planes_de_estudio[],MATCH($AG$2,Carreras,0)+2,0),"")&gt;0,IFERROR(VLOOKUP($C106,Planes_de_estudio[],MATCH($AG$2,Carreras,0)+2,0),""),"")</f>
        <v/>
      </c>
      <c r="AH106" s="116" t="str">
        <f>IF(IFERROR(VLOOKUP($C106,Planes_de_estudio[],MATCH($AH$2,Carreras,0)+2,0),"")&gt;0,IFERROR(VLOOKUP($C106,Planes_de_estudio[],MATCH($AH$2,Carreras,0)+2,0),""),"")</f>
        <v/>
      </c>
      <c r="AI106" s="116" t="str">
        <f>IF(IFERROR(VLOOKUP($C106,Planes_de_estudio[],MATCH($AI$2,Carreras,0)+2,0),"")&gt;0,IFERROR(VLOOKUP($C106,Planes_de_estudio[],MATCH($AI$2,Carreras,0)+2,0),""),"")</f>
        <v/>
      </c>
      <c r="AJ106" s="116">
        <f>IF(IFERROR(VLOOKUP($C106,Planes_de_estudio[],MATCH($AJ$2,Carreras,0)+2,0),"")&gt;0,IFERROR(VLOOKUP($C106,Planes_de_estudio[],MATCH($AJ$2,Carreras,0)+2,0),""),"")</f>
        <v>2</v>
      </c>
      <c r="AK106" s="116" t="str">
        <f>IF(IFERROR(VLOOKUP($C106,Planes_de_estudio[],MATCH($AK$2,Carreras,0)+2,0),"")&gt;0,IFERROR(VLOOKUP($C106,Planes_de_estudio[],MATCH($AK$2,Carreras,0)+2,0),""),"")</f>
        <v/>
      </c>
      <c r="AL106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06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39</v>
      </c>
      <c r="AN106" s="117">
        <f>base_de_datos[[#This Row],[Pronóstico]]/25</f>
        <v>1.56</v>
      </c>
      <c r="AO106" s="117" t="str">
        <f>VLOOKUP($C106,Planes_de_estudio[],2)</f>
        <v>MEC</v>
      </c>
      <c r="AP106" s="119" t="str">
        <f ca="1">IF(AND(base_de_datos[[#This Row],[Industrial]]&lt;&gt;"",base_de_datos[[#This Row],[Misma o no]]=1),base_de_datos[[#This Row],[Índice]],"")</f>
        <v/>
      </c>
      <c r="AQ106" s="119">
        <f ca="1">IF(AND(base_de_datos[[#This Row],[Mecatrónica]]&lt;&gt;"",base_de_datos[[#This Row],[Misma o no]]=1),base_de_datos[[#This Row],[Índice]],"")</f>
        <v>1</v>
      </c>
      <c r="AR106" s="119" t="str">
        <f ca="1">IF(AND(base_de_datos[[#This Row],[Innovación y Diseño]]&lt;&gt;"",base_de_datos[[#This Row],[Misma o no]]=1),base_de_datos[[#This Row],[Índice]],"")</f>
        <v/>
      </c>
      <c r="AS106" s="119" t="str">
        <f ca="1">IF(AND(base_de_datos[[#This Row],[Inteligencia Artificial]]&lt;&gt;"",base_de_datos[[#This Row],[Misma o no]]=1),base_de_datos[[#This Row],[Índice]],"")</f>
        <v/>
      </c>
      <c r="AT106" s="119" t="str">
        <f ca="1">IF(AND(base_de_datos[[#This Row],[Tecnologías Energéticas]]&lt;&gt;"",base_de_datos[[#This Row],[Misma o no]]=1),base_de_datos[[#This Row],[Índice]],"")</f>
        <v/>
      </c>
      <c r="AU106" s="119">
        <f ca="1">IF(AND(base_de_datos[[#This Row],[Civil y Administración]]&lt;&gt;"",base_de_datos[[#This Row],[Misma o no]]=1),base_de_datos[[#This Row],[Índice]],"")</f>
        <v>1</v>
      </c>
      <c r="AV106" s="119" t="str">
        <f ca="1">IF(AND(base_de_datos[[#This Row],[Bioelectrónica]]&lt;&gt;"",base_de_datos[[#This Row],[Misma o no]]=1),base_de_datos[[#This Row],[Índice]],"")</f>
        <v/>
      </c>
      <c r="AW106" s="120"/>
      <c r="AX106" s="4">
        <v>2</v>
      </c>
    </row>
    <row r="107" spans="2:50" s="6" customFormat="1" ht="13" x14ac:dyDescent="0.3">
      <c r="B107" s="6" t="s">
        <v>287</v>
      </c>
      <c r="C107" s="1" t="s">
        <v>285</v>
      </c>
      <c r="D107" s="4">
        <v>1</v>
      </c>
      <c r="E107" s="113">
        <v>0.5</v>
      </c>
      <c r="F107" s="113">
        <v>0.562499999999996</v>
      </c>
      <c r="G107" s="226" t="s">
        <v>92</v>
      </c>
      <c r="H107" s="4" t="s">
        <v>164</v>
      </c>
      <c r="I107" s="4"/>
      <c r="J107" s="198">
        <v>20</v>
      </c>
      <c r="K107" s="115"/>
      <c r="L107" s="3"/>
      <c r="M107" s="115"/>
      <c r="N107" s="3"/>
      <c r="O107" s="4" t="s">
        <v>288</v>
      </c>
      <c r="P107" s="114"/>
      <c r="Q107" s="114"/>
      <c r="R107" s="114"/>
      <c r="S107" s="114" t="s">
        <v>90</v>
      </c>
      <c r="T107" s="114"/>
      <c r="U107" s="114"/>
      <c r="V107" s="114"/>
      <c r="W107" s="114"/>
      <c r="X107" s="116">
        <f>_xlfn.XLOOKUP(base_de_datos[[#This Row],[Materia]],Materias,Horas)/16</f>
        <v>3</v>
      </c>
      <c r="Y107" s="116">
        <f>ROUND(((base_de_datos[[#This Row],[Hora fin]]-base_de_datos[[#This Row],[Hora inicio]])*24)*(COUNTA(base_de_datos[[#This Row],[Lunes]:[Sábado]])),1)</f>
        <v>1.5</v>
      </c>
      <c r="Z107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07" s="117">
        <f ca="1">IF(base_de_datos[[#This Row],[No clase]]=OFFSET(base_de_datos[[#This Row],[No clase]],-1,0),0,1)</f>
        <v>0</v>
      </c>
      <c r="AB107" s="117">
        <f ca="1">IF(NOT(OR(base_de_datos[[#This Row],[Horas totales]]=base_de_datos[[#This Row],[HT Plan]],base_de_datos[[#This Row],[Horas totales]]="N/A")),1,0)</f>
        <v>0</v>
      </c>
      <c r="AC107" s="116" t="str">
        <f>_xlfn.XLOOKUP(base_de_datos[[#This Row],[Profesor]],Nombre,Grado)</f>
        <v>L</v>
      </c>
      <c r="AD107" s="118" t="str">
        <f>_xlfn.XLOOKUP(base_de_datos[[#This Row],[Profesor]],Nombre,Tipo)</f>
        <v>TC</v>
      </c>
      <c r="AE107" s="116" t="str">
        <f>IF(IFERROR(VLOOKUP($C107,Planes_de_estudio[],MATCH($AE$2,Carreras,0)+2,0),"")&gt;0,IFERROR(VLOOKUP($C107,Planes_de_estudio[],MATCH($AE$2,Carreras,0)+2,0),""),"")</f>
        <v/>
      </c>
      <c r="AF107" s="116">
        <f>IF(IFERROR(VLOOKUP($C107,Planes_de_estudio[],MATCH($AF$2,Carreras,0)+2,0),"")&gt;0,IFERROR(VLOOKUP($C107,Planes_de_estudio[],MATCH($AF$2,Carreras,0)+2,0),""),"")</f>
        <v>2</v>
      </c>
      <c r="AG107" s="116" t="str">
        <f>IF(IFERROR(VLOOKUP($C107,Planes_de_estudio[],MATCH($AG$2,Carreras,0)+2,0),"")&gt;0,IFERROR(VLOOKUP($C107,Planes_de_estudio[],MATCH($AG$2,Carreras,0)+2,0),""),"")</f>
        <v/>
      </c>
      <c r="AH107" s="116" t="str">
        <f>IF(IFERROR(VLOOKUP($C107,Planes_de_estudio[],MATCH($AH$2,Carreras,0)+2,0),"")&gt;0,IFERROR(VLOOKUP($C107,Planes_de_estudio[],MATCH($AH$2,Carreras,0)+2,0),""),"")</f>
        <v/>
      </c>
      <c r="AI107" s="116" t="str">
        <f>IF(IFERROR(VLOOKUP($C107,Planes_de_estudio[],MATCH($AI$2,Carreras,0)+2,0),"")&gt;0,IFERROR(VLOOKUP($C107,Planes_de_estudio[],MATCH($AI$2,Carreras,0)+2,0),""),"")</f>
        <v/>
      </c>
      <c r="AJ107" s="116">
        <f>IF(IFERROR(VLOOKUP($C107,Planes_de_estudio[],MATCH($AJ$2,Carreras,0)+2,0),"")&gt;0,IFERROR(VLOOKUP($C107,Planes_de_estudio[],MATCH($AJ$2,Carreras,0)+2,0),""),"")</f>
        <v>2</v>
      </c>
      <c r="AK107" s="116" t="str">
        <f>IF(IFERROR(VLOOKUP($C107,Planes_de_estudio[],MATCH($AK$2,Carreras,0)+2,0),"")&gt;0,IFERROR(VLOOKUP($C107,Planes_de_estudio[],MATCH($AK$2,Carreras,0)+2,0),""),"")</f>
        <v/>
      </c>
      <c r="AL107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07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39</v>
      </c>
      <c r="AN107" s="117">
        <f>base_de_datos[[#This Row],[Pronóstico]]/25</f>
        <v>1.56</v>
      </c>
      <c r="AO107" s="117" t="str">
        <f>VLOOKUP($C107,Planes_de_estudio[],2)</f>
        <v>MEC</v>
      </c>
      <c r="AP107" s="119" t="str">
        <f ca="1">IF(AND(base_de_datos[[#This Row],[Industrial]]&lt;&gt;"",base_de_datos[[#This Row],[Misma o no]]=1),base_de_datos[[#This Row],[Índice]],"")</f>
        <v/>
      </c>
      <c r="AQ107" s="119" t="str">
        <f ca="1">IF(AND(base_de_datos[[#This Row],[Mecatrónica]]&lt;&gt;"",base_de_datos[[#This Row],[Misma o no]]=1),base_de_datos[[#This Row],[Índice]],"")</f>
        <v/>
      </c>
      <c r="AR107" s="119" t="str">
        <f ca="1">IF(AND(base_de_datos[[#This Row],[Innovación y Diseño]]&lt;&gt;"",base_de_datos[[#This Row],[Misma o no]]=1),base_de_datos[[#This Row],[Índice]],"")</f>
        <v/>
      </c>
      <c r="AS107" s="119" t="str">
        <f ca="1">IF(AND(base_de_datos[[#This Row],[Inteligencia Artificial]]&lt;&gt;"",base_de_datos[[#This Row],[Misma o no]]=1),base_de_datos[[#This Row],[Índice]],"")</f>
        <v/>
      </c>
      <c r="AT107" s="119" t="str">
        <f ca="1">IF(AND(base_de_datos[[#This Row],[Tecnologías Energéticas]]&lt;&gt;"",base_de_datos[[#This Row],[Misma o no]]=1),base_de_datos[[#This Row],[Índice]],"")</f>
        <v/>
      </c>
      <c r="AU107" s="119" t="str">
        <f ca="1">IF(AND(base_de_datos[[#This Row],[Civil y Administración]]&lt;&gt;"",base_de_datos[[#This Row],[Misma o no]]=1),base_de_datos[[#This Row],[Índice]],"")</f>
        <v/>
      </c>
      <c r="AV107" s="119" t="str">
        <f ca="1">IF(AND(base_de_datos[[#This Row],[Bioelectrónica]]&lt;&gt;"",base_de_datos[[#This Row],[Misma o no]]=1),base_de_datos[[#This Row],[Índice]],"")</f>
        <v/>
      </c>
      <c r="AW107" s="120"/>
      <c r="AX107" s="4">
        <v>2</v>
      </c>
    </row>
    <row r="108" spans="2:50" s="6" customFormat="1" ht="13" x14ac:dyDescent="0.3">
      <c r="B108" s="9" t="s">
        <v>306</v>
      </c>
      <c r="C108" s="1" t="s">
        <v>301</v>
      </c>
      <c r="D108" s="4">
        <v>1</v>
      </c>
      <c r="E108" s="113">
        <v>0.79166666666666696</v>
      </c>
      <c r="F108" s="113">
        <v>0.91666666666665697</v>
      </c>
      <c r="G108" s="227" t="s">
        <v>92</v>
      </c>
      <c r="H108" s="4" t="s">
        <v>169</v>
      </c>
      <c r="I108" s="4"/>
      <c r="J108" s="114"/>
      <c r="K108" s="115"/>
      <c r="L108" s="3"/>
      <c r="M108" s="115"/>
      <c r="N108" s="3"/>
      <c r="O108" s="4" t="s">
        <v>307</v>
      </c>
      <c r="P108" s="114" t="s">
        <v>90</v>
      </c>
      <c r="Q108" s="114"/>
      <c r="R108" s="114"/>
      <c r="S108" s="114"/>
      <c r="T108" s="114"/>
      <c r="U108" s="114"/>
      <c r="V108" s="114"/>
      <c r="W108" s="114"/>
      <c r="X108" s="116">
        <f>_xlfn.XLOOKUP(base_de_datos[[#This Row],[Materia]],Materias,Horas)/16</f>
        <v>3</v>
      </c>
      <c r="Y108" s="117">
        <f>ROUND(((base_de_datos[[#This Row],[Hora fin]]-base_de_datos[[#This Row],[Hora inicio]])*24)*(COUNTA(base_de_datos[[#This Row],[Lunes]:[Sábado]])),1)</f>
        <v>3</v>
      </c>
      <c r="Z108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08" s="117">
        <f ca="1">IF(base_de_datos[[#This Row],[No clase]]=OFFSET(base_de_datos[[#This Row],[No clase]],-1,0),0,1)</f>
        <v>1</v>
      </c>
      <c r="AB108" s="117">
        <f ca="1">IF(NOT(OR(base_de_datos[[#This Row],[Horas totales]]=base_de_datos[[#This Row],[HT Plan]],base_de_datos[[#This Row],[Horas totales]]="N/A")),1,0)</f>
        <v>0</v>
      </c>
      <c r="AC108" s="230">
        <f>_xlfn.XLOOKUP(base_de_datos[[#This Row],[Profesor]],Nombre,Grado)</f>
        <v>0</v>
      </c>
      <c r="AD108" s="118" t="str">
        <f>_xlfn.XLOOKUP(base_de_datos[[#This Row],[Profesor]],Nombre,Tipo)</f>
        <v>H</v>
      </c>
      <c r="AE108" s="117">
        <f>IF(IFERROR(VLOOKUP($C108,Planes_de_estudio[],MATCH($AE$2,Carreras,0)+2,0),"")&gt;0,IFERROR(VLOOKUP($C108,Planes_de_estudio[],MATCH($AE$2,Carreras,0)+2,0),""),"")</f>
        <v>8</v>
      </c>
      <c r="AF108" s="117">
        <f>IF(IFERROR(VLOOKUP($C108,Planes_de_estudio[],MATCH($AF$2,Carreras,0)+2,0),"")&gt;0,IFERROR(VLOOKUP($C108,Planes_de_estudio[],MATCH($AF$2,Carreras,0)+2,0),""),"")</f>
        <v>8</v>
      </c>
      <c r="AG108" s="117">
        <f>IF(IFERROR(VLOOKUP($C108,Planes_de_estudio[],MATCH($AG$2,Carreras,0)+2,0),"")&gt;0,IFERROR(VLOOKUP($C108,Planes_de_estudio[],MATCH($AG$2,Carreras,0)+2,0),""),"")</f>
        <v>8</v>
      </c>
      <c r="AH108" s="117">
        <f>IF(IFERROR(VLOOKUP($C108,Planes_de_estudio[],MATCH($AH$2,Carreras,0)+2,0),"")&gt;0,IFERROR(VLOOKUP($C108,Planes_de_estudio[],MATCH($AH$2,Carreras,0)+2,0),""),"")</f>
        <v>8</v>
      </c>
      <c r="AI108" s="117">
        <f>IF(IFERROR(VLOOKUP($C108,Planes_de_estudio[],MATCH($AI$2,Carreras,0)+2,0),"")&gt;0,IFERROR(VLOOKUP($C108,Planes_de_estudio[],MATCH($AI$2,Carreras,0)+2,0),""),"")</f>
        <v>8</v>
      </c>
      <c r="AJ108" s="117">
        <f>IF(IFERROR(VLOOKUP($C108,Planes_de_estudio[],MATCH($AJ$2,Carreras,0)+2,0),"")&gt;0,IFERROR(VLOOKUP($C108,Planes_de_estudio[],MATCH($AJ$2,Carreras,0)+2,0),""),"")</f>
        <v>10</v>
      </c>
      <c r="AK108" s="117">
        <f>IF(IFERROR(VLOOKUP($C108,Planes_de_estudio[],MATCH($AK$2,Carreras,0)+2,0),"")&gt;0,IFERROR(VLOOKUP($C108,Planes_de_estudio[],MATCH($AK$2,Carreras,0)+2,0),""),"")</f>
        <v>8</v>
      </c>
      <c r="AL108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08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100</v>
      </c>
      <c r="AN108" s="117">
        <f>base_de_datos[[#This Row],[Pronóstico]]/25</f>
        <v>4</v>
      </c>
      <c r="AO108" s="117" t="str">
        <f>VLOOKUP($C108,Planes_de_estudio[],2)</f>
        <v>HUM</v>
      </c>
      <c r="AP108" s="119">
        <f ca="1">IF(AND(base_de_datos[[#This Row],[Industrial]]&lt;&gt;"",base_de_datos[[#This Row],[Misma o no]]=1),base_de_datos[[#This Row],[Índice]],"")</f>
        <v>6</v>
      </c>
      <c r="AQ108" s="119">
        <f ca="1">IF(AND(base_de_datos[[#This Row],[Mecatrónica]]&lt;&gt;"",base_de_datos[[#This Row],[Misma o no]]=1),base_de_datos[[#This Row],[Índice]],"")</f>
        <v>6</v>
      </c>
      <c r="AR108" s="119">
        <f ca="1">IF(AND(base_de_datos[[#This Row],[Innovación y Diseño]]&lt;&gt;"",base_de_datos[[#This Row],[Misma o no]]=1),base_de_datos[[#This Row],[Índice]],"")</f>
        <v>6</v>
      </c>
      <c r="AS108" s="119">
        <f ca="1">IF(AND(base_de_datos[[#This Row],[Inteligencia Artificial]]&lt;&gt;"",base_de_datos[[#This Row],[Misma o no]]=1),base_de_datos[[#This Row],[Índice]],"")</f>
        <v>6</v>
      </c>
      <c r="AT108" s="119">
        <f ca="1">IF(AND(base_de_datos[[#This Row],[Tecnologías Energéticas]]&lt;&gt;"",base_de_datos[[#This Row],[Misma o no]]=1),base_de_datos[[#This Row],[Índice]],"")</f>
        <v>6</v>
      </c>
      <c r="AU108" s="119">
        <f ca="1">IF(AND(base_de_datos[[#This Row],[Civil y Administración]]&lt;&gt;"",base_de_datos[[#This Row],[Misma o no]]=1),base_de_datos[[#This Row],[Índice]],"")</f>
        <v>6</v>
      </c>
      <c r="AV108" s="119">
        <f ca="1">IF(AND(base_de_datos[[#This Row],[Bioelectrónica]]&lt;&gt;"",base_de_datos[[#This Row],[Misma o no]]=1),base_de_datos[[#This Row],[Índice]],"")</f>
        <v>6</v>
      </c>
      <c r="AW108" s="120"/>
      <c r="AX108" s="4">
        <v>1</v>
      </c>
    </row>
    <row r="109" spans="2:50" s="6" customFormat="1" ht="12.75" customHeight="1" x14ac:dyDescent="0.3">
      <c r="B109" s="6" t="s">
        <v>308</v>
      </c>
      <c r="C109" s="1" t="s">
        <v>309</v>
      </c>
      <c r="D109" s="4">
        <v>1</v>
      </c>
      <c r="E109" s="113">
        <v>0.39583333333333398</v>
      </c>
      <c r="F109" s="113">
        <v>0.45833333333333098</v>
      </c>
      <c r="G109" s="227" t="s">
        <v>92</v>
      </c>
      <c r="H109" s="4" t="s">
        <v>157</v>
      </c>
      <c r="I109" s="4"/>
      <c r="J109" s="114"/>
      <c r="K109" s="115"/>
      <c r="L109" s="3"/>
      <c r="M109" s="115"/>
      <c r="N109" s="3"/>
      <c r="O109" s="4" t="s">
        <v>310</v>
      </c>
      <c r="P109" s="114" t="s">
        <v>90</v>
      </c>
      <c r="Q109" s="114"/>
      <c r="R109" s="114"/>
      <c r="S109" s="114"/>
      <c r="T109" s="114"/>
      <c r="U109" s="114"/>
      <c r="V109" s="114"/>
      <c r="W109" s="114"/>
      <c r="X109" s="116">
        <f>_xlfn.XLOOKUP(base_de_datos[[#This Row],[Materia]],Materias,Horas)/16</f>
        <v>3</v>
      </c>
      <c r="Y109" s="116">
        <f>ROUND(((base_de_datos[[#This Row],[Hora fin]]-base_de_datos[[#This Row],[Hora inicio]])*24)*(COUNTA(base_de_datos[[#This Row],[Lunes]:[Sábado]])),1)</f>
        <v>1.5</v>
      </c>
      <c r="Z109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09" s="117">
        <f ca="1">IF(base_de_datos[[#This Row],[No clase]]=OFFSET(base_de_datos[[#This Row],[No clase]],-1,0),0,1)</f>
        <v>1</v>
      </c>
      <c r="AB109" s="117">
        <f ca="1">IF(NOT(OR(base_de_datos[[#This Row],[Horas totales]]=base_de_datos[[#This Row],[HT Plan]],base_de_datos[[#This Row],[Horas totales]]="N/A")),1,0)</f>
        <v>0</v>
      </c>
      <c r="AC109" s="116" t="str">
        <f>_xlfn.XLOOKUP(base_de_datos[[#This Row],[Profesor]],Nombre,Grado)</f>
        <v>M</v>
      </c>
      <c r="AD109" s="118" t="str">
        <f>_xlfn.XLOOKUP(base_de_datos[[#This Row],[Profesor]],Nombre,Tipo)</f>
        <v>H</v>
      </c>
      <c r="AE109" s="116">
        <f>IF(IFERROR(VLOOKUP($C109,Planes_de_estudio[],MATCH($AE$2,Carreras,0)+2,0),"")&gt;0,IFERROR(VLOOKUP($C109,Planes_de_estudio[],MATCH($AE$2,Carreras,0)+2,0),""),"")</f>
        <v>3</v>
      </c>
      <c r="AF109" s="116">
        <f>IF(IFERROR(VLOOKUP($C109,Planes_de_estudio[],MATCH($AF$2,Carreras,0)+2,0),"")&gt;0,IFERROR(VLOOKUP($C109,Planes_de_estudio[],MATCH($AF$2,Carreras,0)+2,0),""),"")</f>
        <v>3</v>
      </c>
      <c r="AG109" s="116">
        <f>IF(IFERROR(VLOOKUP($C109,Planes_de_estudio[],MATCH($AG$2,Carreras,0)+2,0),"")&gt;0,IFERROR(VLOOKUP($C109,Planes_de_estudio[],MATCH($AG$2,Carreras,0)+2,0),""),"")</f>
        <v>3</v>
      </c>
      <c r="AH109" s="116">
        <f>IF(IFERROR(VLOOKUP($C109,Planes_de_estudio[],MATCH($AH$2,Carreras,0)+2,0),"")&gt;0,IFERROR(VLOOKUP($C109,Planes_de_estudio[],MATCH($AH$2,Carreras,0)+2,0),""),"")</f>
        <v>3</v>
      </c>
      <c r="AI109" s="116">
        <f>IF(IFERROR(VLOOKUP($C109,Planes_de_estudio[],MATCH($AI$2,Carreras,0)+2,0),"")&gt;0,IFERROR(VLOOKUP($C109,Planes_de_estudio[],MATCH($AI$2,Carreras,0)+2,0),""),"")</f>
        <v>3</v>
      </c>
      <c r="AJ109" s="116">
        <f>IF(IFERROR(VLOOKUP($C109,Planes_de_estudio[],MATCH($AJ$2,Carreras,0)+2,0),"")&gt;0,IFERROR(VLOOKUP($C109,Planes_de_estudio[],MATCH($AJ$2,Carreras,0)+2,0),""),"")</f>
        <v>3</v>
      </c>
      <c r="AK109" s="116">
        <f>IF(IFERROR(VLOOKUP($C109,Planes_de_estudio[],MATCH($AK$2,Carreras,0)+2,0),"")&gt;0,IFERROR(VLOOKUP($C109,Planes_de_estudio[],MATCH($AK$2,Carreras,0)+2,0),""),"")</f>
        <v>3</v>
      </c>
      <c r="AL109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09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15</v>
      </c>
      <c r="AN109" s="117">
        <f>base_de_datos[[#This Row],[Pronóstico]]/25</f>
        <v>0.6</v>
      </c>
      <c r="AO109" s="117" t="str">
        <f>VLOOKUP($C109,Planes_de_estudio[],2)</f>
        <v>HUM</v>
      </c>
      <c r="AP109" s="119">
        <f ca="1">IF(AND(base_de_datos[[#This Row],[Industrial]]&lt;&gt;"",base_de_datos[[#This Row],[Misma o no]]=1),base_de_datos[[#This Row],[Índice]],"")</f>
        <v>4</v>
      </c>
      <c r="AQ109" s="119">
        <f ca="1">IF(AND(base_de_datos[[#This Row],[Mecatrónica]]&lt;&gt;"",base_de_datos[[#This Row],[Misma o no]]=1),base_de_datos[[#This Row],[Índice]],"")</f>
        <v>4</v>
      </c>
      <c r="AR109" s="119">
        <f ca="1">IF(AND(base_de_datos[[#This Row],[Innovación y Diseño]]&lt;&gt;"",base_de_datos[[#This Row],[Misma o no]]=1),base_de_datos[[#This Row],[Índice]],"")</f>
        <v>4</v>
      </c>
      <c r="AS109" s="119">
        <f ca="1">IF(AND(base_de_datos[[#This Row],[Inteligencia Artificial]]&lt;&gt;"",base_de_datos[[#This Row],[Misma o no]]=1),base_de_datos[[#This Row],[Índice]],"")</f>
        <v>4</v>
      </c>
      <c r="AT109" s="119">
        <f ca="1">IF(AND(base_de_datos[[#This Row],[Tecnologías Energéticas]]&lt;&gt;"",base_de_datos[[#This Row],[Misma o no]]=1),base_de_datos[[#This Row],[Índice]],"")</f>
        <v>4</v>
      </c>
      <c r="AU109" s="119">
        <f ca="1">IF(AND(base_de_datos[[#This Row],[Civil y Administración]]&lt;&gt;"",base_de_datos[[#This Row],[Misma o no]]=1),base_de_datos[[#This Row],[Índice]],"")</f>
        <v>4</v>
      </c>
      <c r="AV109" s="119">
        <f ca="1">IF(AND(base_de_datos[[#This Row],[Bioelectrónica]]&lt;&gt;"",base_de_datos[[#This Row],[Misma o no]]=1),base_de_datos[[#This Row],[Índice]],"")</f>
        <v>4</v>
      </c>
      <c r="AW109" s="120"/>
      <c r="AX109" s="4">
        <v>1</v>
      </c>
    </row>
    <row r="110" spans="2:50" s="6" customFormat="1" ht="12.75" customHeight="1" x14ac:dyDescent="0.3">
      <c r="B110" s="9" t="s">
        <v>308</v>
      </c>
      <c r="C110" s="1" t="s">
        <v>309</v>
      </c>
      <c r="D110" s="4">
        <v>1</v>
      </c>
      <c r="E110" s="113">
        <v>0.39583333333333398</v>
      </c>
      <c r="F110" s="113">
        <v>0.45833333333333098</v>
      </c>
      <c r="G110" s="227" t="s">
        <v>92</v>
      </c>
      <c r="H110" s="4" t="s">
        <v>133</v>
      </c>
      <c r="I110" s="4"/>
      <c r="J110" s="114"/>
      <c r="K110" s="115"/>
      <c r="L110" s="3"/>
      <c r="M110" s="115"/>
      <c r="N110" s="3"/>
      <c r="O110" s="4" t="s">
        <v>310</v>
      </c>
      <c r="P110" s="114"/>
      <c r="Q110" s="114"/>
      <c r="R110" s="114"/>
      <c r="S110" s="114"/>
      <c r="T110" s="114" t="s">
        <v>90</v>
      </c>
      <c r="U110" s="114"/>
      <c r="V110" s="114"/>
      <c r="W110" s="114"/>
      <c r="X110" s="116">
        <f>_xlfn.XLOOKUP(base_de_datos[[#This Row],[Materia]],Materias,Horas)/16</f>
        <v>3</v>
      </c>
      <c r="Y110" s="116">
        <f>ROUND(((base_de_datos[[#This Row],[Hora fin]]-base_de_datos[[#This Row],[Hora inicio]])*24)*(COUNTA(base_de_datos[[#This Row],[Lunes]:[Sábado]])),1)</f>
        <v>1.5</v>
      </c>
      <c r="Z110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10" s="117">
        <f ca="1">IF(base_de_datos[[#This Row],[No clase]]=OFFSET(base_de_datos[[#This Row],[No clase]],-1,0),0,1)</f>
        <v>0</v>
      </c>
      <c r="AB110" s="117">
        <f ca="1">IF(NOT(OR(base_de_datos[[#This Row],[Horas totales]]=base_de_datos[[#This Row],[HT Plan]],base_de_datos[[#This Row],[Horas totales]]="N/A")),1,0)</f>
        <v>0</v>
      </c>
      <c r="AC110" s="116" t="str">
        <f>_xlfn.XLOOKUP(base_de_datos[[#This Row],[Profesor]],Nombre,Grado)</f>
        <v>M</v>
      </c>
      <c r="AD110" s="118" t="str">
        <f>_xlfn.XLOOKUP(base_de_datos[[#This Row],[Profesor]],Nombre,Tipo)</f>
        <v>H</v>
      </c>
      <c r="AE110" s="116">
        <f>IF(IFERROR(VLOOKUP($C110,Planes_de_estudio[],MATCH($AE$2,Carreras,0)+2,0),"")&gt;0,IFERROR(VLOOKUP($C110,Planes_de_estudio[],MATCH($AE$2,Carreras,0)+2,0),""),"")</f>
        <v>3</v>
      </c>
      <c r="AF110" s="116">
        <f>IF(IFERROR(VLOOKUP($C110,Planes_de_estudio[],MATCH($AF$2,Carreras,0)+2,0),"")&gt;0,IFERROR(VLOOKUP($C110,Planes_de_estudio[],MATCH($AF$2,Carreras,0)+2,0),""),"")</f>
        <v>3</v>
      </c>
      <c r="AG110" s="116">
        <f>IF(IFERROR(VLOOKUP($C110,Planes_de_estudio[],MATCH($AG$2,Carreras,0)+2,0),"")&gt;0,IFERROR(VLOOKUP($C110,Planes_de_estudio[],MATCH($AG$2,Carreras,0)+2,0),""),"")</f>
        <v>3</v>
      </c>
      <c r="AH110" s="116">
        <f>IF(IFERROR(VLOOKUP($C110,Planes_de_estudio[],MATCH($AH$2,Carreras,0)+2,0),"")&gt;0,IFERROR(VLOOKUP($C110,Planes_de_estudio[],MATCH($AH$2,Carreras,0)+2,0),""),"")</f>
        <v>3</v>
      </c>
      <c r="AI110" s="116">
        <f>IF(IFERROR(VLOOKUP($C110,Planes_de_estudio[],MATCH($AI$2,Carreras,0)+2,0),"")&gt;0,IFERROR(VLOOKUP($C110,Planes_de_estudio[],MATCH($AI$2,Carreras,0)+2,0),""),"")</f>
        <v>3</v>
      </c>
      <c r="AJ110" s="116">
        <f>IF(IFERROR(VLOOKUP($C110,Planes_de_estudio[],MATCH($AJ$2,Carreras,0)+2,0),"")&gt;0,IFERROR(VLOOKUP($C110,Planes_de_estudio[],MATCH($AJ$2,Carreras,0)+2,0),""),"")</f>
        <v>3</v>
      </c>
      <c r="AK110" s="116">
        <f>IF(IFERROR(VLOOKUP($C110,Planes_de_estudio[],MATCH($AK$2,Carreras,0)+2,0),"")&gt;0,IFERROR(VLOOKUP($C110,Planes_de_estudio[],MATCH($AK$2,Carreras,0)+2,0),""),"")</f>
        <v>3</v>
      </c>
      <c r="AL110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10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15</v>
      </c>
      <c r="AN110" s="117">
        <f>base_de_datos[[#This Row],[Pronóstico]]/25</f>
        <v>0.6</v>
      </c>
      <c r="AO110" s="117" t="str">
        <f>VLOOKUP($C110,Planes_de_estudio[],2)</f>
        <v>HUM</v>
      </c>
      <c r="AP110" s="119" t="str">
        <f ca="1">IF(AND(base_de_datos[[#This Row],[Industrial]]&lt;&gt;"",base_de_datos[[#This Row],[Misma o no]]=1),base_de_datos[[#This Row],[Índice]],"")</f>
        <v/>
      </c>
      <c r="AQ110" s="119" t="str">
        <f ca="1">IF(AND(base_de_datos[[#This Row],[Mecatrónica]]&lt;&gt;"",base_de_datos[[#This Row],[Misma o no]]=1),base_de_datos[[#This Row],[Índice]],"")</f>
        <v/>
      </c>
      <c r="AR110" s="119" t="str">
        <f ca="1">IF(AND(base_de_datos[[#This Row],[Innovación y Diseño]]&lt;&gt;"",base_de_datos[[#This Row],[Misma o no]]=1),base_de_datos[[#This Row],[Índice]],"")</f>
        <v/>
      </c>
      <c r="AS110" s="119" t="str">
        <f ca="1">IF(AND(base_de_datos[[#This Row],[Inteligencia Artificial]]&lt;&gt;"",base_de_datos[[#This Row],[Misma o no]]=1),base_de_datos[[#This Row],[Índice]],"")</f>
        <v/>
      </c>
      <c r="AT110" s="119" t="str">
        <f ca="1">IF(AND(base_de_datos[[#This Row],[Tecnologías Energéticas]]&lt;&gt;"",base_de_datos[[#This Row],[Misma o no]]=1),base_de_datos[[#This Row],[Índice]],"")</f>
        <v/>
      </c>
      <c r="AU110" s="119" t="str">
        <f ca="1">IF(AND(base_de_datos[[#This Row],[Civil y Administración]]&lt;&gt;"",base_de_datos[[#This Row],[Misma o no]]=1),base_de_datos[[#This Row],[Índice]],"")</f>
        <v/>
      </c>
      <c r="AV110" s="119" t="str">
        <f ca="1">IF(AND(base_de_datos[[#This Row],[Bioelectrónica]]&lt;&gt;"",base_de_datos[[#This Row],[Misma o no]]=1),base_de_datos[[#This Row],[Índice]],"")</f>
        <v/>
      </c>
      <c r="AW110" s="120"/>
      <c r="AX110" s="4">
        <v>1</v>
      </c>
    </row>
    <row r="111" spans="2:50" s="6" customFormat="1" ht="12.75" customHeight="1" x14ac:dyDescent="0.3">
      <c r="B111" s="6" t="s">
        <v>312</v>
      </c>
      <c r="C111" s="1" t="s">
        <v>313</v>
      </c>
      <c r="D111" s="4">
        <v>2</v>
      </c>
      <c r="E111" s="113">
        <v>0.70833333333333304</v>
      </c>
      <c r="F111" s="113">
        <v>0.83333333333332504</v>
      </c>
      <c r="G111" s="227" t="s">
        <v>92</v>
      </c>
      <c r="H111" s="4" t="s">
        <v>119</v>
      </c>
      <c r="I111" s="4"/>
      <c r="J111" s="114"/>
      <c r="K111" s="115"/>
      <c r="L111" s="3"/>
      <c r="M111" s="115"/>
      <c r="N111" s="3"/>
      <c r="O111" s="4" t="s">
        <v>314</v>
      </c>
      <c r="P111" s="114" t="s">
        <v>90</v>
      </c>
      <c r="Q111" s="114"/>
      <c r="R111" s="114"/>
      <c r="S111" s="114"/>
      <c r="T111" s="114"/>
      <c r="U111" s="114"/>
      <c r="V111" s="114"/>
      <c r="W111" s="114"/>
      <c r="X111" s="116">
        <f>_xlfn.XLOOKUP(base_de_datos[[#This Row],[Materia]],Materias,Horas)/16</f>
        <v>3</v>
      </c>
      <c r="Y111" s="117">
        <f>ROUND(((base_de_datos[[#This Row],[Hora fin]]-base_de_datos[[#This Row],[Hora inicio]])*24)*(COUNTA(base_de_datos[[#This Row],[Lunes]:[Sábado]])),1)</f>
        <v>3</v>
      </c>
      <c r="Z111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11" s="117">
        <f ca="1">IF(base_de_datos[[#This Row],[No clase]]=OFFSET(base_de_datos[[#This Row],[No clase]],-1,0),0,1)</f>
        <v>1</v>
      </c>
      <c r="AB111" s="117">
        <f ca="1">IF(NOT(OR(base_de_datos[[#This Row],[Horas totales]]=base_de_datos[[#This Row],[HT Plan]],base_de_datos[[#This Row],[Horas totales]]="N/A")),1,0)</f>
        <v>0</v>
      </c>
      <c r="AC111" s="117" t="str">
        <f>_xlfn.XLOOKUP(base_de_datos[[#This Row],[Profesor]],Nombre,Grado)</f>
        <v>D</v>
      </c>
      <c r="AD111" s="118" t="str">
        <f>_xlfn.XLOOKUP(base_de_datos[[#This Row],[Profesor]],Nombre,Tipo)</f>
        <v>H</v>
      </c>
      <c r="AE111" s="117">
        <f>IF(IFERROR(VLOOKUP($C111,Planes_de_estudio[],MATCH($AE$2,Carreras,0)+2,0),"")&gt;0,IFERROR(VLOOKUP($C111,Planes_de_estudio[],MATCH($AE$2,Carreras,0)+2,0),""),"")</f>
        <v>6</v>
      </c>
      <c r="AF111" s="117">
        <f>IF(IFERROR(VLOOKUP($C111,Planes_de_estudio[],MATCH($AF$2,Carreras,0)+2,0),"")&gt;0,IFERROR(VLOOKUP($C111,Planes_de_estudio[],MATCH($AF$2,Carreras,0)+2,0),""),"")</f>
        <v>6</v>
      </c>
      <c r="AG111" s="117">
        <f>IF(IFERROR(VLOOKUP($C111,Planes_de_estudio[],MATCH($AG$2,Carreras,0)+2,0),"")&gt;0,IFERROR(VLOOKUP($C111,Planes_de_estudio[],MATCH($AG$2,Carreras,0)+2,0),""),"")</f>
        <v>6</v>
      </c>
      <c r="AH111" s="117">
        <f>IF(IFERROR(VLOOKUP($C111,Planes_de_estudio[],MATCH($AH$2,Carreras,0)+2,0),"")&gt;0,IFERROR(VLOOKUP($C111,Planes_de_estudio[],MATCH($AH$2,Carreras,0)+2,0),""),"")</f>
        <v>6</v>
      </c>
      <c r="AI111" s="117">
        <f>IF(IFERROR(VLOOKUP($C111,Planes_de_estudio[],MATCH($AI$2,Carreras,0)+2,0),"")&gt;0,IFERROR(VLOOKUP($C111,Planes_de_estudio[],MATCH($AI$2,Carreras,0)+2,0),""),"")</f>
        <v>6</v>
      </c>
      <c r="AJ111" s="117">
        <f>IF(IFERROR(VLOOKUP($C111,Planes_de_estudio[],MATCH($AJ$2,Carreras,0)+2,0),"")&gt;0,IFERROR(VLOOKUP($C111,Planes_de_estudio[],MATCH($AJ$2,Carreras,0)+2,0),""),"")</f>
        <v>6</v>
      </c>
      <c r="AK111" s="117">
        <f>IF(IFERROR(VLOOKUP($C111,Planes_de_estudio[],MATCH($AK$2,Carreras,0)+2,0),"")&gt;0,IFERROR(VLOOKUP($C111,Planes_de_estudio[],MATCH($AK$2,Carreras,0)+2,0),""),"")</f>
        <v>6</v>
      </c>
      <c r="AL111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11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107</v>
      </c>
      <c r="AN111" s="117">
        <f>base_de_datos[[#This Row],[Pronóstico]]/25</f>
        <v>4.28</v>
      </c>
      <c r="AO111" s="117" t="str">
        <f>VLOOKUP($C111,Planes_de_estudio[],2)</f>
        <v>HUM</v>
      </c>
      <c r="AP111" s="119">
        <f ca="1">IF(AND(base_de_datos[[#This Row],[Industrial]]&lt;&gt;"",base_de_datos[[#This Row],[Misma o no]]=1),base_de_datos[[#This Row],[Índice]],"")</f>
        <v>6</v>
      </c>
      <c r="AQ111" s="119">
        <f ca="1">IF(AND(base_de_datos[[#This Row],[Mecatrónica]]&lt;&gt;"",base_de_datos[[#This Row],[Misma o no]]=1),base_de_datos[[#This Row],[Índice]],"")</f>
        <v>6</v>
      </c>
      <c r="AR111" s="119">
        <f ca="1">IF(AND(base_de_datos[[#This Row],[Innovación y Diseño]]&lt;&gt;"",base_de_datos[[#This Row],[Misma o no]]=1),base_de_datos[[#This Row],[Índice]],"")</f>
        <v>6</v>
      </c>
      <c r="AS111" s="119">
        <f ca="1">IF(AND(base_de_datos[[#This Row],[Inteligencia Artificial]]&lt;&gt;"",base_de_datos[[#This Row],[Misma o no]]=1),base_de_datos[[#This Row],[Índice]],"")</f>
        <v>6</v>
      </c>
      <c r="AT111" s="119">
        <f ca="1">IF(AND(base_de_datos[[#This Row],[Tecnologías Energéticas]]&lt;&gt;"",base_de_datos[[#This Row],[Misma o no]]=1),base_de_datos[[#This Row],[Índice]],"")</f>
        <v>6</v>
      </c>
      <c r="AU111" s="119">
        <f ca="1">IF(AND(base_de_datos[[#This Row],[Civil y Administración]]&lt;&gt;"",base_de_datos[[#This Row],[Misma o no]]=1),base_de_datos[[#This Row],[Índice]],"")</f>
        <v>6</v>
      </c>
      <c r="AV111" s="119">
        <f ca="1">IF(AND(base_de_datos[[#This Row],[Bioelectrónica]]&lt;&gt;"",base_de_datos[[#This Row],[Misma o no]]=1),base_de_datos[[#This Row],[Índice]],"")</f>
        <v>6</v>
      </c>
      <c r="AW111" s="120"/>
      <c r="AX111" s="4">
        <v>1</v>
      </c>
    </row>
    <row r="112" spans="2:50" s="6" customFormat="1" ht="13" x14ac:dyDescent="0.3">
      <c r="B112" s="6" t="s">
        <v>315</v>
      </c>
      <c r="C112" s="1" t="s">
        <v>313</v>
      </c>
      <c r="D112" s="4">
        <v>1</v>
      </c>
      <c r="E112" s="113">
        <v>0.70833333333333304</v>
      </c>
      <c r="F112" s="113">
        <v>0.83333333333332504</v>
      </c>
      <c r="G112" s="227" t="s">
        <v>92</v>
      </c>
      <c r="H112" s="4" t="s">
        <v>93</v>
      </c>
      <c r="I112" s="4"/>
      <c r="J112" s="114"/>
      <c r="K112" s="115"/>
      <c r="L112" s="3"/>
      <c r="M112" s="115"/>
      <c r="N112" s="3"/>
      <c r="O112" s="4" t="s">
        <v>316</v>
      </c>
      <c r="P112" s="114" t="s">
        <v>90</v>
      </c>
      <c r="Q112" s="114"/>
      <c r="R112" s="114"/>
      <c r="S112" s="114"/>
      <c r="T112" s="114"/>
      <c r="U112" s="114"/>
      <c r="V112" s="114"/>
      <c r="W112" s="114"/>
      <c r="X112" s="116">
        <f>_xlfn.XLOOKUP(base_de_datos[[#This Row],[Materia]],Materias,Horas)/16</f>
        <v>3</v>
      </c>
      <c r="Y112" s="117">
        <f>ROUND(((base_de_datos[[#This Row],[Hora fin]]-base_de_datos[[#This Row],[Hora inicio]])*24)*(COUNTA(base_de_datos[[#This Row],[Lunes]:[Sábado]])),1)</f>
        <v>3</v>
      </c>
      <c r="Z112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12" s="117">
        <f ca="1">IF(base_de_datos[[#This Row],[No clase]]=OFFSET(base_de_datos[[#This Row],[No clase]],-1,0),0,1)</f>
        <v>1</v>
      </c>
      <c r="AB112" s="117">
        <f ca="1">IF(NOT(OR(base_de_datos[[#This Row],[Horas totales]]=base_de_datos[[#This Row],[HT Plan]],base_de_datos[[#This Row],[Horas totales]]="N/A")),1,0)</f>
        <v>0</v>
      </c>
      <c r="AC112" s="117" t="str">
        <f>_xlfn.XLOOKUP(base_de_datos[[#This Row],[Profesor]],Nombre,Grado)</f>
        <v>SNI</v>
      </c>
      <c r="AD112" s="118" t="str">
        <f>_xlfn.XLOOKUP(base_de_datos[[#This Row],[Profesor]],Nombre,Tipo)</f>
        <v>H</v>
      </c>
      <c r="AE112" s="117">
        <f>IF(IFERROR(VLOOKUP($C112,Planes_de_estudio[],MATCH($AE$2,Carreras,0)+2,0),"")&gt;0,IFERROR(VLOOKUP($C112,Planes_de_estudio[],MATCH($AE$2,Carreras,0)+2,0),""),"")</f>
        <v>6</v>
      </c>
      <c r="AF112" s="117">
        <f>IF(IFERROR(VLOOKUP($C112,Planes_de_estudio[],MATCH($AF$2,Carreras,0)+2,0),"")&gt;0,IFERROR(VLOOKUP($C112,Planes_de_estudio[],MATCH($AF$2,Carreras,0)+2,0),""),"")</f>
        <v>6</v>
      </c>
      <c r="AG112" s="117">
        <f>IF(IFERROR(VLOOKUP($C112,Planes_de_estudio[],MATCH($AG$2,Carreras,0)+2,0),"")&gt;0,IFERROR(VLOOKUP($C112,Planes_de_estudio[],MATCH($AG$2,Carreras,0)+2,0),""),"")</f>
        <v>6</v>
      </c>
      <c r="AH112" s="117">
        <f>IF(IFERROR(VLOOKUP($C112,Planes_de_estudio[],MATCH($AH$2,Carreras,0)+2,0),"")&gt;0,IFERROR(VLOOKUP($C112,Planes_de_estudio[],MATCH($AH$2,Carreras,0)+2,0),""),"")</f>
        <v>6</v>
      </c>
      <c r="AI112" s="117">
        <f>IF(IFERROR(VLOOKUP($C112,Planes_de_estudio[],MATCH($AI$2,Carreras,0)+2,0),"")&gt;0,IFERROR(VLOOKUP($C112,Planes_de_estudio[],MATCH($AI$2,Carreras,0)+2,0),""),"")</f>
        <v>6</v>
      </c>
      <c r="AJ112" s="117">
        <f>IF(IFERROR(VLOOKUP($C112,Planes_de_estudio[],MATCH($AJ$2,Carreras,0)+2,0),"")&gt;0,IFERROR(VLOOKUP($C112,Planes_de_estudio[],MATCH($AJ$2,Carreras,0)+2,0),""),"")</f>
        <v>6</v>
      </c>
      <c r="AK112" s="117">
        <f>IF(IFERROR(VLOOKUP($C112,Planes_de_estudio[],MATCH($AK$2,Carreras,0)+2,0),"")&gt;0,IFERROR(VLOOKUP($C112,Planes_de_estudio[],MATCH($AK$2,Carreras,0)+2,0),""),"")</f>
        <v>6</v>
      </c>
      <c r="AL112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12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107</v>
      </c>
      <c r="AN112" s="117">
        <f>base_de_datos[[#This Row],[Pronóstico]]/25</f>
        <v>4.28</v>
      </c>
      <c r="AO112" s="117" t="str">
        <f>VLOOKUP($C112,Planes_de_estudio[],2)</f>
        <v>HUM</v>
      </c>
      <c r="AP112" s="119">
        <f ca="1">IF(AND(base_de_datos[[#This Row],[Industrial]]&lt;&gt;"",base_de_datos[[#This Row],[Misma o no]]=1),base_de_datos[[#This Row],[Índice]],"")</f>
        <v>6</v>
      </c>
      <c r="AQ112" s="119">
        <f ca="1">IF(AND(base_de_datos[[#This Row],[Mecatrónica]]&lt;&gt;"",base_de_datos[[#This Row],[Misma o no]]=1),base_de_datos[[#This Row],[Índice]],"")</f>
        <v>6</v>
      </c>
      <c r="AR112" s="119">
        <f ca="1">IF(AND(base_de_datos[[#This Row],[Innovación y Diseño]]&lt;&gt;"",base_de_datos[[#This Row],[Misma o no]]=1),base_de_datos[[#This Row],[Índice]],"")</f>
        <v>6</v>
      </c>
      <c r="AS112" s="119">
        <f ca="1">IF(AND(base_de_datos[[#This Row],[Inteligencia Artificial]]&lt;&gt;"",base_de_datos[[#This Row],[Misma o no]]=1),base_de_datos[[#This Row],[Índice]],"")</f>
        <v>6</v>
      </c>
      <c r="AT112" s="119">
        <f ca="1">IF(AND(base_de_datos[[#This Row],[Tecnologías Energéticas]]&lt;&gt;"",base_de_datos[[#This Row],[Misma o no]]=1),base_de_datos[[#This Row],[Índice]],"")</f>
        <v>6</v>
      </c>
      <c r="AU112" s="119">
        <f ca="1">IF(AND(base_de_datos[[#This Row],[Civil y Administración]]&lt;&gt;"",base_de_datos[[#This Row],[Misma o no]]=1),base_de_datos[[#This Row],[Índice]],"")</f>
        <v>6</v>
      </c>
      <c r="AV112" s="119">
        <f ca="1">IF(AND(base_de_datos[[#This Row],[Bioelectrónica]]&lt;&gt;"",base_de_datos[[#This Row],[Misma o no]]=1),base_de_datos[[#This Row],[Índice]],"")</f>
        <v>6</v>
      </c>
      <c r="AW112" s="120"/>
      <c r="AX112" s="4">
        <v>1</v>
      </c>
    </row>
    <row r="113" spans="2:50" s="6" customFormat="1" ht="13" x14ac:dyDescent="0.3">
      <c r="B113" s="9" t="s">
        <v>276</v>
      </c>
      <c r="C113" s="1" t="s">
        <v>311</v>
      </c>
      <c r="D113" s="4">
        <v>1</v>
      </c>
      <c r="E113" s="113">
        <v>0.70833333333333304</v>
      </c>
      <c r="F113" s="113">
        <v>0.77083333333332604</v>
      </c>
      <c r="G113" s="227"/>
      <c r="H113" s="4" t="s">
        <v>238</v>
      </c>
      <c r="I113" s="4"/>
      <c r="J113" s="232">
        <v>9</v>
      </c>
      <c r="K113" s="115"/>
      <c r="L113" s="3"/>
      <c r="M113" s="115"/>
      <c r="N113" s="3"/>
      <c r="O113" s="4">
        <v>1805</v>
      </c>
      <c r="P113" s="114"/>
      <c r="Q113" s="114" t="s">
        <v>90</v>
      </c>
      <c r="R113" s="114"/>
      <c r="S113" s="114"/>
      <c r="T113" s="114"/>
      <c r="U113" s="114"/>
      <c r="V113" s="114"/>
      <c r="W113" s="114"/>
      <c r="X113" s="116">
        <f>_xlfn.XLOOKUP(base_de_datos[[#This Row],[Materia]],Materias,Horas)/16</f>
        <v>3</v>
      </c>
      <c r="Y113" s="116">
        <f>ROUND(((base_de_datos[[#This Row],[Hora fin]]-base_de_datos[[#This Row],[Hora inicio]])*24)*(COUNTA(base_de_datos[[#This Row],[Lunes]:[Sábado]])),1)</f>
        <v>1.5</v>
      </c>
      <c r="Z113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13" s="117">
        <f ca="1">IF(base_de_datos[[#This Row],[No clase]]=OFFSET(base_de_datos[[#This Row],[No clase]],-1,0),0,1)</f>
        <v>1</v>
      </c>
      <c r="AB113" s="117">
        <f ca="1">IF(NOT(OR(base_de_datos[[#This Row],[Horas totales]]=base_de_datos[[#This Row],[HT Plan]],base_de_datos[[#This Row],[Horas totales]]="N/A")),1,0)</f>
        <v>0</v>
      </c>
      <c r="AC113" s="116" t="str">
        <f>_xlfn.XLOOKUP(base_de_datos[[#This Row],[Profesor]],Nombre,Grado)</f>
        <v>M</v>
      </c>
      <c r="AD113" s="118" t="str">
        <f>_xlfn.XLOOKUP(base_de_datos[[#This Row],[Profesor]],Nombre,Tipo)</f>
        <v>TC</v>
      </c>
      <c r="AE113" s="116" t="str">
        <f>IF(IFERROR(VLOOKUP($C113,Planes_de_estudio[],MATCH($AE$2,Carreras,0)+2,0),"")&gt;0,IFERROR(VLOOKUP($C113,Planes_de_estudio[],MATCH($AE$2,Carreras,0)+2,0),""),"")</f>
        <v/>
      </c>
      <c r="AF113" s="116" t="str">
        <f>IF(IFERROR(VLOOKUP($C113,Planes_de_estudio[],MATCH($AF$2,Carreras,0)+2,0),"")&gt;0,IFERROR(VLOOKUP($C113,Planes_de_estudio[],MATCH($AF$2,Carreras,0)+2,0),""),"")</f>
        <v/>
      </c>
      <c r="AG113" s="116" t="str">
        <f>IF(IFERROR(VLOOKUP($C113,Planes_de_estudio[],MATCH($AG$2,Carreras,0)+2,0),"")&gt;0,IFERROR(VLOOKUP($C113,Planes_de_estudio[],MATCH($AG$2,Carreras,0)+2,0),""),"")</f>
        <v/>
      </c>
      <c r="AH113" s="116" t="str">
        <f>IF(IFERROR(VLOOKUP($C113,Planes_de_estudio[],MATCH($AH$2,Carreras,0)+2,0),"")&gt;0,IFERROR(VLOOKUP($C113,Planes_de_estudio[],MATCH($AH$2,Carreras,0)+2,0),""),"")</f>
        <v/>
      </c>
      <c r="AI113" s="116" t="str">
        <f>IF(IFERROR(VLOOKUP($C113,Planes_de_estudio[],MATCH($AI$2,Carreras,0)+2,0),"")&gt;0,IFERROR(VLOOKUP($C113,Planes_de_estudio[],MATCH($AI$2,Carreras,0)+2,0),""),"")</f>
        <v/>
      </c>
      <c r="AJ113" s="116">
        <f>IF(IFERROR(VLOOKUP($C113,Planes_de_estudio[],MATCH($AJ$2,Carreras,0)+2,0),"")&gt;0,IFERROR(VLOOKUP($C113,Planes_de_estudio[],MATCH($AJ$2,Carreras,0)+2,0),""),"")</f>
        <v>10</v>
      </c>
      <c r="AK113" s="116" t="str">
        <f>IF(IFERROR(VLOOKUP($C113,Planes_de_estudio[],MATCH($AK$2,Carreras,0)+2,0),"")&gt;0,IFERROR(VLOOKUP($C113,Planes_de_estudio[],MATCH($AK$2,Carreras,0)+2,0),""),"")</f>
        <v/>
      </c>
      <c r="AL113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13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113" s="117">
        <f>base_de_datos[[#This Row],[Pronóstico]]/25</f>
        <v>0</v>
      </c>
      <c r="AO113" s="117" t="str">
        <f>VLOOKUP($C113,Planes_de_estudio[],2)</f>
        <v>EMP</v>
      </c>
      <c r="AP113" s="119" t="str">
        <f ca="1">IF(AND(base_de_datos[[#This Row],[Industrial]]&lt;&gt;"",base_de_datos[[#This Row],[Misma o no]]=1),base_de_datos[[#This Row],[Índice]],"")</f>
        <v/>
      </c>
      <c r="AQ113" s="119" t="str">
        <f ca="1">IF(AND(base_de_datos[[#This Row],[Mecatrónica]]&lt;&gt;"",base_de_datos[[#This Row],[Misma o no]]=1),base_de_datos[[#This Row],[Índice]],"")</f>
        <v/>
      </c>
      <c r="AR113" s="119" t="str">
        <f ca="1">IF(AND(base_de_datos[[#This Row],[Innovación y Diseño]]&lt;&gt;"",base_de_datos[[#This Row],[Misma o no]]=1),base_de_datos[[#This Row],[Índice]],"")</f>
        <v/>
      </c>
      <c r="AS113" s="119" t="str">
        <f ca="1">IF(AND(base_de_datos[[#This Row],[Inteligencia Artificial]]&lt;&gt;"",base_de_datos[[#This Row],[Misma o no]]=1),base_de_datos[[#This Row],[Índice]],"")</f>
        <v/>
      </c>
      <c r="AT113" s="119" t="str">
        <f ca="1">IF(AND(base_de_datos[[#This Row],[Tecnologías Energéticas]]&lt;&gt;"",base_de_datos[[#This Row],[Misma o no]]=1),base_de_datos[[#This Row],[Índice]],"")</f>
        <v/>
      </c>
      <c r="AU113" s="119">
        <f ca="1">IF(AND(base_de_datos[[#This Row],[Civil y Administración]]&lt;&gt;"",base_de_datos[[#This Row],[Misma o no]]=1),base_de_datos[[#This Row],[Índice]],"")</f>
        <v>4</v>
      </c>
      <c r="AV113" s="119" t="str">
        <f ca="1">IF(AND(base_de_datos[[#This Row],[Bioelectrónica]]&lt;&gt;"",base_de_datos[[#This Row],[Misma o no]]=1),base_de_datos[[#This Row],[Índice]],"")</f>
        <v/>
      </c>
      <c r="AW113" s="120"/>
      <c r="AX113" s="4">
        <v>1</v>
      </c>
    </row>
    <row r="114" spans="2:50" s="6" customFormat="1" ht="13" x14ac:dyDescent="0.3">
      <c r="B114" s="9" t="s">
        <v>276</v>
      </c>
      <c r="C114" s="1" t="s">
        <v>311</v>
      </c>
      <c r="D114" s="4">
        <v>1</v>
      </c>
      <c r="E114" s="113">
        <v>0.70833333333333304</v>
      </c>
      <c r="F114" s="113">
        <v>0.77083333333332604</v>
      </c>
      <c r="G114" s="226" t="s">
        <v>92</v>
      </c>
      <c r="H114" s="4" t="s">
        <v>248</v>
      </c>
      <c r="I114" s="4"/>
      <c r="J114" s="232">
        <v>9</v>
      </c>
      <c r="K114" s="115"/>
      <c r="L114" s="3"/>
      <c r="M114" s="115"/>
      <c r="N114" s="3"/>
      <c r="O114" s="4">
        <v>1805</v>
      </c>
      <c r="P114" s="114"/>
      <c r="Q114" s="114"/>
      <c r="R114" s="114"/>
      <c r="S114" s="114" t="s">
        <v>90</v>
      </c>
      <c r="T114" s="114"/>
      <c r="U114" s="114"/>
      <c r="V114" s="114"/>
      <c r="W114" s="114"/>
      <c r="X114" s="116">
        <f>_xlfn.XLOOKUP(base_de_datos[[#This Row],[Materia]],Materias,Horas)/16</f>
        <v>3</v>
      </c>
      <c r="Y114" s="116">
        <f>ROUND(((base_de_datos[[#This Row],[Hora fin]]-base_de_datos[[#This Row],[Hora inicio]])*24)*(COUNTA(base_de_datos[[#This Row],[Lunes]:[Sábado]])),1)</f>
        <v>1.5</v>
      </c>
      <c r="Z114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14" s="117">
        <f ca="1">IF(base_de_datos[[#This Row],[No clase]]=OFFSET(base_de_datos[[#This Row],[No clase]],-1,0),0,1)</f>
        <v>0</v>
      </c>
      <c r="AB114" s="117">
        <f ca="1">IF(NOT(OR(base_de_datos[[#This Row],[Horas totales]]=base_de_datos[[#This Row],[HT Plan]],base_de_datos[[#This Row],[Horas totales]]="N/A")),1,0)</f>
        <v>0</v>
      </c>
      <c r="AC114" s="116" t="str">
        <f>_xlfn.XLOOKUP(base_de_datos[[#This Row],[Profesor]],Nombre,Grado)</f>
        <v>M</v>
      </c>
      <c r="AD114" s="118" t="str">
        <f>_xlfn.XLOOKUP(base_de_datos[[#This Row],[Profesor]],Nombre,Tipo)</f>
        <v>TC</v>
      </c>
      <c r="AE114" s="116" t="str">
        <f>IF(IFERROR(VLOOKUP($C114,Planes_de_estudio[],MATCH($AE$2,Carreras,0)+2,0),"")&gt;0,IFERROR(VLOOKUP($C114,Planes_de_estudio[],MATCH($AE$2,Carreras,0)+2,0),""),"")</f>
        <v/>
      </c>
      <c r="AF114" s="116" t="str">
        <f>IF(IFERROR(VLOOKUP($C114,Planes_de_estudio[],MATCH($AF$2,Carreras,0)+2,0),"")&gt;0,IFERROR(VLOOKUP($C114,Planes_de_estudio[],MATCH($AF$2,Carreras,0)+2,0),""),"")</f>
        <v/>
      </c>
      <c r="AG114" s="116" t="str">
        <f>IF(IFERROR(VLOOKUP($C114,Planes_de_estudio[],MATCH($AG$2,Carreras,0)+2,0),"")&gt;0,IFERROR(VLOOKUP($C114,Planes_de_estudio[],MATCH($AG$2,Carreras,0)+2,0),""),"")</f>
        <v/>
      </c>
      <c r="AH114" s="116" t="str">
        <f>IF(IFERROR(VLOOKUP($C114,Planes_de_estudio[],MATCH($AH$2,Carreras,0)+2,0),"")&gt;0,IFERROR(VLOOKUP($C114,Planes_de_estudio[],MATCH($AH$2,Carreras,0)+2,0),""),"")</f>
        <v/>
      </c>
      <c r="AI114" s="116" t="str">
        <f>IF(IFERROR(VLOOKUP($C114,Planes_de_estudio[],MATCH($AI$2,Carreras,0)+2,0),"")&gt;0,IFERROR(VLOOKUP($C114,Planes_de_estudio[],MATCH($AI$2,Carreras,0)+2,0),""),"")</f>
        <v/>
      </c>
      <c r="AJ114" s="116">
        <f>IF(IFERROR(VLOOKUP($C114,Planes_de_estudio[],MATCH($AJ$2,Carreras,0)+2,0),"")&gt;0,IFERROR(VLOOKUP($C114,Planes_de_estudio[],MATCH($AJ$2,Carreras,0)+2,0),""),"")</f>
        <v>10</v>
      </c>
      <c r="AK114" s="116" t="str">
        <f>IF(IFERROR(VLOOKUP($C114,Planes_de_estudio[],MATCH($AK$2,Carreras,0)+2,0),"")&gt;0,IFERROR(VLOOKUP($C114,Planes_de_estudio[],MATCH($AK$2,Carreras,0)+2,0),""),"")</f>
        <v/>
      </c>
      <c r="AL114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14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114" s="117">
        <f>base_de_datos[[#This Row],[Pronóstico]]/25</f>
        <v>0</v>
      </c>
      <c r="AO114" s="117" t="str">
        <f>VLOOKUP($C114,Planes_de_estudio[],2)</f>
        <v>EMP</v>
      </c>
      <c r="AP114" s="119" t="str">
        <f ca="1">IF(AND(base_de_datos[[#This Row],[Industrial]]&lt;&gt;"",base_de_datos[[#This Row],[Misma o no]]=1),base_de_datos[[#This Row],[Índice]],"")</f>
        <v/>
      </c>
      <c r="AQ114" s="119" t="str">
        <f ca="1">IF(AND(base_de_datos[[#This Row],[Mecatrónica]]&lt;&gt;"",base_de_datos[[#This Row],[Misma o no]]=1),base_de_datos[[#This Row],[Índice]],"")</f>
        <v/>
      </c>
      <c r="AR114" s="119" t="str">
        <f ca="1">IF(AND(base_de_datos[[#This Row],[Innovación y Diseño]]&lt;&gt;"",base_de_datos[[#This Row],[Misma o no]]=1),base_de_datos[[#This Row],[Índice]],"")</f>
        <v/>
      </c>
      <c r="AS114" s="119" t="str">
        <f ca="1">IF(AND(base_de_datos[[#This Row],[Inteligencia Artificial]]&lt;&gt;"",base_de_datos[[#This Row],[Misma o no]]=1),base_de_datos[[#This Row],[Índice]],"")</f>
        <v/>
      </c>
      <c r="AT114" s="119" t="str">
        <f ca="1">IF(AND(base_de_datos[[#This Row],[Tecnologías Energéticas]]&lt;&gt;"",base_de_datos[[#This Row],[Misma o no]]=1),base_de_datos[[#This Row],[Índice]],"")</f>
        <v/>
      </c>
      <c r="AU114" s="119" t="str">
        <f ca="1">IF(AND(base_de_datos[[#This Row],[Civil y Administración]]&lt;&gt;"",base_de_datos[[#This Row],[Misma o no]]=1),base_de_datos[[#This Row],[Índice]],"")</f>
        <v/>
      </c>
      <c r="AV114" s="119" t="str">
        <f ca="1">IF(AND(base_de_datos[[#This Row],[Bioelectrónica]]&lt;&gt;"",base_de_datos[[#This Row],[Misma o no]]=1),base_de_datos[[#This Row],[Índice]],"")</f>
        <v/>
      </c>
      <c r="AW114" s="120"/>
      <c r="AX114" s="4">
        <v>1</v>
      </c>
    </row>
    <row r="115" spans="2:50" s="6" customFormat="1" ht="13" x14ac:dyDescent="0.3">
      <c r="B115" s="6" t="s">
        <v>317</v>
      </c>
      <c r="C115" s="1" t="s">
        <v>313</v>
      </c>
      <c r="D115" s="4">
        <v>3</v>
      </c>
      <c r="E115" s="113">
        <v>0.70833333333333304</v>
      </c>
      <c r="F115" s="113">
        <v>0.83333333333332504</v>
      </c>
      <c r="G115" s="227" t="s">
        <v>92</v>
      </c>
      <c r="H115" s="4" t="s">
        <v>223</v>
      </c>
      <c r="I115" s="4"/>
      <c r="J115" s="114"/>
      <c r="K115" s="115"/>
      <c r="L115" s="3"/>
      <c r="M115" s="115"/>
      <c r="N115" s="3"/>
      <c r="O115" s="4" t="s">
        <v>318</v>
      </c>
      <c r="P115" s="114" t="s">
        <v>90</v>
      </c>
      <c r="Q115" s="114"/>
      <c r="R115" s="114"/>
      <c r="S115" s="114"/>
      <c r="T115" s="114"/>
      <c r="U115" s="114"/>
      <c r="V115" s="114"/>
      <c r="W115" s="114"/>
      <c r="X115" s="116">
        <f>_xlfn.XLOOKUP(base_de_datos[[#This Row],[Materia]],Materias,Horas)/16</f>
        <v>3</v>
      </c>
      <c r="Y115" s="117">
        <f>ROUND(((base_de_datos[[#This Row],[Hora fin]]-base_de_datos[[#This Row],[Hora inicio]])*24)*(COUNTA(base_de_datos[[#This Row],[Lunes]:[Sábado]])),1)</f>
        <v>3</v>
      </c>
      <c r="Z115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15" s="117">
        <f ca="1">IF(base_de_datos[[#This Row],[No clase]]=OFFSET(base_de_datos[[#This Row],[No clase]],-1,0),0,1)</f>
        <v>1</v>
      </c>
      <c r="AB115" s="117">
        <f ca="1">IF(NOT(OR(base_de_datos[[#This Row],[Horas totales]]=base_de_datos[[#This Row],[HT Plan]],base_de_datos[[#This Row],[Horas totales]]="N/A")),1,0)</f>
        <v>0</v>
      </c>
      <c r="AC115" s="230" t="e">
        <f>_xlfn.XLOOKUP(base_de_datos[[#This Row],[Profesor]],Nombre,Grado)</f>
        <v>#N/A</v>
      </c>
      <c r="AD115" s="118" t="e">
        <f>_xlfn.XLOOKUP(base_de_datos[[#This Row],[Profesor]],Nombre,Tipo)</f>
        <v>#N/A</v>
      </c>
      <c r="AE115" s="117">
        <f>IF(IFERROR(VLOOKUP($C115,Planes_de_estudio[],MATCH($AE$2,Carreras,0)+2,0),"")&gt;0,IFERROR(VLOOKUP($C115,Planes_de_estudio[],MATCH($AE$2,Carreras,0)+2,0),""),"")</f>
        <v>6</v>
      </c>
      <c r="AF115" s="117">
        <f>IF(IFERROR(VLOOKUP($C115,Planes_de_estudio[],MATCH($AF$2,Carreras,0)+2,0),"")&gt;0,IFERROR(VLOOKUP($C115,Planes_de_estudio[],MATCH($AF$2,Carreras,0)+2,0),""),"")</f>
        <v>6</v>
      </c>
      <c r="AG115" s="117">
        <f>IF(IFERROR(VLOOKUP($C115,Planes_de_estudio[],MATCH($AG$2,Carreras,0)+2,0),"")&gt;0,IFERROR(VLOOKUP($C115,Planes_de_estudio[],MATCH($AG$2,Carreras,0)+2,0),""),"")</f>
        <v>6</v>
      </c>
      <c r="AH115" s="117">
        <f>IF(IFERROR(VLOOKUP($C115,Planes_de_estudio[],MATCH($AH$2,Carreras,0)+2,0),"")&gt;0,IFERROR(VLOOKUP($C115,Planes_de_estudio[],MATCH($AH$2,Carreras,0)+2,0),""),"")</f>
        <v>6</v>
      </c>
      <c r="AI115" s="117">
        <f>IF(IFERROR(VLOOKUP($C115,Planes_de_estudio[],MATCH($AI$2,Carreras,0)+2,0),"")&gt;0,IFERROR(VLOOKUP($C115,Planes_de_estudio[],MATCH($AI$2,Carreras,0)+2,0),""),"")</f>
        <v>6</v>
      </c>
      <c r="AJ115" s="117">
        <f>IF(IFERROR(VLOOKUP($C115,Planes_de_estudio[],MATCH($AJ$2,Carreras,0)+2,0),"")&gt;0,IFERROR(VLOOKUP($C115,Planes_de_estudio[],MATCH($AJ$2,Carreras,0)+2,0),""),"")</f>
        <v>6</v>
      </c>
      <c r="AK115" s="117">
        <f>IF(IFERROR(VLOOKUP($C115,Planes_de_estudio[],MATCH($AK$2,Carreras,0)+2,0),"")&gt;0,IFERROR(VLOOKUP($C115,Planes_de_estudio[],MATCH($AK$2,Carreras,0)+2,0),""),"")</f>
        <v>6</v>
      </c>
      <c r="AL115" s="117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#N/A</v>
      </c>
      <c r="AM115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107</v>
      </c>
      <c r="AN115" s="117">
        <f>base_de_datos[[#This Row],[Pronóstico]]/25</f>
        <v>4.28</v>
      </c>
      <c r="AO115" s="117" t="str">
        <f>VLOOKUP($C115,Planes_de_estudio[],2)</f>
        <v>HUM</v>
      </c>
      <c r="AP115" s="119" t="e">
        <f ca="1">IF(AND(base_de_datos[[#This Row],[Industrial]]&lt;&gt;"",base_de_datos[[#This Row],[Misma o no]]=1),base_de_datos[[#This Row],[Índice]],"")</f>
        <v>#N/A</v>
      </c>
      <c r="AQ115" s="119" t="e">
        <f ca="1">IF(AND(base_de_datos[[#This Row],[Mecatrónica]]&lt;&gt;"",base_de_datos[[#This Row],[Misma o no]]=1),base_de_datos[[#This Row],[Índice]],"")</f>
        <v>#N/A</v>
      </c>
      <c r="AR115" s="119" t="e">
        <f ca="1">IF(AND(base_de_datos[[#This Row],[Innovación y Diseño]]&lt;&gt;"",base_de_datos[[#This Row],[Misma o no]]=1),base_de_datos[[#This Row],[Índice]],"")</f>
        <v>#N/A</v>
      </c>
      <c r="AS115" s="119" t="e">
        <f ca="1">IF(AND(base_de_datos[[#This Row],[Inteligencia Artificial]]&lt;&gt;"",base_de_datos[[#This Row],[Misma o no]]=1),base_de_datos[[#This Row],[Índice]],"")</f>
        <v>#N/A</v>
      </c>
      <c r="AT115" s="119" t="e">
        <f ca="1">IF(AND(base_de_datos[[#This Row],[Tecnologías Energéticas]]&lt;&gt;"",base_de_datos[[#This Row],[Misma o no]]=1),base_de_datos[[#This Row],[Índice]],"")</f>
        <v>#N/A</v>
      </c>
      <c r="AU115" s="119" t="e">
        <f ca="1">IF(AND(base_de_datos[[#This Row],[Civil y Administración]]&lt;&gt;"",base_de_datos[[#This Row],[Misma o no]]=1),base_de_datos[[#This Row],[Índice]],"")</f>
        <v>#N/A</v>
      </c>
      <c r="AV115" s="119" t="e">
        <f ca="1">IF(AND(base_de_datos[[#This Row],[Bioelectrónica]]&lt;&gt;"",base_de_datos[[#This Row],[Misma o no]]=1),base_de_datos[[#This Row],[Índice]],"")</f>
        <v>#N/A</v>
      </c>
      <c r="AW115" s="120"/>
      <c r="AX115" s="4">
        <v>1</v>
      </c>
    </row>
    <row r="116" spans="2:50" s="6" customFormat="1" ht="13.5" customHeight="1" x14ac:dyDescent="0.3">
      <c r="B116" s="6" t="s">
        <v>319</v>
      </c>
      <c r="C116" s="1" t="s">
        <v>320</v>
      </c>
      <c r="D116" s="4">
        <v>1</v>
      </c>
      <c r="E116" s="113">
        <v>0.5</v>
      </c>
      <c r="F116" s="113">
        <v>0.58333333333332904</v>
      </c>
      <c r="G116" s="226" t="s">
        <v>87</v>
      </c>
      <c r="H116" s="4" t="s">
        <v>18</v>
      </c>
      <c r="I116" s="4"/>
      <c r="J116" s="114">
        <v>11</v>
      </c>
      <c r="K116" s="128"/>
      <c r="L116" s="3"/>
      <c r="M116" s="128"/>
      <c r="N116" s="3"/>
      <c r="O116" s="2" t="s">
        <v>321</v>
      </c>
      <c r="P116" s="114" t="s">
        <v>90</v>
      </c>
      <c r="Q116" s="114"/>
      <c r="R116" s="114" t="s">
        <v>90</v>
      </c>
      <c r="S116" s="114"/>
      <c r="T116" s="114"/>
      <c r="U116" s="114"/>
      <c r="V116" s="114"/>
      <c r="W116" s="114"/>
      <c r="X116" s="116">
        <f>_xlfn.XLOOKUP(base_de_datos[[#This Row],[Materia]],Materias,Horas)/16</f>
        <v>4</v>
      </c>
      <c r="Y116" s="116">
        <f>ROUND(((base_de_datos[[#This Row],[Hora fin]]-base_de_datos[[#This Row],[Hora inicio]])*24)*(COUNTA(base_de_datos[[#This Row],[Lunes]:[Sábado]])),1)</f>
        <v>4</v>
      </c>
      <c r="Z116" s="116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16" s="116">
        <f ca="1">IF(base_de_datos[[#This Row],[No clase]]=OFFSET(base_de_datos[[#This Row],[No clase]],-1,0),0,1)</f>
        <v>1</v>
      </c>
      <c r="AB116" s="116">
        <f ca="1">IF(NOT(OR(base_de_datos[[#This Row],[Horas totales]]=base_de_datos[[#This Row],[HT Plan]],base_de_datos[[#This Row],[Horas totales]]="N/A")),1,0)</f>
        <v>0</v>
      </c>
      <c r="AC116" s="116" t="str">
        <f>_xlfn.XLOOKUP(base_de_datos[[#This Row],[Profesor]],Nombre,Grado)</f>
        <v>M</v>
      </c>
      <c r="AD116" s="118" t="str">
        <f>_xlfn.XLOOKUP(base_de_datos[[#This Row],[Profesor]],Nombre,Tipo)</f>
        <v>TC</v>
      </c>
      <c r="AE116" s="116">
        <f>IF(IFERROR(VLOOKUP($C116,Planes_de_estudio[],MATCH($AE$2,Carreras,0)+2,0),"")&gt;0,IFERROR(VLOOKUP($C116,Planes_de_estudio[],MATCH($AE$2,Carreras,0)+2,0),""),"")</f>
        <v>1</v>
      </c>
      <c r="AF116" s="116">
        <f>IF(IFERROR(VLOOKUP($C116,Planes_de_estudio[],MATCH($AF$2,Carreras,0)+2,0),"")&gt;0,IFERROR(VLOOKUP($C116,Planes_de_estudio[],MATCH($AF$2,Carreras,0)+2,0),""),"")</f>
        <v>1</v>
      </c>
      <c r="AG116" s="116">
        <f>IF(IFERROR(VLOOKUP($C116,Planes_de_estudio[],MATCH($AG$2,Carreras,0)+2,0),"")&gt;0,IFERROR(VLOOKUP($C116,Planes_de_estudio[],MATCH($AG$2,Carreras,0)+2,0),""),"")</f>
        <v>1</v>
      </c>
      <c r="AH116" s="116">
        <f>IF(IFERROR(VLOOKUP($C116,Planes_de_estudio[],MATCH($AH$2,Carreras,0)+2,0),"")&gt;0,IFERROR(VLOOKUP($C116,Planes_de_estudio[],MATCH($AH$2,Carreras,0)+2,0),""),"")</f>
        <v>1</v>
      </c>
      <c r="AI116" s="116">
        <f>IF(IFERROR(VLOOKUP($C116,Planes_de_estudio[],MATCH($AI$2,Carreras,0)+2,0),"")&gt;0,IFERROR(VLOOKUP($C116,Planes_de_estudio[],MATCH($AI$2,Carreras,0)+2,0),""),"")</f>
        <v>2</v>
      </c>
      <c r="AJ116" s="116">
        <f>IF(IFERROR(VLOOKUP($C116,Planes_de_estudio[],MATCH($AJ$2,Carreras,0)+2,0),"")&gt;0,IFERROR(VLOOKUP($C116,Planes_de_estudio[],MATCH($AJ$2,Carreras,0)+2,0),""),"")</f>
        <v>1</v>
      </c>
      <c r="AK116" s="116">
        <f>IF(IFERROR(VLOOKUP($C116,Planes_de_estudio[],MATCH($AK$2,Carreras,0)+2,0),"")&gt;0,IFERROR(VLOOKUP($C116,Planes_de_estudio[],MATCH($AK$2,Carreras,0)+2,0),""),"")</f>
        <v>1</v>
      </c>
      <c r="AL116" s="116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16" s="116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21</v>
      </c>
      <c r="AN116" s="116">
        <f>base_de_datos[[#This Row],[Pronóstico]]/25</f>
        <v>0.84</v>
      </c>
      <c r="AO116" s="116" t="str">
        <f>VLOOKUP($C116,Planes_de_estudio[],2)</f>
        <v>MEC</v>
      </c>
      <c r="AP116" s="129">
        <f ca="1">IF(AND(base_de_datos[[#This Row],[Industrial]]&lt;&gt;"",base_de_datos[[#This Row],[Misma o no]]=1),base_de_datos[[#This Row],[Índice]],"")</f>
        <v>4</v>
      </c>
      <c r="AQ116" s="129">
        <f ca="1">IF(AND(base_de_datos[[#This Row],[Mecatrónica]]&lt;&gt;"",base_de_datos[[#This Row],[Misma o no]]=1),base_de_datos[[#This Row],[Índice]],"")</f>
        <v>4</v>
      </c>
      <c r="AR116" s="129">
        <f ca="1">IF(AND(base_de_datos[[#This Row],[Innovación y Diseño]]&lt;&gt;"",base_de_datos[[#This Row],[Misma o no]]=1),base_de_datos[[#This Row],[Índice]],"")</f>
        <v>4</v>
      </c>
      <c r="AS116" s="129">
        <f ca="1">IF(AND(base_de_datos[[#This Row],[Inteligencia Artificial]]&lt;&gt;"",base_de_datos[[#This Row],[Misma o no]]=1),base_de_datos[[#This Row],[Índice]],"")</f>
        <v>4</v>
      </c>
      <c r="AT116" s="129">
        <f ca="1">IF(AND(base_de_datos[[#This Row],[Tecnologías Energéticas]]&lt;&gt;"",base_de_datos[[#This Row],[Misma o no]]=1),base_de_datos[[#This Row],[Índice]],"")</f>
        <v>4</v>
      </c>
      <c r="AU116" s="129">
        <f ca="1">IF(AND(base_de_datos[[#This Row],[Civil y Administración]]&lt;&gt;"",base_de_datos[[#This Row],[Misma o no]]=1),base_de_datos[[#This Row],[Índice]],"")</f>
        <v>4</v>
      </c>
      <c r="AV116" s="129">
        <f ca="1">IF(AND(base_de_datos[[#This Row],[Bioelectrónica]]&lt;&gt;"",base_de_datos[[#This Row],[Misma o no]]=1),base_de_datos[[#This Row],[Índice]],"")</f>
        <v>4</v>
      </c>
      <c r="AW116" s="130"/>
      <c r="AX116" s="4" t="s">
        <v>1814</v>
      </c>
    </row>
    <row r="117" spans="2:50" s="6" customFormat="1" ht="13" x14ac:dyDescent="0.3">
      <c r="B117" s="6" t="s">
        <v>325</v>
      </c>
      <c r="C117" s="1" t="s">
        <v>326</v>
      </c>
      <c r="D117" s="4">
        <v>2</v>
      </c>
      <c r="E117" s="113">
        <v>0.79166666666666696</v>
      </c>
      <c r="F117" s="113">
        <v>0.91666666666665697</v>
      </c>
      <c r="G117" s="4" t="s">
        <v>87</v>
      </c>
      <c r="H117" s="4" t="s">
        <v>113</v>
      </c>
      <c r="I117" s="4"/>
      <c r="J117" s="126">
        <v>17</v>
      </c>
      <c r="K117" s="142"/>
      <c r="L117" s="3"/>
      <c r="M117" s="3"/>
      <c r="N117" s="3"/>
      <c r="O117" s="4" t="s">
        <v>328</v>
      </c>
      <c r="P117" s="114"/>
      <c r="Q117" s="114"/>
      <c r="R117" s="114"/>
      <c r="S117" s="114" t="s">
        <v>90</v>
      </c>
      <c r="T117" s="114"/>
      <c r="U117" s="114"/>
      <c r="V117" s="114"/>
      <c r="W117" s="114"/>
      <c r="X117" s="143">
        <f>_xlfn.XLOOKUP(base_de_datos[[#This Row],[Materia]],Materias,Horas)/16</f>
        <v>3</v>
      </c>
      <c r="Y117" s="143">
        <f>ROUND(((base_de_datos[[#This Row],[Hora fin]]-base_de_datos[[#This Row],[Hora inicio]])*24)*(COUNTA(base_de_datos[[#This Row],[Lunes]:[Sábado]])),1)</f>
        <v>3</v>
      </c>
      <c r="Z117" s="14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17" s="143">
        <f ca="1">IF(base_de_datos[[#This Row],[No clase]]=OFFSET(base_de_datos[[#This Row],[No clase]],-1,0),0,1)</f>
        <v>1</v>
      </c>
      <c r="AB117" s="143">
        <f ca="1">IF(NOT(OR(base_de_datos[[#This Row],[Horas totales]]=base_de_datos[[#This Row],[HT Plan]],base_de_datos[[#This Row],[Horas totales]]="N/A")),1,0)</f>
        <v>0</v>
      </c>
      <c r="AC117" s="143" t="str">
        <f>_xlfn.XLOOKUP(base_de_datos[[#This Row],[Profesor]],Nombre,Grado)</f>
        <v>M</v>
      </c>
      <c r="AD117" s="144" t="str">
        <f>_xlfn.XLOOKUP(base_de_datos[[#This Row],[Profesor]],Nombre,Tipo)</f>
        <v>A</v>
      </c>
      <c r="AE117" s="143">
        <f>IF(IFERROR(VLOOKUP($C117,Planes_de_estudio[],MATCH($AE$2,Carreras,0)+2,0),"")&gt;0,IFERROR(VLOOKUP($C117,Planes_de_estudio[],MATCH($AE$2,Carreras,0)+2,0),""),"")</f>
        <v>6</v>
      </c>
      <c r="AF117" s="143">
        <f>IF(IFERROR(VLOOKUP($C117,Planes_de_estudio[],MATCH($AF$2,Carreras,0)+2,0),"")&gt;0,IFERROR(VLOOKUP($C117,Planes_de_estudio[],MATCH($AF$2,Carreras,0)+2,0),""),"")</f>
        <v>8</v>
      </c>
      <c r="AG117" s="143">
        <f>IF(IFERROR(VLOOKUP($C117,Planes_de_estudio[],MATCH($AG$2,Carreras,0)+2,0),"")&gt;0,IFERROR(VLOOKUP($C117,Planes_de_estudio[],MATCH($AG$2,Carreras,0)+2,0),""),"")</f>
        <v>8</v>
      </c>
      <c r="AH117" s="143" t="str">
        <f>IF(IFERROR(VLOOKUP($C117,Planes_de_estudio[],MATCH($AH$2,Carreras,0)+2,0),"")&gt;0,IFERROR(VLOOKUP($C117,Planes_de_estudio[],MATCH($AH$2,Carreras,0)+2,0),""),"")</f>
        <v/>
      </c>
      <c r="AI117" s="143" t="str">
        <f>IF(IFERROR(VLOOKUP($C117,Planes_de_estudio[],MATCH($AI$2,Carreras,0)+2,0),"")&gt;0,IFERROR(VLOOKUP($C117,Planes_de_estudio[],MATCH($AI$2,Carreras,0)+2,0),""),"")</f>
        <v/>
      </c>
      <c r="AJ117" s="143" t="str">
        <f>IF(IFERROR(VLOOKUP($C117,Planes_de_estudio[],MATCH($AJ$2,Carreras,0)+2,0),"")&gt;0,IFERROR(VLOOKUP($C117,Planes_de_estudio[],MATCH($AJ$2,Carreras,0)+2,0),""),"")</f>
        <v/>
      </c>
      <c r="AK117" s="143" t="str">
        <f>IF(IFERROR(VLOOKUP($C117,Planes_de_estudio[],MATCH($AK$2,Carreras,0)+2,0),"")&gt;0,IFERROR(VLOOKUP($C117,Planes_de_estudio[],MATCH($AK$2,Carreras,0)+2,0),""),"")</f>
        <v/>
      </c>
      <c r="AL117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17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60</v>
      </c>
      <c r="AN117" s="143">
        <f>base_de_datos[[#This Row],[Pronóstico]]/25</f>
        <v>2.4</v>
      </c>
      <c r="AO117" s="143" t="str">
        <f>VLOOKUP($C117,Planes_de_estudio[],2)</f>
        <v>DOP</v>
      </c>
      <c r="AP117" s="112">
        <f ca="1">IF(AND(base_de_datos[[#This Row],[Industrial]]&lt;&gt;"",base_de_datos[[#This Row],[Misma o no]]=1),base_de_datos[[#This Row],[Índice]],"")</f>
        <v>4</v>
      </c>
      <c r="AQ117" s="112">
        <f ca="1">IF(AND(base_de_datos[[#This Row],[Mecatrónica]]&lt;&gt;"",base_de_datos[[#This Row],[Misma o no]]=1),base_de_datos[[#This Row],[Índice]],"")</f>
        <v>4</v>
      </c>
      <c r="AR117" s="112">
        <f ca="1">IF(AND(base_de_datos[[#This Row],[Innovación y Diseño]]&lt;&gt;"",base_de_datos[[#This Row],[Misma o no]]=1),base_de_datos[[#This Row],[Índice]],"")</f>
        <v>4</v>
      </c>
      <c r="AS117" s="112" t="str">
        <f ca="1">IF(AND(base_de_datos[[#This Row],[Inteligencia Artificial]]&lt;&gt;"",base_de_datos[[#This Row],[Misma o no]]=1),base_de_datos[[#This Row],[Índice]],"")</f>
        <v/>
      </c>
      <c r="AT117" s="112" t="str">
        <f ca="1">IF(AND(base_de_datos[[#This Row],[Tecnologías Energéticas]]&lt;&gt;"",base_de_datos[[#This Row],[Misma o no]]=1),base_de_datos[[#This Row],[Índice]],"")</f>
        <v/>
      </c>
      <c r="AU117" s="112" t="str">
        <f ca="1">IF(AND(base_de_datos[[#This Row],[Civil y Administración]]&lt;&gt;"",base_de_datos[[#This Row],[Misma o no]]=1),base_de_datos[[#This Row],[Índice]],"")</f>
        <v/>
      </c>
      <c r="AV117" s="112" t="str">
        <f ca="1">IF(AND(base_de_datos[[#This Row],[Bioelectrónica]]&lt;&gt;"",base_de_datos[[#This Row],[Misma o no]]=1),base_de_datos[[#This Row],[Índice]],"")</f>
        <v/>
      </c>
      <c r="AX117" s="4">
        <v>1</v>
      </c>
    </row>
    <row r="118" spans="2:50" s="6" customFormat="1" ht="13" x14ac:dyDescent="0.3">
      <c r="B118" s="6" t="s">
        <v>177</v>
      </c>
      <c r="C118" s="1" t="s">
        <v>324</v>
      </c>
      <c r="D118" s="4">
        <v>1</v>
      </c>
      <c r="E118" s="113">
        <v>0.5</v>
      </c>
      <c r="F118" s="113">
        <v>0.562499999999996</v>
      </c>
      <c r="G118" s="226" t="s">
        <v>92</v>
      </c>
      <c r="H118" s="4" t="s">
        <v>109</v>
      </c>
      <c r="I118" s="4"/>
      <c r="J118" s="199">
        <v>20</v>
      </c>
      <c r="K118" s="115"/>
      <c r="L118" s="3"/>
      <c r="M118" s="127"/>
      <c r="N118" s="3"/>
      <c r="O118" s="4">
        <v>1716</v>
      </c>
      <c r="P118" s="114" t="s">
        <v>90</v>
      </c>
      <c r="Q118" s="114"/>
      <c r="R118" s="114"/>
      <c r="S118" s="114"/>
      <c r="T118" s="114"/>
      <c r="U118" s="114"/>
      <c r="V118" s="114"/>
      <c r="W118" s="114"/>
      <c r="X118" s="117">
        <f>_xlfn.XLOOKUP(base_de_datos[[#This Row],[Materia]],Materias,Horas)/16</f>
        <v>3</v>
      </c>
      <c r="Y118" s="117">
        <f>ROUND(((base_de_datos[[#This Row],[Hora fin]]-base_de_datos[[#This Row],[Hora inicio]])*24)*(COUNTA(base_de_datos[[#This Row],[Lunes]:[Sábado]])),1)</f>
        <v>1.5</v>
      </c>
      <c r="Z118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18" s="117">
        <f ca="1">IF(base_de_datos[[#This Row],[No clase]]=OFFSET(base_de_datos[[#This Row],[No clase]],-1,0),0,1)</f>
        <v>1</v>
      </c>
      <c r="AB118" s="117">
        <f ca="1">IF(NOT(OR(base_de_datos[[#This Row],[Horas totales]]=base_de_datos[[#This Row],[HT Plan]],base_de_datos[[#This Row],[Horas totales]]="N/A")),1,0)</f>
        <v>0</v>
      </c>
      <c r="AC118" s="117" t="str">
        <f>_xlfn.XLOOKUP(base_de_datos[[#This Row],[Profesor]],Nombre,Grado)</f>
        <v>M</v>
      </c>
      <c r="AD118" s="118" t="str">
        <f>_xlfn.XLOOKUP(base_de_datos[[#This Row],[Profesor]],Nombre,Tipo)</f>
        <v>TC</v>
      </c>
      <c r="AE118" s="117" t="str">
        <f>IF(IFERROR(VLOOKUP($C118,Planes_de_estudio[],MATCH($AE$2,Carreras,0)+2,0),"")&gt;0,IFERROR(VLOOKUP($C118,Planes_de_estudio[],MATCH($AE$2,Carreras,0)+2,0),""),"")</f>
        <v/>
      </c>
      <c r="AF118" s="117" t="str">
        <f>IF(IFERROR(VLOOKUP($C118,Planes_de_estudio[],MATCH($AF$2,Carreras,0)+2,0),"")&gt;0,IFERROR(VLOOKUP($C118,Planes_de_estudio[],MATCH($AF$2,Carreras,0)+2,0),""),"")</f>
        <v/>
      </c>
      <c r="AG118" s="117">
        <f>IF(IFERROR(VLOOKUP($C118,Planes_de_estudio[],MATCH($AG$2,Carreras,0)+2,0),"")&gt;0,IFERROR(VLOOKUP($C118,Planes_de_estudio[],MATCH($AG$2,Carreras,0)+2,0),""),"")</f>
        <v>2</v>
      </c>
      <c r="AH118" s="117" t="str">
        <f>IF(IFERROR(VLOOKUP($C118,Planes_de_estudio[],MATCH($AH$2,Carreras,0)+2,0),"")&gt;0,IFERROR(VLOOKUP($C118,Planes_de_estudio[],MATCH($AH$2,Carreras,0)+2,0),""),"")</f>
        <v/>
      </c>
      <c r="AI118" s="117" t="str">
        <f>IF(IFERROR(VLOOKUP($C118,Planes_de_estudio[],MATCH($AI$2,Carreras,0)+2,0),"")&gt;0,IFERROR(VLOOKUP($C118,Planes_de_estudio[],MATCH($AI$2,Carreras,0)+2,0),""),"")</f>
        <v/>
      </c>
      <c r="AJ118" s="117" t="str">
        <f>IF(IFERROR(VLOOKUP($C118,Planes_de_estudio[],MATCH($AJ$2,Carreras,0)+2,0),"")&gt;0,IFERROR(VLOOKUP($C118,Planes_de_estudio[],MATCH($AJ$2,Carreras,0)+2,0),""),"")</f>
        <v/>
      </c>
      <c r="AK118" s="117" t="str">
        <f>IF(IFERROR(VLOOKUP($C118,Planes_de_estudio[],MATCH($AK$2,Carreras,0)+2,0),"")&gt;0,IFERROR(VLOOKUP($C118,Planes_de_estudio[],MATCH($AK$2,Carreras,0)+2,0),""),"")</f>
        <v/>
      </c>
      <c r="AL118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18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16</v>
      </c>
      <c r="AN118" s="117">
        <f>base_de_datos[[#This Row],[Pronóstico]]/25</f>
        <v>0.64</v>
      </c>
      <c r="AO118" s="117" t="str">
        <f>VLOOKUP($C118,Planes_de_estudio[],2)</f>
        <v>MAT</v>
      </c>
      <c r="AP118" s="119" t="str">
        <f ca="1">IF(AND(base_de_datos[[#This Row],[Industrial]]&lt;&gt;"",base_de_datos[[#This Row],[Misma o no]]=1),base_de_datos[[#This Row],[Índice]],"")</f>
        <v/>
      </c>
      <c r="AQ118" s="119" t="str">
        <f ca="1">IF(AND(base_de_datos[[#This Row],[Mecatrónica]]&lt;&gt;"",base_de_datos[[#This Row],[Misma o no]]=1),base_de_datos[[#This Row],[Índice]],"")</f>
        <v/>
      </c>
      <c r="AR118" s="119">
        <f ca="1">IF(AND(base_de_datos[[#This Row],[Innovación y Diseño]]&lt;&gt;"",base_de_datos[[#This Row],[Misma o no]]=1),base_de_datos[[#This Row],[Índice]],"")</f>
        <v>4</v>
      </c>
      <c r="AS118" s="119" t="str">
        <f ca="1">IF(AND(base_de_datos[[#This Row],[Inteligencia Artificial]]&lt;&gt;"",base_de_datos[[#This Row],[Misma o no]]=1),base_de_datos[[#This Row],[Índice]],"")</f>
        <v/>
      </c>
      <c r="AT118" s="119" t="str">
        <f ca="1">IF(AND(base_de_datos[[#This Row],[Tecnologías Energéticas]]&lt;&gt;"",base_de_datos[[#This Row],[Misma o no]]=1),base_de_datos[[#This Row],[Índice]],"")</f>
        <v/>
      </c>
      <c r="AU118" s="119" t="str">
        <f ca="1">IF(AND(base_de_datos[[#This Row],[Civil y Administración]]&lt;&gt;"",base_de_datos[[#This Row],[Misma o no]]=1),base_de_datos[[#This Row],[Índice]],"")</f>
        <v/>
      </c>
      <c r="AV118" s="119" t="str">
        <f ca="1">IF(AND(base_de_datos[[#This Row],[Bioelectrónica]]&lt;&gt;"",base_de_datos[[#This Row],[Misma o no]]=1),base_de_datos[[#This Row],[Índice]],"")</f>
        <v/>
      </c>
      <c r="AW118" s="120"/>
      <c r="AX118" s="4">
        <v>3</v>
      </c>
    </row>
    <row r="119" spans="2:50" s="6" customFormat="1" ht="13" x14ac:dyDescent="0.3">
      <c r="B119" s="9" t="s">
        <v>177</v>
      </c>
      <c r="C119" s="1" t="s">
        <v>324</v>
      </c>
      <c r="D119" s="4">
        <v>1</v>
      </c>
      <c r="E119" s="113">
        <v>0.5</v>
      </c>
      <c r="F119" s="113">
        <v>0.562499999999996</v>
      </c>
      <c r="G119" s="226" t="s">
        <v>92</v>
      </c>
      <c r="H119" s="4" t="s">
        <v>88</v>
      </c>
      <c r="I119" s="4"/>
      <c r="J119" s="198">
        <v>20</v>
      </c>
      <c r="K119" s="115"/>
      <c r="L119" s="3"/>
      <c r="M119" s="115"/>
      <c r="N119" s="3"/>
      <c r="O119" s="4">
        <v>1716</v>
      </c>
      <c r="P119" s="114"/>
      <c r="Q119" s="114"/>
      <c r="R119" s="114" t="s">
        <v>90</v>
      </c>
      <c r="S119" s="114"/>
      <c r="T119" s="114"/>
      <c r="U119" s="114"/>
      <c r="V119" s="114"/>
      <c r="W119" s="114"/>
      <c r="X119" s="116">
        <f>_xlfn.XLOOKUP(base_de_datos[[#This Row],[Materia]],Materias,Horas)/16</f>
        <v>3</v>
      </c>
      <c r="Y119" s="116">
        <f>ROUND(((base_de_datos[[#This Row],[Hora fin]]-base_de_datos[[#This Row],[Hora inicio]])*24)*(COUNTA(base_de_datos[[#This Row],[Lunes]:[Sábado]])),1)</f>
        <v>1.5</v>
      </c>
      <c r="Z119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19" s="117">
        <f ca="1">IF(base_de_datos[[#This Row],[No clase]]=OFFSET(base_de_datos[[#This Row],[No clase]],-1,0),0,1)</f>
        <v>0</v>
      </c>
      <c r="AB119" s="117">
        <f ca="1">IF(NOT(OR(base_de_datos[[#This Row],[Horas totales]]=base_de_datos[[#This Row],[HT Plan]],base_de_datos[[#This Row],[Horas totales]]="N/A")),1,0)</f>
        <v>0</v>
      </c>
      <c r="AC119" s="116" t="str">
        <f>_xlfn.XLOOKUP(base_de_datos[[#This Row],[Profesor]],Nombre,Grado)</f>
        <v>M</v>
      </c>
      <c r="AD119" s="118" t="str">
        <f>_xlfn.XLOOKUP(base_de_datos[[#This Row],[Profesor]],Nombre,Tipo)</f>
        <v>TC</v>
      </c>
      <c r="AE119" s="116" t="str">
        <f>IF(IFERROR(VLOOKUP($C119,Planes_de_estudio[],MATCH($AE$2,Carreras,0)+2,0),"")&gt;0,IFERROR(VLOOKUP($C119,Planes_de_estudio[],MATCH($AE$2,Carreras,0)+2,0),""),"")</f>
        <v/>
      </c>
      <c r="AF119" s="116" t="str">
        <f>IF(IFERROR(VLOOKUP($C119,Planes_de_estudio[],MATCH($AF$2,Carreras,0)+2,0),"")&gt;0,IFERROR(VLOOKUP($C119,Planes_de_estudio[],MATCH($AF$2,Carreras,0)+2,0),""),"")</f>
        <v/>
      </c>
      <c r="AG119" s="116">
        <f>IF(IFERROR(VLOOKUP($C119,Planes_de_estudio[],MATCH($AG$2,Carreras,0)+2,0),"")&gt;0,IFERROR(VLOOKUP($C119,Planes_de_estudio[],MATCH($AG$2,Carreras,0)+2,0),""),"")</f>
        <v>2</v>
      </c>
      <c r="AH119" s="116" t="str">
        <f>IF(IFERROR(VLOOKUP($C119,Planes_de_estudio[],MATCH($AH$2,Carreras,0)+2,0),"")&gt;0,IFERROR(VLOOKUP($C119,Planes_de_estudio[],MATCH($AH$2,Carreras,0)+2,0),""),"")</f>
        <v/>
      </c>
      <c r="AI119" s="116" t="str">
        <f>IF(IFERROR(VLOOKUP($C119,Planes_de_estudio[],MATCH($AI$2,Carreras,0)+2,0),"")&gt;0,IFERROR(VLOOKUP($C119,Planes_de_estudio[],MATCH($AI$2,Carreras,0)+2,0),""),"")</f>
        <v/>
      </c>
      <c r="AJ119" s="116" t="str">
        <f>IF(IFERROR(VLOOKUP($C119,Planes_de_estudio[],MATCH($AJ$2,Carreras,0)+2,0),"")&gt;0,IFERROR(VLOOKUP($C119,Planes_de_estudio[],MATCH($AJ$2,Carreras,0)+2,0),""),"")</f>
        <v/>
      </c>
      <c r="AK119" s="116" t="str">
        <f>IF(IFERROR(VLOOKUP($C119,Planes_de_estudio[],MATCH($AK$2,Carreras,0)+2,0),"")&gt;0,IFERROR(VLOOKUP($C119,Planes_de_estudio[],MATCH($AK$2,Carreras,0)+2,0),""),"")</f>
        <v/>
      </c>
      <c r="AL119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19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16</v>
      </c>
      <c r="AN119" s="117">
        <f>base_de_datos[[#This Row],[Pronóstico]]/25</f>
        <v>0.64</v>
      </c>
      <c r="AO119" s="117" t="str">
        <f>VLOOKUP($C119,Planes_de_estudio[],2)</f>
        <v>MAT</v>
      </c>
      <c r="AP119" s="119" t="str">
        <f ca="1">IF(AND(base_de_datos[[#This Row],[Industrial]]&lt;&gt;"",base_de_datos[[#This Row],[Misma o no]]=1),base_de_datos[[#This Row],[Índice]],"")</f>
        <v/>
      </c>
      <c r="AQ119" s="119" t="str">
        <f ca="1">IF(AND(base_de_datos[[#This Row],[Mecatrónica]]&lt;&gt;"",base_de_datos[[#This Row],[Misma o no]]=1),base_de_datos[[#This Row],[Índice]],"")</f>
        <v/>
      </c>
      <c r="AR119" s="119" t="str">
        <f ca="1">IF(AND(base_de_datos[[#This Row],[Innovación y Diseño]]&lt;&gt;"",base_de_datos[[#This Row],[Misma o no]]=1),base_de_datos[[#This Row],[Índice]],"")</f>
        <v/>
      </c>
      <c r="AS119" s="119" t="str">
        <f ca="1">IF(AND(base_de_datos[[#This Row],[Inteligencia Artificial]]&lt;&gt;"",base_de_datos[[#This Row],[Misma o no]]=1),base_de_datos[[#This Row],[Índice]],"")</f>
        <v/>
      </c>
      <c r="AT119" s="119" t="str">
        <f ca="1">IF(AND(base_de_datos[[#This Row],[Tecnologías Energéticas]]&lt;&gt;"",base_de_datos[[#This Row],[Misma o no]]=1),base_de_datos[[#This Row],[Índice]],"")</f>
        <v/>
      </c>
      <c r="AU119" s="119" t="str">
        <f ca="1">IF(AND(base_de_datos[[#This Row],[Civil y Administración]]&lt;&gt;"",base_de_datos[[#This Row],[Misma o no]]=1),base_de_datos[[#This Row],[Índice]],"")</f>
        <v/>
      </c>
      <c r="AV119" s="119" t="str">
        <f ca="1">IF(AND(base_de_datos[[#This Row],[Bioelectrónica]]&lt;&gt;"",base_de_datos[[#This Row],[Misma o no]]=1),base_de_datos[[#This Row],[Índice]],"")</f>
        <v/>
      </c>
      <c r="AW119" s="120"/>
      <c r="AX119" s="4">
        <v>3</v>
      </c>
    </row>
    <row r="120" spans="2:50" s="6" customFormat="1" ht="12.75" customHeight="1" x14ac:dyDescent="0.3">
      <c r="B120" s="6" t="s">
        <v>341</v>
      </c>
      <c r="C120" s="1" t="s">
        <v>342</v>
      </c>
      <c r="D120" s="4">
        <v>1</v>
      </c>
      <c r="E120" s="113">
        <v>0.79166666666666696</v>
      </c>
      <c r="F120" s="113">
        <v>0.91666666666665697</v>
      </c>
      <c r="G120" s="4" t="s">
        <v>87</v>
      </c>
      <c r="H120" s="4" t="s">
        <v>88</v>
      </c>
      <c r="I120" s="4"/>
      <c r="J120" s="114">
        <v>24</v>
      </c>
      <c r="K120" s="115"/>
      <c r="L120" s="3"/>
      <c r="M120" s="115"/>
      <c r="N120" s="3"/>
      <c r="O120" s="4">
        <v>2072</v>
      </c>
      <c r="P120" s="114"/>
      <c r="Q120" s="114"/>
      <c r="R120" s="114" t="s">
        <v>90</v>
      </c>
      <c r="S120" s="114"/>
      <c r="T120" s="114"/>
      <c r="U120" s="114"/>
      <c r="V120" s="114"/>
      <c r="W120" s="114"/>
      <c r="X120" s="116">
        <f>_xlfn.XLOOKUP(base_de_datos[[#This Row],[Materia]],Materias,Horas)/16</f>
        <v>3</v>
      </c>
      <c r="Y120" s="116">
        <f>ROUND(((base_de_datos[[#This Row],[Hora fin]]-base_de_datos[[#This Row],[Hora inicio]])*24)*(COUNTA(base_de_datos[[#This Row],[Lunes]:[Sábado]])),1)</f>
        <v>3</v>
      </c>
      <c r="Z120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20" s="117">
        <f ca="1">IF(base_de_datos[[#This Row],[No clase]]=OFFSET(base_de_datos[[#This Row],[No clase]],-1,0),0,1)</f>
        <v>1</v>
      </c>
      <c r="AB120" s="117">
        <f ca="1">IF(NOT(OR(base_de_datos[[#This Row],[Horas totales]]=base_de_datos[[#This Row],[HT Plan]],base_de_datos[[#This Row],[Horas totales]]="N/A")),1,0)</f>
        <v>0</v>
      </c>
      <c r="AC120" s="116" t="str">
        <f>_xlfn.XLOOKUP(base_de_datos[[#This Row],[Profesor]],Nombre,Grado)</f>
        <v>M</v>
      </c>
      <c r="AD120" s="118" t="str">
        <f>_xlfn.XLOOKUP(base_de_datos[[#This Row],[Profesor]],Nombre,Tipo)</f>
        <v>A</v>
      </c>
      <c r="AE120" s="116" t="str">
        <f>IF(IFERROR(VLOOKUP($C120,Planes_de_estudio[],MATCH($AE$2,Carreras,0)+2,0),"")&gt;0,IFERROR(VLOOKUP($C120,Planes_de_estudio[],MATCH($AE$2,Carreras,0)+2,0),""),"")</f>
        <v/>
      </c>
      <c r="AF120" s="116" t="str">
        <f>IF(IFERROR(VLOOKUP($C120,Planes_de_estudio[],MATCH($AF$2,Carreras,0)+2,0),"")&gt;0,IFERROR(VLOOKUP($C120,Planes_de_estudio[],MATCH($AF$2,Carreras,0)+2,0),""),"")</f>
        <v/>
      </c>
      <c r="AG120" s="116" t="str">
        <f>IF(IFERROR(VLOOKUP($C120,Planes_de_estudio[],MATCH($AG$2,Carreras,0)+2,0),"")&gt;0,IFERROR(VLOOKUP($C120,Planes_de_estudio[],MATCH($AG$2,Carreras,0)+2,0),""),"")</f>
        <v/>
      </c>
      <c r="AH120" s="116">
        <f>IF(IFERROR(VLOOKUP($C120,Planes_de_estudio[],MATCH($AH$2,Carreras,0)+2,0),"")&gt;0,IFERROR(VLOOKUP($C120,Planes_de_estudio[],MATCH($AH$2,Carreras,0)+2,0),""),"")</f>
        <v>8</v>
      </c>
      <c r="AI120" s="116" t="str">
        <f>IF(IFERROR(VLOOKUP($C120,Planes_de_estudio[],MATCH($AI$2,Carreras,0)+2,0),"")&gt;0,IFERROR(VLOOKUP($C120,Planes_de_estudio[],MATCH($AI$2,Carreras,0)+2,0),""),"")</f>
        <v/>
      </c>
      <c r="AJ120" s="116" t="str">
        <f>IF(IFERROR(VLOOKUP($C120,Planes_de_estudio[],MATCH($AJ$2,Carreras,0)+2,0),"")&gt;0,IFERROR(VLOOKUP($C120,Planes_de_estudio[],MATCH($AJ$2,Carreras,0)+2,0),""),"")</f>
        <v/>
      </c>
      <c r="AK120" s="116" t="str">
        <f>IF(IFERROR(VLOOKUP($C120,Planes_de_estudio[],MATCH($AK$2,Carreras,0)+2,0),"")&gt;0,IFERROR(VLOOKUP($C120,Planes_de_estudio[],MATCH($AK$2,Carreras,0)+2,0),""),"")</f>
        <v/>
      </c>
      <c r="AL120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20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24</v>
      </c>
      <c r="AN120" s="117">
        <f>base_de_datos[[#This Row],[Pronóstico]]/25</f>
        <v>0.96</v>
      </c>
      <c r="AO120" s="117" t="str">
        <f>VLOOKUP($C120,Planes_de_estudio[],2)</f>
        <v>COM</v>
      </c>
      <c r="AP120" s="119" t="str">
        <f ca="1">IF(AND(base_de_datos[[#This Row],[Industrial]]&lt;&gt;"",base_de_datos[[#This Row],[Misma o no]]=1),base_de_datos[[#This Row],[Índice]],"")</f>
        <v/>
      </c>
      <c r="AQ120" s="119" t="str">
        <f ca="1">IF(AND(base_de_datos[[#This Row],[Mecatrónica]]&lt;&gt;"",base_de_datos[[#This Row],[Misma o no]]=1),base_de_datos[[#This Row],[Índice]],"")</f>
        <v/>
      </c>
      <c r="AR120" s="119" t="str">
        <f ca="1">IF(AND(base_de_datos[[#This Row],[Innovación y Diseño]]&lt;&gt;"",base_de_datos[[#This Row],[Misma o no]]=1),base_de_datos[[#This Row],[Índice]],"")</f>
        <v/>
      </c>
      <c r="AS120" s="119">
        <f ca="1">IF(AND(base_de_datos[[#This Row],[Inteligencia Artificial]]&lt;&gt;"",base_de_datos[[#This Row],[Misma o no]]=1),base_de_datos[[#This Row],[Índice]],"")</f>
        <v>4</v>
      </c>
      <c r="AT120" s="119" t="str">
        <f ca="1">IF(AND(base_de_datos[[#This Row],[Tecnologías Energéticas]]&lt;&gt;"",base_de_datos[[#This Row],[Misma o no]]=1),base_de_datos[[#This Row],[Índice]],"")</f>
        <v/>
      </c>
      <c r="AU120" s="119" t="str">
        <f ca="1">IF(AND(base_de_datos[[#This Row],[Civil y Administración]]&lt;&gt;"",base_de_datos[[#This Row],[Misma o no]]=1),base_de_datos[[#This Row],[Índice]],"")</f>
        <v/>
      </c>
      <c r="AV120" s="119" t="str">
        <f ca="1">IF(AND(base_de_datos[[#This Row],[Bioelectrónica]]&lt;&gt;"",base_de_datos[[#This Row],[Misma o no]]=1),base_de_datos[[#This Row],[Índice]],"")</f>
        <v/>
      </c>
      <c r="AW120" s="120"/>
      <c r="AX120" s="4">
        <v>1</v>
      </c>
    </row>
    <row r="121" spans="2:50" s="6" customFormat="1" ht="13" x14ac:dyDescent="0.3">
      <c r="B121" s="6" t="s">
        <v>161</v>
      </c>
      <c r="C121" s="1" t="s">
        <v>322</v>
      </c>
      <c r="D121" s="4">
        <v>1</v>
      </c>
      <c r="E121" s="113">
        <v>0.5</v>
      </c>
      <c r="F121" s="113">
        <v>0.58333333333332904</v>
      </c>
      <c r="G121" s="4" t="s">
        <v>87</v>
      </c>
      <c r="H121" s="4" t="s">
        <v>323</v>
      </c>
      <c r="I121" s="4"/>
      <c r="J121" s="231">
        <v>5</v>
      </c>
      <c r="K121" s="115"/>
      <c r="L121" s="3"/>
      <c r="M121" s="127"/>
      <c r="N121" s="3"/>
      <c r="O121" s="4">
        <v>2701</v>
      </c>
      <c r="P121" s="114"/>
      <c r="Q121" s="114"/>
      <c r="R121" s="114"/>
      <c r="S121" s="114"/>
      <c r="T121" s="114" t="s">
        <v>90</v>
      </c>
      <c r="U121" s="114"/>
      <c r="V121" s="114"/>
      <c r="W121" s="114"/>
      <c r="X121" s="117">
        <f>_xlfn.XLOOKUP(base_de_datos[[#This Row],[Materia]],Materias,Horas)/16</f>
        <v>2</v>
      </c>
      <c r="Y121" s="117">
        <f>ROUND(((base_de_datos[[#This Row],[Hora fin]]-base_de_datos[[#This Row],[Hora inicio]])*24)*(COUNTA(base_de_datos[[#This Row],[Lunes]:[Sábado]])),1)</f>
        <v>2</v>
      </c>
      <c r="Z121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21" s="117">
        <f ca="1">IF(base_de_datos[[#This Row],[No clase]]=OFFSET(base_de_datos[[#This Row],[No clase]],-1,0),0,1)</f>
        <v>1</v>
      </c>
      <c r="AB121" s="117">
        <f ca="1">IF(NOT(OR(base_de_datos[[#This Row],[Horas totales]]=base_de_datos[[#This Row],[HT Plan]],base_de_datos[[#This Row],[Horas totales]]="N/A")),1,0)</f>
        <v>0</v>
      </c>
      <c r="AC121" s="117" t="str">
        <f>_xlfn.XLOOKUP(base_de_datos[[#This Row],[Profesor]],Nombre,Grado)</f>
        <v>L</v>
      </c>
      <c r="AD121" s="118" t="str">
        <f>_xlfn.XLOOKUP(base_de_datos[[#This Row],[Profesor]],Nombre,Tipo)</f>
        <v>A</v>
      </c>
      <c r="AE121" s="117" t="str">
        <f>IF(IFERROR(VLOOKUP($C121,Planes_de_estudio[],MATCH($AE$2,Carreras,0)+2,0),"")&gt;0,IFERROR(VLOOKUP($C121,Planes_de_estudio[],MATCH($AE$2,Carreras,0)+2,0),""),"")</f>
        <v/>
      </c>
      <c r="AF121" s="117" t="str">
        <f>IF(IFERROR(VLOOKUP($C121,Planes_de_estudio[],MATCH($AF$2,Carreras,0)+2,0),"")&gt;0,IFERROR(VLOOKUP($C121,Planes_de_estudio[],MATCH($AF$2,Carreras,0)+2,0),""),"")</f>
        <v/>
      </c>
      <c r="AG121" s="117" t="str">
        <f>IF(IFERROR(VLOOKUP($C121,Planes_de_estudio[],MATCH($AG$2,Carreras,0)+2,0),"")&gt;0,IFERROR(VLOOKUP($C121,Planes_de_estudio[],MATCH($AG$2,Carreras,0)+2,0),""),"")</f>
        <v/>
      </c>
      <c r="AH121" s="117" t="str">
        <f>IF(IFERROR(VLOOKUP($C121,Planes_de_estudio[],MATCH($AH$2,Carreras,0)+2,0),"")&gt;0,IFERROR(VLOOKUP($C121,Planes_de_estudio[],MATCH($AH$2,Carreras,0)+2,0),""),"")</f>
        <v/>
      </c>
      <c r="AI121" s="117" t="str">
        <f>IF(IFERROR(VLOOKUP($C121,Planes_de_estudio[],MATCH($AI$2,Carreras,0)+2,0),"")&gt;0,IFERROR(VLOOKUP($C121,Planes_de_estudio[],MATCH($AI$2,Carreras,0)+2,0),""),"")</f>
        <v/>
      </c>
      <c r="AJ121" s="117" t="str">
        <f>IF(IFERROR(VLOOKUP($C121,Planes_de_estudio[],MATCH($AJ$2,Carreras,0)+2,0),"")&gt;0,IFERROR(VLOOKUP($C121,Planes_de_estudio[],MATCH($AJ$2,Carreras,0)+2,0),""),"")</f>
        <v/>
      </c>
      <c r="AK121" s="117">
        <f>IF(IFERROR(VLOOKUP($C121,Planes_de_estudio[],MATCH($AK$2,Carreras,0)+2,0),"")&gt;0,IFERROR(VLOOKUP($C121,Planes_de_estudio[],MATCH($AK$2,Carreras,0)+2,0),""),"")</f>
        <v>2</v>
      </c>
      <c r="AL121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21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7</v>
      </c>
      <c r="AN121" s="117">
        <f>base_de_datos[[#This Row],[Pronóstico]]/25</f>
        <v>0.28000000000000003</v>
      </c>
      <c r="AO121" s="117" t="str">
        <f>VLOOKUP($C121,Planes_de_estudio[],2)</f>
        <v>BIO</v>
      </c>
      <c r="AP121" s="119" t="str">
        <f ca="1">IF(AND(base_de_datos[[#This Row],[Industrial]]&lt;&gt;"",base_de_datos[[#This Row],[Misma o no]]=1),base_de_datos[[#This Row],[Índice]],"")</f>
        <v/>
      </c>
      <c r="AQ121" s="119" t="str">
        <f ca="1">IF(AND(base_de_datos[[#This Row],[Mecatrónica]]&lt;&gt;"",base_de_datos[[#This Row],[Misma o no]]=1),base_de_datos[[#This Row],[Índice]],"")</f>
        <v/>
      </c>
      <c r="AR121" s="119" t="str">
        <f ca="1">IF(AND(base_de_datos[[#This Row],[Innovación y Diseño]]&lt;&gt;"",base_de_datos[[#This Row],[Misma o no]]=1),base_de_datos[[#This Row],[Índice]],"")</f>
        <v/>
      </c>
      <c r="AS121" s="119" t="str">
        <f ca="1">IF(AND(base_de_datos[[#This Row],[Inteligencia Artificial]]&lt;&gt;"",base_de_datos[[#This Row],[Misma o no]]=1),base_de_datos[[#This Row],[Índice]],"")</f>
        <v/>
      </c>
      <c r="AT121" s="119" t="str">
        <f ca="1">IF(AND(base_de_datos[[#This Row],[Tecnologías Energéticas]]&lt;&gt;"",base_de_datos[[#This Row],[Misma o no]]=1),base_de_datos[[#This Row],[Índice]],"")</f>
        <v/>
      </c>
      <c r="AU121" s="119" t="str">
        <f ca="1">IF(AND(base_de_datos[[#This Row],[Civil y Administración]]&lt;&gt;"",base_de_datos[[#This Row],[Misma o no]]=1),base_de_datos[[#This Row],[Índice]],"")</f>
        <v/>
      </c>
      <c r="AV121" s="119">
        <f ca="1">IF(AND(base_de_datos[[#This Row],[Bioelectrónica]]&lt;&gt;"",base_de_datos[[#This Row],[Misma o no]]=1),base_de_datos[[#This Row],[Índice]],"")</f>
        <v>1</v>
      </c>
      <c r="AW121" s="120"/>
      <c r="AX121" s="4">
        <v>2</v>
      </c>
    </row>
    <row r="122" spans="2:50" s="6" customFormat="1" ht="13" x14ac:dyDescent="0.3">
      <c r="B122" s="6" t="s">
        <v>329</v>
      </c>
      <c r="C122" s="1" t="s">
        <v>330</v>
      </c>
      <c r="D122" s="4">
        <v>1</v>
      </c>
      <c r="E122" s="113">
        <v>0.79166666666666696</v>
      </c>
      <c r="F122" s="113">
        <v>0.91666666666665697</v>
      </c>
      <c r="G122" s="4" t="s">
        <v>87</v>
      </c>
      <c r="H122" s="4" t="s">
        <v>132</v>
      </c>
      <c r="I122" s="4"/>
      <c r="J122" s="231">
        <v>9</v>
      </c>
      <c r="K122" s="115"/>
      <c r="L122" s="3"/>
      <c r="M122" s="127"/>
      <c r="N122" s="3"/>
      <c r="O122" s="4">
        <v>2972</v>
      </c>
      <c r="P122" s="114" t="s">
        <v>90</v>
      </c>
      <c r="Q122" s="114"/>
      <c r="R122" s="114"/>
      <c r="S122" s="114"/>
      <c r="T122" s="114"/>
      <c r="U122" s="114"/>
      <c r="V122" s="114"/>
      <c r="W122" s="114"/>
      <c r="X122" s="117">
        <f>_xlfn.XLOOKUP(base_de_datos[[#This Row],[Materia]],Materias,Horas)/16</f>
        <v>3</v>
      </c>
      <c r="Y122" s="117">
        <f>ROUND(((base_de_datos[[#This Row],[Hora fin]]-base_de_datos[[#This Row],[Hora inicio]])*24)*(COUNTA(base_de_datos[[#This Row],[Lunes]:[Sábado]])),1)</f>
        <v>3</v>
      </c>
      <c r="Z122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22" s="117">
        <f ca="1">IF(base_de_datos[[#This Row],[No clase]]=OFFSET(base_de_datos[[#This Row],[No clase]],-1,0),0,1)</f>
        <v>1</v>
      </c>
      <c r="AB122" s="117">
        <f ca="1">IF(NOT(OR(base_de_datos[[#This Row],[Horas totales]]=base_de_datos[[#This Row],[HT Plan]],base_de_datos[[#This Row],[Horas totales]]="N/A")),1,0)</f>
        <v>0</v>
      </c>
      <c r="AC122" s="117" t="str">
        <f>_xlfn.XLOOKUP(base_de_datos[[#This Row],[Profesor]],Nombre,Grado)</f>
        <v>L</v>
      </c>
      <c r="AD122" s="118" t="str">
        <f>_xlfn.XLOOKUP(base_de_datos[[#This Row],[Profesor]],Nombre,Tipo)</f>
        <v>A</v>
      </c>
      <c r="AE122" s="117" t="str">
        <f>IF(IFERROR(VLOOKUP($C122,Planes_de_estudio[],MATCH($AE$2,Carreras,0)+2,0),"")&gt;0,IFERROR(VLOOKUP($C122,Planes_de_estudio[],MATCH($AE$2,Carreras,0)+2,0),""),"")</f>
        <v/>
      </c>
      <c r="AF122" s="117" t="str">
        <f>IF(IFERROR(VLOOKUP($C122,Planes_de_estudio[],MATCH($AF$2,Carreras,0)+2,0),"")&gt;0,IFERROR(VLOOKUP($C122,Planes_de_estudio[],MATCH($AF$2,Carreras,0)+2,0),""),"")</f>
        <v/>
      </c>
      <c r="AG122" s="117" t="str">
        <f>IF(IFERROR(VLOOKUP($C122,Planes_de_estudio[],MATCH($AG$2,Carreras,0)+2,0),"")&gt;0,IFERROR(VLOOKUP($C122,Planes_de_estudio[],MATCH($AG$2,Carreras,0)+2,0),""),"")</f>
        <v/>
      </c>
      <c r="AH122" s="117" t="str">
        <f>IF(IFERROR(VLOOKUP($C122,Planes_de_estudio[],MATCH($AH$2,Carreras,0)+2,0),"")&gt;0,IFERROR(VLOOKUP($C122,Planes_de_estudio[],MATCH($AH$2,Carreras,0)+2,0),""),"")</f>
        <v/>
      </c>
      <c r="AI122" s="117" t="str">
        <f>IF(IFERROR(VLOOKUP($C122,Planes_de_estudio[],MATCH($AI$2,Carreras,0)+2,0),"")&gt;0,IFERROR(VLOOKUP($C122,Planes_de_estudio[],MATCH($AI$2,Carreras,0)+2,0),""),"")</f>
        <v/>
      </c>
      <c r="AJ122" s="117">
        <f>IF(IFERROR(VLOOKUP($C122,Planes_de_estudio[],MATCH($AJ$2,Carreras,0)+2,0),"")&gt;0,IFERROR(VLOOKUP($C122,Planes_de_estudio[],MATCH($AJ$2,Carreras,0)+2,0),""),"")</f>
        <v>10</v>
      </c>
      <c r="AK122" s="117" t="str">
        <f>IF(IFERROR(VLOOKUP($C122,Planes_de_estudio[],MATCH($AK$2,Carreras,0)+2,0),"")&gt;0,IFERROR(VLOOKUP($C122,Planes_de_estudio[],MATCH($AK$2,Carreras,0)+2,0),""),"")</f>
        <v/>
      </c>
      <c r="AL122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22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122" s="117">
        <f>base_de_datos[[#This Row],[Pronóstico]]/25</f>
        <v>0</v>
      </c>
      <c r="AO122" s="117" t="str">
        <f>VLOOKUP($C122,Planes_de_estudio[],2)</f>
        <v>AIC</v>
      </c>
      <c r="AP122" s="119" t="str">
        <f ca="1">IF(AND(base_de_datos[[#This Row],[Industrial]]&lt;&gt;"",base_de_datos[[#This Row],[Misma o no]]=1),base_de_datos[[#This Row],[Índice]],"")</f>
        <v/>
      </c>
      <c r="AQ122" s="119" t="str">
        <f ca="1">IF(AND(base_de_datos[[#This Row],[Mecatrónica]]&lt;&gt;"",base_de_datos[[#This Row],[Misma o no]]=1),base_de_datos[[#This Row],[Índice]],"")</f>
        <v/>
      </c>
      <c r="AR122" s="119" t="str">
        <f ca="1">IF(AND(base_de_datos[[#This Row],[Innovación y Diseño]]&lt;&gt;"",base_de_datos[[#This Row],[Misma o no]]=1),base_de_datos[[#This Row],[Índice]],"")</f>
        <v/>
      </c>
      <c r="AS122" s="119" t="str">
        <f ca="1">IF(AND(base_de_datos[[#This Row],[Inteligencia Artificial]]&lt;&gt;"",base_de_datos[[#This Row],[Misma o no]]=1),base_de_datos[[#This Row],[Índice]],"")</f>
        <v/>
      </c>
      <c r="AT122" s="119" t="str">
        <f ca="1">IF(AND(base_de_datos[[#This Row],[Tecnologías Energéticas]]&lt;&gt;"",base_de_datos[[#This Row],[Misma o no]]=1),base_de_datos[[#This Row],[Índice]],"")</f>
        <v/>
      </c>
      <c r="AU122" s="119">
        <f ca="1">IF(AND(base_de_datos[[#This Row],[Civil y Administración]]&lt;&gt;"",base_de_datos[[#This Row],[Misma o no]]=1),base_de_datos[[#This Row],[Índice]],"")</f>
        <v>1</v>
      </c>
      <c r="AV122" s="119" t="str">
        <f ca="1">IF(AND(base_de_datos[[#This Row],[Bioelectrónica]]&lt;&gt;"",base_de_datos[[#This Row],[Misma o no]]=1),base_de_datos[[#This Row],[Índice]],"")</f>
        <v/>
      </c>
      <c r="AW122" s="120"/>
      <c r="AX122" s="4">
        <v>1</v>
      </c>
    </row>
    <row r="123" spans="2:50" s="6" customFormat="1" ht="13" x14ac:dyDescent="0.3">
      <c r="B123" s="6" t="s">
        <v>325</v>
      </c>
      <c r="C123" s="1" t="s">
        <v>326</v>
      </c>
      <c r="D123" s="4">
        <v>1</v>
      </c>
      <c r="E123" s="113">
        <v>0.79166666666666696</v>
      </c>
      <c r="F123" s="113">
        <v>0.91666666666665697</v>
      </c>
      <c r="G123" s="4" t="s">
        <v>87</v>
      </c>
      <c r="H123" s="4" t="s">
        <v>93</v>
      </c>
      <c r="I123" s="4"/>
      <c r="J123" s="199">
        <v>30</v>
      </c>
      <c r="K123" s="142"/>
      <c r="L123" s="3"/>
      <c r="M123" s="3"/>
      <c r="N123" s="3"/>
      <c r="O123" s="4" t="s">
        <v>327</v>
      </c>
      <c r="P123" s="114"/>
      <c r="Q123" s="114"/>
      <c r="R123" s="114" t="s">
        <v>90</v>
      </c>
      <c r="S123" s="114"/>
      <c r="T123" s="114"/>
      <c r="U123" s="114"/>
      <c r="V123" s="114" t="s">
        <v>90</v>
      </c>
      <c r="W123" s="114"/>
      <c r="X123" s="143">
        <f>_xlfn.XLOOKUP(base_de_datos[[#This Row],[Materia]],Materias,Horas)/16</f>
        <v>3</v>
      </c>
      <c r="Y123" s="143">
        <f>ROUND(((base_de_datos[[#This Row],[Hora fin]]-base_de_datos[[#This Row],[Hora inicio]])*24)*(COUNTA(base_de_datos[[#This Row],[Lunes]:[Sábado]])),1)</f>
        <v>3</v>
      </c>
      <c r="Z123" s="14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23" s="143">
        <f ca="1">IF(base_de_datos[[#This Row],[No clase]]=OFFSET(base_de_datos[[#This Row],[No clase]],-1,0),0,1)</f>
        <v>1</v>
      </c>
      <c r="AB123" s="143">
        <f ca="1">IF(NOT(OR(base_de_datos[[#This Row],[Horas totales]]=base_de_datos[[#This Row],[HT Plan]],base_de_datos[[#This Row],[Horas totales]]="N/A")),1,0)</f>
        <v>0</v>
      </c>
      <c r="AC123" s="143" t="str">
        <f>_xlfn.XLOOKUP(base_de_datos[[#This Row],[Profesor]],Nombre,Grado)</f>
        <v>M</v>
      </c>
      <c r="AD123" s="144" t="str">
        <f>_xlfn.XLOOKUP(base_de_datos[[#This Row],[Profesor]],Nombre,Tipo)</f>
        <v>A</v>
      </c>
      <c r="AE123" s="143">
        <f>IF(IFERROR(VLOOKUP($C123,Planes_de_estudio[],MATCH($AE$2,Carreras,0)+2,0),"")&gt;0,IFERROR(VLOOKUP($C123,Planes_de_estudio[],MATCH($AE$2,Carreras,0)+2,0),""),"")</f>
        <v>6</v>
      </c>
      <c r="AF123" s="143">
        <f>IF(IFERROR(VLOOKUP($C123,Planes_de_estudio[],MATCH($AF$2,Carreras,0)+2,0),"")&gt;0,IFERROR(VLOOKUP($C123,Planes_de_estudio[],MATCH($AF$2,Carreras,0)+2,0),""),"")</f>
        <v>8</v>
      </c>
      <c r="AG123" s="143">
        <f>IF(IFERROR(VLOOKUP($C123,Planes_de_estudio[],MATCH($AG$2,Carreras,0)+2,0),"")&gt;0,IFERROR(VLOOKUP($C123,Planes_de_estudio[],MATCH($AG$2,Carreras,0)+2,0),""),"")</f>
        <v>8</v>
      </c>
      <c r="AH123" s="143" t="str">
        <f>IF(IFERROR(VLOOKUP($C123,Planes_de_estudio[],MATCH($AH$2,Carreras,0)+2,0),"")&gt;0,IFERROR(VLOOKUP($C123,Planes_de_estudio[],MATCH($AH$2,Carreras,0)+2,0),""),"")</f>
        <v/>
      </c>
      <c r="AI123" s="143" t="str">
        <f>IF(IFERROR(VLOOKUP($C123,Planes_de_estudio[],MATCH($AI$2,Carreras,0)+2,0),"")&gt;0,IFERROR(VLOOKUP($C123,Planes_de_estudio[],MATCH($AI$2,Carreras,0)+2,0),""),"")</f>
        <v/>
      </c>
      <c r="AJ123" s="143" t="str">
        <f>IF(IFERROR(VLOOKUP($C123,Planes_de_estudio[],MATCH($AJ$2,Carreras,0)+2,0),"")&gt;0,IFERROR(VLOOKUP($C123,Planes_de_estudio[],MATCH($AJ$2,Carreras,0)+2,0),""),"")</f>
        <v/>
      </c>
      <c r="AK123" s="143" t="str">
        <f>IF(IFERROR(VLOOKUP($C123,Planes_de_estudio[],MATCH($AK$2,Carreras,0)+2,0),"")&gt;0,IFERROR(VLOOKUP($C123,Planes_de_estudio[],MATCH($AK$2,Carreras,0)+2,0),""),"")</f>
        <v/>
      </c>
      <c r="AL123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23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60</v>
      </c>
      <c r="AN123" s="143">
        <f>base_de_datos[[#This Row],[Pronóstico]]/25</f>
        <v>2.4</v>
      </c>
      <c r="AO123" s="143" t="str">
        <f>VLOOKUP($C123,Planes_de_estudio[],2)</f>
        <v>DOP</v>
      </c>
      <c r="AP123" s="112">
        <f ca="1">IF(AND(base_de_datos[[#This Row],[Industrial]]&lt;&gt;"",base_de_datos[[#This Row],[Misma o no]]=1),base_de_datos[[#This Row],[Índice]],"")</f>
        <v>4</v>
      </c>
      <c r="AQ123" s="112">
        <f ca="1">IF(AND(base_de_datos[[#This Row],[Mecatrónica]]&lt;&gt;"",base_de_datos[[#This Row],[Misma o no]]=1),base_de_datos[[#This Row],[Índice]],"")</f>
        <v>4</v>
      </c>
      <c r="AR123" s="112">
        <f ca="1">IF(AND(base_de_datos[[#This Row],[Innovación y Diseño]]&lt;&gt;"",base_de_datos[[#This Row],[Misma o no]]=1),base_de_datos[[#This Row],[Índice]],"")</f>
        <v>4</v>
      </c>
      <c r="AS123" s="112" t="str">
        <f ca="1">IF(AND(base_de_datos[[#This Row],[Inteligencia Artificial]]&lt;&gt;"",base_de_datos[[#This Row],[Misma o no]]=1),base_de_datos[[#This Row],[Índice]],"")</f>
        <v/>
      </c>
      <c r="AT123" s="112" t="str">
        <f ca="1">IF(AND(base_de_datos[[#This Row],[Tecnologías Energéticas]]&lt;&gt;"",base_de_datos[[#This Row],[Misma o no]]=1),base_de_datos[[#This Row],[Índice]],"")</f>
        <v/>
      </c>
      <c r="AU123" s="112" t="str">
        <f ca="1">IF(AND(base_de_datos[[#This Row],[Civil y Administración]]&lt;&gt;"",base_de_datos[[#This Row],[Misma o no]]=1),base_de_datos[[#This Row],[Índice]],"")</f>
        <v/>
      </c>
      <c r="AV123" s="112" t="str">
        <f ca="1">IF(AND(base_de_datos[[#This Row],[Bioelectrónica]]&lt;&gt;"",base_de_datos[[#This Row],[Misma o no]]=1),base_de_datos[[#This Row],[Índice]],"")</f>
        <v/>
      </c>
      <c r="AX123" s="4">
        <v>1</v>
      </c>
    </row>
    <row r="124" spans="2:50" s="6" customFormat="1" ht="13" x14ac:dyDescent="0.3">
      <c r="B124" s="6" t="s">
        <v>312</v>
      </c>
      <c r="C124" s="1" t="s">
        <v>331</v>
      </c>
      <c r="D124" s="4">
        <v>1</v>
      </c>
      <c r="E124" s="113">
        <v>0.39583333333333398</v>
      </c>
      <c r="F124" s="113">
        <v>0.45833333333333098</v>
      </c>
      <c r="G124" s="227" t="s">
        <v>92</v>
      </c>
      <c r="H124" s="4" t="s">
        <v>113</v>
      </c>
      <c r="I124" s="4"/>
      <c r="J124" s="126"/>
      <c r="K124" s="115"/>
      <c r="L124" s="3"/>
      <c r="M124" s="127"/>
      <c r="N124" s="3"/>
      <c r="O124" s="4" t="s">
        <v>332</v>
      </c>
      <c r="P124" s="114" t="s">
        <v>90</v>
      </c>
      <c r="Q124" s="114"/>
      <c r="R124" s="114"/>
      <c r="S124" s="114"/>
      <c r="T124" s="114"/>
      <c r="U124" s="114"/>
      <c r="V124" s="114"/>
      <c r="W124" s="114"/>
      <c r="X124" s="117">
        <f>_xlfn.XLOOKUP(base_de_datos[[#This Row],[Materia]],Materias,Horas)/16</f>
        <v>3</v>
      </c>
      <c r="Y124" s="117">
        <f>ROUND(((base_de_datos[[#This Row],[Hora fin]]-base_de_datos[[#This Row],[Hora inicio]])*24)*(COUNTA(base_de_datos[[#This Row],[Lunes]:[Sábado]])),1)</f>
        <v>1.5</v>
      </c>
      <c r="Z124" s="117">
        <f ca="1">IF(base_de_datos[[#This Row],[Misma o no]]=0,"N/A",IF((OFFSET(base_de_datos[[#This Row],[Misma o no]],1,0))=0,base_de_datos[[#This Row],[Horas]]+(OFFSET(base_de_datos[[#This Row],[Horas]],1,0)),base_de_datos[[#This Row],[Horas]]))</f>
        <v>1.5</v>
      </c>
      <c r="AA124" s="117">
        <f ca="1">IF(base_de_datos[[#This Row],[No clase]]=OFFSET(base_de_datos[[#This Row],[No clase]],-1,0),0,1)</f>
        <v>1</v>
      </c>
      <c r="AB124" s="117">
        <f ca="1">IF(NOT(OR(base_de_datos[[#This Row],[Horas totales]]=base_de_datos[[#This Row],[HT Plan]],base_de_datos[[#This Row],[Horas totales]]="N/A")),1,0)</f>
        <v>1</v>
      </c>
      <c r="AC124" s="117" t="str">
        <f>_xlfn.XLOOKUP(base_de_datos[[#This Row],[Profesor]],Nombre,Grado)</f>
        <v>D</v>
      </c>
      <c r="AD124" s="118" t="str">
        <f>_xlfn.XLOOKUP(base_de_datos[[#This Row],[Profesor]],Nombre,Tipo)</f>
        <v>H</v>
      </c>
      <c r="AE124" s="117">
        <f>IF(IFERROR(VLOOKUP($C124,Planes_de_estudio[],MATCH($AE$2,Carreras,0)+2,0),"")&gt;0,IFERROR(VLOOKUP($C124,Planes_de_estudio[],MATCH($AE$2,Carreras,0)+2,0),""),"")</f>
        <v>1</v>
      </c>
      <c r="AF124" s="117">
        <f>IF(IFERROR(VLOOKUP($C124,Planes_de_estudio[],MATCH($AF$2,Carreras,0)+2,0),"")&gt;0,IFERROR(VLOOKUP($C124,Planes_de_estudio[],MATCH($AF$2,Carreras,0)+2,0),""),"")</f>
        <v>1</v>
      </c>
      <c r="AG124" s="117">
        <f>IF(IFERROR(VLOOKUP($C124,Planes_de_estudio[],MATCH($AG$2,Carreras,0)+2,0),"")&gt;0,IFERROR(VLOOKUP($C124,Planes_de_estudio[],MATCH($AG$2,Carreras,0)+2,0),""),"")</f>
        <v>1</v>
      </c>
      <c r="AH124" s="117">
        <f>IF(IFERROR(VLOOKUP($C124,Planes_de_estudio[],MATCH($AH$2,Carreras,0)+2,0),"")&gt;0,IFERROR(VLOOKUP($C124,Planes_de_estudio[],MATCH($AH$2,Carreras,0)+2,0),""),"")</f>
        <v>1</v>
      </c>
      <c r="AI124" s="117">
        <f>IF(IFERROR(VLOOKUP($C124,Planes_de_estudio[],MATCH($AI$2,Carreras,0)+2,0),"")&gt;0,IFERROR(VLOOKUP($C124,Planes_de_estudio[],MATCH($AI$2,Carreras,0)+2,0),""),"")</f>
        <v>1</v>
      </c>
      <c r="AJ124" s="117">
        <f>IF(IFERROR(VLOOKUP($C124,Planes_de_estudio[],MATCH($AJ$2,Carreras,0)+2,0),"")&gt;0,IFERROR(VLOOKUP($C124,Planes_de_estudio[],MATCH($AJ$2,Carreras,0)+2,0),""),"")</f>
        <v>1</v>
      </c>
      <c r="AK124" s="117">
        <f>IF(IFERROR(VLOOKUP($C124,Planes_de_estudio[],MATCH($AK$2,Carreras,0)+2,0),"")&gt;0,IFERROR(VLOOKUP($C124,Planes_de_estudio[],MATCH($AK$2,Carreras,0)+2,0),""),"")</f>
        <v>1</v>
      </c>
      <c r="AL124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24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18</v>
      </c>
      <c r="AN124" s="117">
        <f>base_de_datos[[#This Row],[Pronóstico]]/25</f>
        <v>0.72</v>
      </c>
      <c r="AO124" s="117" t="str">
        <f>VLOOKUP($C124,Planes_de_estudio[],2)</f>
        <v>HUM</v>
      </c>
      <c r="AP124" s="119">
        <f ca="1">IF(AND(base_de_datos[[#This Row],[Industrial]]&lt;&gt;"",base_de_datos[[#This Row],[Misma o no]]=1),base_de_datos[[#This Row],[Índice]],"")</f>
        <v>6</v>
      </c>
      <c r="AQ124" s="119">
        <f ca="1">IF(AND(base_de_datos[[#This Row],[Mecatrónica]]&lt;&gt;"",base_de_datos[[#This Row],[Misma o no]]=1),base_de_datos[[#This Row],[Índice]],"")</f>
        <v>6</v>
      </c>
      <c r="AR124" s="119">
        <f ca="1">IF(AND(base_de_datos[[#This Row],[Innovación y Diseño]]&lt;&gt;"",base_de_datos[[#This Row],[Misma o no]]=1),base_de_datos[[#This Row],[Índice]],"")</f>
        <v>6</v>
      </c>
      <c r="AS124" s="119">
        <f ca="1">IF(AND(base_de_datos[[#This Row],[Inteligencia Artificial]]&lt;&gt;"",base_de_datos[[#This Row],[Misma o no]]=1),base_de_datos[[#This Row],[Índice]],"")</f>
        <v>6</v>
      </c>
      <c r="AT124" s="119">
        <f ca="1">IF(AND(base_de_datos[[#This Row],[Tecnologías Energéticas]]&lt;&gt;"",base_de_datos[[#This Row],[Misma o no]]=1),base_de_datos[[#This Row],[Índice]],"")</f>
        <v>6</v>
      </c>
      <c r="AU124" s="119">
        <f ca="1">IF(AND(base_de_datos[[#This Row],[Civil y Administración]]&lt;&gt;"",base_de_datos[[#This Row],[Misma o no]]=1),base_de_datos[[#This Row],[Índice]],"")</f>
        <v>6</v>
      </c>
      <c r="AV124" s="119">
        <f ca="1">IF(AND(base_de_datos[[#This Row],[Bioelectrónica]]&lt;&gt;"",base_de_datos[[#This Row],[Misma o no]]=1),base_de_datos[[#This Row],[Índice]],"")</f>
        <v>6</v>
      </c>
      <c r="AW124" s="120"/>
      <c r="AX124" s="4">
        <v>1</v>
      </c>
    </row>
    <row r="125" spans="2:50" s="6" customFormat="1" ht="13" x14ac:dyDescent="0.3">
      <c r="B125" s="6" t="s">
        <v>333</v>
      </c>
      <c r="C125" s="1" t="s">
        <v>334</v>
      </c>
      <c r="D125" s="4">
        <v>1</v>
      </c>
      <c r="E125" s="113">
        <v>0.70833333333333304</v>
      </c>
      <c r="F125" s="113">
        <v>0.83333333333332504</v>
      </c>
      <c r="G125" s="4" t="s">
        <v>87</v>
      </c>
      <c r="H125" s="4" t="s">
        <v>323</v>
      </c>
      <c r="I125" s="4"/>
      <c r="J125" s="231">
        <v>8</v>
      </c>
      <c r="K125" s="115"/>
      <c r="L125" s="3"/>
      <c r="M125" s="127"/>
      <c r="N125" s="3"/>
      <c r="O125" s="4">
        <v>2969</v>
      </c>
      <c r="P125" s="114"/>
      <c r="Q125" s="114" t="s">
        <v>90</v>
      </c>
      <c r="R125" s="114"/>
      <c r="S125" s="114"/>
      <c r="T125" s="114"/>
      <c r="U125" s="114"/>
      <c r="V125" s="114" t="s">
        <v>90</v>
      </c>
      <c r="W125" s="114"/>
      <c r="X125" s="117">
        <f>_xlfn.XLOOKUP(base_de_datos[[#This Row],[Materia]],Materias,Horas)/16</f>
        <v>3</v>
      </c>
      <c r="Y125" s="117">
        <f>ROUND(((base_de_datos[[#This Row],[Hora fin]]-base_de_datos[[#This Row],[Hora inicio]])*24)*(COUNTA(base_de_datos[[#This Row],[Lunes]:[Sábado]])),1)</f>
        <v>3</v>
      </c>
      <c r="Z125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25" s="117">
        <f ca="1">IF(base_de_datos[[#This Row],[No clase]]=OFFSET(base_de_datos[[#This Row],[No clase]],-1,0),0,1)</f>
        <v>1</v>
      </c>
      <c r="AB125" s="117">
        <f ca="1">IF(NOT(OR(base_de_datos[[#This Row],[Horas totales]]=base_de_datos[[#This Row],[HT Plan]],base_de_datos[[#This Row],[Horas totales]]="N/A")),1,0)</f>
        <v>0</v>
      </c>
      <c r="AC125" s="117" t="str">
        <f>_xlfn.XLOOKUP(base_de_datos[[#This Row],[Profesor]],Nombre,Grado)</f>
        <v>M</v>
      </c>
      <c r="AD125" s="118" t="str">
        <f>_xlfn.XLOOKUP(base_de_datos[[#This Row],[Profesor]],Nombre,Tipo)</f>
        <v>A</v>
      </c>
      <c r="AE125" s="117" t="str">
        <f>IF(IFERROR(VLOOKUP($C125,Planes_de_estudio[],MATCH($AE$2,Carreras,0)+2,0),"")&gt;0,IFERROR(VLOOKUP($C125,Planes_de_estudio[],MATCH($AE$2,Carreras,0)+2,0),""),"")</f>
        <v/>
      </c>
      <c r="AF125" s="117" t="str">
        <f>IF(IFERROR(VLOOKUP($C125,Planes_de_estudio[],MATCH($AF$2,Carreras,0)+2,0),"")&gt;0,IFERROR(VLOOKUP($C125,Planes_de_estudio[],MATCH($AF$2,Carreras,0)+2,0),""),"")</f>
        <v/>
      </c>
      <c r="AG125" s="117" t="str">
        <f>IF(IFERROR(VLOOKUP($C125,Planes_de_estudio[],MATCH($AG$2,Carreras,0)+2,0),"")&gt;0,IFERROR(VLOOKUP($C125,Planes_de_estudio[],MATCH($AG$2,Carreras,0)+2,0),""),"")</f>
        <v/>
      </c>
      <c r="AH125" s="117" t="str">
        <f>IF(IFERROR(VLOOKUP($C125,Planes_de_estudio[],MATCH($AH$2,Carreras,0)+2,0),"")&gt;0,IFERROR(VLOOKUP($C125,Planes_de_estudio[],MATCH($AH$2,Carreras,0)+2,0),""),"")</f>
        <v/>
      </c>
      <c r="AI125" s="117" t="str">
        <f>IF(IFERROR(VLOOKUP($C125,Planes_de_estudio[],MATCH($AI$2,Carreras,0)+2,0),"")&gt;0,IFERROR(VLOOKUP($C125,Planes_de_estudio[],MATCH($AI$2,Carreras,0)+2,0),""),"")</f>
        <v/>
      </c>
      <c r="AJ125" s="117">
        <f>IF(IFERROR(VLOOKUP($C125,Planes_de_estudio[],MATCH($AJ$2,Carreras,0)+2,0),"")&gt;0,IFERROR(VLOOKUP($C125,Planes_de_estudio[],MATCH($AJ$2,Carreras,0)+2,0),""),"")</f>
        <v>8</v>
      </c>
      <c r="AK125" s="117" t="str">
        <f>IF(IFERROR(VLOOKUP($C125,Planes_de_estudio[],MATCH($AK$2,Carreras,0)+2,0),"")&gt;0,IFERROR(VLOOKUP($C125,Planes_de_estudio[],MATCH($AK$2,Carreras,0)+2,0),""),"")</f>
        <v/>
      </c>
      <c r="AL125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25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14</v>
      </c>
      <c r="AN125" s="117">
        <f>base_de_datos[[#This Row],[Pronóstico]]/25</f>
        <v>0.56000000000000005</v>
      </c>
      <c r="AO125" s="117" t="str">
        <f>VLOOKUP($C125,Planes_de_estudio[],2)</f>
        <v>ESC</v>
      </c>
      <c r="AP125" s="119" t="str">
        <f ca="1">IF(AND(base_de_datos[[#This Row],[Industrial]]&lt;&gt;"",base_de_datos[[#This Row],[Misma o no]]=1),base_de_datos[[#This Row],[Índice]],"")</f>
        <v/>
      </c>
      <c r="AQ125" s="119" t="str">
        <f ca="1">IF(AND(base_de_datos[[#This Row],[Mecatrónica]]&lt;&gt;"",base_de_datos[[#This Row],[Misma o no]]=1),base_de_datos[[#This Row],[Índice]],"")</f>
        <v/>
      </c>
      <c r="AR125" s="119" t="str">
        <f ca="1">IF(AND(base_de_datos[[#This Row],[Innovación y Diseño]]&lt;&gt;"",base_de_datos[[#This Row],[Misma o no]]=1),base_de_datos[[#This Row],[Índice]],"")</f>
        <v/>
      </c>
      <c r="AS125" s="119" t="str">
        <f ca="1">IF(AND(base_de_datos[[#This Row],[Inteligencia Artificial]]&lt;&gt;"",base_de_datos[[#This Row],[Misma o no]]=1),base_de_datos[[#This Row],[Índice]],"")</f>
        <v/>
      </c>
      <c r="AT125" s="119" t="str">
        <f ca="1">IF(AND(base_de_datos[[#This Row],[Tecnologías Energéticas]]&lt;&gt;"",base_de_datos[[#This Row],[Misma o no]]=1),base_de_datos[[#This Row],[Índice]],"")</f>
        <v/>
      </c>
      <c r="AU125" s="119">
        <f ca="1">IF(AND(base_de_datos[[#This Row],[Civil y Administración]]&lt;&gt;"",base_de_datos[[#This Row],[Misma o no]]=1),base_de_datos[[#This Row],[Índice]],"")</f>
        <v>4</v>
      </c>
      <c r="AV125" s="119" t="str">
        <f ca="1">IF(AND(base_de_datos[[#This Row],[Bioelectrónica]]&lt;&gt;"",base_de_datos[[#This Row],[Misma o no]]=1),base_de_datos[[#This Row],[Índice]],"")</f>
        <v/>
      </c>
      <c r="AW125" s="120"/>
      <c r="AX125" s="4">
        <v>3</v>
      </c>
    </row>
    <row r="126" spans="2:50" s="6" customFormat="1" ht="13" x14ac:dyDescent="0.3">
      <c r="B126" s="9" t="s">
        <v>312</v>
      </c>
      <c r="C126" s="1" t="s">
        <v>331</v>
      </c>
      <c r="D126" s="4">
        <v>1</v>
      </c>
      <c r="E126" s="113">
        <v>0.39583333333333398</v>
      </c>
      <c r="F126" s="113">
        <v>0.45833333333333098</v>
      </c>
      <c r="G126" s="227" t="s">
        <v>92</v>
      </c>
      <c r="H126" s="4" t="s">
        <v>215</v>
      </c>
      <c r="I126" s="4"/>
      <c r="J126" s="114"/>
      <c r="K126" s="115"/>
      <c r="L126" s="3"/>
      <c r="M126" s="115"/>
      <c r="N126" s="3"/>
      <c r="O126" s="4" t="s">
        <v>332</v>
      </c>
      <c r="P126" s="114"/>
      <c r="Q126" s="114"/>
      <c r="R126" s="114"/>
      <c r="S126" s="114"/>
      <c r="T126" s="114" t="s">
        <v>90</v>
      </c>
      <c r="U126" s="114"/>
      <c r="V126" s="114"/>
      <c r="W126" s="114"/>
      <c r="X126" s="116">
        <f>_xlfn.XLOOKUP(base_de_datos[[#This Row],[Materia]],Materias,Horas)/16</f>
        <v>3</v>
      </c>
      <c r="Y126" s="116">
        <f>ROUND(((base_de_datos[[#This Row],[Hora fin]]-base_de_datos[[#This Row],[Hora inicio]])*24)*(COUNTA(base_de_datos[[#This Row],[Lunes]:[Sábado]])),1)</f>
        <v>1.5</v>
      </c>
      <c r="Z126" s="117">
        <f ca="1">IF(base_de_datos[[#This Row],[Misma o no]]=0,"N/A",IF((OFFSET(base_de_datos[[#This Row],[Misma o no]],1,0))=0,base_de_datos[[#This Row],[Horas]]+(OFFSET(base_de_datos[[#This Row],[Horas]],1,0)),base_de_datos[[#This Row],[Horas]]))</f>
        <v>1.5</v>
      </c>
      <c r="AA126" s="117">
        <f ca="1">IF(base_de_datos[[#This Row],[No clase]]=OFFSET(base_de_datos[[#This Row],[No clase]],-1,0),0,1)</f>
        <v>1</v>
      </c>
      <c r="AB126" s="117">
        <f ca="1">IF(NOT(OR(base_de_datos[[#This Row],[Horas totales]]=base_de_datos[[#This Row],[HT Plan]],base_de_datos[[#This Row],[Horas totales]]="N/A")),1,0)</f>
        <v>1</v>
      </c>
      <c r="AC126" s="116" t="str">
        <f>_xlfn.XLOOKUP(base_de_datos[[#This Row],[Profesor]],Nombre,Grado)</f>
        <v>D</v>
      </c>
      <c r="AD126" s="118" t="str">
        <f>_xlfn.XLOOKUP(base_de_datos[[#This Row],[Profesor]],Nombre,Tipo)</f>
        <v>H</v>
      </c>
      <c r="AE126" s="116">
        <f>IF(IFERROR(VLOOKUP($C126,Planes_de_estudio[],MATCH($AE$2,Carreras,0)+2,0),"")&gt;0,IFERROR(VLOOKUP($C126,Planes_de_estudio[],MATCH($AE$2,Carreras,0)+2,0),""),"")</f>
        <v>1</v>
      </c>
      <c r="AF126" s="116">
        <f>IF(IFERROR(VLOOKUP($C126,Planes_de_estudio[],MATCH($AF$2,Carreras,0)+2,0),"")&gt;0,IFERROR(VLOOKUP($C126,Planes_de_estudio[],MATCH($AF$2,Carreras,0)+2,0),""),"")</f>
        <v>1</v>
      </c>
      <c r="AG126" s="116">
        <f>IF(IFERROR(VLOOKUP($C126,Planes_de_estudio[],MATCH($AG$2,Carreras,0)+2,0),"")&gt;0,IFERROR(VLOOKUP($C126,Planes_de_estudio[],MATCH($AG$2,Carreras,0)+2,0),""),"")</f>
        <v>1</v>
      </c>
      <c r="AH126" s="116">
        <f>IF(IFERROR(VLOOKUP($C126,Planes_de_estudio[],MATCH($AH$2,Carreras,0)+2,0),"")&gt;0,IFERROR(VLOOKUP($C126,Planes_de_estudio[],MATCH($AH$2,Carreras,0)+2,0),""),"")</f>
        <v>1</v>
      </c>
      <c r="AI126" s="116">
        <f>IF(IFERROR(VLOOKUP($C126,Planes_de_estudio[],MATCH($AI$2,Carreras,0)+2,0),"")&gt;0,IFERROR(VLOOKUP($C126,Planes_de_estudio[],MATCH($AI$2,Carreras,0)+2,0),""),"")</f>
        <v>1</v>
      </c>
      <c r="AJ126" s="116">
        <f>IF(IFERROR(VLOOKUP($C126,Planes_de_estudio[],MATCH($AJ$2,Carreras,0)+2,0),"")&gt;0,IFERROR(VLOOKUP($C126,Planes_de_estudio[],MATCH($AJ$2,Carreras,0)+2,0),""),"")</f>
        <v>1</v>
      </c>
      <c r="AK126" s="116">
        <f>IF(IFERROR(VLOOKUP($C126,Planes_de_estudio[],MATCH($AK$2,Carreras,0)+2,0),"")&gt;0,IFERROR(VLOOKUP($C126,Planes_de_estudio[],MATCH($AK$2,Carreras,0)+2,0),""),"")</f>
        <v>1</v>
      </c>
      <c r="AL126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26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18</v>
      </c>
      <c r="AN126" s="117">
        <f>base_de_datos[[#This Row],[Pronóstico]]/25</f>
        <v>0.72</v>
      </c>
      <c r="AO126" s="117" t="str">
        <f>VLOOKUP($C126,Planes_de_estudio[],2)</f>
        <v>HUM</v>
      </c>
      <c r="AP126" s="119">
        <f ca="1">IF(AND(base_de_datos[[#This Row],[Industrial]]&lt;&gt;"",base_de_datos[[#This Row],[Misma o no]]=1),base_de_datos[[#This Row],[Índice]],"")</f>
        <v>6</v>
      </c>
      <c r="AQ126" s="119">
        <f ca="1">IF(AND(base_de_datos[[#This Row],[Mecatrónica]]&lt;&gt;"",base_de_datos[[#This Row],[Misma o no]]=1),base_de_datos[[#This Row],[Índice]],"")</f>
        <v>6</v>
      </c>
      <c r="AR126" s="119">
        <f ca="1">IF(AND(base_de_datos[[#This Row],[Innovación y Diseño]]&lt;&gt;"",base_de_datos[[#This Row],[Misma o no]]=1),base_de_datos[[#This Row],[Índice]],"")</f>
        <v>6</v>
      </c>
      <c r="AS126" s="119">
        <f ca="1">IF(AND(base_de_datos[[#This Row],[Inteligencia Artificial]]&lt;&gt;"",base_de_datos[[#This Row],[Misma o no]]=1),base_de_datos[[#This Row],[Índice]],"")</f>
        <v>6</v>
      </c>
      <c r="AT126" s="119">
        <f ca="1">IF(AND(base_de_datos[[#This Row],[Tecnologías Energéticas]]&lt;&gt;"",base_de_datos[[#This Row],[Misma o no]]=1),base_de_datos[[#This Row],[Índice]],"")</f>
        <v>6</v>
      </c>
      <c r="AU126" s="119">
        <f ca="1">IF(AND(base_de_datos[[#This Row],[Civil y Administración]]&lt;&gt;"",base_de_datos[[#This Row],[Misma o no]]=1),base_de_datos[[#This Row],[Índice]],"")</f>
        <v>6</v>
      </c>
      <c r="AV126" s="119">
        <f ca="1">IF(AND(base_de_datos[[#This Row],[Bioelectrónica]]&lt;&gt;"",base_de_datos[[#This Row],[Misma o no]]=1),base_de_datos[[#This Row],[Índice]],"")</f>
        <v>6</v>
      </c>
      <c r="AW126" s="120"/>
      <c r="AX126" s="4">
        <v>1</v>
      </c>
    </row>
    <row r="127" spans="2:50" s="6" customFormat="1" ht="13" x14ac:dyDescent="0.3">
      <c r="B127" s="6" t="s">
        <v>335</v>
      </c>
      <c r="C127" s="1" t="s">
        <v>336</v>
      </c>
      <c r="D127" s="4">
        <v>1</v>
      </c>
      <c r="E127" s="113">
        <v>0.375</v>
      </c>
      <c r="F127" s="113">
        <v>0.45833333333333098</v>
      </c>
      <c r="G127" s="226" t="s">
        <v>92</v>
      </c>
      <c r="H127" s="4" t="s">
        <v>258</v>
      </c>
      <c r="I127" s="4"/>
      <c r="J127" s="199">
        <v>23</v>
      </c>
      <c r="K127" s="115"/>
      <c r="L127" s="3"/>
      <c r="M127" s="127"/>
      <c r="N127" s="3"/>
      <c r="O127" s="4" t="s">
        <v>337</v>
      </c>
      <c r="P127" s="114" t="s">
        <v>90</v>
      </c>
      <c r="Q127" s="114"/>
      <c r="R127" s="114"/>
      <c r="S127" s="114"/>
      <c r="T127" s="114"/>
      <c r="U127" s="114"/>
      <c r="V127" s="114"/>
      <c r="W127" s="114"/>
      <c r="X127" s="117">
        <f>_xlfn.XLOOKUP(base_de_datos[[#This Row],[Materia]],Materias,Horas)/16</f>
        <v>4</v>
      </c>
      <c r="Y127" s="117">
        <f>ROUND(((base_de_datos[[#This Row],[Hora fin]]-base_de_datos[[#This Row],[Hora inicio]])*24)*(COUNTA(base_de_datos[[#This Row],[Lunes]:[Sábado]])),1)</f>
        <v>2</v>
      </c>
      <c r="Z127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27" s="117">
        <f ca="1">IF(base_de_datos[[#This Row],[No clase]]=OFFSET(base_de_datos[[#This Row],[No clase]],-1,0),0,1)</f>
        <v>1</v>
      </c>
      <c r="AB127" s="117">
        <f ca="1">IF(NOT(OR(base_de_datos[[#This Row],[Horas totales]]=base_de_datos[[#This Row],[HT Plan]],base_de_datos[[#This Row],[Horas totales]]="N/A")),1,0)</f>
        <v>0</v>
      </c>
      <c r="AC127" s="117" t="str">
        <f>_xlfn.XLOOKUP(base_de_datos[[#This Row],[Profesor]],Nombre,Grado)</f>
        <v>E</v>
      </c>
      <c r="AD127" s="118" t="str">
        <f>_xlfn.XLOOKUP(base_de_datos[[#This Row],[Profesor]],Nombre,Tipo)</f>
        <v>TC</v>
      </c>
      <c r="AE127" s="117">
        <f>IF(IFERROR(VLOOKUP($C127,Planes_de_estudio[],MATCH($AE$2,Carreras,0)+2,0),"")&gt;0,IFERROR(VLOOKUP($C127,Planes_de_estudio[],MATCH($AE$2,Carreras,0)+2,0),""),"")</f>
        <v>4</v>
      </c>
      <c r="AF127" s="117" t="str">
        <f>IF(IFERROR(VLOOKUP($C127,Planes_de_estudio[],MATCH($AF$2,Carreras,0)+2,0),"")&gt;0,IFERROR(VLOOKUP($C127,Planes_de_estudio[],MATCH($AF$2,Carreras,0)+2,0),""),"")</f>
        <v/>
      </c>
      <c r="AG127" s="117" t="str">
        <f>IF(IFERROR(VLOOKUP($C127,Planes_de_estudio[],MATCH($AG$2,Carreras,0)+2,0),"")&gt;0,IFERROR(VLOOKUP($C127,Planes_de_estudio[],MATCH($AG$2,Carreras,0)+2,0),""),"")</f>
        <v/>
      </c>
      <c r="AH127" s="117" t="str">
        <f>IF(IFERROR(VLOOKUP($C127,Planes_de_estudio[],MATCH($AH$2,Carreras,0)+2,0),"")&gt;0,IFERROR(VLOOKUP($C127,Planes_de_estudio[],MATCH($AH$2,Carreras,0)+2,0),""),"")</f>
        <v/>
      </c>
      <c r="AI127" s="117" t="str">
        <f>IF(IFERROR(VLOOKUP($C127,Planes_de_estudio[],MATCH($AI$2,Carreras,0)+2,0),"")&gt;0,IFERROR(VLOOKUP($C127,Planes_de_estudio[],MATCH($AI$2,Carreras,0)+2,0),""),"")</f>
        <v/>
      </c>
      <c r="AJ127" s="117" t="str">
        <f>IF(IFERROR(VLOOKUP($C127,Planes_de_estudio[],MATCH($AJ$2,Carreras,0)+2,0),"")&gt;0,IFERROR(VLOOKUP($C127,Planes_de_estudio[],MATCH($AJ$2,Carreras,0)+2,0),""),"")</f>
        <v/>
      </c>
      <c r="AK127" s="117" t="str">
        <f>IF(IFERROR(VLOOKUP($C127,Planes_de_estudio[],MATCH($AK$2,Carreras,0)+2,0),"")&gt;0,IFERROR(VLOOKUP($C127,Planes_de_estudio[],MATCH($AK$2,Carreras,0)+2,0),""),"")</f>
        <v/>
      </c>
      <c r="AL127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27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19</v>
      </c>
      <c r="AN127" s="117">
        <f>base_de_datos[[#This Row],[Pronóstico]]/25</f>
        <v>0.76</v>
      </c>
      <c r="AO127" s="117" t="str">
        <f>VLOOKUP($C127,Planes_de_estudio[],2)</f>
        <v>MEC</v>
      </c>
      <c r="AP127" s="119">
        <f ca="1">IF(AND(base_de_datos[[#This Row],[Industrial]]&lt;&gt;"",base_de_datos[[#This Row],[Misma o no]]=1),base_de_datos[[#This Row],[Índice]],"")</f>
        <v>2</v>
      </c>
      <c r="AQ127" s="119" t="str">
        <f ca="1">IF(AND(base_de_datos[[#This Row],[Mecatrónica]]&lt;&gt;"",base_de_datos[[#This Row],[Misma o no]]=1),base_de_datos[[#This Row],[Índice]],"")</f>
        <v/>
      </c>
      <c r="AR127" s="119" t="str">
        <f ca="1">IF(AND(base_de_datos[[#This Row],[Innovación y Diseño]]&lt;&gt;"",base_de_datos[[#This Row],[Misma o no]]=1),base_de_datos[[#This Row],[Índice]],"")</f>
        <v/>
      </c>
      <c r="AS127" s="119" t="str">
        <f ca="1">IF(AND(base_de_datos[[#This Row],[Inteligencia Artificial]]&lt;&gt;"",base_de_datos[[#This Row],[Misma o no]]=1),base_de_datos[[#This Row],[Índice]],"")</f>
        <v/>
      </c>
      <c r="AT127" s="119" t="str">
        <f ca="1">IF(AND(base_de_datos[[#This Row],[Tecnologías Energéticas]]&lt;&gt;"",base_de_datos[[#This Row],[Misma o no]]=1),base_de_datos[[#This Row],[Índice]],"")</f>
        <v/>
      </c>
      <c r="AU127" s="119" t="str">
        <f ca="1">IF(AND(base_de_datos[[#This Row],[Civil y Administración]]&lt;&gt;"",base_de_datos[[#This Row],[Misma o no]]=1),base_de_datos[[#This Row],[Índice]],"")</f>
        <v/>
      </c>
      <c r="AV127" s="119" t="str">
        <f ca="1">IF(AND(base_de_datos[[#This Row],[Bioelectrónica]]&lt;&gt;"",base_de_datos[[#This Row],[Misma o no]]=1),base_de_datos[[#This Row],[Índice]],"")</f>
        <v/>
      </c>
      <c r="AW127" s="120"/>
      <c r="AX127" s="4">
        <v>2</v>
      </c>
    </row>
    <row r="128" spans="2:50" s="6" customFormat="1" ht="13" x14ac:dyDescent="0.3">
      <c r="B128" s="9" t="s">
        <v>335</v>
      </c>
      <c r="C128" s="1" t="s">
        <v>336</v>
      </c>
      <c r="D128" s="4">
        <v>1</v>
      </c>
      <c r="E128" s="113">
        <v>0.375</v>
      </c>
      <c r="F128" s="113">
        <v>0.45833333333333098</v>
      </c>
      <c r="G128" s="226" t="s">
        <v>92</v>
      </c>
      <c r="H128" s="4" t="s">
        <v>113</v>
      </c>
      <c r="I128" s="4"/>
      <c r="J128" s="198">
        <v>23</v>
      </c>
      <c r="K128" s="115"/>
      <c r="L128" s="3"/>
      <c r="M128" s="115"/>
      <c r="N128" s="3"/>
      <c r="O128" s="4" t="s">
        <v>337</v>
      </c>
      <c r="P128" s="114"/>
      <c r="Q128" s="114"/>
      <c r="R128" s="114" t="s">
        <v>90</v>
      </c>
      <c r="S128" s="114"/>
      <c r="T128" s="114"/>
      <c r="U128" s="114"/>
      <c r="V128" s="114"/>
      <c r="W128" s="114"/>
      <c r="X128" s="116">
        <f>_xlfn.XLOOKUP(base_de_datos[[#This Row],[Materia]],Materias,Horas)/16</f>
        <v>4</v>
      </c>
      <c r="Y128" s="116">
        <f>ROUND(((base_de_datos[[#This Row],[Hora fin]]-base_de_datos[[#This Row],[Hora inicio]])*24)*(COUNTA(base_de_datos[[#This Row],[Lunes]:[Sábado]])),1)</f>
        <v>2</v>
      </c>
      <c r="Z128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28" s="117">
        <f ca="1">IF(base_de_datos[[#This Row],[No clase]]=OFFSET(base_de_datos[[#This Row],[No clase]],-1,0),0,1)</f>
        <v>0</v>
      </c>
      <c r="AB128" s="117">
        <f ca="1">IF(NOT(OR(base_de_datos[[#This Row],[Horas totales]]=base_de_datos[[#This Row],[HT Plan]],base_de_datos[[#This Row],[Horas totales]]="N/A")),1,0)</f>
        <v>0</v>
      </c>
      <c r="AC128" s="116" t="str">
        <f>_xlfn.XLOOKUP(base_de_datos[[#This Row],[Profesor]],Nombre,Grado)</f>
        <v>E</v>
      </c>
      <c r="AD128" s="118" t="str">
        <f>_xlfn.XLOOKUP(base_de_datos[[#This Row],[Profesor]],Nombre,Tipo)</f>
        <v>TC</v>
      </c>
      <c r="AE128" s="116">
        <f>IF(IFERROR(VLOOKUP($C128,Planes_de_estudio[],MATCH($AE$2,Carreras,0)+2,0),"")&gt;0,IFERROR(VLOOKUP($C128,Planes_de_estudio[],MATCH($AE$2,Carreras,0)+2,0),""),"")</f>
        <v>4</v>
      </c>
      <c r="AF128" s="116" t="str">
        <f>IF(IFERROR(VLOOKUP($C128,Planes_de_estudio[],MATCH($AF$2,Carreras,0)+2,0),"")&gt;0,IFERROR(VLOOKUP($C128,Planes_de_estudio[],MATCH($AF$2,Carreras,0)+2,0),""),"")</f>
        <v/>
      </c>
      <c r="AG128" s="116" t="str">
        <f>IF(IFERROR(VLOOKUP($C128,Planes_de_estudio[],MATCH($AG$2,Carreras,0)+2,0),"")&gt;0,IFERROR(VLOOKUP($C128,Planes_de_estudio[],MATCH($AG$2,Carreras,0)+2,0),""),"")</f>
        <v/>
      </c>
      <c r="AH128" s="116" t="str">
        <f>IF(IFERROR(VLOOKUP($C128,Planes_de_estudio[],MATCH($AH$2,Carreras,0)+2,0),"")&gt;0,IFERROR(VLOOKUP($C128,Planes_de_estudio[],MATCH($AH$2,Carreras,0)+2,0),""),"")</f>
        <v/>
      </c>
      <c r="AI128" s="116" t="str">
        <f>IF(IFERROR(VLOOKUP($C128,Planes_de_estudio[],MATCH($AI$2,Carreras,0)+2,0),"")&gt;0,IFERROR(VLOOKUP($C128,Planes_de_estudio[],MATCH($AI$2,Carreras,0)+2,0),""),"")</f>
        <v/>
      </c>
      <c r="AJ128" s="116" t="str">
        <f>IF(IFERROR(VLOOKUP($C128,Planes_de_estudio[],MATCH($AJ$2,Carreras,0)+2,0),"")&gt;0,IFERROR(VLOOKUP($C128,Planes_de_estudio[],MATCH($AJ$2,Carreras,0)+2,0),""),"")</f>
        <v/>
      </c>
      <c r="AK128" s="116" t="str">
        <f>IF(IFERROR(VLOOKUP($C128,Planes_de_estudio[],MATCH($AK$2,Carreras,0)+2,0),"")&gt;0,IFERROR(VLOOKUP($C128,Planes_de_estudio[],MATCH($AK$2,Carreras,0)+2,0),""),"")</f>
        <v/>
      </c>
      <c r="AL128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28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19</v>
      </c>
      <c r="AN128" s="117">
        <f>base_de_datos[[#This Row],[Pronóstico]]/25</f>
        <v>0.76</v>
      </c>
      <c r="AO128" s="117" t="str">
        <f>VLOOKUP($C128,Planes_de_estudio[],2)</f>
        <v>MEC</v>
      </c>
      <c r="AP128" s="119" t="str">
        <f ca="1">IF(AND(base_de_datos[[#This Row],[Industrial]]&lt;&gt;"",base_de_datos[[#This Row],[Misma o no]]=1),base_de_datos[[#This Row],[Índice]],"")</f>
        <v/>
      </c>
      <c r="AQ128" s="119" t="str">
        <f ca="1">IF(AND(base_de_datos[[#This Row],[Mecatrónica]]&lt;&gt;"",base_de_datos[[#This Row],[Misma o no]]=1),base_de_datos[[#This Row],[Índice]],"")</f>
        <v/>
      </c>
      <c r="AR128" s="119" t="str">
        <f ca="1">IF(AND(base_de_datos[[#This Row],[Innovación y Diseño]]&lt;&gt;"",base_de_datos[[#This Row],[Misma o no]]=1),base_de_datos[[#This Row],[Índice]],"")</f>
        <v/>
      </c>
      <c r="AS128" s="119" t="str">
        <f ca="1">IF(AND(base_de_datos[[#This Row],[Inteligencia Artificial]]&lt;&gt;"",base_de_datos[[#This Row],[Misma o no]]=1),base_de_datos[[#This Row],[Índice]],"")</f>
        <v/>
      </c>
      <c r="AT128" s="119" t="str">
        <f ca="1">IF(AND(base_de_datos[[#This Row],[Tecnologías Energéticas]]&lt;&gt;"",base_de_datos[[#This Row],[Misma o no]]=1),base_de_datos[[#This Row],[Índice]],"")</f>
        <v/>
      </c>
      <c r="AU128" s="119" t="str">
        <f ca="1">IF(AND(base_de_datos[[#This Row],[Civil y Administración]]&lt;&gt;"",base_de_datos[[#This Row],[Misma o no]]=1),base_de_datos[[#This Row],[Índice]],"")</f>
        <v/>
      </c>
      <c r="AV128" s="119" t="str">
        <f ca="1">IF(AND(base_de_datos[[#This Row],[Bioelectrónica]]&lt;&gt;"",base_de_datos[[#This Row],[Misma o no]]=1),base_de_datos[[#This Row],[Índice]],"")</f>
        <v/>
      </c>
      <c r="AW128" s="120"/>
      <c r="AX128" s="4">
        <v>2</v>
      </c>
    </row>
    <row r="129" spans="2:50" s="6" customFormat="1" ht="13" x14ac:dyDescent="0.3">
      <c r="B129" s="6" t="s">
        <v>104</v>
      </c>
      <c r="C129" s="1" t="s">
        <v>343</v>
      </c>
      <c r="D129" s="4">
        <v>1</v>
      </c>
      <c r="E129" s="113">
        <v>0.83333333333333304</v>
      </c>
      <c r="F129" s="113">
        <v>0.91666666666665697</v>
      </c>
      <c r="G129" s="226" t="s">
        <v>87</v>
      </c>
      <c r="H129" s="4" t="s">
        <v>191</v>
      </c>
      <c r="I129" s="4"/>
      <c r="J129" s="231">
        <v>8</v>
      </c>
      <c r="K129" s="115"/>
      <c r="L129" s="3"/>
      <c r="M129" s="127"/>
      <c r="N129" s="3"/>
      <c r="O129" s="4" t="s">
        <v>344</v>
      </c>
      <c r="P129" s="114"/>
      <c r="Q129" s="114" t="s">
        <v>90</v>
      </c>
      <c r="R129" s="114"/>
      <c r="S129" s="114"/>
      <c r="T129" s="114"/>
      <c r="U129" s="114"/>
      <c r="V129" s="114"/>
      <c r="W129" s="114"/>
      <c r="X129" s="117">
        <f>_xlfn.XLOOKUP(base_de_datos[[#This Row],[Materia]],Materias,Horas)/16</f>
        <v>4</v>
      </c>
      <c r="Y129" s="117">
        <f>ROUND(((base_de_datos[[#This Row],[Hora fin]]-base_de_datos[[#This Row],[Hora inicio]])*24)*(COUNTA(base_de_datos[[#This Row],[Lunes]:[Sábado]])),1)</f>
        <v>2</v>
      </c>
      <c r="Z129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29" s="117">
        <f ca="1">IF(base_de_datos[[#This Row],[No clase]]=OFFSET(base_de_datos[[#This Row],[No clase]],-1,0),0,1)</f>
        <v>1</v>
      </c>
      <c r="AB129" s="117">
        <f ca="1">IF(NOT(OR(base_de_datos[[#This Row],[Horas totales]]=base_de_datos[[#This Row],[HT Plan]],base_de_datos[[#This Row],[Horas totales]]="N/A")),1,0)</f>
        <v>1</v>
      </c>
      <c r="AC129" s="117" t="str">
        <f>_xlfn.XLOOKUP(base_de_datos[[#This Row],[Profesor]],Nombre,Grado)</f>
        <v>M</v>
      </c>
      <c r="AD129" s="118" t="str">
        <f>_xlfn.XLOOKUP(base_de_datos[[#This Row],[Profesor]],Nombre,Tipo)</f>
        <v>TC</v>
      </c>
      <c r="AE129" s="117" t="str">
        <f>IF(IFERROR(VLOOKUP($C129,Planes_de_estudio[],MATCH($AE$2,Carreras,0)+2,0),"")&gt;0,IFERROR(VLOOKUP($C129,Planes_de_estudio[],MATCH($AE$2,Carreras,0)+2,0),""),"")</f>
        <v/>
      </c>
      <c r="AF129" s="117" t="str">
        <f>IF(IFERROR(VLOOKUP($C129,Planes_de_estudio[],MATCH($AF$2,Carreras,0)+2,0),"")&gt;0,IFERROR(VLOOKUP($C129,Planes_de_estudio[],MATCH($AF$2,Carreras,0)+2,0),""),"")</f>
        <v/>
      </c>
      <c r="AG129" s="117" t="str">
        <f>IF(IFERROR(VLOOKUP($C129,Planes_de_estudio[],MATCH($AG$2,Carreras,0)+2,0),"")&gt;0,IFERROR(VLOOKUP($C129,Planes_de_estudio[],MATCH($AG$2,Carreras,0)+2,0),""),"")</f>
        <v/>
      </c>
      <c r="AH129" s="117" t="str">
        <f>IF(IFERROR(VLOOKUP($C129,Planes_de_estudio[],MATCH($AH$2,Carreras,0)+2,0),"")&gt;0,IFERROR(VLOOKUP($C129,Planes_de_estudio[],MATCH($AH$2,Carreras,0)+2,0),""),"")</f>
        <v/>
      </c>
      <c r="AI129" s="117" t="str">
        <f>IF(IFERROR(VLOOKUP($C129,Planes_de_estudio[],MATCH($AI$2,Carreras,0)+2,0),"")&gt;0,IFERROR(VLOOKUP($C129,Planes_de_estudio[],MATCH($AI$2,Carreras,0)+2,0),""),"")</f>
        <v/>
      </c>
      <c r="AJ129" s="117">
        <f>IF(IFERROR(VLOOKUP($C129,Planes_de_estudio[],MATCH($AJ$2,Carreras,0)+2,0),"")&gt;0,IFERROR(VLOOKUP($C129,Planes_de_estudio[],MATCH($AJ$2,Carreras,0)+2,0),""),"")</f>
        <v>8</v>
      </c>
      <c r="AK129" s="117" t="str">
        <f>IF(IFERROR(VLOOKUP($C129,Planes_de_estudio[],MATCH($AK$2,Carreras,0)+2,0),"")&gt;0,IFERROR(VLOOKUP($C129,Planes_de_estudio[],MATCH($AK$2,Carreras,0)+2,0),""),"")</f>
        <v/>
      </c>
      <c r="AL129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29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14</v>
      </c>
      <c r="AN129" s="117">
        <f>base_de_datos[[#This Row],[Pronóstico]]/25</f>
        <v>0.56000000000000005</v>
      </c>
      <c r="AO129" s="117" t="str">
        <f>VLOOKUP($C129,Planes_de_estudio[],2)</f>
        <v>ESC</v>
      </c>
      <c r="AP129" s="119" t="str">
        <f ca="1">IF(AND(base_de_datos[[#This Row],[Industrial]]&lt;&gt;"",base_de_datos[[#This Row],[Misma o no]]=1),base_de_datos[[#This Row],[Índice]],"")</f>
        <v/>
      </c>
      <c r="AQ129" s="119" t="str">
        <f ca="1">IF(AND(base_de_datos[[#This Row],[Mecatrónica]]&lt;&gt;"",base_de_datos[[#This Row],[Misma o no]]=1),base_de_datos[[#This Row],[Índice]],"")</f>
        <v/>
      </c>
      <c r="AR129" s="119" t="str">
        <f ca="1">IF(AND(base_de_datos[[#This Row],[Innovación y Diseño]]&lt;&gt;"",base_de_datos[[#This Row],[Misma o no]]=1),base_de_datos[[#This Row],[Índice]],"")</f>
        <v/>
      </c>
      <c r="AS129" s="119" t="str">
        <f ca="1">IF(AND(base_de_datos[[#This Row],[Inteligencia Artificial]]&lt;&gt;"",base_de_datos[[#This Row],[Misma o no]]=1),base_de_datos[[#This Row],[Índice]],"")</f>
        <v/>
      </c>
      <c r="AT129" s="119" t="str">
        <f ca="1">IF(AND(base_de_datos[[#This Row],[Tecnologías Energéticas]]&lt;&gt;"",base_de_datos[[#This Row],[Misma o no]]=1),base_de_datos[[#This Row],[Índice]],"")</f>
        <v/>
      </c>
      <c r="AU129" s="119">
        <f ca="1">IF(AND(base_de_datos[[#This Row],[Civil y Administración]]&lt;&gt;"",base_de_datos[[#This Row],[Misma o no]]=1),base_de_datos[[#This Row],[Índice]],"")</f>
        <v>4</v>
      </c>
      <c r="AV129" s="119" t="str">
        <f ca="1">IF(AND(base_de_datos[[#This Row],[Bioelectrónica]]&lt;&gt;"",base_de_datos[[#This Row],[Misma o no]]=1),base_de_datos[[#This Row],[Índice]],"")</f>
        <v/>
      </c>
      <c r="AW129" s="120"/>
      <c r="AX129" s="4">
        <v>2</v>
      </c>
    </row>
    <row r="130" spans="2:50" s="6" customFormat="1" ht="12.75" customHeight="1" x14ac:dyDescent="0.3">
      <c r="B130" s="9" t="s">
        <v>281</v>
      </c>
      <c r="C130" s="1" t="s">
        <v>338</v>
      </c>
      <c r="D130" s="4">
        <v>1</v>
      </c>
      <c r="E130" s="113">
        <v>0.375</v>
      </c>
      <c r="F130" s="113">
        <v>0.45833333333333098</v>
      </c>
      <c r="G130" s="226" t="s">
        <v>92</v>
      </c>
      <c r="H130" s="4" t="s">
        <v>144</v>
      </c>
      <c r="I130" s="4"/>
      <c r="J130" s="114">
        <v>20</v>
      </c>
      <c r="K130" s="115"/>
      <c r="L130" s="3"/>
      <c r="M130" s="115"/>
      <c r="N130" s="3"/>
      <c r="O130" s="4" t="s">
        <v>339</v>
      </c>
      <c r="P130" s="114"/>
      <c r="Q130" s="114"/>
      <c r="R130" s="114"/>
      <c r="S130" s="114" t="s">
        <v>90</v>
      </c>
      <c r="T130" s="114"/>
      <c r="U130" s="114"/>
      <c r="V130" s="114" t="s">
        <v>90</v>
      </c>
      <c r="W130" s="114"/>
      <c r="X130" s="116">
        <f>_xlfn.XLOOKUP(base_de_datos[[#This Row],[Materia]],Materias,Horas)/16</f>
        <v>4</v>
      </c>
      <c r="Y130" s="116">
        <f>ROUND(((base_de_datos[[#This Row],[Hora fin]]-base_de_datos[[#This Row],[Hora inicio]])*24)*(COUNTA(base_de_datos[[#This Row],[Lunes]:[Sábado]])),1)</f>
        <v>2</v>
      </c>
      <c r="Z130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30" s="117">
        <f ca="1">IF(base_de_datos[[#This Row],[No clase]]=OFFSET(base_de_datos[[#This Row],[No clase]],-1,0),0,1)</f>
        <v>1</v>
      </c>
      <c r="AB130" s="117">
        <f ca="1">IF(NOT(OR(base_de_datos[[#This Row],[Horas totales]]=base_de_datos[[#This Row],[HT Plan]],base_de_datos[[#This Row],[Horas totales]]="N/A")),1,0)</f>
        <v>1</v>
      </c>
      <c r="AC130" s="116" t="str">
        <f>_xlfn.XLOOKUP(base_de_datos[[#This Row],[Profesor]],Nombre,Grado)</f>
        <v>M</v>
      </c>
      <c r="AD130" s="118" t="str">
        <f>_xlfn.XLOOKUP(base_de_datos[[#This Row],[Profesor]],Nombre,Tipo)</f>
        <v>TC</v>
      </c>
      <c r="AE130" s="116">
        <f>IF(IFERROR(VLOOKUP($C130,Planes_de_estudio[],MATCH($AE$2,Carreras,0)+2,0),"")&gt;0,IFERROR(VLOOKUP($C130,Planes_de_estudio[],MATCH($AE$2,Carreras,0)+2,0),""),"")</f>
        <v>4</v>
      </c>
      <c r="AF130" s="116" t="str">
        <f>IF(IFERROR(VLOOKUP($C130,Planes_de_estudio[],MATCH($AF$2,Carreras,0)+2,0),"")&gt;0,IFERROR(VLOOKUP($C130,Planes_de_estudio[],MATCH($AF$2,Carreras,0)+2,0),""),"")</f>
        <v/>
      </c>
      <c r="AG130" s="116" t="str">
        <f>IF(IFERROR(VLOOKUP($C130,Planes_de_estudio[],MATCH($AG$2,Carreras,0)+2,0),"")&gt;0,IFERROR(VLOOKUP($C130,Planes_de_estudio[],MATCH($AG$2,Carreras,0)+2,0),""),"")</f>
        <v/>
      </c>
      <c r="AH130" s="116" t="str">
        <f>IF(IFERROR(VLOOKUP($C130,Planes_de_estudio[],MATCH($AH$2,Carreras,0)+2,0),"")&gt;0,IFERROR(VLOOKUP($C130,Planes_de_estudio[],MATCH($AH$2,Carreras,0)+2,0),""),"")</f>
        <v/>
      </c>
      <c r="AI130" s="116" t="str">
        <f>IF(IFERROR(VLOOKUP($C130,Planes_de_estudio[],MATCH($AI$2,Carreras,0)+2,0),"")&gt;0,IFERROR(VLOOKUP($C130,Planes_de_estudio[],MATCH($AI$2,Carreras,0)+2,0),""),"")</f>
        <v/>
      </c>
      <c r="AJ130" s="116" t="str">
        <f>IF(IFERROR(VLOOKUP($C130,Planes_de_estudio[],MATCH($AJ$2,Carreras,0)+2,0),"")&gt;0,IFERROR(VLOOKUP($C130,Planes_de_estudio[],MATCH($AJ$2,Carreras,0)+2,0),""),"")</f>
        <v/>
      </c>
      <c r="AK130" s="116" t="str">
        <f>IF(IFERROR(VLOOKUP($C130,Planes_de_estudio[],MATCH($AK$2,Carreras,0)+2,0),"")&gt;0,IFERROR(VLOOKUP($C130,Planes_de_estudio[],MATCH($AK$2,Carreras,0)+2,0),""),"")</f>
        <v/>
      </c>
      <c r="AL130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30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19</v>
      </c>
      <c r="AN130" s="117">
        <f>base_de_datos[[#This Row],[Pronóstico]]/25</f>
        <v>0.76</v>
      </c>
      <c r="AO130" s="117" t="str">
        <f>VLOOKUP($C130,Planes_de_estudio[],2)</f>
        <v>DOP</v>
      </c>
      <c r="AP130" s="119">
        <f ca="1">IF(AND(base_de_datos[[#This Row],[Industrial]]&lt;&gt;"",base_de_datos[[#This Row],[Misma o no]]=1),base_de_datos[[#This Row],[Índice]],"")</f>
        <v>4</v>
      </c>
      <c r="AQ130" s="119" t="str">
        <f ca="1">IF(AND(base_de_datos[[#This Row],[Mecatrónica]]&lt;&gt;"",base_de_datos[[#This Row],[Misma o no]]=1),base_de_datos[[#This Row],[Índice]],"")</f>
        <v/>
      </c>
      <c r="AR130" s="119" t="str">
        <f ca="1">IF(AND(base_de_datos[[#This Row],[Innovación y Diseño]]&lt;&gt;"",base_de_datos[[#This Row],[Misma o no]]=1),base_de_datos[[#This Row],[Índice]],"")</f>
        <v/>
      </c>
      <c r="AS130" s="119" t="str">
        <f ca="1">IF(AND(base_de_datos[[#This Row],[Inteligencia Artificial]]&lt;&gt;"",base_de_datos[[#This Row],[Misma o no]]=1),base_de_datos[[#This Row],[Índice]],"")</f>
        <v/>
      </c>
      <c r="AT130" s="119" t="str">
        <f ca="1">IF(AND(base_de_datos[[#This Row],[Tecnologías Energéticas]]&lt;&gt;"",base_de_datos[[#This Row],[Misma o no]]=1),base_de_datos[[#This Row],[Índice]],"")</f>
        <v/>
      </c>
      <c r="AU130" s="119" t="str">
        <f ca="1">IF(AND(base_de_datos[[#This Row],[Civil y Administración]]&lt;&gt;"",base_de_datos[[#This Row],[Misma o no]]=1),base_de_datos[[#This Row],[Índice]],"")</f>
        <v/>
      </c>
      <c r="AV130" s="119" t="str">
        <f ca="1">IF(AND(base_de_datos[[#This Row],[Bioelectrónica]]&lt;&gt;"",base_de_datos[[#This Row],[Misma o no]]=1),base_de_datos[[#This Row],[Índice]],"")</f>
        <v/>
      </c>
      <c r="AW130" s="120"/>
      <c r="AX130" s="4">
        <v>2</v>
      </c>
    </row>
    <row r="131" spans="2:50" s="6" customFormat="1" ht="13" x14ac:dyDescent="0.3">
      <c r="B131" s="6" t="s">
        <v>104</v>
      </c>
      <c r="C131" s="1" t="s">
        <v>343</v>
      </c>
      <c r="D131" s="4">
        <v>1</v>
      </c>
      <c r="E131" s="113">
        <v>0.83333333333333304</v>
      </c>
      <c r="F131" s="113">
        <v>0.91666666666665697</v>
      </c>
      <c r="G131" s="4"/>
      <c r="H131" s="84" t="s">
        <v>106</v>
      </c>
      <c r="I131" s="4"/>
      <c r="J131" s="126">
        <v>8</v>
      </c>
      <c r="K131" s="115"/>
      <c r="L131" s="3"/>
      <c r="M131" s="127"/>
      <c r="N131" s="3"/>
      <c r="O131" s="4" t="s">
        <v>344</v>
      </c>
      <c r="P131" s="114"/>
      <c r="Q131" s="114"/>
      <c r="R131" s="114"/>
      <c r="S131" s="114" t="s">
        <v>90</v>
      </c>
      <c r="T131" s="114"/>
      <c r="U131" s="114"/>
      <c r="V131" s="114"/>
      <c r="W131" s="114"/>
      <c r="X131" s="117">
        <f>_xlfn.XLOOKUP(base_de_datos[[#This Row],[Materia]],Materias,Horas)/16</f>
        <v>4</v>
      </c>
      <c r="Y131" s="117">
        <f>ROUND(((base_de_datos[[#This Row],[Hora fin]]-base_de_datos[[#This Row],[Hora inicio]])*24)*(COUNTA(base_de_datos[[#This Row],[Lunes]:[Sábado]])),1)</f>
        <v>2</v>
      </c>
      <c r="Z131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31" s="117">
        <f ca="1">IF(base_de_datos[[#This Row],[No clase]]=OFFSET(base_de_datos[[#This Row],[No clase]],-1,0),0,1)</f>
        <v>1</v>
      </c>
      <c r="AB131" s="117">
        <f ca="1">IF(NOT(OR(base_de_datos[[#This Row],[Horas totales]]=base_de_datos[[#This Row],[HT Plan]],base_de_datos[[#This Row],[Horas totales]]="N/A")),1,0)</f>
        <v>1</v>
      </c>
      <c r="AC131" s="117" t="str">
        <f>_xlfn.XLOOKUP(base_de_datos[[#This Row],[Profesor]],Nombre,Grado)</f>
        <v>M</v>
      </c>
      <c r="AD131" s="118" t="str">
        <f>_xlfn.XLOOKUP(base_de_datos[[#This Row],[Profesor]],Nombre,Tipo)</f>
        <v>TC</v>
      </c>
      <c r="AE131" s="117" t="str">
        <f>IF(IFERROR(VLOOKUP($C131,Planes_de_estudio[],MATCH($AE$2,Carreras,0)+2,0),"")&gt;0,IFERROR(VLOOKUP($C131,Planes_de_estudio[],MATCH($AE$2,Carreras,0)+2,0),""),"")</f>
        <v/>
      </c>
      <c r="AF131" s="117" t="str">
        <f>IF(IFERROR(VLOOKUP($C131,Planes_de_estudio[],MATCH($AF$2,Carreras,0)+2,0),"")&gt;0,IFERROR(VLOOKUP($C131,Planes_de_estudio[],MATCH($AF$2,Carreras,0)+2,0),""),"")</f>
        <v/>
      </c>
      <c r="AG131" s="117" t="str">
        <f>IF(IFERROR(VLOOKUP($C131,Planes_de_estudio[],MATCH($AG$2,Carreras,0)+2,0),"")&gt;0,IFERROR(VLOOKUP($C131,Planes_de_estudio[],MATCH($AG$2,Carreras,0)+2,0),""),"")</f>
        <v/>
      </c>
      <c r="AH131" s="117" t="str">
        <f>IF(IFERROR(VLOOKUP($C131,Planes_de_estudio[],MATCH($AH$2,Carreras,0)+2,0),"")&gt;0,IFERROR(VLOOKUP($C131,Planes_de_estudio[],MATCH($AH$2,Carreras,0)+2,0),""),"")</f>
        <v/>
      </c>
      <c r="AI131" s="117" t="str">
        <f>IF(IFERROR(VLOOKUP($C131,Planes_de_estudio[],MATCH($AI$2,Carreras,0)+2,0),"")&gt;0,IFERROR(VLOOKUP($C131,Planes_de_estudio[],MATCH($AI$2,Carreras,0)+2,0),""),"")</f>
        <v/>
      </c>
      <c r="AJ131" s="117">
        <f>IF(IFERROR(VLOOKUP($C131,Planes_de_estudio[],MATCH($AJ$2,Carreras,0)+2,0),"")&gt;0,IFERROR(VLOOKUP($C131,Planes_de_estudio[],MATCH($AJ$2,Carreras,0)+2,0),""),"")</f>
        <v>8</v>
      </c>
      <c r="AK131" s="117" t="str">
        <f>IF(IFERROR(VLOOKUP($C131,Planes_de_estudio[],MATCH($AK$2,Carreras,0)+2,0),"")&gt;0,IFERROR(VLOOKUP($C131,Planes_de_estudio[],MATCH($AK$2,Carreras,0)+2,0),""),"")</f>
        <v/>
      </c>
      <c r="AL131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31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14</v>
      </c>
      <c r="AN131" s="117">
        <f>base_de_datos[[#This Row],[Pronóstico]]/25</f>
        <v>0.56000000000000005</v>
      </c>
      <c r="AO131" s="117" t="str">
        <f>VLOOKUP($C131,Planes_de_estudio[],2)</f>
        <v>ESC</v>
      </c>
      <c r="AP131" s="119" t="str">
        <f ca="1">IF(AND(base_de_datos[[#This Row],[Industrial]]&lt;&gt;"",base_de_datos[[#This Row],[Misma o no]]=1),base_de_datos[[#This Row],[Índice]],"")</f>
        <v/>
      </c>
      <c r="AQ131" s="119" t="str">
        <f ca="1">IF(AND(base_de_datos[[#This Row],[Mecatrónica]]&lt;&gt;"",base_de_datos[[#This Row],[Misma o no]]=1),base_de_datos[[#This Row],[Índice]],"")</f>
        <v/>
      </c>
      <c r="AR131" s="119" t="str">
        <f ca="1">IF(AND(base_de_datos[[#This Row],[Innovación y Diseño]]&lt;&gt;"",base_de_datos[[#This Row],[Misma o no]]=1),base_de_datos[[#This Row],[Índice]],"")</f>
        <v/>
      </c>
      <c r="AS131" s="119" t="str">
        <f ca="1">IF(AND(base_de_datos[[#This Row],[Inteligencia Artificial]]&lt;&gt;"",base_de_datos[[#This Row],[Misma o no]]=1),base_de_datos[[#This Row],[Índice]],"")</f>
        <v/>
      </c>
      <c r="AT131" s="119" t="str">
        <f ca="1">IF(AND(base_de_datos[[#This Row],[Tecnologías Energéticas]]&lt;&gt;"",base_de_datos[[#This Row],[Misma o no]]=1),base_de_datos[[#This Row],[Índice]],"")</f>
        <v/>
      </c>
      <c r="AU131" s="119">
        <f ca="1">IF(AND(base_de_datos[[#This Row],[Civil y Administración]]&lt;&gt;"",base_de_datos[[#This Row],[Misma o no]]=1),base_de_datos[[#This Row],[Índice]],"")</f>
        <v>4</v>
      </c>
      <c r="AV131" s="119" t="str">
        <f ca="1">IF(AND(base_de_datos[[#This Row],[Bioelectrónica]]&lt;&gt;"",base_de_datos[[#This Row],[Misma o no]]=1),base_de_datos[[#This Row],[Índice]],"")</f>
        <v/>
      </c>
      <c r="AW131" s="120"/>
      <c r="AX131" s="4">
        <v>2</v>
      </c>
    </row>
    <row r="132" spans="2:50" s="6" customFormat="1" ht="15" customHeight="1" x14ac:dyDescent="0.3">
      <c r="B132" s="9" t="s">
        <v>361</v>
      </c>
      <c r="C132" s="1" t="s">
        <v>362</v>
      </c>
      <c r="D132" s="4">
        <v>1</v>
      </c>
      <c r="E132" s="113">
        <v>0.375</v>
      </c>
      <c r="F132" s="113">
        <v>0.45833333333333098</v>
      </c>
      <c r="G132" s="4" t="s">
        <v>87</v>
      </c>
      <c r="H132" s="4" t="s">
        <v>191</v>
      </c>
      <c r="I132" s="4"/>
      <c r="J132" s="198">
        <v>11</v>
      </c>
      <c r="K132" s="115"/>
      <c r="L132" s="3"/>
      <c r="M132" s="115"/>
      <c r="N132" s="3"/>
      <c r="O132" s="4" t="s">
        <v>363</v>
      </c>
      <c r="P132" s="114"/>
      <c r="Q132" s="114" t="s">
        <v>90</v>
      </c>
      <c r="R132" s="114"/>
      <c r="S132" s="114"/>
      <c r="T132" s="114"/>
      <c r="U132" s="114"/>
      <c r="V132" s="114"/>
      <c r="W132" s="114"/>
      <c r="X132" s="117">
        <f>_xlfn.XLOOKUP(base_de_datos[[#This Row],[Materia]],Materias,Horas)/16</f>
        <v>4</v>
      </c>
      <c r="Y132" s="117">
        <f>ROUND(((base_de_datos[[#This Row],[Hora fin]]-base_de_datos[[#This Row],[Hora inicio]])*24)*(COUNTA(base_de_datos[[#This Row],[Lunes]:[Sábado]])),1)</f>
        <v>2</v>
      </c>
      <c r="Z132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32" s="117">
        <f ca="1">IF(base_de_datos[[#This Row],[No clase]]=OFFSET(base_de_datos[[#This Row],[No clase]],-1,0),0,1)</f>
        <v>1</v>
      </c>
      <c r="AB132" s="117">
        <f ca="1">IF(NOT(OR(base_de_datos[[#This Row],[Horas totales]]=base_de_datos[[#This Row],[HT Plan]],base_de_datos[[#This Row],[Horas totales]]="N/A")),1,0)</f>
        <v>1</v>
      </c>
      <c r="AC132" s="117" t="str">
        <f>_xlfn.XLOOKUP(base_de_datos[[#This Row],[Profesor]],Nombre,Grado)</f>
        <v>M</v>
      </c>
      <c r="AD132" s="118" t="str">
        <f>_xlfn.XLOOKUP(base_de_datos[[#This Row],[Profesor]],Nombre,Tipo)</f>
        <v>A</v>
      </c>
      <c r="AE132" s="117" t="str">
        <f>IF(IFERROR(VLOOKUP($C132,Planes_de_estudio[],MATCH($AE$2,Carreras,0)+2,0),"")&gt;0,IFERROR(VLOOKUP($C132,Planes_de_estudio[],MATCH($AE$2,Carreras,0)+2,0),""),"")</f>
        <v/>
      </c>
      <c r="AF132" s="117" t="str">
        <f>IF(IFERROR(VLOOKUP($C132,Planes_de_estudio[],MATCH($AF$2,Carreras,0)+2,0),"")&gt;0,IFERROR(VLOOKUP($C132,Planes_de_estudio[],MATCH($AF$2,Carreras,0)+2,0),""),"")</f>
        <v/>
      </c>
      <c r="AG132" s="117" t="str">
        <f>IF(IFERROR(VLOOKUP($C132,Planes_de_estudio[],MATCH($AG$2,Carreras,0)+2,0),"")&gt;0,IFERROR(VLOOKUP($C132,Planes_de_estudio[],MATCH($AG$2,Carreras,0)+2,0),""),"")</f>
        <v/>
      </c>
      <c r="AH132" s="117" t="str">
        <f>IF(IFERROR(VLOOKUP($C132,Planes_de_estudio[],MATCH($AH$2,Carreras,0)+2,0),"")&gt;0,IFERROR(VLOOKUP($C132,Planes_de_estudio[],MATCH($AH$2,Carreras,0)+2,0),""),"")</f>
        <v/>
      </c>
      <c r="AI132" s="117" t="str">
        <f>IF(IFERROR(VLOOKUP($C132,Planes_de_estudio[],MATCH($AI$2,Carreras,0)+2,0),"")&gt;0,IFERROR(VLOOKUP($C132,Planes_de_estudio[],MATCH($AI$2,Carreras,0)+2,0),""),"")</f>
        <v/>
      </c>
      <c r="AJ132" s="117">
        <f>IF(IFERROR(VLOOKUP($C132,Planes_de_estudio[],MATCH($AJ$2,Carreras,0)+2,0),"")&gt;0,IFERROR(VLOOKUP($C132,Planes_de_estudio[],MATCH($AJ$2,Carreras,0)+2,0),""),"")</f>
        <v>4</v>
      </c>
      <c r="AK132" s="117" t="str">
        <f>IF(IFERROR(VLOOKUP($C132,Planes_de_estudio[],MATCH($AK$2,Carreras,0)+2,0),"")&gt;0,IFERROR(VLOOKUP($C132,Planes_de_estudio[],MATCH($AK$2,Carreras,0)+2,0),""),"")</f>
        <v/>
      </c>
      <c r="AL132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32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</v>
      </c>
      <c r="AN132" s="117">
        <f>base_de_datos[[#This Row],[Pronóstico]]/25</f>
        <v>0.44</v>
      </c>
      <c r="AO132" s="117" t="str">
        <f>VLOOKUP($C132,Planes_de_estudio[],2)</f>
        <v>ESC</v>
      </c>
      <c r="AP132" s="119" t="str">
        <f ca="1">IF(AND(base_de_datos[[#This Row],[Industrial]]&lt;&gt;"",base_de_datos[[#This Row],[Misma o no]]=1),base_de_datos[[#This Row],[Índice]],"")</f>
        <v/>
      </c>
      <c r="AQ132" s="119" t="str">
        <f ca="1">IF(AND(base_de_datos[[#This Row],[Mecatrónica]]&lt;&gt;"",base_de_datos[[#This Row],[Misma o no]]=1),base_de_datos[[#This Row],[Índice]],"")</f>
        <v/>
      </c>
      <c r="AR132" s="119" t="str">
        <f ca="1">IF(AND(base_de_datos[[#This Row],[Innovación y Diseño]]&lt;&gt;"",base_de_datos[[#This Row],[Misma o no]]=1),base_de_datos[[#This Row],[Índice]],"")</f>
        <v/>
      </c>
      <c r="AS132" s="119" t="str">
        <f ca="1">IF(AND(base_de_datos[[#This Row],[Inteligencia Artificial]]&lt;&gt;"",base_de_datos[[#This Row],[Misma o no]]=1),base_de_datos[[#This Row],[Índice]],"")</f>
        <v/>
      </c>
      <c r="AT132" s="119" t="str">
        <f ca="1">IF(AND(base_de_datos[[#This Row],[Tecnologías Energéticas]]&lt;&gt;"",base_de_datos[[#This Row],[Misma o no]]=1),base_de_datos[[#This Row],[Índice]],"")</f>
        <v/>
      </c>
      <c r="AU132" s="119">
        <f ca="1">IF(AND(base_de_datos[[#This Row],[Civil y Administración]]&lt;&gt;"",base_de_datos[[#This Row],[Misma o no]]=1),base_de_datos[[#This Row],[Índice]],"")</f>
        <v>4</v>
      </c>
      <c r="AV132" s="119" t="str">
        <f ca="1">IF(AND(base_de_datos[[#This Row],[Bioelectrónica]]&lt;&gt;"",base_de_datos[[#This Row],[Misma o no]]=1),base_de_datos[[#This Row],[Índice]],"")</f>
        <v/>
      </c>
      <c r="AW132" s="120"/>
      <c r="AX132" s="4">
        <v>1</v>
      </c>
    </row>
    <row r="133" spans="2:50" s="6" customFormat="1" ht="13" x14ac:dyDescent="0.3">
      <c r="B133" s="6" t="s">
        <v>345</v>
      </c>
      <c r="C133" s="1" t="s">
        <v>346</v>
      </c>
      <c r="D133" s="4">
        <v>1</v>
      </c>
      <c r="E133" s="113">
        <v>0.83333333333333304</v>
      </c>
      <c r="F133" s="113">
        <v>0.91666666666665697</v>
      </c>
      <c r="G133" s="4" t="s">
        <v>87</v>
      </c>
      <c r="H133" s="4" t="s">
        <v>102</v>
      </c>
      <c r="I133" s="4"/>
      <c r="J133" s="199">
        <v>3</v>
      </c>
      <c r="K133" s="115"/>
      <c r="L133" s="3"/>
      <c r="M133" s="127"/>
      <c r="N133" s="3"/>
      <c r="O133" s="4" t="s">
        <v>347</v>
      </c>
      <c r="P133" s="114" t="s">
        <v>90</v>
      </c>
      <c r="Q133" s="114"/>
      <c r="R133" s="114" t="s">
        <v>90</v>
      </c>
      <c r="S133" s="114"/>
      <c r="T133" s="114"/>
      <c r="U133" s="114"/>
      <c r="V133" s="114"/>
      <c r="W133" s="114"/>
      <c r="X133" s="117">
        <f>_xlfn.XLOOKUP(base_de_datos[[#This Row],[Materia]],Materias,Horas)/16</f>
        <v>4</v>
      </c>
      <c r="Y133" s="117">
        <f>ROUND(((base_de_datos[[#This Row],[Hora fin]]-base_de_datos[[#This Row],[Hora inicio]])*24)*(COUNTA(base_de_datos[[#This Row],[Lunes]:[Sábado]])),1)</f>
        <v>4</v>
      </c>
      <c r="Z133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33" s="117">
        <f ca="1">IF(base_de_datos[[#This Row],[No clase]]=OFFSET(base_de_datos[[#This Row],[No clase]],-1,0),0,1)</f>
        <v>1</v>
      </c>
      <c r="AB133" s="117">
        <f ca="1">IF(NOT(OR(base_de_datos[[#This Row],[Horas totales]]=base_de_datos[[#This Row],[HT Plan]],base_de_datos[[#This Row],[Horas totales]]="N/A")),1,0)</f>
        <v>0</v>
      </c>
      <c r="AC133" s="117" t="str">
        <f>_xlfn.XLOOKUP(base_de_datos[[#This Row],[Profesor]],Nombre,Grado)</f>
        <v>SNI</v>
      </c>
      <c r="AD133" s="118" t="str">
        <f>_xlfn.XLOOKUP(base_de_datos[[#This Row],[Profesor]],Nombre,Tipo)</f>
        <v>A</v>
      </c>
      <c r="AE133" s="117" t="str">
        <f>IF(IFERROR(VLOOKUP($C133,Planes_de_estudio[],MATCH($AE$2,Carreras,0)+2,0),"")&gt;0,IFERROR(VLOOKUP($C133,Planes_de_estudio[],MATCH($AE$2,Carreras,0)+2,0),""),"")</f>
        <v/>
      </c>
      <c r="AF133" s="117" t="str">
        <f>IF(IFERROR(VLOOKUP($C133,Planes_de_estudio[],MATCH($AF$2,Carreras,0)+2,0),"")&gt;0,IFERROR(VLOOKUP($C133,Planes_de_estudio[],MATCH($AF$2,Carreras,0)+2,0),""),"")</f>
        <v/>
      </c>
      <c r="AG133" s="117" t="str">
        <f>IF(IFERROR(VLOOKUP($C133,Planes_de_estudio[],MATCH($AG$2,Carreras,0)+2,0),"")&gt;0,IFERROR(VLOOKUP($C133,Planes_de_estudio[],MATCH($AG$2,Carreras,0)+2,0),""),"")</f>
        <v/>
      </c>
      <c r="AH133" s="117" t="str">
        <f>IF(IFERROR(VLOOKUP($C133,Planes_de_estudio[],MATCH($AH$2,Carreras,0)+2,0),"")&gt;0,IFERROR(VLOOKUP($C133,Planes_de_estudio[],MATCH($AH$2,Carreras,0)+2,0),""),"")</f>
        <v/>
      </c>
      <c r="AI133" s="117">
        <f>IF(IFERROR(VLOOKUP($C133,Planes_de_estudio[],MATCH($AI$2,Carreras,0)+2,0),"")&gt;0,IFERROR(VLOOKUP($C133,Planes_de_estudio[],MATCH($AI$2,Carreras,0)+2,0),""),"")</f>
        <v>6</v>
      </c>
      <c r="AJ133" s="117" t="str">
        <f>IF(IFERROR(VLOOKUP($C133,Planes_de_estudio[],MATCH($AJ$2,Carreras,0)+2,0),"")&gt;0,IFERROR(VLOOKUP($C133,Planes_de_estudio[],MATCH($AJ$2,Carreras,0)+2,0),""),"")</f>
        <v/>
      </c>
      <c r="AK133" s="117" t="str">
        <f>IF(IFERROR(VLOOKUP($C133,Planes_de_estudio[],MATCH($AK$2,Carreras,0)+2,0),"")&gt;0,IFERROR(VLOOKUP($C133,Planes_de_estudio[],MATCH($AK$2,Carreras,0)+2,0),""),"")</f>
        <v/>
      </c>
      <c r="AL133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33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</v>
      </c>
      <c r="AN133" s="117">
        <f>base_de_datos[[#This Row],[Pronóstico]]/25</f>
        <v>0.12</v>
      </c>
      <c r="AO133" s="117" t="str">
        <f>VLOOKUP($C133,Planes_de_estudio[],2)</f>
        <v>COM</v>
      </c>
      <c r="AP133" s="119" t="str">
        <f ca="1">IF(AND(base_de_datos[[#This Row],[Industrial]]&lt;&gt;"",base_de_datos[[#This Row],[Misma o no]]=1),base_de_datos[[#This Row],[Índice]],"")</f>
        <v/>
      </c>
      <c r="AQ133" s="119" t="str">
        <f ca="1">IF(AND(base_de_datos[[#This Row],[Mecatrónica]]&lt;&gt;"",base_de_datos[[#This Row],[Misma o no]]=1),base_de_datos[[#This Row],[Índice]],"")</f>
        <v/>
      </c>
      <c r="AR133" s="119" t="str">
        <f ca="1">IF(AND(base_de_datos[[#This Row],[Innovación y Diseño]]&lt;&gt;"",base_de_datos[[#This Row],[Misma o no]]=1),base_de_datos[[#This Row],[Índice]],"")</f>
        <v/>
      </c>
      <c r="AS133" s="119" t="str">
        <f ca="1">IF(AND(base_de_datos[[#This Row],[Inteligencia Artificial]]&lt;&gt;"",base_de_datos[[#This Row],[Misma o no]]=1),base_de_datos[[#This Row],[Índice]],"")</f>
        <v/>
      </c>
      <c r="AT133" s="119">
        <f ca="1">IF(AND(base_de_datos[[#This Row],[Tecnologías Energéticas]]&lt;&gt;"",base_de_datos[[#This Row],[Misma o no]]=1),base_de_datos[[#This Row],[Índice]],"")</f>
        <v>6</v>
      </c>
      <c r="AU133" s="119" t="str">
        <f ca="1">IF(AND(base_de_datos[[#This Row],[Civil y Administración]]&lt;&gt;"",base_de_datos[[#This Row],[Misma o no]]=1),base_de_datos[[#This Row],[Índice]],"")</f>
        <v/>
      </c>
      <c r="AV133" s="119" t="str">
        <f ca="1">IF(AND(base_de_datos[[#This Row],[Bioelectrónica]]&lt;&gt;"",base_de_datos[[#This Row],[Misma o no]]=1),base_de_datos[[#This Row],[Índice]],"")</f>
        <v/>
      </c>
      <c r="AW133" s="120"/>
      <c r="AX133" s="4">
        <v>2</v>
      </c>
    </row>
    <row r="134" spans="2:50" s="6" customFormat="1" ht="13" x14ac:dyDescent="0.3">
      <c r="B134" s="9" t="s">
        <v>281</v>
      </c>
      <c r="C134" s="1" t="s">
        <v>338</v>
      </c>
      <c r="D134" s="4">
        <v>1</v>
      </c>
      <c r="E134" s="113">
        <v>0.5</v>
      </c>
      <c r="F134" s="113">
        <v>0.58333333333332904</v>
      </c>
      <c r="G134" s="226" t="s">
        <v>92</v>
      </c>
      <c r="H134" s="4" t="s">
        <v>340</v>
      </c>
      <c r="I134" s="4"/>
      <c r="J134" s="126">
        <v>20</v>
      </c>
      <c r="K134" s="115"/>
      <c r="L134" s="3"/>
      <c r="M134" s="127"/>
      <c r="N134" s="3"/>
      <c r="O134" s="4" t="s">
        <v>339</v>
      </c>
      <c r="P134" s="114"/>
      <c r="Q134" s="114"/>
      <c r="R134" s="114" t="s">
        <v>90</v>
      </c>
      <c r="S134" s="114"/>
      <c r="T134" s="114"/>
      <c r="U134" s="114"/>
      <c r="V134" s="114" t="s">
        <v>90</v>
      </c>
      <c r="W134" s="114"/>
      <c r="X134" s="117">
        <f>_xlfn.XLOOKUP(base_de_datos[[#This Row],[Materia]],Materias,Horas)/16</f>
        <v>4</v>
      </c>
      <c r="Y134" s="117">
        <f>ROUND(((base_de_datos[[#This Row],[Hora fin]]-base_de_datos[[#This Row],[Hora inicio]])*24)*(COUNTA(base_de_datos[[#This Row],[Lunes]:[Sábado]])),1)</f>
        <v>2</v>
      </c>
      <c r="Z134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34" s="117">
        <f ca="1">IF(base_de_datos[[#This Row],[No clase]]=OFFSET(base_de_datos[[#This Row],[No clase]],-1,0),0,1)</f>
        <v>1</v>
      </c>
      <c r="AB134" s="117">
        <f ca="1">IF(NOT(OR(base_de_datos[[#This Row],[Horas totales]]=base_de_datos[[#This Row],[HT Plan]],base_de_datos[[#This Row],[Horas totales]]="N/A")),1,0)</f>
        <v>1</v>
      </c>
      <c r="AC134" s="117" t="str">
        <f>_xlfn.XLOOKUP(base_de_datos[[#This Row],[Profesor]],Nombre,Grado)</f>
        <v>M</v>
      </c>
      <c r="AD134" s="118" t="str">
        <f>_xlfn.XLOOKUP(base_de_datos[[#This Row],[Profesor]],Nombre,Tipo)</f>
        <v>TC</v>
      </c>
      <c r="AE134" s="117">
        <f>IF(IFERROR(VLOOKUP($C134,Planes_de_estudio[],MATCH($AE$2,Carreras,0)+2,0),"")&gt;0,IFERROR(VLOOKUP($C134,Planes_de_estudio[],MATCH($AE$2,Carreras,0)+2,0),""),"")</f>
        <v>4</v>
      </c>
      <c r="AF134" s="117" t="str">
        <f>IF(IFERROR(VLOOKUP($C134,Planes_de_estudio[],MATCH($AF$2,Carreras,0)+2,0),"")&gt;0,IFERROR(VLOOKUP($C134,Planes_de_estudio[],MATCH($AF$2,Carreras,0)+2,0),""),"")</f>
        <v/>
      </c>
      <c r="AG134" s="117" t="str">
        <f>IF(IFERROR(VLOOKUP($C134,Planes_de_estudio[],MATCH($AG$2,Carreras,0)+2,0),"")&gt;0,IFERROR(VLOOKUP($C134,Planes_de_estudio[],MATCH($AG$2,Carreras,0)+2,0),""),"")</f>
        <v/>
      </c>
      <c r="AH134" s="117" t="str">
        <f>IF(IFERROR(VLOOKUP($C134,Planes_de_estudio[],MATCH($AH$2,Carreras,0)+2,0),"")&gt;0,IFERROR(VLOOKUP($C134,Planes_de_estudio[],MATCH($AH$2,Carreras,0)+2,0),""),"")</f>
        <v/>
      </c>
      <c r="AI134" s="117" t="str">
        <f>IF(IFERROR(VLOOKUP($C134,Planes_de_estudio[],MATCH($AI$2,Carreras,0)+2,0),"")&gt;0,IFERROR(VLOOKUP($C134,Planes_de_estudio[],MATCH($AI$2,Carreras,0)+2,0),""),"")</f>
        <v/>
      </c>
      <c r="AJ134" s="117" t="str">
        <f>IF(IFERROR(VLOOKUP($C134,Planes_de_estudio[],MATCH($AJ$2,Carreras,0)+2,0),"")&gt;0,IFERROR(VLOOKUP($C134,Planes_de_estudio[],MATCH($AJ$2,Carreras,0)+2,0),""),"")</f>
        <v/>
      </c>
      <c r="AK134" s="117" t="str">
        <f>IF(IFERROR(VLOOKUP($C134,Planes_de_estudio[],MATCH($AK$2,Carreras,0)+2,0),"")&gt;0,IFERROR(VLOOKUP($C134,Planes_de_estudio[],MATCH($AK$2,Carreras,0)+2,0),""),"")</f>
        <v/>
      </c>
      <c r="AL134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34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19</v>
      </c>
      <c r="AN134" s="117">
        <f>base_de_datos[[#This Row],[Pronóstico]]/25</f>
        <v>0.76</v>
      </c>
      <c r="AO134" s="117" t="str">
        <f>VLOOKUP($C134,Planes_de_estudio[],2)</f>
        <v>DOP</v>
      </c>
      <c r="AP134" s="119">
        <f ca="1">IF(AND(base_de_datos[[#This Row],[Industrial]]&lt;&gt;"",base_de_datos[[#This Row],[Misma o no]]=1),base_de_datos[[#This Row],[Índice]],"")</f>
        <v>4</v>
      </c>
      <c r="AQ134" s="119" t="str">
        <f ca="1">IF(AND(base_de_datos[[#This Row],[Mecatrónica]]&lt;&gt;"",base_de_datos[[#This Row],[Misma o no]]=1),base_de_datos[[#This Row],[Índice]],"")</f>
        <v/>
      </c>
      <c r="AR134" s="119" t="str">
        <f ca="1">IF(AND(base_de_datos[[#This Row],[Innovación y Diseño]]&lt;&gt;"",base_de_datos[[#This Row],[Misma o no]]=1),base_de_datos[[#This Row],[Índice]],"")</f>
        <v/>
      </c>
      <c r="AS134" s="119" t="str">
        <f ca="1">IF(AND(base_de_datos[[#This Row],[Inteligencia Artificial]]&lt;&gt;"",base_de_datos[[#This Row],[Misma o no]]=1),base_de_datos[[#This Row],[Índice]],"")</f>
        <v/>
      </c>
      <c r="AT134" s="119" t="str">
        <f ca="1">IF(AND(base_de_datos[[#This Row],[Tecnologías Energéticas]]&lt;&gt;"",base_de_datos[[#This Row],[Misma o no]]=1),base_de_datos[[#This Row],[Índice]],"")</f>
        <v/>
      </c>
      <c r="AU134" s="119" t="str">
        <f ca="1">IF(AND(base_de_datos[[#This Row],[Civil y Administración]]&lt;&gt;"",base_de_datos[[#This Row],[Misma o no]]=1),base_de_datos[[#This Row],[Índice]],"")</f>
        <v/>
      </c>
      <c r="AV134" s="119" t="str">
        <f ca="1">IF(AND(base_de_datos[[#This Row],[Bioelectrónica]]&lt;&gt;"",base_de_datos[[#This Row],[Misma o no]]=1),base_de_datos[[#This Row],[Índice]],"")</f>
        <v/>
      </c>
      <c r="AW134" s="120"/>
      <c r="AX134" s="4">
        <v>2</v>
      </c>
    </row>
    <row r="135" spans="2:50" s="6" customFormat="1" ht="13" x14ac:dyDescent="0.3">
      <c r="B135" s="9" t="s">
        <v>348</v>
      </c>
      <c r="C135" s="1" t="s">
        <v>349</v>
      </c>
      <c r="D135" s="4">
        <v>1</v>
      </c>
      <c r="E135" s="113">
        <v>0.33333333333333298</v>
      </c>
      <c r="F135" s="113">
        <v>0.45833333333333098</v>
      </c>
      <c r="G135" s="4" t="s">
        <v>87</v>
      </c>
      <c r="H135" s="4" t="s">
        <v>95</v>
      </c>
      <c r="I135" s="4"/>
      <c r="J135" s="198">
        <v>23</v>
      </c>
      <c r="K135" s="115"/>
      <c r="L135" s="3"/>
      <c r="M135" s="115"/>
      <c r="N135" s="3"/>
      <c r="O135" s="4">
        <v>1730</v>
      </c>
      <c r="P135" s="114"/>
      <c r="Q135" s="114" t="s">
        <v>90</v>
      </c>
      <c r="R135" s="114"/>
      <c r="S135" s="114"/>
      <c r="T135" s="114"/>
      <c r="U135" s="114"/>
      <c r="V135" s="114"/>
      <c r="W135" s="114"/>
      <c r="X135" s="116">
        <f>_xlfn.XLOOKUP(base_de_datos[[#This Row],[Materia]],Materias,Horas)/16</f>
        <v>3</v>
      </c>
      <c r="Y135" s="116">
        <f>ROUND(((base_de_datos[[#This Row],[Hora fin]]-base_de_datos[[#This Row],[Hora inicio]])*24)*(COUNTA(base_de_datos[[#This Row],[Lunes]:[Sábado]])),1)</f>
        <v>3</v>
      </c>
      <c r="Z135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35" s="117">
        <f ca="1">IF(base_de_datos[[#This Row],[No clase]]=OFFSET(base_de_datos[[#This Row],[No clase]],-1,0),0,1)</f>
        <v>1</v>
      </c>
      <c r="AB135" s="117">
        <f ca="1">IF(NOT(OR(base_de_datos[[#This Row],[Horas totales]]=base_de_datos[[#This Row],[HT Plan]],base_de_datos[[#This Row],[Horas totales]]="N/A")),1,0)</f>
        <v>0</v>
      </c>
      <c r="AC135" s="116" t="str">
        <f>_xlfn.XLOOKUP(base_de_datos[[#This Row],[Profesor]],Nombre,Grado)</f>
        <v>M</v>
      </c>
      <c r="AD135" s="118" t="str">
        <f>_xlfn.XLOOKUP(base_de_datos[[#This Row],[Profesor]],Nombre,Tipo)</f>
        <v>OA</v>
      </c>
      <c r="AE135" s="116">
        <f>IF(IFERROR(VLOOKUP($C135,Planes_de_estudio[],MATCH($AE$2,Carreras,0)+2,0),"")&gt;0,IFERROR(VLOOKUP($C135,Planes_de_estudio[],MATCH($AE$2,Carreras,0)+2,0),""),"")</f>
        <v>4</v>
      </c>
      <c r="AF135" s="116" t="str">
        <f>IF(IFERROR(VLOOKUP($C135,Planes_de_estudio[],MATCH($AF$2,Carreras,0)+2,0),"")&gt;0,IFERROR(VLOOKUP($C135,Planes_de_estudio[],MATCH($AF$2,Carreras,0)+2,0),""),"")</f>
        <v/>
      </c>
      <c r="AG135" s="116" t="str">
        <f>IF(IFERROR(VLOOKUP($C135,Planes_de_estudio[],MATCH($AG$2,Carreras,0)+2,0),"")&gt;0,IFERROR(VLOOKUP($C135,Planes_de_estudio[],MATCH($AG$2,Carreras,0)+2,0),""),"")</f>
        <v/>
      </c>
      <c r="AH135" s="116" t="str">
        <f>IF(IFERROR(VLOOKUP($C135,Planes_de_estudio[],MATCH($AH$2,Carreras,0)+2,0),"")&gt;0,IFERROR(VLOOKUP($C135,Planes_de_estudio[],MATCH($AH$2,Carreras,0)+2,0),""),"")</f>
        <v/>
      </c>
      <c r="AI135" s="116" t="str">
        <f>IF(IFERROR(VLOOKUP($C135,Planes_de_estudio[],MATCH($AI$2,Carreras,0)+2,0),"")&gt;0,IFERROR(VLOOKUP($C135,Planes_de_estudio[],MATCH($AI$2,Carreras,0)+2,0),""),"")</f>
        <v/>
      </c>
      <c r="AJ135" s="116" t="str">
        <f>IF(IFERROR(VLOOKUP($C135,Planes_de_estudio[],MATCH($AJ$2,Carreras,0)+2,0),"")&gt;0,IFERROR(VLOOKUP($C135,Planes_de_estudio[],MATCH($AJ$2,Carreras,0)+2,0),""),"")</f>
        <v/>
      </c>
      <c r="AK135" s="116" t="str">
        <f>IF(IFERROR(VLOOKUP($C135,Planes_de_estudio[],MATCH($AK$2,Carreras,0)+2,0),"")&gt;0,IFERROR(VLOOKUP($C135,Planes_de_estudio[],MATCH($AK$2,Carreras,0)+2,0),""),"")</f>
        <v/>
      </c>
      <c r="AL135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35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19</v>
      </c>
      <c r="AN135" s="117">
        <f>base_de_datos[[#This Row],[Pronóstico]]/25</f>
        <v>0.76</v>
      </c>
      <c r="AO135" s="117" t="str">
        <f>VLOOKUP($C135,Planes_de_estudio[],2)</f>
        <v>DOP</v>
      </c>
      <c r="AP135" s="119">
        <f ca="1">IF(AND(base_de_datos[[#This Row],[Industrial]]&lt;&gt;"",base_de_datos[[#This Row],[Misma o no]]=1),base_de_datos[[#This Row],[Índice]],"")</f>
        <v>4</v>
      </c>
      <c r="AQ135" s="119" t="str">
        <f ca="1">IF(AND(base_de_datos[[#This Row],[Mecatrónica]]&lt;&gt;"",base_de_datos[[#This Row],[Misma o no]]=1),base_de_datos[[#This Row],[Índice]],"")</f>
        <v/>
      </c>
      <c r="AR135" s="119" t="str">
        <f ca="1">IF(AND(base_de_datos[[#This Row],[Innovación y Diseño]]&lt;&gt;"",base_de_datos[[#This Row],[Misma o no]]=1),base_de_datos[[#This Row],[Índice]],"")</f>
        <v/>
      </c>
      <c r="AS135" s="119" t="str">
        <f ca="1">IF(AND(base_de_datos[[#This Row],[Inteligencia Artificial]]&lt;&gt;"",base_de_datos[[#This Row],[Misma o no]]=1),base_de_datos[[#This Row],[Índice]],"")</f>
        <v/>
      </c>
      <c r="AT135" s="119" t="str">
        <f ca="1">IF(AND(base_de_datos[[#This Row],[Tecnologías Energéticas]]&lt;&gt;"",base_de_datos[[#This Row],[Misma o no]]=1),base_de_datos[[#This Row],[Índice]],"")</f>
        <v/>
      </c>
      <c r="AU135" s="119" t="str">
        <f ca="1">IF(AND(base_de_datos[[#This Row],[Civil y Administración]]&lt;&gt;"",base_de_datos[[#This Row],[Misma o no]]=1),base_de_datos[[#This Row],[Índice]],"")</f>
        <v/>
      </c>
      <c r="AV135" s="119" t="str">
        <f ca="1">IF(AND(base_de_datos[[#This Row],[Bioelectrónica]]&lt;&gt;"",base_de_datos[[#This Row],[Misma o no]]=1),base_de_datos[[#This Row],[Índice]],"")</f>
        <v/>
      </c>
      <c r="AW135" s="120"/>
      <c r="AX135" s="4">
        <v>3</v>
      </c>
    </row>
    <row r="136" spans="2:50" s="6" customFormat="1" ht="13" x14ac:dyDescent="0.3">
      <c r="B136" s="6" t="s">
        <v>353</v>
      </c>
      <c r="C136" s="1" t="s">
        <v>354</v>
      </c>
      <c r="D136" s="4">
        <v>1</v>
      </c>
      <c r="E136" s="113">
        <v>0.79166666666666696</v>
      </c>
      <c r="F136" s="113">
        <v>0.87499999999999001</v>
      </c>
      <c r="G136" s="4" t="s">
        <v>87</v>
      </c>
      <c r="H136" s="4" t="s">
        <v>355</v>
      </c>
      <c r="I136" s="4"/>
      <c r="J136" s="126">
        <v>11</v>
      </c>
      <c r="K136" s="115"/>
      <c r="L136" s="3"/>
      <c r="M136" s="127"/>
      <c r="N136" s="3"/>
      <c r="O136" s="4" t="s">
        <v>356</v>
      </c>
      <c r="P136" s="114"/>
      <c r="Q136" s="114"/>
      <c r="R136" s="114" t="s">
        <v>90</v>
      </c>
      <c r="S136" s="114"/>
      <c r="T136" s="114"/>
      <c r="U136" s="114"/>
      <c r="V136" s="114"/>
      <c r="W136" s="114"/>
      <c r="X136" s="117">
        <f>_xlfn.XLOOKUP(base_de_datos[[#This Row],[Materia]],Materias,Horas)/16</f>
        <v>2</v>
      </c>
      <c r="Y136" s="117">
        <f>ROUND(((base_de_datos[[#This Row],[Hora fin]]-base_de_datos[[#This Row],[Hora inicio]])*24)*(COUNTA(base_de_datos[[#This Row],[Lunes]:[Sábado]])),1)</f>
        <v>2</v>
      </c>
      <c r="Z136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36" s="117">
        <f ca="1">IF(base_de_datos[[#This Row],[No clase]]=OFFSET(base_de_datos[[#This Row],[No clase]],-1,0),0,1)</f>
        <v>1</v>
      </c>
      <c r="AB136" s="117">
        <f ca="1">IF(NOT(OR(base_de_datos[[#This Row],[Horas totales]]=base_de_datos[[#This Row],[HT Plan]],base_de_datos[[#This Row],[Horas totales]]="N/A")),1,0)</f>
        <v>0</v>
      </c>
      <c r="AC136" s="117" t="str">
        <f>_xlfn.XLOOKUP(base_de_datos[[#This Row],[Profesor]],Nombre,Grado)</f>
        <v>L</v>
      </c>
      <c r="AD136" s="118" t="str">
        <f>_xlfn.XLOOKUP(base_de_datos[[#This Row],[Profesor]],Nombre,Tipo)</f>
        <v>A</v>
      </c>
      <c r="AE136" s="117">
        <f>IF(IFERROR(VLOOKUP($C136,Planes_de_estudio[],MATCH($AE$2,Carreras,0)+2,0),"")&gt;0,IFERROR(VLOOKUP($C136,Planes_de_estudio[],MATCH($AE$2,Carreras,0)+2,0),""),"")</f>
        <v>8</v>
      </c>
      <c r="AF136" s="117" t="str">
        <f>IF(IFERROR(VLOOKUP($C136,Planes_de_estudio[],MATCH($AF$2,Carreras,0)+2,0),"")&gt;0,IFERROR(VLOOKUP($C136,Planes_de_estudio[],MATCH($AF$2,Carreras,0)+2,0),""),"")</f>
        <v/>
      </c>
      <c r="AG136" s="117">
        <f>IF(IFERROR(VLOOKUP($C136,Planes_de_estudio[],MATCH($AG$2,Carreras,0)+2,0),"")&gt;0,IFERROR(VLOOKUP($C136,Planes_de_estudio[],MATCH($AG$2,Carreras,0)+2,0),""),"")</f>
        <v>8</v>
      </c>
      <c r="AH136" s="117" t="str">
        <f>IF(IFERROR(VLOOKUP($C136,Planes_de_estudio[],MATCH($AH$2,Carreras,0)+2,0),"")&gt;0,IFERROR(VLOOKUP($C136,Planes_de_estudio[],MATCH($AH$2,Carreras,0)+2,0),""),"")</f>
        <v/>
      </c>
      <c r="AI136" s="117" t="str">
        <f>IF(IFERROR(VLOOKUP($C136,Planes_de_estudio[],MATCH($AI$2,Carreras,0)+2,0),"")&gt;0,IFERROR(VLOOKUP($C136,Planes_de_estudio[],MATCH($AI$2,Carreras,0)+2,0),""),"")</f>
        <v/>
      </c>
      <c r="AJ136" s="117" t="str">
        <f>IF(IFERROR(VLOOKUP($C136,Planes_de_estudio[],MATCH($AJ$2,Carreras,0)+2,0),"")&gt;0,IFERROR(VLOOKUP($C136,Planes_de_estudio[],MATCH($AJ$2,Carreras,0)+2,0),""),"")</f>
        <v/>
      </c>
      <c r="AK136" s="117" t="str">
        <f>IF(IFERROR(VLOOKUP($C136,Planes_de_estudio[],MATCH($AK$2,Carreras,0)+2,0),"")&gt;0,IFERROR(VLOOKUP($C136,Planes_de_estudio[],MATCH($AK$2,Carreras,0)+2,0),""),"")</f>
        <v/>
      </c>
      <c r="AL136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36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41</v>
      </c>
      <c r="AN136" s="117">
        <f>base_de_datos[[#This Row],[Pronóstico]]/25</f>
        <v>1.64</v>
      </c>
      <c r="AO136" s="117" t="str">
        <f>VLOOKUP($C136,Planes_de_estudio[],2)</f>
        <v>IID</v>
      </c>
      <c r="AP136" s="119">
        <f ca="1">IF(AND(base_de_datos[[#This Row],[Industrial]]&lt;&gt;"",base_de_datos[[#This Row],[Misma o no]]=1),base_de_datos[[#This Row],[Índice]],"")</f>
        <v>1</v>
      </c>
      <c r="AQ136" s="119" t="str">
        <f ca="1">IF(AND(base_de_datos[[#This Row],[Mecatrónica]]&lt;&gt;"",base_de_datos[[#This Row],[Misma o no]]=1),base_de_datos[[#This Row],[Índice]],"")</f>
        <v/>
      </c>
      <c r="AR136" s="119">
        <f ca="1">IF(AND(base_de_datos[[#This Row],[Innovación y Diseño]]&lt;&gt;"",base_de_datos[[#This Row],[Misma o no]]=1),base_de_datos[[#This Row],[Índice]],"")</f>
        <v>1</v>
      </c>
      <c r="AS136" s="119" t="str">
        <f ca="1">IF(AND(base_de_datos[[#This Row],[Inteligencia Artificial]]&lt;&gt;"",base_de_datos[[#This Row],[Misma o no]]=1),base_de_datos[[#This Row],[Índice]],"")</f>
        <v/>
      </c>
      <c r="AT136" s="119" t="str">
        <f ca="1">IF(AND(base_de_datos[[#This Row],[Tecnologías Energéticas]]&lt;&gt;"",base_de_datos[[#This Row],[Misma o no]]=1),base_de_datos[[#This Row],[Índice]],"")</f>
        <v/>
      </c>
      <c r="AU136" s="119" t="str">
        <f ca="1">IF(AND(base_de_datos[[#This Row],[Civil y Administración]]&lt;&gt;"",base_de_datos[[#This Row],[Misma o no]]=1),base_de_datos[[#This Row],[Índice]],"")</f>
        <v/>
      </c>
      <c r="AV136" s="119" t="str">
        <f ca="1">IF(AND(base_de_datos[[#This Row],[Bioelectrónica]]&lt;&gt;"",base_de_datos[[#This Row],[Misma o no]]=1),base_de_datos[[#This Row],[Índice]],"")</f>
        <v/>
      </c>
      <c r="AW136" s="120"/>
      <c r="AX136" s="4" t="s">
        <v>1801</v>
      </c>
    </row>
    <row r="137" spans="2:50" s="6" customFormat="1" ht="13" x14ac:dyDescent="0.3">
      <c r="B137" s="6" t="s">
        <v>357</v>
      </c>
      <c r="C137" s="1" t="s">
        <v>354</v>
      </c>
      <c r="D137" s="4">
        <v>1</v>
      </c>
      <c r="E137" s="113">
        <v>0.79166666666666696</v>
      </c>
      <c r="F137" s="113">
        <v>0.87499999999999001</v>
      </c>
      <c r="G137" s="226" t="s">
        <v>92</v>
      </c>
      <c r="H137" s="4" t="s">
        <v>207</v>
      </c>
      <c r="I137" s="4"/>
      <c r="J137" s="199">
        <v>21</v>
      </c>
      <c r="K137" s="115"/>
      <c r="L137" s="3"/>
      <c r="M137" s="127"/>
      <c r="N137" s="3"/>
      <c r="O137" s="4" t="s">
        <v>358</v>
      </c>
      <c r="P137" s="114"/>
      <c r="Q137" s="114"/>
      <c r="R137" s="114" t="s">
        <v>90</v>
      </c>
      <c r="S137" s="114"/>
      <c r="T137" s="114"/>
      <c r="U137" s="114"/>
      <c r="V137" s="114"/>
      <c r="W137" s="114"/>
      <c r="X137" s="117">
        <f>_xlfn.XLOOKUP(base_de_datos[[#This Row],[Materia]],Materias,Horas)/16</f>
        <v>2</v>
      </c>
      <c r="Y137" s="117">
        <f>ROUND(((base_de_datos[[#This Row],[Hora fin]]-base_de_datos[[#This Row],[Hora inicio]])*24)*(COUNTA(base_de_datos[[#This Row],[Lunes]:[Sábado]])),1)</f>
        <v>2</v>
      </c>
      <c r="Z137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37" s="117">
        <f ca="1">IF(base_de_datos[[#This Row],[No clase]]=OFFSET(base_de_datos[[#This Row],[No clase]],-1,0),0,1)</f>
        <v>1</v>
      </c>
      <c r="AB137" s="117">
        <f ca="1">IF(NOT(OR(base_de_datos[[#This Row],[Horas totales]]=base_de_datos[[#This Row],[HT Plan]],base_de_datos[[#This Row],[Horas totales]]="N/A")),1,0)</f>
        <v>0</v>
      </c>
      <c r="AC137" s="117" t="str">
        <f>_xlfn.XLOOKUP(base_de_datos[[#This Row],[Profesor]],Nombre,Grado)</f>
        <v>SNI</v>
      </c>
      <c r="AD137" s="118" t="str">
        <f>_xlfn.XLOOKUP(base_de_datos[[#This Row],[Profesor]],Nombre,Tipo)</f>
        <v>TC</v>
      </c>
      <c r="AE137" s="117">
        <f>IF(IFERROR(VLOOKUP($C137,Planes_de_estudio[],MATCH($AE$2,Carreras,0)+2,0),"")&gt;0,IFERROR(VLOOKUP($C137,Planes_de_estudio[],MATCH($AE$2,Carreras,0)+2,0),""),"")</f>
        <v>8</v>
      </c>
      <c r="AF137" s="117" t="str">
        <f>IF(IFERROR(VLOOKUP($C137,Planes_de_estudio[],MATCH($AF$2,Carreras,0)+2,0),"")&gt;0,IFERROR(VLOOKUP($C137,Planes_de_estudio[],MATCH($AF$2,Carreras,0)+2,0),""),"")</f>
        <v/>
      </c>
      <c r="AG137" s="117">
        <f>IF(IFERROR(VLOOKUP($C137,Planes_de_estudio[],MATCH($AG$2,Carreras,0)+2,0),"")&gt;0,IFERROR(VLOOKUP($C137,Planes_de_estudio[],MATCH($AG$2,Carreras,0)+2,0),""),"")</f>
        <v>8</v>
      </c>
      <c r="AH137" s="117" t="str">
        <f>IF(IFERROR(VLOOKUP($C137,Planes_de_estudio[],MATCH($AH$2,Carreras,0)+2,0),"")&gt;0,IFERROR(VLOOKUP($C137,Planes_de_estudio[],MATCH($AH$2,Carreras,0)+2,0),""),"")</f>
        <v/>
      </c>
      <c r="AI137" s="117" t="str">
        <f>IF(IFERROR(VLOOKUP($C137,Planes_de_estudio[],MATCH($AI$2,Carreras,0)+2,0),"")&gt;0,IFERROR(VLOOKUP($C137,Planes_de_estudio[],MATCH($AI$2,Carreras,0)+2,0),""),"")</f>
        <v/>
      </c>
      <c r="AJ137" s="117" t="str">
        <f>IF(IFERROR(VLOOKUP($C137,Planes_de_estudio[],MATCH($AJ$2,Carreras,0)+2,0),"")&gt;0,IFERROR(VLOOKUP($C137,Planes_de_estudio[],MATCH($AJ$2,Carreras,0)+2,0),""),"")</f>
        <v/>
      </c>
      <c r="AK137" s="117" t="str">
        <f>IF(IFERROR(VLOOKUP($C137,Planes_de_estudio[],MATCH($AK$2,Carreras,0)+2,0),"")&gt;0,IFERROR(VLOOKUP($C137,Planes_de_estudio[],MATCH($AK$2,Carreras,0)+2,0),""),"")</f>
        <v/>
      </c>
      <c r="AL137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37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41</v>
      </c>
      <c r="AN137" s="117">
        <f>base_de_datos[[#This Row],[Pronóstico]]/25</f>
        <v>1.64</v>
      </c>
      <c r="AO137" s="117" t="str">
        <f>VLOOKUP($C137,Planes_de_estudio[],2)</f>
        <v>IID</v>
      </c>
      <c r="AP137" s="119">
        <f ca="1">IF(AND(base_de_datos[[#This Row],[Industrial]]&lt;&gt;"",base_de_datos[[#This Row],[Misma o no]]=1),base_de_datos[[#This Row],[Índice]],"")</f>
        <v>6</v>
      </c>
      <c r="AQ137" s="119" t="str">
        <f ca="1">IF(AND(base_de_datos[[#This Row],[Mecatrónica]]&lt;&gt;"",base_de_datos[[#This Row],[Misma o no]]=1),base_de_datos[[#This Row],[Índice]],"")</f>
        <v/>
      </c>
      <c r="AR137" s="119">
        <f ca="1">IF(AND(base_de_datos[[#This Row],[Innovación y Diseño]]&lt;&gt;"",base_de_datos[[#This Row],[Misma o no]]=1),base_de_datos[[#This Row],[Índice]],"")</f>
        <v>6</v>
      </c>
      <c r="AS137" s="119" t="str">
        <f ca="1">IF(AND(base_de_datos[[#This Row],[Inteligencia Artificial]]&lt;&gt;"",base_de_datos[[#This Row],[Misma o no]]=1),base_de_datos[[#This Row],[Índice]],"")</f>
        <v/>
      </c>
      <c r="AT137" s="119" t="str">
        <f ca="1">IF(AND(base_de_datos[[#This Row],[Tecnologías Energéticas]]&lt;&gt;"",base_de_datos[[#This Row],[Misma o no]]=1),base_de_datos[[#This Row],[Índice]],"")</f>
        <v/>
      </c>
      <c r="AU137" s="119" t="str">
        <f ca="1">IF(AND(base_de_datos[[#This Row],[Civil y Administración]]&lt;&gt;"",base_de_datos[[#This Row],[Misma o no]]=1),base_de_datos[[#This Row],[Índice]],"")</f>
        <v/>
      </c>
      <c r="AV137" s="119" t="str">
        <f ca="1">IF(AND(base_de_datos[[#This Row],[Bioelectrónica]]&lt;&gt;"",base_de_datos[[#This Row],[Misma o no]]=1),base_de_datos[[#This Row],[Índice]],"")</f>
        <v/>
      </c>
      <c r="AW137" s="120"/>
      <c r="AX137" s="4" t="s">
        <v>1801</v>
      </c>
    </row>
    <row r="138" spans="2:50" s="6" customFormat="1" ht="13" x14ac:dyDescent="0.3">
      <c r="B138" s="9" t="s">
        <v>180</v>
      </c>
      <c r="C138" s="1" t="s">
        <v>359</v>
      </c>
      <c r="D138" s="4">
        <v>1</v>
      </c>
      <c r="E138" s="113">
        <v>0.29166666666666669</v>
      </c>
      <c r="F138" s="113">
        <v>0.35416666666666602</v>
      </c>
      <c r="G138" s="226" t="s">
        <v>92</v>
      </c>
      <c r="H138" s="4" t="s">
        <v>116</v>
      </c>
      <c r="I138" s="4"/>
      <c r="J138" s="114">
        <v>26</v>
      </c>
      <c r="K138" s="115"/>
      <c r="L138" s="3"/>
      <c r="M138" s="115"/>
      <c r="N138" s="3"/>
      <c r="O138" s="4" t="s">
        <v>360</v>
      </c>
      <c r="P138" s="114" t="s">
        <v>90</v>
      </c>
      <c r="Q138" s="114"/>
      <c r="R138" s="114" t="s">
        <v>90</v>
      </c>
      <c r="S138" s="114"/>
      <c r="T138" s="114"/>
      <c r="U138" s="114"/>
      <c r="V138" s="114"/>
      <c r="W138" s="233"/>
      <c r="X138" s="117">
        <f>_xlfn.XLOOKUP(base_de_datos[[#This Row],[Materia]],Materias,Horas)/16</f>
        <v>3</v>
      </c>
      <c r="Y138" s="117">
        <f>ROUND(((base_de_datos[[#This Row],[Hora fin]]-base_de_datos[[#This Row],[Hora inicio]])*24)*(COUNTA(base_de_datos[[#This Row],[Lunes]:[Sábado]])),1)</f>
        <v>3</v>
      </c>
      <c r="Z138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38" s="117">
        <f ca="1">IF(base_de_datos[[#This Row],[No clase]]=OFFSET(base_de_datos[[#This Row],[No clase]],-1,0),0,1)</f>
        <v>1</v>
      </c>
      <c r="AB138" s="117">
        <f ca="1">IF(NOT(OR(base_de_datos[[#This Row],[Horas totales]]=base_de_datos[[#This Row],[HT Plan]],base_de_datos[[#This Row],[Horas totales]]="N/A")),1,0)</f>
        <v>0</v>
      </c>
      <c r="AC138" s="117" t="str">
        <f>_xlfn.XLOOKUP(base_de_datos[[#This Row],[Profesor]],Nombre,Grado)</f>
        <v>M</v>
      </c>
      <c r="AD138" s="118" t="str">
        <f>_xlfn.XLOOKUP(base_de_datos[[#This Row],[Profesor]],Nombre,Tipo)</f>
        <v>TC</v>
      </c>
      <c r="AE138" s="117" t="str">
        <f>IF(IFERROR(VLOOKUP($C138,Planes_de_estudio[],MATCH($AE$2,Carreras,0)+2,0),"")&gt;0,IFERROR(VLOOKUP($C138,Planes_de_estudio[],MATCH($AE$2,Carreras,0)+2,0),""),"")</f>
        <v/>
      </c>
      <c r="AF138" s="117">
        <f>IF(IFERROR(VLOOKUP($C138,Planes_de_estudio[],MATCH($AF$2,Carreras,0)+2,0),"")&gt;0,IFERROR(VLOOKUP($C138,Planes_de_estudio[],MATCH($AF$2,Carreras,0)+2,0),""),"")</f>
        <v>4</v>
      </c>
      <c r="AG138" s="117" t="str">
        <f>IF(IFERROR(VLOOKUP($C138,Planes_de_estudio[],MATCH($AG$2,Carreras,0)+2,0),"")&gt;0,IFERROR(VLOOKUP($C138,Planes_de_estudio[],MATCH($AG$2,Carreras,0)+2,0),""),"")</f>
        <v/>
      </c>
      <c r="AH138" s="117" t="str">
        <f>IF(IFERROR(VLOOKUP($C138,Planes_de_estudio[],MATCH($AH$2,Carreras,0)+2,0),"")&gt;0,IFERROR(VLOOKUP($C138,Planes_de_estudio[],MATCH($AH$2,Carreras,0)+2,0),""),"")</f>
        <v/>
      </c>
      <c r="AI138" s="117" t="str">
        <f>IF(IFERROR(VLOOKUP($C138,Planes_de_estudio[],MATCH($AI$2,Carreras,0)+2,0),"")&gt;0,IFERROR(VLOOKUP($C138,Planes_de_estudio[],MATCH($AI$2,Carreras,0)+2,0),""),"")</f>
        <v/>
      </c>
      <c r="AJ138" s="117" t="str">
        <f>IF(IFERROR(VLOOKUP($C138,Planes_de_estudio[],MATCH($AJ$2,Carreras,0)+2,0),"")&gt;0,IFERROR(VLOOKUP($C138,Planes_de_estudio[],MATCH($AJ$2,Carreras,0)+2,0),""),"")</f>
        <v/>
      </c>
      <c r="AK138" s="117">
        <f>IF(IFERROR(VLOOKUP($C138,Planes_de_estudio[],MATCH($AK$2,Carreras,0)+2,0),"")&gt;0,IFERROR(VLOOKUP($C138,Planes_de_estudio[],MATCH($AK$2,Carreras,0)+2,0),""),"")</f>
        <v>4</v>
      </c>
      <c r="AL138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38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24</v>
      </c>
      <c r="AN138" s="117">
        <f>base_de_datos[[#This Row],[Pronóstico]]/25</f>
        <v>0.96</v>
      </c>
      <c r="AO138" s="117" t="str">
        <f>VLOOKUP($C138,Planes_de_estudio[],2)</f>
        <v>MAT</v>
      </c>
      <c r="AP138" s="119" t="str">
        <f ca="1">IF(AND(base_de_datos[[#This Row],[Industrial]]&lt;&gt;"",base_de_datos[[#This Row],[Misma o no]]=1),base_de_datos[[#This Row],[Índice]],"")</f>
        <v/>
      </c>
      <c r="AQ138" s="119">
        <f ca="1">IF(AND(base_de_datos[[#This Row],[Mecatrónica]]&lt;&gt;"",base_de_datos[[#This Row],[Misma o no]]=1),base_de_datos[[#This Row],[Índice]],"")</f>
        <v>4</v>
      </c>
      <c r="AR138" s="119" t="str">
        <f ca="1">IF(AND(base_de_datos[[#This Row],[Innovación y Diseño]]&lt;&gt;"",base_de_datos[[#This Row],[Misma o no]]=1),base_de_datos[[#This Row],[Índice]],"")</f>
        <v/>
      </c>
      <c r="AS138" s="119" t="str">
        <f ca="1">IF(AND(base_de_datos[[#This Row],[Inteligencia Artificial]]&lt;&gt;"",base_de_datos[[#This Row],[Misma o no]]=1),base_de_datos[[#This Row],[Índice]],"")</f>
        <v/>
      </c>
      <c r="AT138" s="119" t="str">
        <f ca="1">IF(AND(base_de_datos[[#This Row],[Tecnologías Energéticas]]&lt;&gt;"",base_de_datos[[#This Row],[Misma o no]]=1),base_de_datos[[#This Row],[Índice]],"")</f>
        <v/>
      </c>
      <c r="AU138" s="119" t="str">
        <f ca="1">IF(AND(base_de_datos[[#This Row],[Civil y Administración]]&lt;&gt;"",base_de_datos[[#This Row],[Misma o no]]=1),base_de_datos[[#This Row],[Índice]],"")</f>
        <v/>
      </c>
      <c r="AV138" s="119">
        <f ca="1">IF(AND(base_de_datos[[#This Row],[Bioelectrónica]]&lt;&gt;"",base_de_datos[[#This Row],[Misma o no]]=1),base_de_datos[[#This Row],[Índice]],"")</f>
        <v>4</v>
      </c>
      <c r="AW138" s="120"/>
      <c r="AX138" s="4">
        <v>3</v>
      </c>
    </row>
    <row r="139" spans="2:50" s="6" customFormat="1" ht="13" x14ac:dyDescent="0.3">
      <c r="B139" s="141" t="s">
        <v>361</v>
      </c>
      <c r="C139" s="1" t="s">
        <v>362</v>
      </c>
      <c r="D139" s="4">
        <v>1</v>
      </c>
      <c r="E139" s="113">
        <v>0.375</v>
      </c>
      <c r="F139" s="113">
        <v>0.45833333333333098</v>
      </c>
      <c r="G139" s="4" t="s">
        <v>87</v>
      </c>
      <c r="H139" s="4" t="s">
        <v>125</v>
      </c>
      <c r="I139" s="4"/>
      <c r="J139" s="198">
        <v>11</v>
      </c>
      <c r="K139" s="115"/>
      <c r="L139" s="3"/>
      <c r="M139" s="115"/>
      <c r="N139" s="3"/>
      <c r="O139" s="4" t="s">
        <v>363</v>
      </c>
      <c r="P139" s="114"/>
      <c r="Q139" s="114"/>
      <c r="R139" s="114"/>
      <c r="S139" s="114" t="s">
        <v>90</v>
      </c>
      <c r="T139" s="114"/>
      <c r="U139" s="114"/>
      <c r="V139" s="114"/>
      <c r="W139" s="114"/>
      <c r="X139" s="116">
        <f>_xlfn.XLOOKUP(base_de_datos[[#This Row],[Materia]],Materias,Horas)/16</f>
        <v>4</v>
      </c>
      <c r="Y139" s="116">
        <f>ROUND(((base_de_datos[[#This Row],[Hora fin]]-base_de_datos[[#This Row],[Hora inicio]])*24)*(COUNTA(base_de_datos[[#This Row],[Lunes]:[Sábado]])),1)</f>
        <v>2</v>
      </c>
      <c r="Z139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39" s="117">
        <f ca="1">IF(base_de_datos[[#This Row],[No clase]]=OFFSET(base_de_datos[[#This Row],[No clase]],-1,0),0,1)</f>
        <v>1</v>
      </c>
      <c r="AB139" s="117">
        <f ca="1">IF(NOT(OR(base_de_datos[[#This Row],[Horas totales]]=base_de_datos[[#This Row],[HT Plan]],base_de_datos[[#This Row],[Horas totales]]="N/A")),1,0)</f>
        <v>1</v>
      </c>
      <c r="AC139" s="116" t="str">
        <f>_xlfn.XLOOKUP(base_de_datos[[#This Row],[Profesor]],Nombre,Grado)</f>
        <v>M</v>
      </c>
      <c r="AD139" s="118" t="str">
        <f>_xlfn.XLOOKUP(base_de_datos[[#This Row],[Profesor]],Nombre,Tipo)</f>
        <v>A</v>
      </c>
      <c r="AE139" s="116" t="str">
        <f>IF(IFERROR(VLOOKUP($C139,Planes_de_estudio[],MATCH($AE$2,Carreras,0)+2,0),"")&gt;0,IFERROR(VLOOKUP($C139,Planes_de_estudio[],MATCH($AE$2,Carreras,0)+2,0),""),"")</f>
        <v/>
      </c>
      <c r="AF139" s="116" t="str">
        <f>IF(IFERROR(VLOOKUP($C139,Planes_de_estudio[],MATCH($AF$2,Carreras,0)+2,0),"")&gt;0,IFERROR(VLOOKUP($C139,Planes_de_estudio[],MATCH($AF$2,Carreras,0)+2,0),""),"")</f>
        <v/>
      </c>
      <c r="AG139" s="116" t="str">
        <f>IF(IFERROR(VLOOKUP($C139,Planes_de_estudio[],MATCH($AG$2,Carreras,0)+2,0),"")&gt;0,IFERROR(VLOOKUP($C139,Planes_de_estudio[],MATCH($AG$2,Carreras,0)+2,0),""),"")</f>
        <v/>
      </c>
      <c r="AH139" s="116" t="str">
        <f>IF(IFERROR(VLOOKUP($C139,Planes_de_estudio[],MATCH($AH$2,Carreras,0)+2,0),"")&gt;0,IFERROR(VLOOKUP($C139,Planes_de_estudio[],MATCH($AH$2,Carreras,0)+2,0),""),"")</f>
        <v/>
      </c>
      <c r="AI139" s="116" t="str">
        <f>IF(IFERROR(VLOOKUP($C139,Planes_de_estudio[],MATCH($AI$2,Carreras,0)+2,0),"")&gt;0,IFERROR(VLOOKUP($C139,Planes_de_estudio[],MATCH($AI$2,Carreras,0)+2,0),""),"")</f>
        <v/>
      </c>
      <c r="AJ139" s="116">
        <f>IF(IFERROR(VLOOKUP($C139,Planes_de_estudio[],MATCH($AJ$2,Carreras,0)+2,0),"")&gt;0,IFERROR(VLOOKUP($C139,Planes_de_estudio[],MATCH($AJ$2,Carreras,0)+2,0),""),"")</f>
        <v>4</v>
      </c>
      <c r="AK139" s="116" t="str">
        <f>IF(IFERROR(VLOOKUP($C139,Planes_de_estudio[],MATCH($AK$2,Carreras,0)+2,0),"")&gt;0,IFERROR(VLOOKUP($C139,Planes_de_estudio[],MATCH($AK$2,Carreras,0)+2,0),""),"")</f>
        <v/>
      </c>
      <c r="AL139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39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</v>
      </c>
      <c r="AN139" s="117">
        <f>base_de_datos[[#This Row],[Pronóstico]]/25</f>
        <v>0.44</v>
      </c>
      <c r="AO139" s="117" t="str">
        <f>VLOOKUP($C139,Planes_de_estudio[],2)</f>
        <v>ESC</v>
      </c>
      <c r="AP139" s="119" t="str">
        <f ca="1">IF(AND(base_de_datos[[#This Row],[Industrial]]&lt;&gt;"",base_de_datos[[#This Row],[Misma o no]]=1),base_de_datos[[#This Row],[Índice]],"")</f>
        <v/>
      </c>
      <c r="AQ139" s="119" t="str">
        <f ca="1">IF(AND(base_de_datos[[#This Row],[Mecatrónica]]&lt;&gt;"",base_de_datos[[#This Row],[Misma o no]]=1),base_de_datos[[#This Row],[Índice]],"")</f>
        <v/>
      </c>
      <c r="AR139" s="119" t="str">
        <f ca="1">IF(AND(base_de_datos[[#This Row],[Innovación y Diseño]]&lt;&gt;"",base_de_datos[[#This Row],[Misma o no]]=1),base_de_datos[[#This Row],[Índice]],"")</f>
        <v/>
      </c>
      <c r="AS139" s="119" t="str">
        <f ca="1">IF(AND(base_de_datos[[#This Row],[Inteligencia Artificial]]&lt;&gt;"",base_de_datos[[#This Row],[Misma o no]]=1),base_de_datos[[#This Row],[Índice]],"")</f>
        <v/>
      </c>
      <c r="AT139" s="119" t="str">
        <f ca="1">IF(AND(base_de_datos[[#This Row],[Tecnologías Energéticas]]&lt;&gt;"",base_de_datos[[#This Row],[Misma o no]]=1),base_de_datos[[#This Row],[Índice]],"")</f>
        <v/>
      </c>
      <c r="AU139" s="119">
        <f ca="1">IF(AND(base_de_datos[[#This Row],[Civil y Administración]]&lt;&gt;"",base_de_datos[[#This Row],[Misma o no]]=1),base_de_datos[[#This Row],[Índice]],"")</f>
        <v>4</v>
      </c>
      <c r="AV139" s="119" t="str">
        <f ca="1">IF(AND(base_de_datos[[#This Row],[Bioelectrónica]]&lt;&gt;"",base_de_datos[[#This Row],[Misma o no]]=1),base_de_datos[[#This Row],[Índice]],"")</f>
        <v/>
      </c>
      <c r="AW139" s="120"/>
      <c r="AX139" s="4">
        <v>1</v>
      </c>
    </row>
    <row r="140" spans="2:50" s="6" customFormat="1" ht="13" x14ac:dyDescent="0.3">
      <c r="B140" s="6" t="s">
        <v>367</v>
      </c>
      <c r="C140" s="1" t="s">
        <v>368</v>
      </c>
      <c r="D140" s="4">
        <v>1</v>
      </c>
      <c r="E140" s="113">
        <v>0.29166666666666669</v>
      </c>
      <c r="F140" s="113">
        <v>0.374999999999999</v>
      </c>
      <c r="G140" s="4" t="s">
        <v>87</v>
      </c>
      <c r="H140" s="4" t="s">
        <v>323</v>
      </c>
      <c r="I140" s="4"/>
      <c r="J140" s="198">
        <v>12</v>
      </c>
      <c r="K140" s="115"/>
      <c r="L140" s="3"/>
      <c r="M140" s="115"/>
      <c r="N140" s="3"/>
      <c r="O140" s="4" t="s">
        <v>369</v>
      </c>
      <c r="P140" s="114"/>
      <c r="Q140" s="114"/>
      <c r="R140" s="114" t="s">
        <v>90</v>
      </c>
      <c r="S140" s="114"/>
      <c r="T140" s="114"/>
      <c r="U140" s="114"/>
      <c r="V140" s="114"/>
      <c r="W140" s="114"/>
      <c r="X140" s="116">
        <f>_xlfn.XLOOKUP(base_de_datos[[#This Row],[Materia]],Materias,Horas)/16</f>
        <v>4</v>
      </c>
      <c r="Y140" s="117">
        <f>ROUND(((base_de_datos[[#This Row],[Hora fin]]-base_de_datos[[#This Row],[Hora inicio]])*24)*(COUNTA(base_de_datos[[#This Row],[Lunes]:[Sábado]])),1)</f>
        <v>2</v>
      </c>
      <c r="Z140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40" s="117">
        <f ca="1">IF(base_de_datos[[#This Row],[No clase]]=OFFSET(base_de_datos[[#This Row],[No clase]],-1,0),0,1)</f>
        <v>1</v>
      </c>
      <c r="AB140" s="117">
        <f ca="1">IF(NOT(OR(base_de_datos[[#This Row],[Horas totales]]=base_de_datos[[#This Row],[HT Plan]],base_de_datos[[#This Row],[Horas totales]]="N/A")),1,0)</f>
        <v>1</v>
      </c>
      <c r="AC140" s="117" t="str">
        <f>_xlfn.XLOOKUP(base_de_datos[[#This Row],[Profesor]],Nombre,Grado)</f>
        <v>M</v>
      </c>
      <c r="AD140" s="118" t="str">
        <f>_xlfn.XLOOKUP(base_de_datos[[#This Row],[Profesor]],Nombre,Tipo)</f>
        <v>A</v>
      </c>
      <c r="AE140" s="117" t="str">
        <f>IF(IFERROR(VLOOKUP($C140,Planes_de_estudio[],MATCH($AE$2,Carreras,0)+2,0),"")&gt;0,IFERROR(VLOOKUP($C140,Planes_de_estudio[],MATCH($AE$2,Carreras,0)+2,0),""),"")</f>
        <v/>
      </c>
      <c r="AF140" s="117" t="str">
        <f>IF(IFERROR(VLOOKUP($C140,Planes_de_estudio[],MATCH($AF$2,Carreras,0)+2,0),"")&gt;0,IFERROR(VLOOKUP($C140,Planes_de_estudio[],MATCH($AF$2,Carreras,0)+2,0),""),"")</f>
        <v/>
      </c>
      <c r="AG140" s="117" t="str">
        <f>IF(IFERROR(VLOOKUP($C140,Planes_de_estudio[],MATCH($AG$2,Carreras,0)+2,0),"")&gt;0,IFERROR(VLOOKUP($C140,Planes_de_estudio[],MATCH($AG$2,Carreras,0)+2,0),""),"")</f>
        <v/>
      </c>
      <c r="AH140" s="117" t="str">
        <f>IF(IFERROR(VLOOKUP($C140,Planes_de_estudio[],MATCH($AH$2,Carreras,0)+2,0),"")&gt;0,IFERROR(VLOOKUP($C140,Planes_de_estudio[],MATCH($AH$2,Carreras,0)+2,0),""),"")</f>
        <v/>
      </c>
      <c r="AI140" s="117" t="str">
        <f>IF(IFERROR(VLOOKUP($C140,Planes_de_estudio[],MATCH($AI$2,Carreras,0)+2,0),"")&gt;0,IFERROR(VLOOKUP($C140,Planes_de_estudio[],MATCH($AI$2,Carreras,0)+2,0),""),"")</f>
        <v/>
      </c>
      <c r="AJ140" s="117">
        <f>IF(IFERROR(VLOOKUP($C140,Planes_de_estudio[],MATCH($AJ$2,Carreras,0)+2,0),"")&gt;0,IFERROR(VLOOKUP($C140,Planes_de_estudio[],MATCH($AJ$2,Carreras,0)+2,0),""),"")</f>
        <v>4</v>
      </c>
      <c r="AK140" s="117" t="str">
        <f>IF(IFERROR(VLOOKUP($C140,Planes_de_estudio[],MATCH($AK$2,Carreras,0)+2,0),"")&gt;0,IFERROR(VLOOKUP($C140,Planes_de_estudio[],MATCH($AK$2,Carreras,0)+2,0),""),"")</f>
        <v/>
      </c>
      <c r="AL140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40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</v>
      </c>
      <c r="AN140" s="117">
        <f>base_de_datos[[#This Row],[Pronóstico]]/25</f>
        <v>0.44</v>
      </c>
      <c r="AO140" s="117" t="str">
        <f>VLOOKUP($C140,Planes_de_estudio[],2)</f>
        <v>ESC</v>
      </c>
      <c r="AP140" s="119" t="str">
        <f ca="1">IF(AND(base_de_datos[[#This Row],[Industrial]]&lt;&gt;"",base_de_datos[[#This Row],[Misma o no]]=1),base_de_datos[[#This Row],[Índice]],"")</f>
        <v/>
      </c>
      <c r="AQ140" s="119" t="str">
        <f ca="1">IF(AND(base_de_datos[[#This Row],[Mecatrónica]]&lt;&gt;"",base_de_datos[[#This Row],[Misma o no]]=1),base_de_datos[[#This Row],[Índice]],"")</f>
        <v/>
      </c>
      <c r="AR140" s="119" t="str">
        <f ca="1">IF(AND(base_de_datos[[#This Row],[Innovación y Diseño]]&lt;&gt;"",base_de_datos[[#This Row],[Misma o no]]=1),base_de_datos[[#This Row],[Índice]],"")</f>
        <v/>
      </c>
      <c r="AS140" s="119" t="str">
        <f ca="1">IF(AND(base_de_datos[[#This Row],[Inteligencia Artificial]]&lt;&gt;"",base_de_datos[[#This Row],[Misma o no]]=1),base_de_datos[[#This Row],[Índice]],"")</f>
        <v/>
      </c>
      <c r="AT140" s="119" t="str">
        <f ca="1">IF(AND(base_de_datos[[#This Row],[Tecnologías Energéticas]]&lt;&gt;"",base_de_datos[[#This Row],[Misma o no]]=1),base_de_datos[[#This Row],[Índice]],"")</f>
        <v/>
      </c>
      <c r="AU140" s="119">
        <f ca="1">IF(AND(base_de_datos[[#This Row],[Civil y Administración]]&lt;&gt;"",base_de_datos[[#This Row],[Misma o no]]=1),base_de_datos[[#This Row],[Índice]],"")</f>
        <v>4</v>
      </c>
      <c r="AV140" s="119" t="str">
        <f ca="1">IF(AND(base_de_datos[[#This Row],[Bioelectrónica]]&lt;&gt;"",base_de_datos[[#This Row],[Misma o no]]=1),base_de_datos[[#This Row],[Índice]],"")</f>
        <v/>
      </c>
      <c r="AW140" s="88"/>
      <c r="AX140" s="4">
        <v>3</v>
      </c>
    </row>
    <row r="141" spans="2:50" s="6" customFormat="1" ht="13" x14ac:dyDescent="0.3">
      <c r="B141" s="6" t="s">
        <v>383</v>
      </c>
      <c r="C141" s="1" t="s">
        <v>384</v>
      </c>
      <c r="D141" s="4">
        <v>1</v>
      </c>
      <c r="E141" s="113">
        <v>0.83333333333333304</v>
      </c>
      <c r="F141" s="113">
        <v>0.91666666666665697</v>
      </c>
      <c r="G141" s="4" t="s">
        <v>87</v>
      </c>
      <c r="H141" s="244" t="s">
        <v>385</v>
      </c>
      <c r="I141" s="4"/>
      <c r="J141" s="114">
        <v>17</v>
      </c>
      <c r="K141" s="115"/>
      <c r="L141" s="3"/>
      <c r="M141" s="115"/>
      <c r="N141" s="3"/>
      <c r="O141" s="4">
        <v>2066</v>
      </c>
      <c r="P141" s="114"/>
      <c r="Q141" s="114"/>
      <c r="R141" s="114" t="s">
        <v>90</v>
      </c>
      <c r="S141" s="114"/>
      <c r="T141" s="114"/>
      <c r="U141" s="114"/>
      <c r="V141" s="114"/>
      <c r="W141" s="114"/>
      <c r="X141" s="116">
        <f>_xlfn.XLOOKUP(base_de_datos[[#This Row],[Materia]],Materias,Horas)/16</f>
        <v>4</v>
      </c>
      <c r="Y141" s="116">
        <f>ROUND(((base_de_datos[[#This Row],[Hora fin]]-base_de_datos[[#This Row],[Hora inicio]])*24)*(COUNTA(base_de_datos[[#This Row],[Lunes]:[Sábado]])),1)</f>
        <v>2</v>
      </c>
      <c r="Z141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41" s="117">
        <f ca="1">IF(base_de_datos[[#This Row],[No clase]]=OFFSET(base_de_datos[[#This Row],[No clase]],-1,0),0,1)</f>
        <v>1</v>
      </c>
      <c r="AB141" s="117">
        <f ca="1">IF(NOT(OR(base_de_datos[[#This Row],[Horas totales]]=base_de_datos[[#This Row],[HT Plan]],base_de_datos[[#This Row],[Horas totales]]="N/A")),1,0)</f>
        <v>1</v>
      </c>
      <c r="AC141" s="116" t="str">
        <f>_xlfn.XLOOKUP(base_de_datos[[#This Row],[Profesor]],Nombre,Grado)</f>
        <v>SNI</v>
      </c>
      <c r="AD141" s="118" t="str">
        <f>_xlfn.XLOOKUP(base_de_datos[[#This Row],[Profesor]],Nombre,Tipo)</f>
        <v>A</v>
      </c>
      <c r="AE141" s="116" t="str">
        <f>IF(IFERROR(VLOOKUP($C141,Planes_de_estudio[],MATCH($AE$2,Carreras,0)+2,0),"")&gt;0,IFERROR(VLOOKUP($C141,Planes_de_estudio[],MATCH($AE$2,Carreras,0)+2,0),""),"")</f>
        <v/>
      </c>
      <c r="AF141" s="116" t="str">
        <f>IF(IFERROR(VLOOKUP($C141,Planes_de_estudio[],MATCH($AF$2,Carreras,0)+2,0),"")&gt;0,IFERROR(VLOOKUP($C141,Planes_de_estudio[],MATCH($AF$2,Carreras,0)+2,0),""),"")</f>
        <v/>
      </c>
      <c r="AG141" s="116" t="str">
        <f>IF(IFERROR(VLOOKUP($C141,Planes_de_estudio[],MATCH($AG$2,Carreras,0)+2,0),"")&gt;0,IFERROR(VLOOKUP($C141,Planes_de_estudio[],MATCH($AG$2,Carreras,0)+2,0),""),"")</f>
        <v/>
      </c>
      <c r="AH141" s="116">
        <f>IF(IFERROR(VLOOKUP($C141,Planes_de_estudio[],MATCH($AH$2,Carreras,0)+2,0),"")&gt;0,IFERROR(VLOOKUP($C141,Planes_de_estudio[],MATCH($AH$2,Carreras,0)+2,0),""),"")</f>
        <v>6</v>
      </c>
      <c r="AI141" s="116" t="str">
        <f>IF(IFERROR(VLOOKUP($C141,Planes_de_estudio[],MATCH($AI$2,Carreras,0)+2,0),"")&gt;0,IFERROR(VLOOKUP($C141,Planes_de_estudio[],MATCH($AI$2,Carreras,0)+2,0),""),"")</f>
        <v/>
      </c>
      <c r="AJ141" s="116" t="str">
        <f>IF(IFERROR(VLOOKUP($C141,Planes_de_estudio[],MATCH($AJ$2,Carreras,0)+2,0),"")&gt;0,IFERROR(VLOOKUP($C141,Planes_de_estudio[],MATCH($AJ$2,Carreras,0)+2,0),""),"")</f>
        <v/>
      </c>
      <c r="AK141" s="116" t="str">
        <f>IF(IFERROR(VLOOKUP($C141,Planes_de_estudio[],MATCH($AK$2,Carreras,0)+2,0),"")&gt;0,IFERROR(VLOOKUP($C141,Planes_de_estudio[],MATCH($AK$2,Carreras,0)+2,0),""),"")</f>
        <v/>
      </c>
      <c r="AL141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41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17</v>
      </c>
      <c r="AN141" s="117">
        <f>base_de_datos[[#This Row],[Pronóstico]]/25</f>
        <v>0.68</v>
      </c>
      <c r="AO141" s="117" t="str">
        <f>VLOOKUP($C141,Planes_de_estudio[],2)</f>
        <v>COM</v>
      </c>
      <c r="AP141" s="119" t="str">
        <f ca="1">IF(AND(base_de_datos[[#This Row],[Industrial]]&lt;&gt;"",base_de_datos[[#This Row],[Misma o no]]=1),base_de_datos[[#This Row],[Índice]],"")</f>
        <v/>
      </c>
      <c r="AQ141" s="119" t="str">
        <f ca="1">IF(AND(base_de_datos[[#This Row],[Mecatrónica]]&lt;&gt;"",base_de_datos[[#This Row],[Misma o no]]=1),base_de_datos[[#This Row],[Índice]],"")</f>
        <v/>
      </c>
      <c r="AR141" s="119" t="str">
        <f ca="1">IF(AND(base_de_datos[[#This Row],[Innovación y Diseño]]&lt;&gt;"",base_de_datos[[#This Row],[Misma o no]]=1),base_de_datos[[#This Row],[Índice]],"")</f>
        <v/>
      </c>
      <c r="AS141" s="119">
        <f ca="1">IF(AND(base_de_datos[[#This Row],[Inteligencia Artificial]]&lt;&gt;"",base_de_datos[[#This Row],[Misma o no]]=1),base_de_datos[[#This Row],[Índice]],"")</f>
        <v>6</v>
      </c>
      <c r="AT141" s="119" t="str">
        <f ca="1">IF(AND(base_de_datos[[#This Row],[Tecnologías Energéticas]]&lt;&gt;"",base_de_datos[[#This Row],[Misma o no]]=1),base_de_datos[[#This Row],[Índice]],"")</f>
        <v/>
      </c>
      <c r="AU141" s="119" t="str">
        <f ca="1">IF(AND(base_de_datos[[#This Row],[Civil y Administración]]&lt;&gt;"",base_de_datos[[#This Row],[Misma o no]]=1),base_de_datos[[#This Row],[Índice]],"")</f>
        <v/>
      </c>
      <c r="AV141" s="119" t="str">
        <f ca="1">IF(AND(base_de_datos[[#This Row],[Bioelectrónica]]&lt;&gt;"",base_de_datos[[#This Row],[Misma o no]]=1),base_de_datos[[#This Row],[Índice]],"")</f>
        <v/>
      </c>
      <c r="AW141" s="173" t="s">
        <v>149</v>
      </c>
      <c r="AX141" s="4">
        <v>1</v>
      </c>
    </row>
    <row r="142" spans="2:50" s="6" customFormat="1" ht="13" x14ac:dyDescent="0.3">
      <c r="B142" s="6" t="s">
        <v>350</v>
      </c>
      <c r="C142" s="1" t="s">
        <v>371</v>
      </c>
      <c r="D142" s="4">
        <v>1</v>
      </c>
      <c r="E142" s="113">
        <v>0.29166666666666669</v>
      </c>
      <c r="F142" s="113">
        <v>0.41666666666666502</v>
      </c>
      <c r="G142" s="4" t="s">
        <v>87</v>
      </c>
      <c r="H142" s="4" t="s">
        <v>102</v>
      </c>
      <c r="I142" s="4"/>
      <c r="J142" s="126">
        <v>16</v>
      </c>
      <c r="K142" s="115"/>
      <c r="L142" s="3"/>
      <c r="M142" s="127"/>
      <c r="N142" s="3"/>
      <c r="O142" s="4" t="s">
        <v>372</v>
      </c>
      <c r="P142" s="114" t="s">
        <v>90</v>
      </c>
      <c r="Q142" s="114"/>
      <c r="R142" s="114"/>
      <c r="S142" s="114"/>
      <c r="T142" s="114"/>
      <c r="U142" s="114"/>
      <c r="V142" s="114"/>
      <c r="W142" s="114"/>
      <c r="X142" s="117">
        <f>_xlfn.XLOOKUP(base_de_datos[[#This Row],[Materia]],Materias,Horas)/16</f>
        <v>5</v>
      </c>
      <c r="Y142" s="117">
        <f>ROUND(((base_de_datos[[#This Row],[Hora fin]]-base_de_datos[[#This Row],[Hora inicio]])*24)*(COUNTA(base_de_datos[[#This Row],[Lunes]:[Sábado]])),1)</f>
        <v>3</v>
      </c>
      <c r="Z142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42" s="117">
        <f ca="1">IF(base_de_datos[[#This Row],[No clase]]=OFFSET(base_de_datos[[#This Row],[No clase]],-1,0),0,1)</f>
        <v>1</v>
      </c>
      <c r="AB142" s="117">
        <f ca="1">IF(NOT(OR(base_de_datos[[#This Row],[Horas totales]]=base_de_datos[[#This Row],[HT Plan]],base_de_datos[[#This Row],[Horas totales]]="N/A")),1,0)</f>
        <v>1</v>
      </c>
      <c r="AC142" s="117" t="str">
        <f>_xlfn.XLOOKUP(base_de_datos[[#This Row],[Profesor]],Nombre,Grado)</f>
        <v>E</v>
      </c>
      <c r="AD142" s="118" t="str">
        <f>_xlfn.XLOOKUP(base_de_datos[[#This Row],[Profesor]],Nombre,Tipo)</f>
        <v>A</v>
      </c>
      <c r="AE142" s="117" t="str">
        <f>IF(IFERROR(VLOOKUP($C142,Planes_de_estudio[],MATCH($AE$2,Carreras,0)+2,0),"")&gt;0,IFERROR(VLOOKUP($C142,Planes_de_estudio[],MATCH($AE$2,Carreras,0)+2,0),""),"")</f>
        <v/>
      </c>
      <c r="AF142" s="117" t="str">
        <f>IF(IFERROR(VLOOKUP($C142,Planes_de_estudio[],MATCH($AF$2,Carreras,0)+2,0),"")&gt;0,IFERROR(VLOOKUP($C142,Planes_de_estudio[],MATCH($AF$2,Carreras,0)+2,0),""),"")</f>
        <v/>
      </c>
      <c r="AG142" s="117">
        <f>IF(IFERROR(VLOOKUP($C142,Planes_de_estudio[],MATCH($AG$2,Carreras,0)+2,0),"")&gt;0,IFERROR(VLOOKUP($C142,Planes_de_estudio[],MATCH($AG$2,Carreras,0)+2,0),""),"")</f>
        <v>4</v>
      </c>
      <c r="AH142" s="117" t="str">
        <f>IF(IFERROR(VLOOKUP($C142,Planes_de_estudio[],MATCH($AH$2,Carreras,0)+2,0),"")&gt;0,IFERROR(VLOOKUP($C142,Planes_de_estudio[],MATCH($AH$2,Carreras,0)+2,0),""),"")</f>
        <v/>
      </c>
      <c r="AI142" s="117" t="str">
        <f>IF(IFERROR(VLOOKUP($C142,Planes_de_estudio[],MATCH($AI$2,Carreras,0)+2,0),"")&gt;0,IFERROR(VLOOKUP($C142,Planes_de_estudio[],MATCH($AI$2,Carreras,0)+2,0),""),"")</f>
        <v/>
      </c>
      <c r="AJ142" s="117" t="str">
        <f>IF(IFERROR(VLOOKUP($C142,Planes_de_estudio[],MATCH($AJ$2,Carreras,0)+2,0),"")&gt;0,IFERROR(VLOOKUP($C142,Planes_de_estudio[],MATCH($AJ$2,Carreras,0)+2,0),""),"")</f>
        <v/>
      </c>
      <c r="AK142" s="117" t="str">
        <f>IF(IFERROR(VLOOKUP($C142,Planes_de_estudio[],MATCH($AK$2,Carreras,0)+2,0),"")&gt;0,IFERROR(VLOOKUP($C142,Planes_de_estudio[],MATCH($AK$2,Carreras,0)+2,0),""),"")</f>
        <v/>
      </c>
      <c r="AL142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42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15</v>
      </c>
      <c r="AN142" s="117">
        <f>base_de_datos[[#This Row],[Pronóstico]]/25</f>
        <v>0.6</v>
      </c>
      <c r="AO142" s="117" t="str">
        <f>VLOOKUP($C142,Planes_de_estudio[],2)</f>
        <v>IID</v>
      </c>
      <c r="AP142" s="119" t="str">
        <f ca="1">IF(AND(base_de_datos[[#This Row],[Industrial]]&lt;&gt;"",base_de_datos[[#This Row],[Misma o no]]=1),base_de_datos[[#This Row],[Índice]],"")</f>
        <v/>
      </c>
      <c r="AQ142" s="119" t="str">
        <f ca="1">IF(AND(base_de_datos[[#This Row],[Mecatrónica]]&lt;&gt;"",base_de_datos[[#This Row],[Misma o no]]=1),base_de_datos[[#This Row],[Índice]],"")</f>
        <v/>
      </c>
      <c r="AR142" s="119">
        <f ca="1">IF(AND(base_de_datos[[#This Row],[Innovación y Diseño]]&lt;&gt;"",base_de_datos[[#This Row],[Misma o no]]=1),base_de_datos[[#This Row],[Índice]],"")</f>
        <v>2</v>
      </c>
      <c r="AS142" s="119" t="str">
        <f ca="1">IF(AND(base_de_datos[[#This Row],[Inteligencia Artificial]]&lt;&gt;"",base_de_datos[[#This Row],[Misma o no]]=1),base_de_datos[[#This Row],[Índice]],"")</f>
        <v/>
      </c>
      <c r="AT142" s="119" t="str">
        <f ca="1">IF(AND(base_de_datos[[#This Row],[Tecnologías Energéticas]]&lt;&gt;"",base_de_datos[[#This Row],[Misma o no]]=1),base_de_datos[[#This Row],[Índice]],"")</f>
        <v/>
      </c>
      <c r="AU142" s="119" t="str">
        <f ca="1">IF(AND(base_de_datos[[#This Row],[Civil y Administración]]&lt;&gt;"",base_de_datos[[#This Row],[Misma o no]]=1),base_de_datos[[#This Row],[Índice]],"")</f>
        <v/>
      </c>
      <c r="AV142" s="119" t="str">
        <f ca="1">IF(AND(base_de_datos[[#This Row],[Bioelectrónica]]&lt;&gt;"",base_de_datos[[#This Row],[Misma o no]]=1),base_de_datos[[#This Row],[Índice]],"")</f>
        <v/>
      </c>
      <c r="AW142" s="120"/>
      <c r="AX142" s="4">
        <v>3</v>
      </c>
    </row>
    <row r="143" spans="2:50" s="6" customFormat="1" ht="13" x14ac:dyDescent="0.3">
      <c r="B143" s="6" t="s">
        <v>383</v>
      </c>
      <c r="C143" s="1" t="s">
        <v>384</v>
      </c>
      <c r="D143" s="4">
        <v>1</v>
      </c>
      <c r="E143" s="113">
        <v>0.77083333333333304</v>
      </c>
      <c r="F143" s="113">
        <v>0.85416666666665797</v>
      </c>
      <c r="G143" s="4" t="s">
        <v>87</v>
      </c>
      <c r="H143" s="244" t="s">
        <v>109</v>
      </c>
      <c r="I143" s="4"/>
      <c r="J143" s="114">
        <v>17</v>
      </c>
      <c r="K143" s="115"/>
      <c r="L143" s="3"/>
      <c r="M143" s="115"/>
      <c r="N143" s="3"/>
      <c r="O143" s="4">
        <v>2066</v>
      </c>
      <c r="P143" s="114"/>
      <c r="Q143" s="114"/>
      <c r="R143" s="114"/>
      <c r="S143" s="114" t="s">
        <v>90</v>
      </c>
      <c r="T143" s="114"/>
      <c r="U143" s="114"/>
      <c r="V143" s="114"/>
      <c r="W143" s="114"/>
      <c r="X143" s="116">
        <f>_xlfn.XLOOKUP(base_de_datos[[#This Row],[Materia]],Materias,Horas)/16</f>
        <v>4</v>
      </c>
      <c r="Y143" s="116">
        <f>ROUND(((base_de_datos[[#This Row],[Hora fin]]-base_de_datos[[#This Row],[Hora inicio]])*24)*(COUNTA(base_de_datos[[#This Row],[Lunes]:[Sábado]])),1)</f>
        <v>2</v>
      </c>
      <c r="Z143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43" s="117">
        <f ca="1">IF(base_de_datos[[#This Row],[No clase]]=OFFSET(base_de_datos[[#This Row],[No clase]],-1,0),0,1)</f>
        <v>1</v>
      </c>
      <c r="AB143" s="117">
        <f ca="1">IF(NOT(OR(base_de_datos[[#This Row],[Horas totales]]=base_de_datos[[#This Row],[HT Plan]],base_de_datos[[#This Row],[Horas totales]]="N/A")),1,0)</f>
        <v>1</v>
      </c>
      <c r="AC143" s="116" t="str">
        <f>_xlfn.XLOOKUP(base_de_datos[[#This Row],[Profesor]],Nombre,Grado)</f>
        <v>SNI</v>
      </c>
      <c r="AD143" s="118" t="str">
        <f>_xlfn.XLOOKUP(base_de_datos[[#This Row],[Profesor]],Nombre,Tipo)</f>
        <v>A</v>
      </c>
      <c r="AE143" s="116" t="str">
        <f>IF(IFERROR(VLOOKUP($C143,Planes_de_estudio[],MATCH($AE$2,Carreras,0)+2,0),"")&gt;0,IFERROR(VLOOKUP($C143,Planes_de_estudio[],MATCH($AE$2,Carreras,0)+2,0),""),"")</f>
        <v/>
      </c>
      <c r="AF143" s="116" t="str">
        <f>IF(IFERROR(VLOOKUP($C143,Planes_de_estudio[],MATCH($AF$2,Carreras,0)+2,0),"")&gt;0,IFERROR(VLOOKUP($C143,Planes_de_estudio[],MATCH($AF$2,Carreras,0)+2,0),""),"")</f>
        <v/>
      </c>
      <c r="AG143" s="116" t="str">
        <f>IF(IFERROR(VLOOKUP($C143,Planes_de_estudio[],MATCH($AG$2,Carreras,0)+2,0),"")&gt;0,IFERROR(VLOOKUP($C143,Planes_de_estudio[],MATCH($AG$2,Carreras,0)+2,0),""),"")</f>
        <v/>
      </c>
      <c r="AH143" s="116">
        <f>IF(IFERROR(VLOOKUP($C143,Planes_de_estudio[],MATCH($AH$2,Carreras,0)+2,0),"")&gt;0,IFERROR(VLOOKUP($C143,Planes_de_estudio[],MATCH($AH$2,Carreras,0)+2,0),""),"")</f>
        <v>6</v>
      </c>
      <c r="AI143" s="116" t="str">
        <f>IF(IFERROR(VLOOKUP($C143,Planes_de_estudio[],MATCH($AI$2,Carreras,0)+2,0),"")&gt;0,IFERROR(VLOOKUP($C143,Planes_de_estudio[],MATCH($AI$2,Carreras,0)+2,0),""),"")</f>
        <v/>
      </c>
      <c r="AJ143" s="116" t="str">
        <f>IF(IFERROR(VLOOKUP($C143,Planes_de_estudio[],MATCH($AJ$2,Carreras,0)+2,0),"")&gt;0,IFERROR(VLOOKUP($C143,Planes_de_estudio[],MATCH($AJ$2,Carreras,0)+2,0),""),"")</f>
        <v/>
      </c>
      <c r="AK143" s="116" t="str">
        <f>IF(IFERROR(VLOOKUP($C143,Planes_de_estudio[],MATCH($AK$2,Carreras,0)+2,0),"")&gt;0,IFERROR(VLOOKUP($C143,Planes_de_estudio[],MATCH($AK$2,Carreras,0)+2,0),""),"")</f>
        <v/>
      </c>
      <c r="AL143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43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17</v>
      </c>
      <c r="AN143" s="117">
        <f>base_de_datos[[#This Row],[Pronóstico]]/25</f>
        <v>0.68</v>
      </c>
      <c r="AO143" s="117" t="str">
        <f>VLOOKUP($C143,Planes_de_estudio[],2)</f>
        <v>COM</v>
      </c>
      <c r="AP143" s="119" t="str">
        <f ca="1">IF(AND(base_de_datos[[#This Row],[Industrial]]&lt;&gt;"",base_de_datos[[#This Row],[Misma o no]]=1),base_de_datos[[#This Row],[Índice]],"")</f>
        <v/>
      </c>
      <c r="AQ143" s="119" t="str">
        <f ca="1">IF(AND(base_de_datos[[#This Row],[Mecatrónica]]&lt;&gt;"",base_de_datos[[#This Row],[Misma o no]]=1),base_de_datos[[#This Row],[Índice]],"")</f>
        <v/>
      </c>
      <c r="AR143" s="119" t="str">
        <f ca="1">IF(AND(base_de_datos[[#This Row],[Innovación y Diseño]]&lt;&gt;"",base_de_datos[[#This Row],[Misma o no]]=1),base_de_datos[[#This Row],[Índice]],"")</f>
        <v/>
      </c>
      <c r="AS143" s="119">
        <f ca="1">IF(AND(base_de_datos[[#This Row],[Inteligencia Artificial]]&lt;&gt;"",base_de_datos[[#This Row],[Misma o no]]=1),base_de_datos[[#This Row],[Índice]],"")</f>
        <v>6</v>
      </c>
      <c r="AT143" s="119" t="str">
        <f ca="1">IF(AND(base_de_datos[[#This Row],[Tecnologías Energéticas]]&lt;&gt;"",base_de_datos[[#This Row],[Misma o no]]=1),base_de_datos[[#This Row],[Índice]],"")</f>
        <v/>
      </c>
      <c r="AU143" s="119" t="str">
        <f ca="1">IF(AND(base_de_datos[[#This Row],[Civil y Administración]]&lt;&gt;"",base_de_datos[[#This Row],[Misma o no]]=1),base_de_datos[[#This Row],[Índice]],"")</f>
        <v/>
      </c>
      <c r="AV143" s="119" t="str">
        <f ca="1">IF(AND(base_de_datos[[#This Row],[Bioelectrónica]]&lt;&gt;"",base_de_datos[[#This Row],[Misma o no]]=1),base_de_datos[[#This Row],[Índice]],"")</f>
        <v/>
      </c>
      <c r="AW143" s="173" t="s">
        <v>149</v>
      </c>
      <c r="AX143" s="4">
        <v>1</v>
      </c>
    </row>
    <row r="144" spans="2:50" s="6" customFormat="1" ht="13" x14ac:dyDescent="0.3">
      <c r="B144" s="9" t="s">
        <v>192</v>
      </c>
      <c r="C144" s="1" t="s">
        <v>364</v>
      </c>
      <c r="D144" s="4">
        <v>1</v>
      </c>
      <c r="E144" s="113">
        <v>0.5</v>
      </c>
      <c r="F144" s="113">
        <v>0.562499999999996</v>
      </c>
      <c r="G144" s="226" t="s">
        <v>92</v>
      </c>
      <c r="H144" s="4" t="s">
        <v>116</v>
      </c>
      <c r="I144" s="4"/>
      <c r="J144" s="114">
        <v>28</v>
      </c>
      <c r="K144" s="115"/>
      <c r="L144" s="3"/>
      <c r="M144" s="115"/>
      <c r="N144" s="3"/>
      <c r="O144" s="4" t="s">
        <v>365</v>
      </c>
      <c r="P144" s="114"/>
      <c r="Q144" s="114" t="s">
        <v>90</v>
      </c>
      <c r="R144" s="114"/>
      <c r="S144" s="114" t="s">
        <v>90</v>
      </c>
      <c r="T144" s="114"/>
      <c r="U144" s="114"/>
      <c r="V144" s="114"/>
      <c r="W144" s="114"/>
      <c r="X144" s="116">
        <f>_xlfn.XLOOKUP(base_de_datos[[#This Row],[Materia]],Materias,Horas)/16</f>
        <v>3</v>
      </c>
      <c r="Y144" s="116">
        <f>ROUND(((base_de_datos[[#This Row],[Hora fin]]-base_de_datos[[#This Row],[Hora inicio]])*24)*(COUNTA(base_de_datos[[#This Row],[Lunes]:[Sábado]])),1)</f>
        <v>3</v>
      </c>
      <c r="Z144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44" s="117">
        <f ca="1">IF(base_de_datos[[#This Row],[No clase]]=OFFSET(base_de_datos[[#This Row],[No clase]],-1,0),0,1)</f>
        <v>1</v>
      </c>
      <c r="AB144" s="117">
        <f ca="1">IF(NOT(OR(base_de_datos[[#This Row],[Horas totales]]=base_de_datos[[#This Row],[HT Plan]],base_de_datos[[#This Row],[Horas totales]]="N/A")),1,0)</f>
        <v>0</v>
      </c>
      <c r="AC144" s="116" t="str">
        <f>_xlfn.XLOOKUP(base_de_datos[[#This Row],[Profesor]],Nombre,Grado)</f>
        <v>E</v>
      </c>
      <c r="AD144" s="118" t="str">
        <f>_xlfn.XLOOKUP(base_de_datos[[#This Row],[Profesor]],Nombre,Tipo)</f>
        <v>TC</v>
      </c>
      <c r="AE144" s="116">
        <f>IF(IFERROR(VLOOKUP($C144,Planes_de_estudio[],MATCH($AE$2,Carreras,0)+2,0),"")&gt;0,IFERROR(VLOOKUP($C144,Planes_de_estudio[],MATCH($AE$2,Carreras,0)+2,0),""),"")</f>
        <v>2</v>
      </c>
      <c r="AF144" s="116" t="str">
        <f>IF(IFERROR(VLOOKUP($C144,Planes_de_estudio[],MATCH($AF$2,Carreras,0)+2,0),"")&gt;0,IFERROR(VLOOKUP($C144,Planes_de_estudio[],MATCH($AF$2,Carreras,0)+2,0),""),"")</f>
        <v/>
      </c>
      <c r="AG144" s="116" t="str">
        <f>IF(IFERROR(VLOOKUP($C144,Planes_de_estudio[],MATCH($AG$2,Carreras,0)+2,0),"")&gt;0,IFERROR(VLOOKUP($C144,Planes_de_estudio[],MATCH($AG$2,Carreras,0)+2,0),""),"")</f>
        <v/>
      </c>
      <c r="AH144" s="116">
        <f>IF(IFERROR(VLOOKUP($C144,Planes_de_estudio[],MATCH($AH$2,Carreras,0)+2,0),"")&gt;0,IFERROR(VLOOKUP($C144,Planes_de_estudio[],MATCH($AH$2,Carreras,0)+2,0),""),"")</f>
        <v>2</v>
      </c>
      <c r="AI144" s="116">
        <f>IF(IFERROR(VLOOKUP($C144,Planes_de_estudio[],MATCH($AI$2,Carreras,0)+2,0),"")&gt;0,IFERROR(VLOOKUP($C144,Planes_de_estudio[],MATCH($AI$2,Carreras,0)+2,0),""),"")</f>
        <v>4</v>
      </c>
      <c r="AJ144" s="116" t="str">
        <f>IF(IFERROR(VLOOKUP($C144,Planes_de_estudio[],MATCH($AJ$2,Carreras,0)+2,0),"")&gt;0,IFERROR(VLOOKUP($C144,Planes_de_estudio[],MATCH($AJ$2,Carreras,0)+2,0),""),"")</f>
        <v/>
      </c>
      <c r="AK144" s="116">
        <f>IF(IFERROR(VLOOKUP($C144,Planes_de_estudio[],MATCH($AK$2,Carreras,0)+2,0),"")&gt;0,IFERROR(VLOOKUP($C144,Planes_de_estudio[],MATCH($AK$2,Carreras,0)+2,0),""),"")</f>
        <v>2</v>
      </c>
      <c r="AL144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44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59</v>
      </c>
      <c r="AN144" s="117">
        <f>base_de_datos[[#This Row],[Pronóstico]]/25</f>
        <v>2.36</v>
      </c>
      <c r="AO144" s="117" t="str">
        <f>VLOOKUP($C144,Planes_de_estudio[],2)</f>
        <v>MEC</v>
      </c>
      <c r="AP144" s="119">
        <f ca="1">IF(AND(base_de_datos[[#This Row],[Industrial]]&lt;&gt;"",base_de_datos[[#This Row],[Misma o no]]=1),base_de_datos[[#This Row],[Índice]],"")</f>
        <v>2</v>
      </c>
      <c r="AQ144" s="119" t="str">
        <f ca="1">IF(AND(base_de_datos[[#This Row],[Mecatrónica]]&lt;&gt;"",base_de_datos[[#This Row],[Misma o no]]=1),base_de_datos[[#This Row],[Índice]],"")</f>
        <v/>
      </c>
      <c r="AR144" s="119" t="str">
        <f ca="1">IF(AND(base_de_datos[[#This Row],[Innovación y Diseño]]&lt;&gt;"",base_de_datos[[#This Row],[Misma o no]]=1),base_de_datos[[#This Row],[Índice]],"")</f>
        <v/>
      </c>
      <c r="AS144" s="119">
        <f ca="1">IF(AND(base_de_datos[[#This Row],[Inteligencia Artificial]]&lt;&gt;"",base_de_datos[[#This Row],[Misma o no]]=1),base_de_datos[[#This Row],[Índice]],"")</f>
        <v>2</v>
      </c>
      <c r="AT144" s="119">
        <f ca="1">IF(AND(base_de_datos[[#This Row],[Tecnologías Energéticas]]&lt;&gt;"",base_de_datos[[#This Row],[Misma o no]]=1),base_de_datos[[#This Row],[Índice]],"")</f>
        <v>2</v>
      </c>
      <c r="AU144" s="119" t="str">
        <f ca="1">IF(AND(base_de_datos[[#This Row],[Civil y Administración]]&lt;&gt;"",base_de_datos[[#This Row],[Misma o no]]=1),base_de_datos[[#This Row],[Índice]],"")</f>
        <v/>
      </c>
      <c r="AV144" s="119">
        <f ca="1">IF(AND(base_de_datos[[#This Row],[Bioelectrónica]]&lt;&gt;"",base_de_datos[[#This Row],[Misma o no]]=1),base_de_datos[[#This Row],[Índice]],"")</f>
        <v>2</v>
      </c>
      <c r="AW144" s="120"/>
      <c r="AX144" s="4" t="s">
        <v>1815</v>
      </c>
    </row>
    <row r="145" spans="2:50" s="6" customFormat="1" ht="13" x14ac:dyDescent="0.3">
      <c r="B145" s="6" t="s">
        <v>134</v>
      </c>
      <c r="C145" s="1" t="s">
        <v>364</v>
      </c>
      <c r="D145" s="4">
        <v>2</v>
      </c>
      <c r="E145" s="113">
        <v>0.5</v>
      </c>
      <c r="F145" s="113">
        <v>0.562499999999996</v>
      </c>
      <c r="G145" s="4" t="s">
        <v>87</v>
      </c>
      <c r="H145" s="4" t="s">
        <v>113</v>
      </c>
      <c r="I145" s="4"/>
      <c r="J145" s="198">
        <v>29</v>
      </c>
      <c r="K145" s="115"/>
      <c r="L145" s="3"/>
      <c r="M145" s="115"/>
      <c r="N145" s="3"/>
      <c r="O145" s="4" t="s">
        <v>366</v>
      </c>
      <c r="P145" s="114"/>
      <c r="Q145" s="114" t="s">
        <v>90</v>
      </c>
      <c r="R145" s="114"/>
      <c r="S145" s="114" t="s">
        <v>90</v>
      </c>
      <c r="T145" s="114"/>
      <c r="U145" s="114"/>
      <c r="V145" s="114"/>
      <c r="W145" s="114"/>
      <c r="X145" s="116">
        <f>_xlfn.XLOOKUP(base_de_datos[[#This Row],[Materia]],Materias,Horas)/16</f>
        <v>3</v>
      </c>
      <c r="Y145" s="117">
        <f>ROUND(((base_de_datos[[#This Row],[Hora fin]]-base_de_datos[[#This Row],[Hora inicio]])*24)*(COUNTA(base_de_datos[[#This Row],[Lunes]:[Sábado]])),1)</f>
        <v>3</v>
      </c>
      <c r="Z145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45" s="117">
        <f ca="1">IF(base_de_datos[[#This Row],[No clase]]=OFFSET(base_de_datos[[#This Row],[No clase]],-1,0),0,1)</f>
        <v>1</v>
      </c>
      <c r="AB145" s="117">
        <f ca="1">IF(NOT(OR(base_de_datos[[#This Row],[Horas totales]]=base_de_datos[[#This Row],[HT Plan]],base_de_datos[[#This Row],[Horas totales]]="N/A")),1,0)</f>
        <v>0</v>
      </c>
      <c r="AC145" s="117" t="str">
        <f>_xlfn.XLOOKUP(base_de_datos[[#This Row],[Profesor]],Nombre,Grado)</f>
        <v>D</v>
      </c>
      <c r="AD145" s="118" t="str">
        <f>_xlfn.XLOOKUP(base_de_datos[[#This Row],[Profesor]],Nombre,Tipo)</f>
        <v>A</v>
      </c>
      <c r="AE145" s="117">
        <f>IF(IFERROR(VLOOKUP($C145,Planes_de_estudio[],MATCH($AE$2,Carreras,0)+2,0),"")&gt;0,IFERROR(VLOOKUP($C145,Planes_de_estudio[],MATCH($AE$2,Carreras,0)+2,0),""),"")</f>
        <v>2</v>
      </c>
      <c r="AF145" s="117" t="str">
        <f>IF(IFERROR(VLOOKUP($C145,Planes_de_estudio[],MATCH($AF$2,Carreras,0)+2,0),"")&gt;0,IFERROR(VLOOKUP($C145,Planes_de_estudio[],MATCH($AF$2,Carreras,0)+2,0),""),"")</f>
        <v/>
      </c>
      <c r="AG145" s="117" t="str">
        <f>IF(IFERROR(VLOOKUP($C145,Planes_de_estudio[],MATCH($AG$2,Carreras,0)+2,0),"")&gt;0,IFERROR(VLOOKUP($C145,Planes_de_estudio[],MATCH($AG$2,Carreras,0)+2,0),""),"")</f>
        <v/>
      </c>
      <c r="AH145" s="117">
        <f>IF(IFERROR(VLOOKUP($C145,Planes_de_estudio[],MATCH($AH$2,Carreras,0)+2,0),"")&gt;0,IFERROR(VLOOKUP($C145,Planes_de_estudio[],MATCH($AH$2,Carreras,0)+2,0),""),"")</f>
        <v>2</v>
      </c>
      <c r="AI145" s="117">
        <f>IF(IFERROR(VLOOKUP($C145,Planes_de_estudio[],MATCH($AI$2,Carreras,0)+2,0),"")&gt;0,IFERROR(VLOOKUP($C145,Planes_de_estudio[],MATCH($AI$2,Carreras,0)+2,0),""),"")</f>
        <v>4</v>
      </c>
      <c r="AJ145" s="117" t="str">
        <f>IF(IFERROR(VLOOKUP($C145,Planes_de_estudio[],MATCH($AJ$2,Carreras,0)+2,0),"")&gt;0,IFERROR(VLOOKUP($C145,Planes_de_estudio[],MATCH($AJ$2,Carreras,0)+2,0),""),"")</f>
        <v/>
      </c>
      <c r="AK145" s="117">
        <f>IF(IFERROR(VLOOKUP($C145,Planes_de_estudio[],MATCH($AK$2,Carreras,0)+2,0),"")&gt;0,IFERROR(VLOOKUP($C145,Planes_de_estudio[],MATCH($AK$2,Carreras,0)+2,0),""),"")</f>
        <v>2</v>
      </c>
      <c r="AL145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45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59</v>
      </c>
      <c r="AN145" s="117">
        <f>base_de_datos[[#This Row],[Pronóstico]]/25</f>
        <v>2.36</v>
      </c>
      <c r="AO145" s="117" t="str">
        <f>VLOOKUP($C145,Planes_de_estudio[],2)</f>
        <v>MEC</v>
      </c>
      <c r="AP145" s="119">
        <f ca="1">IF(AND(base_de_datos[[#This Row],[Industrial]]&lt;&gt;"",base_de_datos[[#This Row],[Misma o no]]=1),base_de_datos[[#This Row],[Índice]],"")</f>
        <v>6</v>
      </c>
      <c r="AQ145" s="119" t="str">
        <f ca="1">IF(AND(base_de_datos[[#This Row],[Mecatrónica]]&lt;&gt;"",base_de_datos[[#This Row],[Misma o no]]=1),base_de_datos[[#This Row],[Índice]],"")</f>
        <v/>
      </c>
      <c r="AR145" s="119" t="str">
        <f ca="1">IF(AND(base_de_datos[[#This Row],[Innovación y Diseño]]&lt;&gt;"",base_de_datos[[#This Row],[Misma o no]]=1),base_de_datos[[#This Row],[Índice]],"")</f>
        <v/>
      </c>
      <c r="AS145" s="119">
        <f ca="1">IF(AND(base_de_datos[[#This Row],[Inteligencia Artificial]]&lt;&gt;"",base_de_datos[[#This Row],[Misma o no]]=1),base_de_datos[[#This Row],[Índice]],"")</f>
        <v>6</v>
      </c>
      <c r="AT145" s="119">
        <f ca="1">IF(AND(base_de_datos[[#This Row],[Tecnologías Energéticas]]&lt;&gt;"",base_de_datos[[#This Row],[Misma o no]]=1),base_de_datos[[#This Row],[Índice]],"")</f>
        <v>6</v>
      </c>
      <c r="AU145" s="119" t="str">
        <f ca="1">IF(AND(base_de_datos[[#This Row],[Civil y Administración]]&lt;&gt;"",base_de_datos[[#This Row],[Misma o no]]=1),base_de_datos[[#This Row],[Índice]],"")</f>
        <v/>
      </c>
      <c r="AV145" s="119">
        <f ca="1">IF(AND(base_de_datos[[#This Row],[Bioelectrónica]]&lt;&gt;"",base_de_datos[[#This Row],[Misma o no]]=1),base_de_datos[[#This Row],[Índice]],"")</f>
        <v>6</v>
      </c>
      <c r="AW145" s="88"/>
      <c r="AX145" s="4" t="s">
        <v>1815</v>
      </c>
    </row>
    <row r="146" spans="2:50" s="6" customFormat="1" ht="13" x14ac:dyDescent="0.3">
      <c r="B146" s="6" t="s">
        <v>350</v>
      </c>
      <c r="C146" s="1" t="s">
        <v>371</v>
      </c>
      <c r="D146" s="4">
        <v>1</v>
      </c>
      <c r="E146" s="113">
        <v>0.29166666666666669</v>
      </c>
      <c r="F146" s="113">
        <v>0.374999999999999</v>
      </c>
      <c r="G146" s="4" t="s">
        <v>87</v>
      </c>
      <c r="H146" s="4" t="s">
        <v>102</v>
      </c>
      <c r="I146" s="4"/>
      <c r="J146" s="126">
        <v>16</v>
      </c>
      <c r="K146" s="115"/>
      <c r="L146" s="3"/>
      <c r="M146" s="127"/>
      <c r="N146" s="3"/>
      <c r="O146" s="4" t="s">
        <v>372</v>
      </c>
      <c r="P146" s="114"/>
      <c r="Q146" s="114"/>
      <c r="R146" s="114" t="s">
        <v>90</v>
      </c>
      <c r="S146" s="114"/>
      <c r="T146" s="114"/>
      <c r="U146" s="114"/>
      <c r="V146" s="114"/>
      <c r="W146" s="114"/>
      <c r="X146" s="117">
        <f>_xlfn.XLOOKUP(base_de_datos[[#This Row],[Materia]],Materias,Horas)/16</f>
        <v>5</v>
      </c>
      <c r="Y146" s="117">
        <f>ROUND(((base_de_datos[[#This Row],[Hora fin]]-base_de_datos[[#This Row],[Hora inicio]])*24)*(COUNTA(base_de_datos[[#This Row],[Lunes]:[Sábado]])),1)</f>
        <v>2</v>
      </c>
      <c r="Z146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46" s="117">
        <f ca="1">IF(base_de_datos[[#This Row],[No clase]]=OFFSET(base_de_datos[[#This Row],[No clase]],-1,0),0,1)</f>
        <v>1</v>
      </c>
      <c r="AB146" s="117">
        <f ca="1">IF(NOT(OR(base_de_datos[[#This Row],[Horas totales]]=base_de_datos[[#This Row],[HT Plan]],base_de_datos[[#This Row],[Horas totales]]="N/A")),1,0)</f>
        <v>1</v>
      </c>
      <c r="AC146" s="117" t="str">
        <f>_xlfn.XLOOKUP(base_de_datos[[#This Row],[Profesor]],Nombre,Grado)</f>
        <v>E</v>
      </c>
      <c r="AD146" s="118" t="str">
        <f>_xlfn.XLOOKUP(base_de_datos[[#This Row],[Profesor]],Nombre,Tipo)</f>
        <v>A</v>
      </c>
      <c r="AE146" s="117" t="str">
        <f>IF(IFERROR(VLOOKUP($C146,Planes_de_estudio[],MATCH($AE$2,Carreras,0)+2,0),"")&gt;0,IFERROR(VLOOKUP($C146,Planes_de_estudio[],MATCH($AE$2,Carreras,0)+2,0),""),"")</f>
        <v/>
      </c>
      <c r="AF146" s="117" t="str">
        <f>IF(IFERROR(VLOOKUP($C146,Planes_de_estudio[],MATCH($AF$2,Carreras,0)+2,0),"")&gt;0,IFERROR(VLOOKUP($C146,Planes_de_estudio[],MATCH($AF$2,Carreras,0)+2,0),""),"")</f>
        <v/>
      </c>
      <c r="AG146" s="117">
        <f>IF(IFERROR(VLOOKUP($C146,Planes_de_estudio[],MATCH($AG$2,Carreras,0)+2,0),"")&gt;0,IFERROR(VLOOKUP($C146,Planes_de_estudio[],MATCH($AG$2,Carreras,0)+2,0),""),"")</f>
        <v>4</v>
      </c>
      <c r="AH146" s="117" t="str">
        <f>IF(IFERROR(VLOOKUP($C146,Planes_de_estudio[],MATCH($AH$2,Carreras,0)+2,0),"")&gt;0,IFERROR(VLOOKUP($C146,Planes_de_estudio[],MATCH($AH$2,Carreras,0)+2,0),""),"")</f>
        <v/>
      </c>
      <c r="AI146" s="117" t="str">
        <f>IF(IFERROR(VLOOKUP($C146,Planes_de_estudio[],MATCH($AI$2,Carreras,0)+2,0),"")&gt;0,IFERROR(VLOOKUP($C146,Planes_de_estudio[],MATCH($AI$2,Carreras,0)+2,0),""),"")</f>
        <v/>
      </c>
      <c r="AJ146" s="117" t="str">
        <f>IF(IFERROR(VLOOKUP($C146,Planes_de_estudio[],MATCH($AJ$2,Carreras,0)+2,0),"")&gt;0,IFERROR(VLOOKUP($C146,Planes_de_estudio[],MATCH($AJ$2,Carreras,0)+2,0),""),"")</f>
        <v/>
      </c>
      <c r="AK146" s="117" t="str">
        <f>IF(IFERROR(VLOOKUP($C146,Planes_de_estudio[],MATCH($AK$2,Carreras,0)+2,0),"")&gt;0,IFERROR(VLOOKUP($C146,Planes_de_estudio[],MATCH($AK$2,Carreras,0)+2,0),""),"")</f>
        <v/>
      </c>
      <c r="AL146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46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15</v>
      </c>
      <c r="AN146" s="117">
        <f>base_de_datos[[#This Row],[Pronóstico]]/25</f>
        <v>0.6</v>
      </c>
      <c r="AO146" s="117" t="str">
        <f>VLOOKUP($C146,Planes_de_estudio[],2)</f>
        <v>IID</v>
      </c>
      <c r="AP146" s="119" t="str">
        <f ca="1">IF(AND(base_de_datos[[#This Row],[Industrial]]&lt;&gt;"",base_de_datos[[#This Row],[Misma o no]]=1),base_de_datos[[#This Row],[Índice]],"")</f>
        <v/>
      </c>
      <c r="AQ146" s="119" t="str">
        <f ca="1">IF(AND(base_de_datos[[#This Row],[Mecatrónica]]&lt;&gt;"",base_de_datos[[#This Row],[Misma o no]]=1),base_de_datos[[#This Row],[Índice]],"")</f>
        <v/>
      </c>
      <c r="AR146" s="119">
        <f ca="1">IF(AND(base_de_datos[[#This Row],[Innovación y Diseño]]&lt;&gt;"",base_de_datos[[#This Row],[Misma o no]]=1),base_de_datos[[#This Row],[Índice]],"")</f>
        <v>2</v>
      </c>
      <c r="AS146" s="119" t="str">
        <f ca="1">IF(AND(base_de_datos[[#This Row],[Inteligencia Artificial]]&lt;&gt;"",base_de_datos[[#This Row],[Misma o no]]=1),base_de_datos[[#This Row],[Índice]],"")</f>
        <v/>
      </c>
      <c r="AT146" s="119" t="str">
        <f ca="1">IF(AND(base_de_datos[[#This Row],[Tecnologías Energéticas]]&lt;&gt;"",base_de_datos[[#This Row],[Misma o no]]=1),base_de_datos[[#This Row],[Índice]],"")</f>
        <v/>
      </c>
      <c r="AU146" s="119" t="str">
        <f ca="1">IF(AND(base_de_datos[[#This Row],[Civil y Administración]]&lt;&gt;"",base_de_datos[[#This Row],[Misma o no]]=1),base_de_datos[[#This Row],[Índice]],"")</f>
        <v/>
      </c>
      <c r="AV146" s="119" t="str">
        <f ca="1">IF(AND(base_de_datos[[#This Row],[Bioelectrónica]]&lt;&gt;"",base_de_datos[[#This Row],[Misma o no]]=1),base_de_datos[[#This Row],[Índice]],"")</f>
        <v/>
      </c>
      <c r="AW146" s="120"/>
      <c r="AX146" s="4">
        <v>3</v>
      </c>
    </row>
    <row r="147" spans="2:50" s="6" customFormat="1" ht="13" x14ac:dyDescent="0.3">
      <c r="B147" s="6" t="s">
        <v>379</v>
      </c>
      <c r="C147" s="1" t="s">
        <v>380</v>
      </c>
      <c r="D147" s="4">
        <v>1</v>
      </c>
      <c r="E147" s="113">
        <v>0.29166666666666669</v>
      </c>
      <c r="F147" s="113">
        <v>0.374999999999999</v>
      </c>
      <c r="G147" s="4" t="s">
        <v>87</v>
      </c>
      <c r="H147" s="4" t="s">
        <v>160</v>
      </c>
      <c r="I147" s="4"/>
      <c r="J147" s="126">
        <v>18</v>
      </c>
      <c r="K147" s="115"/>
      <c r="L147" s="3"/>
      <c r="M147" s="127"/>
      <c r="N147" s="3"/>
      <c r="O147" s="4">
        <v>2067</v>
      </c>
      <c r="P147" s="114"/>
      <c r="Q147" s="114" t="s">
        <v>90</v>
      </c>
      <c r="R147" s="114"/>
      <c r="S147" s="114" t="s">
        <v>90</v>
      </c>
      <c r="T147" s="114"/>
      <c r="U147" s="114"/>
      <c r="V147" s="114" t="s">
        <v>90</v>
      </c>
      <c r="W147" s="114"/>
      <c r="X147" s="117">
        <f>_xlfn.XLOOKUP(base_de_datos[[#This Row],[Materia]],Materias,Horas)/16</f>
        <v>4</v>
      </c>
      <c r="Y147" s="117">
        <f>ROUND(((base_de_datos[[#This Row],[Hora fin]]-base_de_datos[[#This Row],[Hora inicio]])*24)*(COUNTA(base_de_datos[[#This Row],[Lunes]:[Sábado]])),1)</f>
        <v>4</v>
      </c>
      <c r="Z147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47" s="117">
        <f ca="1">IF(base_de_datos[[#This Row],[No clase]]=OFFSET(base_de_datos[[#This Row],[No clase]],-1,0),0,1)</f>
        <v>1</v>
      </c>
      <c r="AB147" s="117">
        <f ca="1">IF(NOT(OR(base_de_datos[[#This Row],[Horas totales]]=base_de_datos[[#This Row],[HT Plan]],base_de_datos[[#This Row],[Horas totales]]="N/A")),1,0)</f>
        <v>0</v>
      </c>
      <c r="AC147" s="117" t="str">
        <f>_xlfn.XLOOKUP(base_de_datos[[#This Row],[Profesor]],Nombre,Grado)</f>
        <v>L</v>
      </c>
      <c r="AD147" s="118" t="str">
        <f>_xlfn.XLOOKUP(base_de_datos[[#This Row],[Profesor]],Nombre,Tipo)</f>
        <v>A</v>
      </c>
      <c r="AE147" s="117" t="str">
        <f>IF(IFERROR(VLOOKUP($C147,Planes_de_estudio[],MATCH($AE$2,Carreras,0)+2,0),"")&gt;0,IFERROR(VLOOKUP($C147,Planes_de_estudio[],MATCH($AE$2,Carreras,0)+2,0),""),"")</f>
        <v/>
      </c>
      <c r="AF147" s="117" t="str">
        <f>IF(IFERROR(VLOOKUP($C147,Planes_de_estudio[],MATCH($AF$2,Carreras,0)+2,0),"")&gt;0,IFERROR(VLOOKUP($C147,Planes_de_estudio[],MATCH($AF$2,Carreras,0)+2,0),""),"")</f>
        <v/>
      </c>
      <c r="AG147" s="117">
        <f>IF(IFERROR(VLOOKUP($C147,Planes_de_estudio[],MATCH($AG$2,Carreras,0)+2,0),"")&gt;0,IFERROR(VLOOKUP($C147,Planes_de_estudio[],MATCH($AG$2,Carreras,0)+2,0),""),"")</f>
        <v>4</v>
      </c>
      <c r="AH147" s="117" t="str">
        <f>IF(IFERROR(VLOOKUP($C147,Planes_de_estudio[],MATCH($AH$2,Carreras,0)+2,0),"")&gt;0,IFERROR(VLOOKUP($C147,Planes_de_estudio[],MATCH($AH$2,Carreras,0)+2,0),""),"")</f>
        <v/>
      </c>
      <c r="AI147" s="117" t="str">
        <f>IF(IFERROR(VLOOKUP($C147,Planes_de_estudio[],MATCH($AI$2,Carreras,0)+2,0),"")&gt;0,IFERROR(VLOOKUP($C147,Planes_de_estudio[],MATCH($AI$2,Carreras,0)+2,0),""),"")</f>
        <v/>
      </c>
      <c r="AJ147" s="117" t="str">
        <f>IF(IFERROR(VLOOKUP($C147,Planes_de_estudio[],MATCH($AJ$2,Carreras,0)+2,0),"")&gt;0,IFERROR(VLOOKUP($C147,Planes_de_estudio[],MATCH($AJ$2,Carreras,0)+2,0),""),"")</f>
        <v/>
      </c>
      <c r="AK147" s="117" t="str">
        <f>IF(IFERROR(VLOOKUP($C147,Planes_de_estudio[],MATCH($AK$2,Carreras,0)+2,0),"")&gt;0,IFERROR(VLOOKUP($C147,Planes_de_estudio[],MATCH($AK$2,Carreras,0)+2,0),""),"")</f>
        <v/>
      </c>
      <c r="AL147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47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15</v>
      </c>
      <c r="AN147" s="117">
        <f>base_de_datos[[#This Row],[Pronóstico]]/25</f>
        <v>0.6</v>
      </c>
      <c r="AO147" s="117" t="str">
        <f>VLOOKUP($C147,Planes_de_estudio[],2)</f>
        <v>COM</v>
      </c>
      <c r="AP147" s="119" t="str">
        <f ca="1">IF(AND(base_de_datos[[#This Row],[Industrial]]&lt;&gt;"",base_de_datos[[#This Row],[Misma o no]]=1),base_de_datos[[#This Row],[Índice]],"")</f>
        <v/>
      </c>
      <c r="AQ147" s="119" t="str">
        <f ca="1">IF(AND(base_de_datos[[#This Row],[Mecatrónica]]&lt;&gt;"",base_de_datos[[#This Row],[Misma o no]]=1),base_de_datos[[#This Row],[Índice]],"")</f>
        <v/>
      </c>
      <c r="AR147" s="119">
        <f ca="1">IF(AND(base_de_datos[[#This Row],[Innovación y Diseño]]&lt;&gt;"",base_de_datos[[#This Row],[Misma o no]]=1),base_de_datos[[#This Row],[Índice]],"")</f>
        <v>1</v>
      </c>
      <c r="AS147" s="119" t="str">
        <f ca="1">IF(AND(base_de_datos[[#This Row],[Inteligencia Artificial]]&lt;&gt;"",base_de_datos[[#This Row],[Misma o no]]=1),base_de_datos[[#This Row],[Índice]],"")</f>
        <v/>
      </c>
      <c r="AT147" s="119" t="str">
        <f ca="1">IF(AND(base_de_datos[[#This Row],[Tecnologías Energéticas]]&lt;&gt;"",base_de_datos[[#This Row],[Misma o no]]=1),base_de_datos[[#This Row],[Índice]],"")</f>
        <v/>
      </c>
      <c r="AU147" s="119" t="str">
        <f ca="1">IF(AND(base_de_datos[[#This Row],[Civil y Administración]]&lt;&gt;"",base_de_datos[[#This Row],[Misma o no]]=1),base_de_datos[[#This Row],[Índice]],"")</f>
        <v/>
      </c>
      <c r="AV147" s="119" t="str">
        <f ca="1">IF(AND(base_de_datos[[#This Row],[Bioelectrónica]]&lt;&gt;"",base_de_datos[[#This Row],[Misma o no]]=1),base_de_datos[[#This Row],[Índice]],"")</f>
        <v/>
      </c>
      <c r="AW147" s="120"/>
      <c r="AX147" s="4">
        <v>2</v>
      </c>
    </row>
    <row r="148" spans="2:50" s="6" customFormat="1" ht="13" x14ac:dyDescent="0.3">
      <c r="B148" s="6" t="s">
        <v>373</v>
      </c>
      <c r="C148" s="1" t="s">
        <v>374</v>
      </c>
      <c r="D148" s="4">
        <v>1</v>
      </c>
      <c r="E148" s="113">
        <v>0.70833333333333304</v>
      </c>
      <c r="F148" s="113">
        <v>0.79166666666665897</v>
      </c>
      <c r="G148" s="226" t="s">
        <v>87</v>
      </c>
      <c r="H148" s="4" t="s">
        <v>194</v>
      </c>
      <c r="I148" s="4"/>
      <c r="J148" s="114">
        <v>10</v>
      </c>
      <c r="K148" s="115"/>
      <c r="L148" s="3"/>
      <c r="M148" s="115"/>
      <c r="N148" s="3"/>
      <c r="O148" s="4" t="s">
        <v>375</v>
      </c>
      <c r="P148" s="114"/>
      <c r="Q148" s="114" t="s">
        <v>90</v>
      </c>
      <c r="R148" s="114"/>
      <c r="S148" s="114" t="s">
        <v>90</v>
      </c>
      <c r="T148" s="114"/>
      <c r="U148" s="114"/>
      <c r="V148" s="114"/>
      <c r="W148" s="114"/>
      <c r="X148" s="116">
        <f>_xlfn.XLOOKUP(base_de_datos[[#This Row],[Materia]],Materias,Horas)/16</f>
        <v>4</v>
      </c>
      <c r="Y148" s="116">
        <f>ROUND(((base_de_datos[[#This Row],[Hora fin]]-base_de_datos[[#This Row],[Hora inicio]])*24)*(COUNTA(base_de_datos[[#This Row],[Lunes]:[Sábado]])),1)</f>
        <v>4</v>
      </c>
      <c r="Z148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48" s="117">
        <f ca="1">IF(base_de_datos[[#This Row],[No clase]]=OFFSET(base_de_datos[[#This Row],[No clase]],-1,0),0,1)</f>
        <v>1</v>
      </c>
      <c r="AB148" s="117">
        <f ca="1">IF(NOT(OR(base_de_datos[[#This Row],[Horas totales]]=base_de_datos[[#This Row],[HT Plan]],base_de_datos[[#This Row],[Horas totales]]="N/A")),1,0)</f>
        <v>0</v>
      </c>
      <c r="AC148" s="116" t="str">
        <f>_xlfn.XLOOKUP(base_de_datos[[#This Row],[Profesor]],Nombre,Grado)</f>
        <v>SNI</v>
      </c>
      <c r="AD148" s="118" t="str">
        <f>_xlfn.XLOOKUP(base_de_datos[[#This Row],[Profesor]],Nombre,Tipo)</f>
        <v>TC</v>
      </c>
      <c r="AE148" s="116" t="str">
        <f>IF(IFERROR(VLOOKUP($C148,Planes_de_estudio[],MATCH($AE$2,Carreras,0)+2,0),"")&gt;0,IFERROR(VLOOKUP($C148,Planes_de_estudio[],MATCH($AE$2,Carreras,0)+2,0),""),"")</f>
        <v/>
      </c>
      <c r="AF148" s="116">
        <f>IF(IFERROR(VLOOKUP($C148,Planes_de_estudio[],MATCH($AF$2,Carreras,0)+2,0),"")&gt;0,IFERROR(VLOOKUP($C148,Planes_de_estudio[],MATCH($AF$2,Carreras,0)+2,0),""),"")</f>
        <v>5</v>
      </c>
      <c r="AG148" s="116" t="str">
        <f>IF(IFERROR(VLOOKUP($C148,Planes_de_estudio[],MATCH($AG$2,Carreras,0)+2,0),"")&gt;0,IFERROR(VLOOKUP($C148,Planes_de_estudio[],MATCH($AG$2,Carreras,0)+2,0),""),"")</f>
        <v/>
      </c>
      <c r="AH148" s="116">
        <f>IF(IFERROR(VLOOKUP($C148,Planes_de_estudio[],MATCH($AH$2,Carreras,0)+2,0),"")&gt;0,IFERROR(VLOOKUP($C148,Planes_de_estudio[],MATCH($AH$2,Carreras,0)+2,0),""),"")</f>
        <v>5</v>
      </c>
      <c r="AI148" s="116">
        <f>IF(IFERROR(VLOOKUP($C148,Planes_de_estudio[],MATCH($AI$2,Carreras,0)+2,0),"")&gt;0,IFERROR(VLOOKUP($C148,Planes_de_estudio[],MATCH($AI$2,Carreras,0)+2,0),""),"")</f>
        <v>6</v>
      </c>
      <c r="AJ148" s="116" t="str">
        <f>IF(IFERROR(VLOOKUP($C148,Planes_de_estudio[],MATCH($AJ$2,Carreras,0)+2,0),"")&gt;0,IFERROR(VLOOKUP($C148,Planes_de_estudio[],MATCH($AJ$2,Carreras,0)+2,0),""),"")</f>
        <v/>
      </c>
      <c r="AK148" s="116">
        <f>IF(IFERROR(VLOOKUP($C148,Planes_de_estudio[],MATCH($AK$2,Carreras,0)+2,0),"")&gt;0,IFERROR(VLOOKUP($C148,Planes_de_estudio[],MATCH($AK$2,Carreras,0)+2,0),""),"")</f>
        <v>5</v>
      </c>
      <c r="AL148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48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9</v>
      </c>
      <c r="AN148" s="117">
        <f>base_de_datos[[#This Row],[Pronóstico]]/25</f>
        <v>0.36</v>
      </c>
      <c r="AO148" s="117" t="str">
        <f>VLOOKUP($C148,Planes_de_estudio[],2)</f>
        <v>EEC</v>
      </c>
      <c r="AP148" s="119" t="str">
        <f ca="1">IF(AND(base_de_datos[[#This Row],[Industrial]]&lt;&gt;"",base_de_datos[[#This Row],[Misma o no]]=1),base_de_datos[[#This Row],[Índice]],"")</f>
        <v/>
      </c>
      <c r="AQ148" s="119">
        <f ca="1">IF(AND(base_de_datos[[#This Row],[Mecatrónica]]&lt;&gt;"",base_de_datos[[#This Row],[Misma o no]]=1),base_de_datos[[#This Row],[Índice]],"")</f>
        <v>6</v>
      </c>
      <c r="AR148" s="119" t="str">
        <f ca="1">IF(AND(base_de_datos[[#This Row],[Innovación y Diseño]]&lt;&gt;"",base_de_datos[[#This Row],[Misma o no]]=1),base_de_datos[[#This Row],[Índice]],"")</f>
        <v/>
      </c>
      <c r="AS148" s="119">
        <f ca="1">IF(AND(base_de_datos[[#This Row],[Inteligencia Artificial]]&lt;&gt;"",base_de_datos[[#This Row],[Misma o no]]=1),base_de_datos[[#This Row],[Índice]],"")</f>
        <v>6</v>
      </c>
      <c r="AT148" s="119">
        <f ca="1">IF(AND(base_de_datos[[#This Row],[Tecnologías Energéticas]]&lt;&gt;"",base_de_datos[[#This Row],[Misma o no]]=1),base_de_datos[[#This Row],[Índice]],"")</f>
        <v>6</v>
      </c>
      <c r="AU148" s="119" t="str">
        <f ca="1">IF(AND(base_de_datos[[#This Row],[Civil y Administración]]&lt;&gt;"",base_de_datos[[#This Row],[Misma o no]]=1),base_de_datos[[#This Row],[Índice]],"")</f>
        <v/>
      </c>
      <c r="AV148" s="119">
        <f ca="1">IF(AND(base_de_datos[[#This Row],[Bioelectrónica]]&lt;&gt;"",base_de_datos[[#This Row],[Misma o no]]=1),base_de_datos[[#This Row],[Índice]],"")</f>
        <v>6</v>
      </c>
      <c r="AW148" s="120"/>
      <c r="AX148" s="4" t="s">
        <v>1816</v>
      </c>
    </row>
    <row r="149" spans="2:50" s="6" customFormat="1" ht="13" x14ac:dyDescent="0.3">
      <c r="B149" s="6" t="s">
        <v>107</v>
      </c>
      <c r="C149" s="1" t="s">
        <v>376</v>
      </c>
      <c r="D149" s="4">
        <v>2</v>
      </c>
      <c r="E149" s="113">
        <v>0.625</v>
      </c>
      <c r="F149" s="113">
        <v>0.687499999999994</v>
      </c>
      <c r="G149" s="4" t="s">
        <v>87</v>
      </c>
      <c r="H149" s="84" t="s">
        <v>169</v>
      </c>
      <c r="I149" s="4"/>
      <c r="J149" s="126">
        <v>25</v>
      </c>
      <c r="K149" s="115"/>
      <c r="L149" s="3"/>
      <c r="M149" s="127"/>
      <c r="N149" s="3"/>
      <c r="O149" s="4" t="s">
        <v>377</v>
      </c>
      <c r="P149" s="114"/>
      <c r="Q149" s="114" t="s">
        <v>90</v>
      </c>
      <c r="R149" s="114"/>
      <c r="S149" s="114" t="s">
        <v>90</v>
      </c>
      <c r="T149" s="114"/>
      <c r="U149" s="114"/>
      <c r="V149" s="114"/>
      <c r="W149" s="114"/>
      <c r="X149" s="117">
        <f>_xlfn.XLOOKUP(base_de_datos[[#This Row],[Materia]],Materias,Horas)/16</f>
        <v>3</v>
      </c>
      <c r="Y149" s="117">
        <f>ROUND(((base_de_datos[[#This Row],[Hora fin]]-base_de_datos[[#This Row],[Hora inicio]])*24)*(COUNTA(base_de_datos[[#This Row],[Lunes]:[Sábado]])),1)</f>
        <v>3</v>
      </c>
      <c r="Z149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49" s="117">
        <f ca="1">IF(base_de_datos[[#This Row],[No clase]]=OFFSET(base_de_datos[[#This Row],[No clase]],-1,0),0,1)</f>
        <v>1</v>
      </c>
      <c r="AB149" s="117">
        <f ca="1">IF(NOT(OR(base_de_datos[[#This Row],[Horas totales]]=base_de_datos[[#This Row],[HT Plan]],base_de_datos[[#This Row],[Horas totales]]="N/A")),1,0)</f>
        <v>0</v>
      </c>
      <c r="AC149" s="117" t="str">
        <f>_xlfn.XLOOKUP(base_de_datos[[#This Row],[Profesor]],Nombre,Grado)</f>
        <v>L</v>
      </c>
      <c r="AD149" s="118" t="str">
        <f>_xlfn.XLOOKUP(base_de_datos[[#This Row],[Profesor]],Nombre,Tipo)</f>
        <v>OA</v>
      </c>
      <c r="AE149" s="117" t="str">
        <f>IF(IFERROR(VLOOKUP($C149,Planes_de_estudio[],MATCH($AE$2,Carreras,0)+2,0),"")&gt;0,IFERROR(VLOOKUP($C149,Planes_de_estudio[],MATCH($AE$2,Carreras,0)+2,0),""),"")</f>
        <v/>
      </c>
      <c r="AF149" s="117">
        <f>IF(IFERROR(VLOOKUP($C149,Planes_de_estudio[],MATCH($AF$2,Carreras,0)+2,0),"")&gt;0,IFERROR(VLOOKUP($C149,Planes_de_estudio[],MATCH($AF$2,Carreras,0)+2,0),""),"")</f>
        <v>6</v>
      </c>
      <c r="AG149" s="117" t="str">
        <f>IF(IFERROR(VLOOKUP($C149,Planes_de_estudio[],MATCH($AG$2,Carreras,0)+2,0),"")&gt;0,IFERROR(VLOOKUP($C149,Planes_de_estudio[],MATCH($AG$2,Carreras,0)+2,0),""),"")</f>
        <v/>
      </c>
      <c r="AH149" s="117">
        <f>IF(IFERROR(VLOOKUP($C149,Planes_de_estudio[],MATCH($AH$2,Carreras,0)+2,0),"")&gt;0,IFERROR(VLOOKUP($C149,Planes_de_estudio[],MATCH($AH$2,Carreras,0)+2,0),""),"")</f>
        <v>6</v>
      </c>
      <c r="AI149" s="117">
        <f>IF(IFERROR(VLOOKUP($C149,Planes_de_estudio[],MATCH($AI$2,Carreras,0)+2,0),"")&gt;0,IFERROR(VLOOKUP($C149,Planes_de_estudio[],MATCH($AI$2,Carreras,0)+2,0),""),"")</f>
        <v>7</v>
      </c>
      <c r="AJ149" s="117" t="str">
        <f>IF(IFERROR(VLOOKUP($C149,Planes_de_estudio[],MATCH($AJ$2,Carreras,0)+2,0),"")&gt;0,IFERROR(VLOOKUP($C149,Planes_de_estudio[],MATCH($AJ$2,Carreras,0)+2,0),""),"")</f>
        <v/>
      </c>
      <c r="AK149" s="117">
        <f>IF(IFERROR(VLOOKUP($C149,Planes_de_estudio[],MATCH($AK$2,Carreras,0)+2,0),"")&gt;0,IFERROR(VLOOKUP($C149,Planes_de_estudio[],MATCH($AK$2,Carreras,0)+2,0),""),"")</f>
        <v>6</v>
      </c>
      <c r="AL149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49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38</v>
      </c>
      <c r="AN149" s="117">
        <f>base_de_datos[[#This Row],[Pronóstico]]/25</f>
        <v>1.52</v>
      </c>
      <c r="AO149" s="117" t="str">
        <f>VLOOKUP($C149,Planes_de_estudio[],2)</f>
        <v>EEC</v>
      </c>
      <c r="AP149" s="119" t="str">
        <f ca="1">IF(AND(base_de_datos[[#This Row],[Industrial]]&lt;&gt;"",base_de_datos[[#This Row],[Misma o no]]=1),base_de_datos[[#This Row],[Índice]],"")</f>
        <v/>
      </c>
      <c r="AQ149" s="119">
        <f ca="1">IF(AND(base_de_datos[[#This Row],[Mecatrónica]]&lt;&gt;"",base_de_datos[[#This Row],[Misma o no]]=1),base_de_datos[[#This Row],[Índice]],"")</f>
        <v>1</v>
      </c>
      <c r="AR149" s="119" t="str">
        <f ca="1">IF(AND(base_de_datos[[#This Row],[Innovación y Diseño]]&lt;&gt;"",base_de_datos[[#This Row],[Misma o no]]=1),base_de_datos[[#This Row],[Índice]],"")</f>
        <v/>
      </c>
      <c r="AS149" s="119">
        <f ca="1">IF(AND(base_de_datos[[#This Row],[Inteligencia Artificial]]&lt;&gt;"",base_de_datos[[#This Row],[Misma o no]]=1),base_de_datos[[#This Row],[Índice]],"")</f>
        <v>1</v>
      </c>
      <c r="AT149" s="119">
        <f ca="1">IF(AND(base_de_datos[[#This Row],[Tecnologías Energéticas]]&lt;&gt;"",base_de_datos[[#This Row],[Misma o no]]=1),base_de_datos[[#This Row],[Índice]],"")</f>
        <v>1</v>
      </c>
      <c r="AU149" s="119" t="str">
        <f ca="1">IF(AND(base_de_datos[[#This Row],[Civil y Administración]]&lt;&gt;"",base_de_datos[[#This Row],[Misma o no]]=1),base_de_datos[[#This Row],[Índice]],"")</f>
        <v/>
      </c>
      <c r="AV149" s="119">
        <f ca="1">IF(AND(base_de_datos[[#This Row],[Bioelectrónica]]&lt;&gt;"",base_de_datos[[#This Row],[Misma o no]]=1),base_de_datos[[#This Row],[Índice]],"")</f>
        <v>1</v>
      </c>
      <c r="AW149" s="120"/>
      <c r="AX149" s="4">
        <v>3</v>
      </c>
    </row>
    <row r="150" spans="2:50" s="6" customFormat="1" ht="13" x14ac:dyDescent="0.3">
      <c r="B150" s="6" t="s">
        <v>381</v>
      </c>
      <c r="C150" s="1" t="s">
        <v>382</v>
      </c>
      <c r="D150" s="4">
        <v>1</v>
      </c>
      <c r="E150" s="113">
        <v>0.375</v>
      </c>
      <c r="F150" s="113">
        <v>0.45833333333333098</v>
      </c>
      <c r="G150" s="226" t="s">
        <v>92</v>
      </c>
      <c r="H150" s="4" t="s">
        <v>297</v>
      </c>
      <c r="I150" s="4"/>
      <c r="J150" s="114">
        <v>17</v>
      </c>
      <c r="K150" s="115"/>
      <c r="L150" s="3"/>
      <c r="M150" s="115"/>
      <c r="N150" s="3"/>
      <c r="O150" s="4">
        <v>1906</v>
      </c>
      <c r="P150" s="114"/>
      <c r="Q150" s="114"/>
      <c r="R150" s="114" t="s">
        <v>90</v>
      </c>
      <c r="S150" s="114"/>
      <c r="T150" s="114"/>
      <c r="U150" s="114"/>
      <c r="V150" s="114"/>
      <c r="W150" s="114"/>
      <c r="X150" s="116">
        <f>_xlfn.XLOOKUP(base_de_datos[[#This Row],[Materia]],Materias,Horas)/16</f>
        <v>4</v>
      </c>
      <c r="Y150" s="116">
        <f>ROUND(((base_de_datos[[#This Row],[Hora fin]]-base_de_datos[[#This Row],[Hora inicio]])*24)*(COUNTA(base_de_datos[[#This Row],[Lunes]:[Sábado]])),1)</f>
        <v>2</v>
      </c>
      <c r="Z150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50" s="117">
        <f ca="1">IF(base_de_datos[[#This Row],[No clase]]=OFFSET(base_de_datos[[#This Row],[No clase]],-1,0),0,1)</f>
        <v>1</v>
      </c>
      <c r="AB150" s="117">
        <f ca="1">IF(NOT(OR(base_de_datos[[#This Row],[Horas totales]]=base_de_datos[[#This Row],[HT Plan]],base_de_datos[[#This Row],[Horas totales]]="N/A")),1,0)</f>
        <v>0</v>
      </c>
      <c r="AC150" s="116" t="str">
        <f>_xlfn.XLOOKUP(base_de_datos[[#This Row],[Profesor]],Nombre,Grado)</f>
        <v>M</v>
      </c>
      <c r="AD150" s="118" t="str">
        <f>_xlfn.XLOOKUP(base_de_datos[[#This Row],[Profesor]],Nombre,Tipo)</f>
        <v>TC</v>
      </c>
      <c r="AE150" s="116" t="str">
        <f>IF(IFERROR(VLOOKUP($C150,Planes_de_estudio[],MATCH($AE$2,Carreras,0)+2,0),"")&gt;0,IFERROR(VLOOKUP($C150,Planes_de_estudio[],MATCH($AE$2,Carreras,0)+2,0),""),"")</f>
        <v/>
      </c>
      <c r="AF150" s="116" t="str">
        <f>IF(IFERROR(VLOOKUP($C150,Planes_de_estudio[],MATCH($AF$2,Carreras,0)+2,0),"")&gt;0,IFERROR(VLOOKUP($C150,Planes_de_estudio[],MATCH($AF$2,Carreras,0)+2,0),""),"")</f>
        <v/>
      </c>
      <c r="AG150" s="116">
        <f>IF(IFERROR(VLOOKUP($C150,Planes_de_estudio[],MATCH($AG$2,Carreras,0)+2,0),"")&gt;0,IFERROR(VLOOKUP($C150,Planes_de_estudio[],MATCH($AG$2,Carreras,0)+2,0),""),"")</f>
        <v>4</v>
      </c>
      <c r="AH150" s="116" t="str">
        <f>IF(IFERROR(VLOOKUP($C150,Planes_de_estudio[],MATCH($AH$2,Carreras,0)+2,0),"")&gt;0,IFERROR(VLOOKUP($C150,Planes_de_estudio[],MATCH($AH$2,Carreras,0)+2,0),""),"")</f>
        <v/>
      </c>
      <c r="AI150" s="116" t="str">
        <f>IF(IFERROR(VLOOKUP($C150,Planes_de_estudio[],MATCH($AI$2,Carreras,0)+2,0),"")&gt;0,IFERROR(VLOOKUP($C150,Planes_de_estudio[],MATCH($AI$2,Carreras,0)+2,0),""),"")</f>
        <v/>
      </c>
      <c r="AJ150" s="116" t="str">
        <f>IF(IFERROR(VLOOKUP($C150,Planes_de_estudio[],MATCH($AJ$2,Carreras,0)+2,0),"")&gt;0,IFERROR(VLOOKUP($C150,Planes_de_estudio[],MATCH($AJ$2,Carreras,0)+2,0),""),"")</f>
        <v/>
      </c>
      <c r="AK150" s="116" t="str">
        <f>IF(IFERROR(VLOOKUP($C150,Planes_de_estudio[],MATCH($AK$2,Carreras,0)+2,0),"")&gt;0,IFERROR(VLOOKUP($C150,Planes_de_estudio[],MATCH($AK$2,Carreras,0)+2,0),""),"")</f>
        <v/>
      </c>
      <c r="AL150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50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15</v>
      </c>
      <c r="AN150" s="117">
        <f>base_de_datos[[#This Row],[Pronóstico]]/25</f>
        <v>0.6</v>
      </c>
      <c r="AO150" s="117" t="str">
        <f>VLOOKUP($C150,Planes_de_estudio[],2)</f>
        <v>IID</v>
      </c>
      <c r="AP150" s="119" t="str">
        <f ca="1">IF(AND(base_de_datos[[#This Row],[Industrial]]&lt;&gt;"",base_de_datos[[#This Row],[Misma o no]]=1),base_de_datos[[#This Row],[Índice]],"")</f>
        <v/>
      </c>
      <c r="AQ150" s="119" t="str">
        <f ca="1">IF(AND(base_de_datos[[#This Row],[Mecatrónica]]&lt;&gt;"",base_de_datos[[#This Row],[Misma o no]]=1),base_de_datos[[#This Row],[Índice]],"")</f>
        <v/>
      </c>
      <c r="AR150" s="119">
        <f ca="1">IF(AND(base_de_datos[[#This Row],[Innovación y Diseño]]&lt;&gt;"",base_de_datos[[#This Row],[Misma o no]]=1),base_de_datos[[#This Row],[Índice]],"")</f>
        <v>4</v>
      </c>
      <c r="AS150" s="119" t="str">
        <f ca="1">IF(AND(base_de_datos[[#This Row],[Inteligencia Artificial]]&lt;&gt;"",base_de_datos[[#This Row],[Misma o no]]=1),base_de_datos[[#This Row],[Índice]],"")</f>
        <v/>
      </c>
      <c r="AT150" s="119" t="str">
        <f ca="1">IF(AND(base_de_datos[[#This Row],[Tecnologías Energéticas]]&lt;&gt;"",base_de_datos[[#This Row],[Misma o no]]=1),base_de_datos[[#This Row],[Índice]],"")</f>
        <v/>
      </c>
      <c r="AU150" s="119" t="str">
        <f ca="1">IF(AND(base_de_datos[[#This Row],[Civil y Administración]]&lt;&gt;"",base_de_datos[[#This Row],[Misma o no]]=1),base_de_datos[[#This Row],[Índice]],"")</f>
        <v/>
      </c>
      <c r="AV150" s="119" t="str">
        <f ca="1">IF(AND(base_de_datos[[#This Row],[Bioelectrónica]]&lt;&gt;"",base_de_datos[[#This Row],[Misma o no]]=1),base_de_datos[[#This Row],[Índice]],"")</f>
        <v/>
      </c>
      <c r="AW150" s="120"/>
      <c r="AX150" s="4">
        <v>2</v>
      </c>
    </row>
    <row r="151" spans="2:50" s="6" customFormat="1" ht="13" x14ac:dyDescent="0.3">
      <c r="B151" s="6" t="s">
        <v>381</v>
      </c>
      <c r="C151" s="1" t="s">
        <v>382</v>
      </c>
      <c r="D151" s="4">
        <v>1</v>
      </c>
      <c r="E151" s="113">
        <v>0.5</v>
      </c>
      <c r="F151" s="113">
        <v>0.58333333333332904</v>
      </c>
      <c r="G151" s="226" t="s">
        <v>92</v>
      </c>
      <c r="H151" s="4" t="s">
        <v>297</v>
      </c>
      <c r="I151" s="4"/>
      <c r="J151" s="114">
        <v>17</v>
      </c>
      <c r="K151" s="128"/>
      <c r="L151" s="3"/>
      <c r="M151" s="128"/>
      <c r="N151" s="3"/>
      <c r="O151" s="4">
        <v>1906</v>
      </c>
      <c r="P151" s="114"/>
      <c r="Q151" s="114"/>
      <c r="R151" s="114" t="s">
        <v>90</v>
      </c>
      <c r="S151" s="114"/>
      <c r="T151" s="114"/>
      <c r="U151" s="114"/>
      <c r="V151" s="114"/>
      <c r="W151" s="114"/>
      <c r="X151" s="116">
        <f>_xlfn.XLOOKUP(base_de_datos[[#This Row],[Materia]],Materias,Horas)/16</f>
        <v>4</v>
      </c>
      <c r="Y151" s="116">
        <f>ROUND(((base_de_datos[[#This Row],[Hora fin]]-base_de_datos[[#This Row],[Hora inicio]])*24)*(COUNTA(base_de_datos[[#This Row],[Lunes]:[Sábado]])),1)</f>
        <v>2</v>
      </c>
      <c r="Z151" s="116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51" s="116">
        <f ca="1">IF(base_de_datos[[#This Row],[No clase]]=OFFSET(base_de_datos[[#This Row],[No clase]],-1,0),0,1)</f>
        <v>0</v>
      </c>
      <c r="AB151" s="116">
        <f ca="1">IF(NOT(OR(base_de_datos[[#This Row],[Horas totales]]=base_de_datos[[#This Row],[HT Plan]],base_de_datos[[#This Row],[Horas totales]]="N/A")),1,0)</f>
        <v>0</v>
      </c>
      <c r="AC151" s="116" t="str">
        <f>_xlfn.XLOOKUP(base_de_datos[[#This Row],[Profesor]],Nombre,Grado)</f>
        <v>M</v>
      </c>
      <c r="AD151" s="118" t="str">
        <f>_xlfn.XLOOKUP(base_de_datos[[#This Row],[Profesor]],Nombre,Tipo)</f>
        <v>TC</v>
      </c>
      <c r="AE151" s="116" t="str">
        <f>IF(IFERROR(VLOOKUP($C151,Planes_de_estudio[],MATCH($AE$2,Carreras,0)+2,0),"")&gt;0,IFERROR(VLOOKUP($C151,Planes_de_estudio[],MATCH($AE$2,Carreras,0)+2,0),""),"")</f>
        <v/>
      </c>
      <c r="AF151" s="116" t="str">
        <f>IF(IFERROR(VLOOKUP($C151,Planes_de_estudio[],MATCH($AF$2,Carreras,0)+2,0),"")&gt;0,IFERROR(VLOOKUP($C151,Planes_de_estudio[],MATCH($AF$2,Carreras,0)+2,0),""),"")</f>
        <v/>
      </c>
      <c r="AG151" s="116">
        <f>IF(IFERROR(VLOOKUP($C151,Planes_de_estudio[],MATCH($AG$2,Carreras,0)+2,0),"")&gt;0,IFERROR(VLOOKUP($C151,Planes_de_estudio[],MATCH($AG$2,Carreras,0)+2,0),""),"")</f>
        <v>4</v>
      </c>
      <c r="AH151" s="116" t="str">
        <f>IF(IFERROR(VLOOKUP($C151,Planes_de_estudio[],MATCH($AH$2,Carreras,0)+2,0),"")&gt;0,IFERROR(VLOOKUP($C151,Planes_de_estudio[],MATCH($AH$2,Carreras,0)+2,0),""),"")</f>
        <v/>
      </c>
      <c r="AI151" s="116" t="str">
        <f>IF(IFERROR(VLOOKUP($C151,Planes_de_estudio[],MATCH($AI$2,Carreras,0)+2,0),"")&gt;0,IFERROR(VLOOKUP($C151,Planes_de_estudio[],MATCH($AI$2,Carreras,0)+2,0),""),"")</f>
        <v/>
      </c>
      <c r="AJ151" s="116" t="str">
        <f>IF(IFERROR(VLOOKUP($C151,Planes_de_estudio[],MATCH($AJ$2,Carreras,0)+2,0),"")&gt;0,IFERROR(VLOOKUP($C151,Planes_de_estudio[],MATCH($AJ$2,Carreras,0)+2,0),""),"")</f>
        <v/>
      </c>
      <c r="AK151" s="116" t="str">
        <f>IF(IFERROR(VLOOKUP($C151,Planes_de_estudio[],MATCH($AK$2,Carreras,0)+2,0),"")&gt;0,IFERROR(VLOOKUP($C151,Planes_de_estudio[],MATCH($AK$2,Carreras,0)+2,0),""),"")</f>
        <v/>
      </c>
      <c r="AL151" s="116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51" s="116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15</v>
      </c>
      <c r="AN151" s="116">
        <f>base_de_datos[[#This Row],[Pronóstico]]/25</f>
        <v>0.6</v>
      </c>
      <c r="AO151" s="116" t="str">
        <f>VLOOKUP($C151,Planes_de_estudio[],2)</f>
        <v>IID</v>
      </c>
      <c r="AP151" s="129" t="str">
        <f ca="1">IF(AND(base_de_datos[[#This Row],[Industrial]]&lt;&gt;"",base_de_datos[[#This Row],[Misma o no]]=1),base_de_datos[[#This Row],[Índice]],"")</f>
        <v/>
      </c>
      <c r="AQ151" s="129" t="str">
        <f ca="1">IF(AND(base_de_datos[[#This Row],[Mecatrónica]]&lt;&gt;"",base_de_datos[[#This Row],[Misma o no]]=1),base_de_datos[[#This Row],[Índice]],"")</f>
        <v/>
      </c>
      <c r="AR151" s="129" t="str">
        <f ca="1">IF(AND(base_de_datos[[#This Row],[Innovación y Diseño]]&lt;&gt;"",base_de_datos[[#This Row],[Misma o no]]=1),base_de_datos[[#This Row],[Índice]],"")</f>
        <v/>
      </c>
      <c r="AS151" s="129" t="str">
        <f ca="1">IF(AND(base_de_datos[[#This Row],[Inteligencia Artificial]]&lt;&gt;"",base_de_datos[[#This Row],[Misma o no]]=1),base_de_datos[[#This Row],[Índice]],"")</f>
        <v/>
      </c>
      <c r="AT151" s="129" t="str">
        <f ca="1">IF(AND(base_de_datos[[#This Row],[Tecnologías Energéticas]]&lt;&gt;"",base_de_datos[[#This Row],[Misma o no]]=1),base_de_datos[[#This Row],[Índice]],"")</f>
        <v/>
      </c>
      <c r="AU151" s="129" t="str">
        <f ca="1">IF(AND(base_de_datos[[#This Row],[Civil y Administración]]&lt;&gt;"",base_de_datos[[#This Row],[Misma o no]]=1),base_de_datos[[#This Row],[Índice]],"")</f>
        <v/>
      </c>
      <c r="AV151" s="129" t="str">
        <f ca="1">IF(AND(base_de_datos[[#This Row],[Bioelectrónica]]&lt;&gt;"",base_de_datos[[#This Row],[Misma o no]]=1),base_de_datos[[#This Row],[Índice]],"")</f>
        <v/>
      </c>
      <c r="AW151" s="130"/>
      <c r="AX151" s="4">
        <v>2</v>
      </c>
    </row>
    <row r="152" spans="2:50" s="6" customFormat="1" ht="13" x14ac:dyDescent="0.3">
      <c r="B152" s="6" t="s">
        <v>373</v>
      </c>
      <c r="C152" s="1" t="s">
        <v>376</v>
      </c>
      <c r="D152" s="4">
        <v>1</v>
      </c>
      <c r="E152" s="113">
        <v>0.625</v>
      </c>
      <c r="F152" s="113">
        <v>0.687499999999994</v>
      </c>
      <c r="G152" s="226" t="s">
        <v>92</v>
      </c>
      <c r="H152" s="4" t="s">
        <v>194</v>
      </c>
      <c r="I152" s="4"/>
      <c r="J152" s="198">
        <v>26</v>
      </c>
      <c r="K152" s="115"/>
      <c r="L152" s="3"/>
      <c r="M152" s="115"/>
      <c r="N152" s="3"/>
      <c r="O152" s="4" t="s">
        <v>378</v>
      </c>
      <c r="P152" s="114"/>
      <c r="Q152" s="114" t="s">
        <v>90</v>
      </c>
      <c r="R152" s="114"/>
      <c r="S152" s="114" t="s">
        <v>90</v>
      </c>
      <c r="T152" s="114"/>
      <c r="U152" s="114"/>
      <c r="V152" s="114"/>
      <c r="W152" s="114"/>
      <c r="X152" s="116">
        <f>_xlfn.XLOOKUP(base_de_datos[[#This Row],[Materia]],Materias,Horas)/16</f>
        <v>3</v>
      </c>
      <c r="Y152" s="116">
        <f>ROUND(((base_de_datos[[#This Row],[Hora fin]]-base_de_datos[[#This Row],[Hora inicio]])*24)*(COUNTA(base_de_datos[[#This Row],[Lunes]:[Sábado]])),1)</f>
        <v>3</v>
      </c>
      <c r="Z152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52" s="117">
        <f ca="1">IF(base_de_datos[[#This Row],[No clase]]=OFFSET(base_de_datos[[#This Row],[No clase]],-1,0),0,1)</f>
        <v>1</v>
      </c>
      <c r="AB152" s="117">
        <f ca="1">IF(NOT(OR(base_de_datos[[#This Row],[Horas totales]]=base_de_datos[[#This Row],[HT Plan]],base_de_datos[[#This Row],[Horas totales]]="N/A")),1,0)</f>
        <v>0</v>
      </c>
      <c r="AC152" s="116" t="str">
        <f>_xlfn.XLOOKUP(base_de_datos[[#This Row],[Profesor]],Nombre,Grado)</f>
        <v>SNI</v>
      </c>
      <c r="AD152" s="118" t="str">
        <f>_xlfn.XLOOKUP(base_de_datos[[#This Row],[Profesor]],Nombre,Tipo)</f>
        <v>TC</v>
      </c>
      <c r="AE152" s="116" t="str">
        <f>IF(IFERROR(VLOOKUP($C152,Planes_de_estudio[],MATCH($AE$2,Carreras,0)+2,0),"")&gt;0,IFERROR(VLOOKUP($C152,Planes_de_estudio[],MATCH($AE$2,Carreras,0)+2,0),""),"")</f>
        <v/>
      </c>
      <c r="AF152" s="116">
        <f>IF(IFERROR(VLOOKUP($C152,Planes_de_estudio[],MATCH($AF$2,Carreras,0)+2,0),"")&gt;0,IFERROR(VLOOKUP($C152,Planes_de_estudio[],MATCH($AF$2,Carreras,0)+2,0),""),"")</f>
        <v>6</v>
      </c>
      <c r="AG152" s="116" t="str">
        <f>IF(IFERROR(VLOOKUP($C152,Planes_de_estudio[],MATCH($AG$2,Carreras,0)+2,0),"")&gt;0,IFERROR(VLOOKUP($C152,Planes_de_estudio[],MATCH($AG$2,Carreras,0)+2,0),""),"")</f>
        <v/>
      </c>
      <c r="AH152" s="116">
        <f>IF(IFERROR(VLOOKUP($C152,Planes_de_estudio[],MATCH($AH$2,Carreras,0)+2,0),"")&gt;0,IFERROR(VLOOKUP($C152,Planes_de_estudio[],MATCH($AH$2,Carreras,0)+2,0),""),"")</f>
        <v>6</v>
      </c>
      <c r="AI152" s="116">
        <f>IF(IFERROR(VLOOKUP($C152,Planes_de_estudio[],MATCH($AI$2,Carreras,0)+2,0),"")&gt;0,IFERROR(VLOOKUP($C152,Planes_de_estudio[],MATCH($AI$2,Carreras,0)+2,0),""),"")</f>
        <v>7</v>
      </c>
      <c r="AJ152" s="116" t="str">
        <f>IF(IFERROR(VLOOKUP($C152,Planes_de_estudio[],MATCH($AJ$2,Carreras,0)+2,0),"")&gt;0,IFERROR(VLOOKUP($C152,Planes_de_estudio[],MATCH($AJ$2,Carreras,0)+2,0),""),"")</f>
        <v/>
      </c>
      <c r="AK152" s="116">
        <f>IF(IFERROR(VLOOKUP($C152,Planes_de_estudio[],MATCH($AK$2,Carreras,0)+2,0),"")&gt;0,IFERROR(VLOOKUP($C152,Planes_de_estudio[],MATCH($AK$2,Carreras,0)+2,0),""),"")</f>
        <v>6</v>
      </c>
      <c r="AL152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52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38</v>
      </c>
      <c r="AN152" s="117">
        <f>base_de_datos[[#This Row],[Pronóstico]]/25</f>
        <v>1.52</v>
      </c>
      <c r="AO152" s="117" t="str">
        <f>VLOOKUP($C152,Planes_de_estudio[],2)</f>
        <v>EEC</v>
      </c>
      <c r="AP152" s="119" t="str">
        <f ca="1">IF(AND(base_de_datos[[#This Row],[Industrial]]&lt;&gt;"",base_de_datos[[#This Row],[Misma o no]]=1),base_de_datos[[#This Row],[Índice]],"")</f>
        <v/>
      </c>
      <c r="AQ152" s="119">
        <f ca="1">IF(AND(base_de_datos[[#This Row],[Mecatrónica]]&lt;&gt;"",base_de_datos[[#This Row],[Misma o no]]=1),base_de_datos[[#This Row],[Índice]],"")</f>
        <v>6</v>
      </c>
      <c r="AR152" s="119" t="str">
        <f ca="1">IF(AND(base_de_datos[[#This Row],[Innovación y Diseño]]&lt;&gt;"",base_de_datos[[#This Row],[Misma o no]]=1),base_de_datos[[#This Row],[Índice]],"")</f>
        <v/>
      </c>
      <c r="AS152" s="119">
        <f ca="1">IF(AND(base_de_datos[[#This Row],[Inteligencia Artificial]]&lt;&gt;"",base_de_datos[[#This Row],[Misma o no]]=1),base_de_datos[[#This Row],[Índice]],"")</f>
        <v>6</v>
      </c>
      <c r="AT152" s="119">
        <f ca="1">IF(AND(base_de_datos[[#This Row],[Tecnologías Energéticas]]&lt;&gt;"",base_de_datos[[#This Row],[Misma o no]]=1),base_de_datos[[#This Row],[Índice]],"")</f>
        <v>6</v>
      </c>
      <c r="AU152" s="119" t="str">
        <f ca="1">IF(AND(base_de_datos[[#This Row],[Civil y Administración]]&lt;&gt;"",base_de_datos[[#This Row],[Misma o no]]=1),base_de_datos[[#This Row],[Índice]],"")</f>
        <v/>
      </c>
      <c r="AV152" s="119">
        <f ca="1">IF(AND(base_de_datos[[#This Row],[Bioelectrónica]]&lt;&gt;"",base_de_datos[[#This Row],[Misma o no]]=1),base_de_datos[[#This Row],[Índice]],"")</f>
        <v>6</v>
      </c>
      <c r="AW152" s="120"/>
      <c r="AX152" s="4">
        <v>3</v>
      </c>
    </row>
    <row r="153" spans="2:50" s="6" customFormat="1" ht="13" x14ac:dyDescent="0.3">
      <c r="B153" s="6" t="s">
        <v>386</v>
      </c>
      <c r="C153" s="1" t="s">
        <v>387</v>
      </c>
      <c r="D153" s="4">
        <v>3</v>
      </c>
      <c r="E153" s="113">
        <v>0.39583333333333398</v>
      </c>
      <c r="F153" s="113">
        <v>0.45833333333333098</v>
      </c>
      <c r="G153" s="227" t="s">
        <v>92</v>
      </c>
      <c r="H153" s="4" t="s">
        <v>169</v>
      </c>
      <c r="I153" s="4"/>
      <c r="J153" s="114"/>
      <c r="K153" s="115"/>
      <c r="L153" s="3"/>
      <c r="M153" s="115"/>
      <c r="N153" s="3"/>
      <c r="O153" s="4" t="s">
        <v>388</v>
      </c>
      <c r="P153" s="114" t="s">
        <v>90</v>
      </c>
      <c r="Q153" s="114"/>
      <c r="R153" s="114"/>
      <c r="S153" s="114"/>
      <c r="T153" s="114"/>
      <c r="U153" s="114"/>
      <c r="V153" s="114"/>
      <c r="W153" s="114"/>
      <c r="X153" s="116">
        <f>_xlfn.XLOOKUP(base_de_datos[[#This Row],[Materia]],Materias,Horas)/16</f>
        <v>3</v>
      </c>
      <c r="Y153" s="117">
        <f>ROUND(((base_de_datos[[#This Row],[Hora fin]]-base_de_datos[[#This Row],[Hora inicio]])*24)*(COUNTA(base_de_datos[[#This Row],[Lunes]:[Sábado]])),1)</f>
        <v>1.5</v>
      </c>
      <c r="Z153" s="117">
        <f ca="1">IF(base_de_datos[[#This Row],[Misma o no]]=0,"N/A",IF((OFFSET(base_de_datos[[#This Row],[Misma o no]],1,0))=0,base_de_datos[[#This Row],[Horas]]+(OFFSET(base_de_datos[[#This Row],[Horas]],1,0)),base_de_datos[[#This Row],[Horas]]))</f>
        <v>1.5</v>
      </c>
      <c r="AA153" s="117">
        <f ca="1">IF(base_de_datos[[#This Row],[No clase]]=OFFSET(base_de_datos[[#This Row],[No clase]],-1,0),0,1)</f>
        <v>1</v>
      </c>
      <c r="AB153" s="117">
        <f ca="1">IF(NOT(OR(base_de_datos[[#This Row],[Horas totales]]=base_de_datos[[#This Row],[HT Plan]],base_de_datos[[#This Row],[Horas totales]]="N/A")),1,0)</f>
        <v>1</v>
      </c>
      <c r="AC153" s="117" t="str">
        <f>_xlfn.XLOOKUP(base_de_datos[[#This Row],[Profesor]],Nombre,Grado)</f>
        <v>L</v>
      </c>
      <c r="AD153" s="118" t="str">
        <f>_xlfn.XLOOKUP(base_de_datos[[#This Row],[Profesor]],Nombre,Tipo)</f>
        <v>H</v>
      </c>
      <c r="AE153" s="117">
        <f>IF(IFERROR(VLOOKUP($C153,Planes_de_estudio[],MATCH($AE$2,Carreras,0)+2,0),"")&gt;0,IFERROR(VLOOKUP($C153,Planes_de_estudio[],MATCH($AE$2,Carreras,0)+2,0),""),"")</f>
        <v>2</v>
      </c>
      <c r="AF153" s="117">
        <f>IF(IFERROR(VLOOKUP($C153,Planes_de_estudio[],MATCH($AF$2,Carreras,0)+2,0),"")&gt;0,IFERROR(VLOOKUP($C153,Planes_de_estudio[],MATCH($AF$2,Carreras,0)+2,0),""),"")</f>
        <v>2</v>
      </c>
      <c r="AG153" s="117">
        <f>IF(IFERROR(VLOOKUP($C153,Planes_de_estudio[],MATCH($AG$2,Carreras,0)+2,0),"")&gt;0,IFERROR(VLOOKUP($C153,Planes_de_estudio[],MATCH($AG$2,Carreras,0)+2,0),""),"")</f>
        <v>2</v>
      </c>
      <c r="AH153" s="117">
        <f>IF(IFERROR(VLOOKUP($C153,Planes_de_estudio[],MATCH($AH$2,Carreras,0)+2,0),"")&gt;0,IFERROR(VLOOKUP($C153,Planes_de_estudio[],MATCH($AH$2,Carreras,0)+2,0),""),"")</f>
        <v>2</v>
      </c>
      <c r="AI153" s="117">
        <f>IF(IFERROR(VLOOKUP($C153,Planes_de_estudio[],MATCH($AI$2,Carreras,0)+2,0),"")&gt;0,IFERROR(VLOOKUP($C153,Planes_de_estudio[],MATCH($AI$2,Carreras,0)+2,0),""),"")</f>
        <v>2</v>
      </c>
      <c r="AJ153" s="117">
        <f>IF(IFERROR(VLOOKUP($C153,Planes_de_estudio[],MATCH($AJ$2,Carreras,0)+2,0),"")&gt;0,IFERROR(VLOOKUP($C153,Planes_de_estudio[],MATCH($AJ$2,Carreras,0)+2,0),""),"")</f>
        <v>2</v>
      </c>
      <c r="AK153" s="117">
        <f>IF(IFERROR(VLOOKUP($C153,Planes_de_estudio[],MATCH($AK$2,Carreras,0)+2,0),"")&gt;0,IFERROR(VLOOKUP($C153,Planes_de_estudio[],MATCH($AK$2,Carreras,0)+2,0),""),"")</f>
        <v>2</v>
      </c>
      <c r="AL153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53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114</v>
      </c>
      <c r="AN153" s="117">
        <f>base_de_datos[[#This Row],[Pronóstico]]/25</f>
        <v>4.5599999999999996</v>
      </c>
      <c r="AO153" s="117" t="str">
        <f>VLOOKUP($C153,Planes_de_estudio[],2)</f>
        <v>HUM</v>
      </c>
      <c r="AP153" s="119">
        <f ca="1">IF(AND(base_de_datos[[#This Row],[Industrial]]&lt;&gt;"",base_de_datos[[#This Row],[Misma o no]]=1),base_de_datos[[#This Row],[Índice]],"")</f>
        <v>1</v>
      </c>
      <c r="AQ153" s="119">
        <f ca="1">IF(AND(base_de_datos[[#This Row],[Mecatrónica]]&lt;&gt;"",base_de_datos[[#This Row],[Misma o no]]=1),base_de_datos[[#This Row],[Índice]],"")</f>
        <v>1</v>
      </c>
      <c r="AR153" s="119">
        <f ca="1">IF(AND(base_de_datos[[#This Row],[Innovación y Diseño]]&lt;&gt;"",base_de_datos[[#This Row],[Misma o no]]=1),base_de_datos[[#This Row],[Índice]],"")</f>
        <v>1</v>
      </c>
      <c r="AS153" s="119">
        <f ca="1">IF(AND(base_de_datos[[#This Row],[Inteligencia Artificial]]&lt;&gt;"",base_de_datos[[#This Row],[Misma o no]]=1),base_de_datos[[#This Row],[Índice]],"")</f>
        <v>1</v>
      </c>
      <c r="AT153" s="119">
        <f ca="1">IF(AND(base_de_datos[[#This Row],[Tecnologías Energéticas]]&lt;&gt;"",base_de_datos[[#This Row],[Misma o no]]=1),base_de_datos[[#This Row],[Índice]],"")</f>
        <v>1</v>
      </c>
      <c r="AU153" s="119">
        <f ca="1">IF(AND(base_de_datos[[#This Row],[Civil y Administración]]&lt;&gt;"",base_de_datos[[#This Row],[Misma o no]]=1),base_de_datos[[#This Row],[Índice]],"")</f>
        <v>1</v>
      </c>
      <c r="AV153" s="119">
        <f ca="1">IF(AND(base_de_datos[[#This Row],[Bioelectrónica]]&lt;&gt;"",base_de_datos[[#This Row],[Misma o no]]=1),base_de_datos[[#This Row],[Índice]],"")</f>
        <v>1</v>
      </c>
      <c r="AW153" s="88"/>
      <c r="AX153" s="4">
        <v>1</v>
      </c>
    </row>
    <row r="154" spans="2:50" s="6" customFormat="1" ht="13" x14ac:dyDescent="0.3">
      <c r="B154" s="6" t="s">
        <v>350</v>
      </c>
      <c r="C154" s="1" t="s">
        <v>351</v>
      </c>
      <c r="D154" s="4">
        <v>1</v>
      </c>
      <c r="E154" s="113">
        <v>0.58333333333333304</v>
      </c>
      <c r="F154" s="113">
        <v>0.64583333333332804</v>
      </c>
      <c r="G154" s="4" t="s">
        <v>87</v>
      </c>
      <c r="H154" s="4" t="s">
        <v>210</v>
      </c>
      <c r="I154" s="4"/>
      <c r="J154" s="126">
        <v>25</v>
      </c>
      <c r="K154" s="115"/>
      <c r="L154" s="3"/>
      <c r="M154" s="127"/>
      <c r="N154" s="3"/>
      <c r="O154" s="4" t="s">
        <v>352</v>
      </c>
      <c r="P154" s="114"/>
      <c r="Q154" s="114" t="s">
        <v>90</v>
      </c>
      <c r="R154" s="114"/>
      <c r="S154" s="114" t="s">
        <v>90</v>
      </c>
      <c r="T154" s="114"/>
      <c r="U154" s="114"/>
      <c r="V154" s="114"/>
      <c r="W154" s="114"/>
      <c r="X154" s="117">
        <f>_xlfn.XLOOKUP(base_de_datos[[#This Row],[Materia]],Materias,Horas)/16</f>
        <v>3</v>
      </c>
      <c r="Y154" s="117">
        <f>ROUND(((base_de_datos[[#This Row],[Hora fin]]-base_de_datos[[#This Row],[Hora inicio]])*24)*(COUNTA(base_de_datos[[#This Row],[Lunes]:[Sábado]])),1)</f>
        <v>3</v>
      </c>
      <c r="Z154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54" s="117">
        <f ca="1">IF(base_de_datos[[#This Row],[No clase]]=OFFSET(base_de_datos[[#This Row],[No clase]],-1,0),0,1)</f>
        <v>1</v>
      </c>
      <c r="AB154" s="117">
        <f ca="1">IF(NOT(OR(base_de_datos[[#This Row],[Horas totales]]=base_de_datos[[#This Row],[HT Plan]],base_de_datos[[#This Row],[Horas totales]]="N/A")),1,0)</f>
        <v>0</v>
      </c>
      <c r="AC154" s="117" t="str">
        <f>_xlfn.XLOOKUP(base_de_datos[[#This Row],[Profesor]],Nombre,Grado)</f>
        <v>E</v>
      </c>
      <c r="AD154" s="118" t="str">
        <f>_xlfn.XLOOKUP(base_de_datos[[#This Row],[Profesor]],Nombre,Tipo)</f>
        <v>A</v>
      </c>
      <c r="AE154" s="117" t="str">
        <f>IF(IFERROR(VLOOKUP($C154,Planes_de_estudio[],MATCH($AE$2,Carreras,0)+2,0),"")&gt;0,IFERROR(VLOOKUP($C154,Planes_de_estudio[],MATCH($AE$2,Carreras,0)+2,0),""),"")</f>
        <v/>
      </c>
      <c r="AF154" s="117">
        <f>IF(IFERROR(VLOOKUP($C154,Planes_de_estudio[],MATCH($AF$2,Carreras,0)+2,0),"")&gt;0,IFERROR(VLOOKUP($C154,Planes_de_estudio[],MATCH($AF$2,Carreras,0)+2,0),""),"")</f>
        <v>2</v>
      </c>
      <c r="AG154" s="117" t="str">
        <f>IF(IFERROR(VLOOKUP($C154,Planes_de_estudio[],MATCH($AG$2,Carreras,0)+2,0),"")&gt;0,IFERROR(VLOOKUP($C154,Planes_de_estudio[],MATCH($AG$2,Carreras,0)+2,0),""),"")</f>
        <v/>
      </c>
      <c r="AH154" s="117" t="str">
        <f>IF(IFERROR(VLOOKUP($C154,Planes_de_estudio[],MATCH($AH$2,Carreras,0)+2,0),"")&gt;0,IFERROR(VLOOKUP($C154,Planes_de_estudio[],MATCH($AH$2,Carreras,0)+2,0),""),"")</f>
        <v/>
      </c>
      <c r="AI154" s="117" t="str">
        <f>IF(IFERROR(VLOOKUP($C154,Planes_de_estudio[],MATCH($AI$2,Carreras,0)+2,0),"")&gt;0,IFERROR(VLOOKUP($C154,Planes_de_estudio[],MATCH($AI$2,Carreras,0)+2,0),""),"")</f>
        <v/>
      </c>
      <c r="AJ154" s="117" t="str">
        <f>IF(IFERROR(VLOOKUP($C154,Planes_de_estudio[],MATCH($AJ$2,Carreras,0)+2,0),"")&gt;0,IFERROR(VLOOKUP($C154,Planes_de_estudio[],MATCH($AJ$2,Carreras,0)+2,0),""),"")</f>
        <v/>
      </c>
      <c r="AK154" s="117" t="str">
        <f>IF(IFERROR(VLOOKUP($C154,Planes_de_estudio[],MATCH($AK$2,Carreras,0)+2,0),"")&gt;0,IFERROR(VLOOKUP($C154,Planes_de_estudio[],MATCH($AK$2,Carreras,0)+2,0),""),"")</f>
        <v/>
      </c>
      <c r="AL154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54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24</v>
      </c>
      <c r="AN154" s="117">
        <f>base_de_datos[[#This Row],[Pronóstico]]/25</f>
        <v>0.96</v>
      </c>
      <c r="AO154" s="117" t="str">
        <f>VLOOKUP($C154,Planes_de_estudio[],2)</f>
        <v>MEC</v>
      </c>
      <c r="AP154" s="119" t="str">
        <f ca="1">IF(AND(base_de_datos[[#This Row],[Industrial]]&lt;&gt;"",base_de_datos[[#This Row],[Misma o no]]=1),base_de_datos[[#This Row],[Índice]],"")</f>
        <v/>
      </c>
      <c r="AQ154" s="119">
        <f ca="1">IF(AND(base_de_datos[[#This Row],[Mecatrónica]]&lt;&gt;"",base_de_datos[[#This Row],[Misma o no]]=1),base_de_datos[[#This Row],[Índice]],"")</f>
        <v>2</v>
      </c>
      <c r="AR154" s="119" t="str">
        <f ca="1">IF(AND(base_de_datos[[#This Row],[Innovación y Diseño]]&lt;&gt;"",base_de_datos[[#This Row],[Misma o no]]=1),base_de_datos[[#This Row],[Índice]],"")</f>
        <v/>
      </c>
      <c r="AS154" s="119" t="str">
        <f ca="1">IF(AND(base_de_datos[[#This Row],[Inteligencia Artificial]]&lt;&gt;"",base_de_datos[[#This Row],[Misma o no]]=1),base_de_datos[[#This Row],[Índice]],"")</f>
        <v/>
      </c>
      <c r="AT154" s="119" t="str">
        <f ca="1">IF(AND(base_de_datos[[#This Row],[Tecnologías Energéticas]]&lt;&gt;"",base_de_datos[[#This Row],[Misma o no]]=1),base_de_datos[[#This Row],[Índice]],"")</f>
        <v/>
      </c>
      <c r="AU154" s="119" t="str">
        <f ca="1">IF(AND(base_de_datos[[#This Row],[Civil y Administración]]&lt;&gt;"",base_de_datos[[#This Row],[Misma o no]]=1),base_de_datos[[#This Row],[Índice]],"")</f>
        <v/>
      </c>
      <c r="AV154" s="119" t="str">
        <f ca="1">IF(AND(base_de_datos[[#This Row],[Bioelectrónica]]&lt;&gt;"",base_de_datos[[#This Row],[Misma o no]]=1),base_de_datos[[#This Row],[Índice]],"")</f>
        <v/>
      </c>
      <c r="AW154" s="120"/>
      <c r="AX154" s="4">
        <v>2</v>
      </c>
    </row>
    <row r="155" spans="2:50" s="6" customFormat="1" ht="13" x14ac:dyDescent="0.3">
      <c r="B155" s="6" t="s">
        <v>386</v>
      </c>
      <c r="C155" s="1" t="s">
        <v>387</v>
      </c>
      <c r="D155" s="4">
        <v>3</v>
      </c>
      <c r="E155" s="113">
        <v>0.39583333333333398</v>
      </c>
      <c r="F155" s="113">
        <v>0.45833333333333098</v>
      </c>
      <c r="G155" s="227" t="s">
        <v>92</v>
      </c>
      <c r="H155" s="4" t="s">
        <v>256</v>
      </c>
      <c r="I155" s="4"/>
      <c r="J155" s="114"/>
      <c r="K155" s="115"/>
      <c r="L155" s="3"/>
      <c r="M155" s="115"/>
      <c r="N155" s="3"/>
      <c r="O155" s="4" t="s">
        <v>388</v>
      </c>
      <c r="P155" s="114"/>
      <c r="Q155" s="114"/>
      <c r="R155" s="114"/>
      <c r="S155" s="114"/>
      <c r="T155" s="114" t="s">
        <v>90</v>
      </c>
      <c r="U155" s="114"/>
      <c r="V155" s="114"/>
      <c r="W155" s="114"/>
      <c r="X155" s="116">
        <f>_xlfn.XLOOKUP(base_de_datos[[#This Row],[Materia]],Materias,Horas)/16</f>
        <v>3</v>
      </c>
      <c r="Y155" s="116">
        <f>ROUND(((base_de_datos[[#This Row],[Hora fin]]-base_de_datos[[#This Row],[Hora inicio]])*24)*(COUNTA(base_de_datos[[#This Row],[Lunes]:[Sábado]])),1)</f>
        <v>1.5</v>
      </c>
      <c r="Z155" s="117">
        <f ca="1">IF(base_de_datos[[#This Row],[Misma o no]]=0,"N/A",IF((OFFSET(base_de_datos[[#This Row],[Misma o no]],1,0))=0,base_de_datos[[#This Row],[Horas]]+(OFFSET(base_de_datos[[#This Row],[Horas]],1,0)),base_de_datos[[#This Row],[Horas]]))</f>
        <v>1.5</v>
      </c>
      <c r="AA155" s="117">
        <f ca="1">IF(base_de_datos[[#This Row],[No clase]]=OFFSET(base_de_datos[[#This Row],[No clase]],-1,0),0,1)</f>
        <v>1</v>
      </c>
      <c r="AB155" s="117">
        <f ca="1">IF(NOT(OR(base_de_datos[[#This Row],[Horas totales]]=base_de_datos[[#This Row],[HT Plan]],base_de_datos[[#This Row],[Horas totales]]="N/A")),1,0)</f>
        <v>1</v>
      </c>
      <c r="AC155" s="116" t="str">
        <f>_xlfn.XLOOKUP(base_de_datos[[#This Row],[Profesor]],Nombre,Grado)</f>
        <v>L</v>
      </c>
      <c r="AD155" s="118" t="str">
        <f>_xlfn.XLOOKUP(base_de_datos[[#This Row],[Profesor]],Nombre,Tipo)</f>
        <v>H</v>
      </c>
      <c r="AE155" s="116">
        <f>IF(IFERROR(VLOOKUP($C155,Planes_de_estudio[],MATCH($AE$2,Carreras,0)+2,0),"")&gt;0,IFERROR(VLOOKUP($C155,Planes_de_estudio[],MATCH($AE$2,Carreras,0)+2,0),""),"")</f>
        <v>2</v>
      </c>
      <c r="AF155" s="116">
        <f>IF(IFERROR(VLOOKUP($C155,Planes_de_estudio[],MATCH($AF$2,Carreras,0)+2,0),"")&gt;0,IFERROR(VLOOKUP($C155,Planes_de_estudio[],MATCH($AF$2,Carreras,0)+2,0),""),"")</f>
        <v>2</v>
      </c>
      <c r="AG155" s="116">
        <f>IF(IFERROR(VLOOKUP($C155,Planes_de_estudio[],MATCH($AG$2,Carreras,0)+2,0),"")&gt;0,IFERROR(VLOOKUP($C155,Planes_de_estudio[],MATCH($AG$2,Carreras,0)+2,0),""),"")</f>
        <v>2</v>
      </c>
      <c r="AH155" s="116">
        <f>IF(IFERROR(VLOOKUP($C155,Planes_de_estudio[],MATCH($AH$2,Carreras,0)+2,0),"")&gt;0,IFERROR(VLOOKUP($C155,Planes_de_estudio[],MATCH($AH$2,Carreras,0)+2,0),""),"")</f>
        <v>2</v>
      </c>
      <c r="AI155" s="116">
        <f>IF(IFERROR(VLOOKUP($C155,Planes_de_estudio[],MATCH($AI$2,Carreras,0)+2,0),"")&gt;0,IFERROR(VLOOKUP($C155,Planes_de_estudio[],MATCH($AI$2,Carreras,0)+2,0),""),"")</f>
        <v>2</v>
      </c>
      <c r="AJ155" s="116">
        <f>IF(IFERROR(VLOOKUP($C155,Planes_de_estudio[],MATCH($AJ$2,Carreras,0)+2,0),"")&gt;0,IFERROR(VLOOKUP($C155,Planes_de_estudio[],MATCH($AJ$2,Carreras,0)+2,0),""),"")</f>
        <v>2</v>
      </c>
      <c r="AK155" s="116">
        <f>IF(IFERROR(VLOOKUP($C155,Planes_de_estudio[],MATCH($AK$2,Carreras,0)+2,0),"")&gt;0,IFERROR(VLOOKUP($C155,Planes_de_estudio[],MATCH($AK$2,Carreras,0)+2,0),""),"")</f>
        <v>2</v>
      </c>
      <c r="AL155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55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114</v>
      </c>
      <c r="AN155" s="117">
        <f>base_de_datos[[#This Row],[Pronóstico]]/25</f>
        <v>4.5599999999999996</v>
      </c>
      <c r="AO155" s="117" t="str">
        <f>VLOOKUP($C155,Planes_de_estudio[],2)</f>
        <v>HUM</v>
      </c>
      <c r="AP155" s="119">
        <f ca="1">IF(AND(base_de_datos[[#This Row],[Industrial]]&lt;&gt;"",base_de_datos[[#This Row],[Misma o no]]=1),base_de_datos[[#This Row],[Índice]],"")</f>
        <v>1</v>
      </c>
      <c r="AQ155" s="119">
        <f ca="1">IF(AND(base_de_datos[[#This Row],[Mecatrónica]]&lt;&gt;"",base_de_datos[[#This Row],[Misma o no]]=1),base_de_datos[[#This Row],[Índice]],"")</f>
        <v>1</v>
      </c>
      <c r="AR155" s="119">
        <f ca="1">IF(AND(base_de_datos[[#This Row],[Innovación y Diseño]]&lt;&gt;"",base_de_datos[[#This Row],[Misma o no]]=1),base_de_datos[[#This Row],[Índice]],"")</f>
        <v>1</v>
      </c>
      <c r="AS155" s="119">
        <f ca="1">IF(AND(base_de_datos[[#This Row],[Inteligencia Artificial]]&lt;&gt;"",base_de_datos[[#This Row],[Misma o no]]=1),base_de_datos[[#This Row],[Índice]],"")</f>
        <v>1</v>
      </c>
      <c r="AT155" s="119">
        <f ca="1">IF(AND(base_de_datos[[#This Row],[Tecnologías Energéticas]]&lt;&gt;"",base_de_datos[[#This Row],[Misma o no]]=1),base_de_datos[[#This Row],[Índice]],"")</f>
        <v>1</v>
      </c>
      <c r="AU155" s="119">
        <f ca="1">IF(AND(base_de_datos[[#This Row],[Civil y Administración]]&lt;&gt;"",base_de_datos[[#This Row],[Misma o no]]=1),base_de_datos[[#This Row],[Índice]],"")</f>
        <v>1</v>
      </c>
      <c r="AV155" s="119">
        <f ca="1">IF(AND(base_de_datos[[#This Row],[Bioelectrónica]]&lt;&gt;"",base_de_datos[[#This Row],[Misma o no]]=1),base_de_datos[[#This Row],[Índice]],"")</f>
        <v>1</v>
      </c>
      <c r="AW155" s="88"/>
      <c r="AX155" s="4">
        <v>1</v>
      </c>
    </row>
    <row r="156" spans="2:50" s="6" customFormat="1" ht="13" x14ac:dyDescent="0.3">
      <c r="B156" s="6" t="s">
        <v>389</v>
      </c>
      <c r="C156" s="1" t="s">
        <v>387</v>
      </c>
      <c r="D156" s="4">
        <v>2</v>
      </c>
      <c r="E156" s="113">
        <v>0.39583333333333398</v>
      </c>
      <c r="F156" s="113">
        <v>0.45833333333333098</v>
      </c>
      <c r="G156" s="227" t="s">
        <v>92</v>
      </c>
      <c r="H156" s="4" t="s">
        <v>119</v>
      </c>
      <c r="I156" s="4"/>
      <c r="J156" s="114"/>
      <c r="K156" s="115"/>
      <c r="L156" s="3"/>
      <c r="M156" s="115"/>
      <c r="N156" s="3"/>
      <c r="O156" s="4" t="s">
        <v>390</v>
      </c>
      <c r="P156" s="114" t="s">
        <v>90</v>
      </c>
      <c r="Q156" s="114"/>
      <c r="R156" s="114"/>
      <c r="S156" s="114"/>
      <c r="T156" s="114"/>
      <c r="U156" s="114"/>
      <c r="V156" s="114"/>
      <c r="W156" s="114"/>
      <c r="X156" s="116">
        <f>_xlfn.XLOOKUP(base_de_datos[[#This Row],[Materia]],Materias,Horas)/16</f>
        <v>3</v>
      </c>
      <c r="Y156" s="117">
        <f>ROUND(((base_de_datos[[#This Row],[Hora fin]]-base_de_datos[[#This Row],[Hora inicio]])*24)*(COUNTA(base_de_datos[[#This Row],[Lunes]:[Sábado]])),1)</f>
        <v>1.5</v>
      </c>
      <c r="Z156" s="117">
        <f ca="1">IF(base_de_datos[[#This Row],[Misma o no]]=0,"N/A",IF((OFFSET(base_de_datos[[#This Row],[Misma o no]],1,0))=0,base_de_datos[[#This Row],[Horas]]+(OFFSET(base_de_datos[[#This Row],[Horas]],1,0)),base_de_datos[[#This Row],[Horas]]))</f>
        <v>1.5</v>
      </c>
      <c r="AA156" s="117">
        <f ca="1">IF(base_de_datos[[#This Row],[No clase]]=OFFSET(base_de_datos[[#This Row],[No clase]],-1,0),0,1)</f>
        <v>1</v>
      </c>
      <c r="AB156" s="117">
        <f ca="1">IF(NOT(OR(base_de_datos[[#This Row],[Horas totales]]=base_de_datos[[#This Row],[HT Plan]],base_de_datos[[#This Row],[Horas totales]]="N/A")),1,0)</f>
        <v>1</v>
      </c>
      <c r="AC156" s="117" t="str">
        <f>_xlfn.XLOOKUP(base_de_datos[[#This Row],[Profesor]],Nombre,Grado)</f>
        <v>L</v>
      </c>
      <c r="AD156" s="118" t="str">
        <f>_xlfn.XLOOKUP(base_de_datos[[#This Row],[Profesor]],Nombre,Tipo)</f>
        <v>H</v>
      </c>
      <c r="AE156" s="117">
        <f>IF(IFERROR(VLOOKUP($C156,Planes_de_estudio[],MATCH($AE$2,Carreras,0)+2,0),"")&gt;0,IFERROR(VLOOKUP($C156,Planes_de_estudio[],MATCH($AE$2,Carreras,0)+2,0),""),"")</f>
        <v>2</v>
      </c>
      <c r="AF156" s="117">
        <f>IF(IFERROR(VLOOKUP($C156,Planes_de_estudio[],MATCH($AF$2,Carreras,0)+2,0),"")&gt;0,IFERROR(VLOOKUP($C156,Planes_de_estudio[],MATCH($AF$2,Carreras,0)+2,0),""),"")</f>
        <v>2</v>
      </c>
      <c r="AG156" s="117">
        <f>IF(IFERROR(VLOOKUP($C156,Planes_de_estudio[],MATCH($AG$2,Carreras,0)+2,0),"")&gt;0,IFERROR(VLOOKUP($C156,Planes_de_estudio[],MATCH($AG$2,Carreras,0)+2,0),""),"")</f>
        <v>2</v>
      </c>
      <c r="AH156" s="117">
        <f>IF(IFERROR(VLOOKUP($C156,Planes_de_estudio[],MATCH($AH$2,Carreras,0)+2,0),"")&gt;0,IFERROR(VLOOKUP($C156,Planes_de_estudio[],MATCH($AH$2,Carreras,0)+2,0),""),"")</f>
        <v>2</v>
      </c>
      <c r="AI156" s="117">
        <f>IF(IFERROR(VLOOKUP($C156,Planes_de_estudio[],MATCH($AI$2,Carreras,0)+2,0),"")&gt;0,IFERROR(VLOOKUP($C156,Planes_de_estudio[],MATCH($AI$2,Carreras,0)+2,0),""),"")</f>
        <v>2</v>
      </c>
      <c r="AJ156" s="117">
        <f>IF(IFERROR(VLOOKUP($C156,Planes_de_estudio[],MATCH($AJ$2,Carreras,0)+2,0),"")&gt;0,IFERROR(VLOOKUP($C156,Planes_de_estudio[],MATCH($AJ$2,Carreras,0)+2,0),""),"")</f>
        <v>2</v>
      </c>
      <c r="AK156" s="117">
        <f>IF(IFERROR(VLOOKUP($C156,Planes_de_estudio[],MATCH($AK$2,Carreras,0)+2,0),"")&gt;0,IFERROR(VLOOKUP($C156,Planes_de_estudio[],MATCH($AK$2,Carreras,0)+2,0),""),"")</f>
        <v>2</v>
      </c>
      <c r="AL156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56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114</v>
      </c>
      <c r="AN156" s="117">
        <f>base_de_datos[[#This Row],[Pronóstico]]/25</f>
        <v>4.5599999999999996</v>
      </c>
      <c r="AO156" s="117" t="str">
        <f>VLOOKUP($C156,Planes_de_estudio[],2)</f>
        <v>HUM</v>
      </c>
      <c r="AP156" s="119">
        <f ca="1">IF(AND(base_de_datos[[#This Row],[Industrial]]&lt;&gt;"",base_de_datos[[#This Row],[Misma o no]]=1),base_de_datos[[#This Row],[Índice]],"")</f>
        <v>1</v>
      </c>
      <c r="AQ156" s="119">
        <f ca="1">IF(AND(base_de_datos[[#This Row],[Mecatrónica]]&lt;&gt;"",base_de_datos[[#This Row],[Misma o no]]=1),base_de_datos[[#This Row],[Índice]],"")</f>
        <v>1</v>
      </c>
      <c r="AR156" s="119">
        <f ca="1">IF(AND(base_de_datos[[#This Row],[Innovación y Diseño]]&lt;&gt;"",base_de_datos[[#This Row],[Misma o no]]=1),base_de_datos[[#This Row],[Índice]],"")</f>
        <v>1</v>
      </c>
      <c r="AS156" s="119">
        <f ca="1">IF(AND(base_de_datos[[#This Row],[Inteligencia Artificial]]&lt;&gt;"",base_de_datos[[#This Row],[Misma o no]]=1),base_de_datos[[#This Row],[Índice]],"")</f>
        <v>1</v>
      </c>
      <c r="AT156" s="119">
        <f ca="1">IF(AND(base_de_datos[[#This Row],[Tecnologías Energéticas]]&lt;&gt;"",base_de_datos[[#This Row],[Misma o no]]=1),base_de_datos[[#This Row],[Índice]],"")</f>
        <v>1</v>
      </c>
      <c r="AU156" s="119">
        <f ca="1">IF(AND(base_de_datos[[#This Row],[Civil y Administración]]&lt;&gt;"",base_de_datos[[#This Row],[Misma o no]]=1),base_de_datos[[#This Row],[Índice]],"")</f>
        <v>1</v>
      </c>
      <c r="AV156" s="119">
        <f ca="1">IF(AND(base_de_datos[[#This Row],[Bioelectrónica]]&lt;&gt;"",base_de_datos[[#This Row],[Misma o no]]=1),base_de_datos[[#This Row],[Índice]],"")</f>
        <v>1</v>
      </c>
      <c r="AW156" s="88"/>
      <c r="AX156" s="4">
        <v>1</v>
      </c>
    </row>
    <row r="157" spans="2:50" s="6" customFormat="1" ht="13" x14ac:dyDescent="0.3">
      <c r="B157" s="6" t="s">
        <v>284</v>
      </c>
      <c r="C157" s="1" t="s">
        <v>370</v>
      </c>
      <c r="D157" s="4">
        <v>1</v>
      </c>
      <c r="E157" s="113">
        <v>0.70833333333333304</v>
      </c>
      <c r="F157" s="113">
        <v>0.77083333333332604</v>
      </c>
      <c r="G157" s="4" t="s">
        <v>87</v>
      </c>
      <c r="H157" s="4" t="s">
        <v>109</v>
      </c>
      <c r="I157" s="4"/>
      <c r="J157" s="199">
        <v>18</v>
      </c>
      <c r="K157" s="115"/>
      <c r="L157" s="3"/>
      <c r="M157" s="127"/>
      <c r="N157" s="3"/>
      <c r="O157" s="4">
        <v>5344</v>
      </c>
      <c r="P157" s="114"/>
      <c r="Q157" s="114" t="s">
        <v>90</v>
      </c>
      <c r="R157" s="114"/>
      <c r="S157" s="114" t="s">
        <v>90</v>
      </c>
      <c r="T157" s="114"/>
      <c r="U157" s="114"/>
      <c r="V157" s="114"/>
      <c r="W157" s="114"/>
      <c r="X157" s="117">
        <f>_xlfn.XLOOKUP(base_de_datos[[#This Row],[Materia]],Materias,Horas)/16</f>
        <v>3</v>
      </c>
      <c r="Y157" s="117">
        <f>ROUND(((base_de_datos[[#This Row],[Hora fin]]-base_de_datos[[#This Row],[Hora inicio]])*24)*(COUNTA(base_de_datos[[#This Row],[Lunes]:[Sábado]])),1)</f>
        <v>3</v>
      </c>
      <c r="Z157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57" s="117">
        <f ca="1">IF(base_de_datos[[#This Row],[No clase]]=OFFSET(base_de_datos[[#This Row],[No clase]],-1,0),0,1)</f>
        <v>1</v>
      </c>
      <c r="AB157" s="117">
        <f ca="1">IF(NOT(OR(base_de_datos[[#This Row],[Horas totales]]=base_de_datos[[#This Row],[HT Plan]],base_de_datos[[#This Row],[Horas totales]]="N/A")),1,0)</f>
        <v>0</v>
      </c>
      <c r="AC157" s="117" t="str">
        <f>_xlfn.XLOOKUP(base_de_datos[[#This Row],[Profesor]],Nombre,Grado)</f>
        <v>M</v>
      </c>
      <c r="AD157" s="118" t="str">
        <f>_xlfn.XLOOKUP(base_de_datos[[#This Row],[Profesor]],Nombre,Tipo)</f>
        <v>A</v>
      </c>
      <c r="AE157" s="117" t="str">
        <f>IF(IFERROR(VLOOKUP($C157,Planes_de_estudio[],MATCH($AE$2,Carreras,0)+2,0),"")&gt;0,IFERROR(VLOOKUP($C157,Planes_de_estudio[],MATCH($AE$2,Carreras,0)+2,0),""),"")</f>
        <v/>
      </c>
      <c r="AF157" s="117">
        <f>IF(IFERROR(VLOOKUP($C157,Planes_de_estudio[],MATCH($AF$2,Carreras,0)+2,0),"")&gt;0,IFERROR(VLOOKUP($C157,Planes_de_estudio[],MATCH($AF$2,Carreras,0)+2,0),""),"")</f>
        <v>6</v>
      </c>
      <c r="AG157" s="117" t="str">
        <f>IF(IFERROR(VLOOKUP($C157,Planes_de_estudio[],MATCH($AG$2,Carreras,0)+2,0),"")&gt;0,IFERROR(VLOOKUP($C157,Planes_de_estudio[],MATCH($AG$2,Carreras,0)+2,0),""),"")</f>
        <v/>
      </c>
      <c r="AH157" s="117" t="str">
        <f>IF(IFERROR(VLOOKUP($C157,Planes_de_estudio[],MATCH($AH$2,Carreras,0)+2,0),"")&gt;0,IFERROR(VLOOKUP($C157,Planes_de_estudio[],MATCH($AH$2,Carreras,0)+2,0),""),"")</f>
        <v/>
      </c>
      <c r="AI157" s="117" t="str">
        <f>IF(IFERROR(VLOOKUP($C157,Planes_de_estudio[],MATCH($AI$2,Carreras,0)+2,0),"")&gt;0,IFERROR(VLOOKUP($C157,Planes_de_estudio[],MATCH($AI$2,Carreras,0)+2,0),""),"")</f>
        <v/>
      </c>
      <c r="AJ157" s="117" t="str">
        <f>IF(IFERROR(VLOOKUP($C157,Planes_de_estudio[],MATCH($AJ$2,Carreras,0)+2,0),"")&gt;0,IFERROR(VLOOKUP($C157,Planes_de_estudio[],MATCH($AJ$2,Carreras,0)+2,0),""),"")</f>
        <v/>
      </c>
      <c r="AK157" s="117" t="str">
        <f>IF(IFERROR(VLOOKUP($C157,Planes_de_estudio[],MATCH($AK$2,Carreras,0)+2,0),"")&gt;0,IFERROR(VLOOKUP($C157,Planes_de_estudio[],MATCH($AK$2,Carreras,0)+2,0),""),"")</f>
        <v/>
      </c>
      <c r="AL157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57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18</v>
      </c>
      <c r="AN157" s="117">
        <f>base_de_datos[[#This Row],[Pronóstico]]/25</f>
        <v>0.72</v>
      </c>
      <c r="AO157" s="117" t="str">
        <f>VLOOKUP($C157,Planes_de_estudio[],2)</f>
        <v>MEC</v>
      </c>
      <c r="AP157" s="119" t="str">
        <f ca="1">IF(AND(base_de_datos[[#This Row],[Industrial]]&lt;&gt;"",base_de_datos[[#This Row],[Misma o no]]=1),base_de_datos[[#This Row],[Índice]],"")</f>
        <v/>
      </c>
      <c r="AQ157" s="119">
        <f ca="1">IF(AND(base_de_datos[[#This Row],[Mecatrónica]]&lt;&gt;"",base_de_datos[[#This Row],[Misma o no]]=1),base_de_datos[[#This Row],[Índice]],"")</f>
        <v>4</v>
      </c>
      <c r="AR157" s="119" t="str">
        <f ca="1">IF(AND(base_de_datos[[#This Row],[Innovación y Diseño]]&lt;&gt;"",base_de_datos[[#This Row],[Misma o no]]=1),base_de_datos[[#This Row],[Índice]],"")</f>
        <v/>
      </c>
      <c r="AS157" s="119" t="str">
        <f ca="1">IF(AND(base_de_datos[[#This Row],[Inteligencia Artificial]]&lt;&gt;"",base_de_datos[[#This Row],[Misma o no]]=1),base_de_datos[[#This Row],[Índice]],"")</f>
        <v/>
      </c>
      <c r="AT157" s="119" t="str">
        <f ca="1">IF(AND(base_de_datos[[#This Row],[Tecnologías Energéticas]]&lt;&gt;"",base_de_datos[[#This Row],[Misma o no]]=1),base_de_datos[[#This Row],[Índice]],"")</f>
        <v/>
      </c>
      <c r="AU157" s="119" t="str">
        <f ca="1">IF(AND(base_de_datos[[#This Row],[Civil y Administración]]&lt;&gt;"",base_de_datos[[#This Row],[Misma o no]]=1),base_de_datos[[#This Row],[Índice]],"")</f>
        <v/>
      </c>
      <c r="AV157" s="119" t="str">
        <f ca="1">IF(AND(base_de_datos[[#This Row],[Bioelectrónica]]&lt;&gt;"",base_de_datos[[#This Row],[Misma o no]]=1),base_de_datos[[#This Row],[Índice]],"")</f>
        <v/>
      </c>
      <c r="AW157" s="120"/>
      <c r="AX157" s="4">
        <v>3</v>
      </c>
    </row>
    <row r="158" spans="2:50" s="6" customFormat="1" ht="13" x14ac:dyDescent="0.3">
      <c r="B158" s="141" t="s">
        <v>367</v>
      </c>
      <c r="C158" s="1" t="s">
        <v>368</v>
      </c>
      <c r="D158" s="4">
        <v>1</v>
      </c>
      <c r="E158" s="113">
        <v>0.29166666666666669</v>
      </c>
      <c r="F158" s="113">
        <v>0.374999999999999</v>
      </c>
      <c r="G158" s="4" t="s">
        <v>87</v>
      </c>
      <c r="H158" s="4" t="s">
        <v>125</v>
      </c>
      <c r="I158" s="4"/>
      <c r="J158" s="198">
        <v>12</v>
      </c>
      <c r="K158" s="115"/>
      <c r="L158" s="3"/>
      <c r="M158" s="115"/>
      <c r="N158" s="3"/>
      <c r="O158" s="4" t="s">
        <v>369</v>
      </c>
      <c r="P158" s="114"/>
      <c r="Q158" s="114"/>
      <c r="R158" s="114"/>
      <c r="S158" s="114"/>
      <c r="T158" s="114" t="s">
        <v>90</v>
      </c>
      <c r="U158" s="114"/>
      <c r="V158" s="114"/>
      <c r="W158" s="114"/>
      <c r="X158" s="116">
        <f>_xlfn.XLOOKUP(base_de_datos[[#This Row],[Materia]],Materias,Horas)/16</f>
        <v>4</v>
      </c>
      <c r="Y158" s="116">
        <f>ROUND(((base_de_datos[[#This Row],[Hora fin]]-base_de_datos[[#This Row],[Hora inicio]])*24)*(COUNTA(base_de_datos[[#This Row],[Lunes]:[Sábado]])),1)</f>
        <v>2</v>
      </c>
      <c r="Z158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58" s="117">
        <f ca="1">IF(base_de_datos[[#This Row],[No clase]]=OFFSET(base_de_datos[[#This Row],[No clase]],-1,0),0,1)</f>
        <v>1</v>
      </c>
      <c r="AB158" s="117">
        <f ca="1">IF(NOT(OR(base_de_datos[[#This Row],[Horas totales]]=base_de_datos[[#This Row],[HT Plan]],base_de_datos[[#This Row],[Horas totales]]="N/A")),1,0)</f>
        <v>1</v>
      </c>
      <c r="AC158" s="116" t="str">
        <f>_xlfn.XLOOKUP(base_de_datos[[#This Row],[Profesor]],Nombre,Grado)</f>
        <v>M</v>
      </c>
      <c r="AD158" s="118" t="str">
        <f>_xlfn.XLOOKUP(base_de_datos[[#This Row],[Profesor]],Nombre,Tipo)</f>
        <v>A</v>
      </c>
      <c r="AE158" s="116" t="str">
        <f>IF(IFERROR(VLOOKUP($C158,Planes_de_estudio[],MATCH($AE$2,Carreras,0)+2,0),"")&gt;0,IFERROR(VLOOKUP($C158,Planes_de_estudio[],MATCH($AE$2,Carreras,0)+2,0),""),"")</f>
        <v/>
      </c>
      <c r="AF158" s="116" t="str">
        <f>IF(IFERROR(VLOOKUP($C158,Planes_de_estudio[],MATCH($AF$2,Carreras,0)+2,0),"")&gt;0,IFERROR(VLOOKUP($C158,Planes_de_estudio[],MATCH($AF$2,Carreras,0)+2,0),""),"")</f>
        <v/>
      </c>
      <c r="AG158" s="116" t="str">
        <f>IF(IFERROR(VLOOKUP($C158,Planes_de_estudio[],MATCH($AG$2,Carreras,0)+2,0),"")&gt;0,IFERROR(VLOOKUP($C158,Planes_de_estudio[],MATCH($AG$2,Carreras,0)+2,0),""),"")</f>
        <v/>
      </c>
      <c r="AH158" s="116" t="str">
        <f>IF(IFERROR(VLOOKUP($C158,Planes_de_estudio[],MATCH($AH$2,Carreras,0)+2,0),"")&gt;0,IFERROR(VLOOKUP($C158,Planes_de_estudio[],MATCH($AH$2,Carreras,0)+2,0),""),"")</f>
        <v/>
      </c>
      <c r="AI158" s="116" t="str">
        <f>IF(IFERROR(VLOOKUP($C158,Planes_de_estudio[],MATCH($AI$2,Carreras,0)+2,0),"")&gt;0,IFERROR(VLOOKUP($C158,Planes_de_estudio[],MATCH($AI$2,Carreras,0)+2,0),""),"")</f>
        <v/>
      </c>
      <c r="AJ158" s="116">
        <f>IF(IFERROR(VLOOKUP($C158,Planes_de_estudio[],MATCH($AJ$2,Carreras,0)+2,0),"")&gt;0,IFERROR(VLOOKUP($C158,Planes_de_estudio[],MATCH($AJ$2,Carreras,0)+2,0),""),"")</f>
        <v>4</v>
      </c>
      <c r="AK158" s="116" t="str">
        <f>IF(IFERROR(VLOOKUP($C158,Planes_de_estudio[],MATCH($AK$2,Carreras,0)+2,0),"")&gt;0,IFERROR(VLOOKUP($C158,Planes_de_estudio[],MATCH($AK$2,Carreras,0)+2,0),""),"")</f>
        <v/>
      </c>
      <c r="AL158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58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</v>
      </c>
      <c r="AN158" s="117">
        <f>base_de_datos[[#This Row],[Pronóstico]]/25</f>
        <v>0.44</v>
      </c>
      <c r="AO158" s="117" t="str">
        <f>VLOOKUP($C158,Planes_de_estudio[],2)</f>
        <v>ESC</v>
      </c>
      <c r="AP158" s="119" t="str">
        <f ca="1">IF(AND(base_de_datos[[#This Row],[Industrial]]&lt;&gt;"",base_de_datos[[#This Row],[Misma o no]]=1),base_de_datos[[#This Row],[Índice]],"")</f>
        <v/>
      </c>
      <c r="AQ158" s="119" t="str">
        <f ca="1">IF(AND(base_de_datos[[#This Row],[Mecatrónica]]&lt;&gt;"",base_de_datos[[#This Row],[Misma o no]]=1),base_de_datos[[#This Row],[Índice]],"")</f>
        <v/>
      </c>
      <c r="AR158" s="119" t="str">
        <f ca="1">IF(AND(base_de_datos[[#This Row],[Innovación y Diseño]]&lt;&gt;"",base_de_datos[[#This Row],[Misma o no]]=1),base_de_datos[[#This Row],[Índice]],"")</f>
        <v/>
      </c>
      <c r="AS158" s="119" t="str">
        <f ca="1">IF(AND(base_de_datos[[#This Row],[Inteligencia Artificial]]&lt;&gt;"",base_de_datos[[#This Row],[Misma o no]]=1),base_de_datos[[#This Row],[Índice]],"")</f>
        <v/>
      </c>
      <c r="AT158" s="119" t="str">
        <f ca="1">IF(AND(base_de_datos[[#This Row],[Tecnologías Energéticas]]&lt;&gt;"",base_de_datos[[#This Row],[Misma o no]]=1),base_de_datos[[#This Row],[Índice]],"")</f>
        <v/>
      </c>
      <c r="AU158" s="119">
        <f ca="1">IF(AND(base_de_datos[[#This Row],[Civil y Administración]]&lt;&gt;"",base_de_datos[[#This Row],[Misma o no]]=1),base_de_datos[[#This Row],[Índice]],"")</f>
        <v>4</v>
      </c>
      <c r="AV158" s="119" t="str">
        <f ca="1">IF(AND(base_de_datos[[#This Row],[Bioelectrónica]]&lt;&gt;"",base_de_datos[[#This Row],[Misma o no]]=1),base_de_datos[[#This Row],[Índice]],"")</f>
        <v/>
      </c>
      <c r="AW158" s="120"/>
      <c r="AX158" s="4">
        <v>3</v>
      </c>
    </row>
    <row r="159" spans="2:50" s="6" customFormat="1" ht="13" x14ac:dyDescent="0.3">
      <c r="B159" s="6" t="s">
        <v>389</v>
      </c>
      <c r="C159" s="1" t="s">
        <v>387</v>
      </c>
      <c r="D159" s="4">
        <v>2</v>
      </c>
      <c r="E159" s="113">
        <v>0.39583333333333398</v>
      </c>
      <c r="F159" s="113">
        <v>0.45833333333333098</v>
      </c>
      <c r="G159" s="227" t="s">
        <v>92</v>
      </c>
      <c r="H159" s="4" t="s">
        <v>144</v>
      </c>
      <c r="I159" s="4"/>
      <c r="J159" s="114"/>
      <c r="K159" s="115"/>
      <c r="L159" s="3"/>
      <c r="M159" s="115"/>
      <c r="N159" s="3"/>
      <c r="O159" s="4" t="s">
        <v>390</v>
      </c>
      <c r="P159" s="114"/>
      <c r="Q159" s="114"/>
      <c r="R159" s="114"/>
      <c r="S159" s="114"/>
      <c r="T159" s="114" t="s">
        <v>90</v>
      </c>
      <c r="U159" s="114"/>
      <c r="V159" s="114"/>
      <c r="W159" s="114"/>
      <c r="X159" s="116">
        <f>_xlfn.XLOOKUP(base_de_datos[[#This Row],[Materia]],Materias,Horas)/16</f>
        <v>3</v>
      </c>
      <c r="Y159" s="117">
        <f>ROUND(((base_de_datos[[#This Row],[Hora fin]]-base_de_datos[[#This Row],[Hora inicio]])*24)*(COUNTA(base_de_datos[[#This Row],[Lunes]:[Sábado]])),1)</f>
        <v>1.5</v>
      </c>
      <c r="Z159" s="117">
        <f ca="1">IF(base_de_datos[[#This Row],[Misma o no]]=0,"N/A",IF((OFFSET(base_de_datos[[#This Row],[Misma o no]],1,0))=0,base_de_datos[[#This Row],[Horas]]+(OFFSET(base_de_datos[[#This Row],[Horas]],1,0)),base_de_datos[[#This Row],[Horas]]))</f>
        <v>1.5</v>
      </c>
      <c r="AA159" s="117">
        <f ca="1">IF(base_de_datos[[#This Row],[No clase]]=OFFSET(base_de_datos[[#This Row],[No clase]],-1,0),0,1)</f>
        <v>1</v>
      </c>
      <c r="AB159" s="117">
        <f ca="1">IF(NOT(OR(base_de_datos[[#This Row],[Horas totales]]=base_de_datos[[#This Row],[HT Plan]],base_de_datos[[#This Row],[Horas totales]]="N/A")),1,0)</f>
        <v>1</v>
      </c>
      <c r="AC159" s="117" t="str">
        <f>_xlfn.XLOOKUP(base_de_datos[[#This Row],[Profesor]],Nombre,Grado)</f>
        <v>L</v>
      </c>
      <c r="AD159" s="118" t="str">
        <f>_xlfn.XLOOKUP(base_de_datos[[#This Row],[Profesor]],Nombre,Tipo)</f>
        <v>H</v>
      </c>
      <c r="AE159" s="117">
        <f>IF(IFERROR(VLOOKUP($C159,Planes_de_estudio[],MATCH($AE$2,Carreras,0)+2,0),"")&gt;0,IFERROR(VLOOKUP($C159,Planes_de_estudio[],MATCH($AE$2,Carreras,0)+2,0),""),"")</f>
        <v>2</v>
      </c>
      <c r="AF159" s="117">
        <f>IF(IFERROR(VLOOKUP($C159,Planes_de_estudio[],MATCH($AF$2,Carreras,0)+2,0),"")&gt;0,IFERROR(VLOOKUP($C159,Planes_de_estudio[],MATCH($AF$2,Carreras,0)+2,0),""),"")</f>
        <v>2</v>
      </c>
      <c r="AG159" s="117">
        <f>IF(IFERROR(VLOOKUP($C159,Planes_de_estudio[],MATCH($AG$2,Carreras,0)+2,0),"")&gt;0,IFERROR(VLOOKUP($C159,Planes_de_estudio[],MATCH($AG$2,Carreras,0)+2,0),""),"")</f>
        <v>2</v>
      </c>
      <c r="AH159" s="117">
        <f>IF(IFERROR(VLOOKUP($C159,Planes_de_estudio[],MATCH($AH$2,Carreras,0)+2,0),"")&gt;0,IFERROR(VLOOKUP($C159,Planes_de_estudio[],MATCH($AH$2,Carreras,0)+2,0),""),"")</f>
        <v>2</v>
      </c>
      <c r="AI159" s="117">
        <f>IF(IFERROR(VLOOKUP($C159,Planes_de_estudio[],MATCH($AI$2,Carreras,0)+2,0),"")&gt;0,IFERROR(VLOOKUP($C159,Planes_de_estudio[],MATCH($AI$2,Carreras,0)+2,0),""),"")</f>
        <v>2</v>
      </c>
      <c r="AJ159" s="117">
        <f>IF(IFERROR(VLOOKUP($C159,Planes_de_estudio[],MATCH($AJ$2,Carreras,0)+2,0),"")&gt;0,IFERROR(VLOOKUP($C159,Planes_de_estudio[],MATCH($AJ$2,Carreras,0)+2,0),""),"")</f>
        <v>2</v>
      </c>
      <c r="AK159" s="117">
        <f>IF(IFERROR(VLOOKUP($C159,Planes_de_estudio[],MATCH($AK$2,Carreras,0)+2,0),"")&gt;0,IFERROR(VLOOKUP($C159,Planes_de_estudio[],MATCH($AK$2,Carreras,0)+2,0),""),"")</f>
        <v>2</v>
      </c>
      <c r="AL159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59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114</v>
      </c>
      <c r="AN159" s="117">
        <f>base_de_datos[[#This Row],[Pronóstico]]/25</f>
        <v>4.5599999999999996</v>
      </c>
      <c r="AO159" s="117" t="str">
        <f>VLOOKUP($C159,Planes_de_estudio[],2)</f>
        <v>HUM</v>
      </c>
      <c r="AP159" s="119">
        <f ca="1">IF(AND(base_de_datos[[#This Row],[Industrial]]&lt;&gt;"",base_de_datos[[#This Row],[Misma o no]]=1),base_de_datos[[#This Row],[Índice]],"")</f>
        <v>1</v>
      </c>
      <c r="AQ159" s="119">
        <f ca="1">IF(AND(base_de_datos[[#This Row],[Mecatrónica]]&lt;&gt;"",base_de_datos[[#This Row],[Misma o no]]=1),base_de_datos[[#This Row],[Índice]],"")</f>
        <v>1</v>
      </c>
      <c r="AR159" s="119">
        <f ca="1">IF(AND(base_de_datos[[#This Row],[Innovación y Diseño]]&lt;&gt;"",base_de_datos[[#This Row],[Misma o no]]=1),base_de_datos[[#This Row],[Índice]],"")</f>
        <v>1</v>
      </c>
      <c r="AS159" s="119">
        <f ca="1">IF(AND(base_de_datos[[#This Row],[Inteligencia Artificial]]&lt;&gt;"",base_de_datos[[#This Row],[Misma o no]]=1),base_de_datos[[#This Row],[Índice]],"")</f>
        <v>1</v>
      </c>
      <c r="AT159" s="119">
        <f ca="1">IF(AND(base_de_datos[[#This Row],[Tecnologías Energéticas]]&lt;&gt;"",base_de_datos[[#This Row],[Misma o no]]=1),base_de_datos[[#This Row],[Índice]],"")</f>
        <v>1</v>
      </c>
      <c r="AU159" s="119">
        <f ca="1">IF(AND(base_de_datos[[#This Row],[Civil y Administración]]&lt;&gt;"",base_de_datos[[#This Row],[Misma o no]]=1),base_de_datos[[#This Row],[Índice]],"")</f>
        <v>1</v>
      </c>
      <c r="AV159" s="119">
        <f ca="1">IF(AND(base_de_datos[[#This Row],[Bioelectrónica]]&lt;&gt;"",base_de_datos[[#This Row],[Misma o no]]=1),base_de_datos[[#This Row],[Índice]],"")</f>
        <v>1</v>
      </c>
      <c r="AW159" s="88"/>
      <c r="AX159" s="4">
        <v>1</v>
      </c>
    </row>
    <row r="160" spans="2:50" s="6" customFormat="1" ht="13" x14ac:dyDescent="0.3">
      <c r="B160" s="9" t="s">
        <v>143</v>
      </c>
      <c r="C160" s="1" t="s">
        <v>387</v>
      </c>
      <c r="D160" s="4">
        <v>1</v>
      </c>
      <c r="E160" s="113">
        <v>0.39583333333333398</v>
      </c>
      <c r="F160" s="113">
        <v>0.45833333333333098</v>
      </c>
      <c r="G160" s="227" t="s">
        <v>92</v>
      </c>
      <c r="H160" s="4" t="s">
        <v>93</v>
      </c>
      <c r="I160" s="4"/>
      <c r="J160" s="114"/>
      <c r="K160" s="115"/>
      <c r="L160" s="3"/>
      <c r="M160" s="115"/>
      <c r="N160" s="3"/>
      <c r="O160" s="4" t="s">
        <v>391</v>
      </c>
      <c r="P160" s="114" t="s">
        <v>90</v>
      </c>
      <c r="Q160" s="114"/>
      <c r="R160" s="114"/>
      <c r="S160" s="114"/>
      <c r="T160" s="114"/>
      <c r="U160" s="114"/>
      <c r="V160" s="114"/>
      <c r="W160" s="114"/>
      <c r="X160" s="116">
        <f>_xlfn.XLOOKUP(base_de_datos[[#This Row],[Materia]],Materias,Horas)/16</f>
        <v>3</v>
      </c>
      <c r="Y160" s="117">
        <f>ROUND(((base_de_datos[[#This Row],[Hora fin]]-base_de_datos[[#This Row],[Hora inicio]])*24)*(COUNTA(base_de_datos[[#This Row],[Lunes]:[Sábado]])),1)</f>
        <v>1.5</v>
      </c>
      <c r="Z160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60" s="117">
        <f ca="1">IF(base_de_datos[[#This Row],[No clase]]=OFFSET(base_de_datos[[#This Row],[No clase]],-1,0),0,1)</f>
        <v>1</v>
      </c>
      <c r="AB160" s="117">
        <f ca="1">IF(NOT(OR(base_de_datos[[#This Row],[Horas totales]]=base_de_datos[[#This Row],[HT Plan]],base_de_datos[[#This Row],[Horas totales]]="N/A")),1,0)</f>
        <v>0</v>
      </c>
      <c r="AC160" s="117" t="str">
        <f>_xlfn.XLOOKUP(base_de_datos[[#This Row],[Profesor]],Nombre,Grado)</f>
        <v>D</v>
      </c>
      <c r="AD160" s="118" t="str">
        <f>_xlfn.XLOOKUP(base_de_datos[[#This Row],[Profesor]],Nombre,Tipo)</f>
        <v>H</v>
      </c>
      <c r="AE160" s="117">
        <f>IF(IFERROR(VLOOKUP($C160,Planes_de_estudio[],MATCH($AE$2,Carreras,0)+2,0),"")&gt;0,IFERROR(VLOOKUP($C160,Planes_de_estudio[],MATCH($AE$2,Carreras,0)+2,0),""),"")</f>
        <v>2</v>
      </c>
      <c r="AF160" s="117">
        <f>IF(IFERROR(VLOOKUP($C160,Planes_de_estudio[],MATCH($AF$2,Carreras,0)+2,0),"")&gt;0,IFERROR(VLOOKUP($C160,Planes_de_estudio[],MATCH($AF$2,Carreras,0)+2,0),""),"")</f>
        <v>2</v>
      </c>
      <c r="AG160" s="117">
        <f>IF(IFERROR(VLOOKUP($C160,Planes_de_estudio[],MATCH($AG$2,Carreras,0)+2,0),"")&gt;0,IFERROR(VLOOKUP($C160,Planes_de_estudio[],MATCH($AG$2,Carreras,0)+2,0),""),"")</f>
        <v>2</v>
      </c>
      <c r="AH160" s="117">
        <f>IF(IFERROR(VLOOKUP($C160,Planes_de_estudio[],MATCH($AH$2,Carreras,0)+2,0),"")&gt;0,IFERROR(VLOOKUP($C160,Planes_de_estudio[],MATCH($AH$2,Carreras,0)+2,0),""),"")</f>
        <v>2</v>
      </c>
      <c r="AI160" s="117">
        <f>IF(IFERROR(VLOOKUP($C160,Planes_de_estudio[],MATCH($AI$2,Carreras,0)+2,0),"")&gt;0,IFERROR(VLOOKUP($C160,Planes_de_estudio[],MATCH($AI$2,Carreras,0)+2,0),""),"")</f>
        <v>2</v>
      </c>
      <c r="AJ160" s="117">
        <f>IF(IFERROR(VLOOKUP($C160,Planes_de_estudio[],MATCH($AJ$2,Carreras,0)+2,0),"")&gt;0,IFERROR(VLOOKUP($C160,Planes_de_estudio[],MATCH($AJ$2,Carreras,0)+2,0),""),"")</f>
        <v>2</v>
      </c>
      <c r="AK160" s="117">
        <f>IF(IFERROR(VLOOKUP($C160,Planes_de_estudio[],MATCH($AK$2,Carreras,0)+2,0),"")&gt;0,IFERROR(VLOOKUP($C160,Planes_de_estudio[],MATCH($AK$2,Carreras,0)+2,0),""),"")</f>
        <v>2</v>
      </c>
      <c r="AL160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60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114</v>
      </c>
      <c r="AN160" s="117">
        <f>base_de_datos[[#This Row],[Pronóstico]]/25</f>
        <v>4.5599999999999996</v>
      </c>
      <c r="AO160" s="117" t="str">
        <f>VLOOKUP($C160,Planes_de_estudio[],2)</f>
        <v>HUM</v>
      </c>
      <c r="AP160" s="119">
        <f ca="1">IF(AND(base_de_datos[[#This Row],[Industrial]]&lt;&gt;"",base_de_datos[[#This Row],[Misma o no]]=1),base_de_datos[[#This Row],[Índice]],"")</f>
        <v>6</v>
      </c>
      <c r="AQ160" s="119">
        <f ca="1">IF(AND(base_de_datos[[#This Row],[Mecatrónica]]&lt;&gt;"",base_de_datos[[#This Row],[Misma o no]]=1),base_de_datos[[#This Row],[Índice]],"")</f>
        <v>6</v>
      </c>
      <c r="AR160" s="119">
        <f ca="1">IF(AND(base_de_datos[[#This Row],[Innovación y Diseño]]&lt;&gt;"",base_de_datos[[#This Row],[Misma o no]]=1),base_de_datos[[#This Row],[Índice]],"")</f>
        <v>6</v>
      </c>
      <c r="AS160" s="119">
        <f ca="1">IF(AND(base_de_datos[[#This Row],[Inteligencia Artificial]]&lt;&gt;"",base_de_datos[[#This Row],[Misma o no]]=1),base_de_datos[[#This Row],[Índice]],"")</f>
        <v>6</v>
      </c>
      <c r="AT160" s="119">
        <f ca="1">IF(AND(base_de_datos[[#This Row],[Tecnologías Energéticas]]&lt;&gt;"",base_de_datos[[#This Row],[Misma o no]]=1),base_de_datos[[#This Row],[Índice]],"")</f>
        <v>6</v>
      </c>
      <c r="AU160" s="119">
        <f ca="1">IF(AND(base_de_datos[[#This Row],[Civil y Administración]]&lt;&gt;"",base_de_datos[[#This Row],[Misma o no]]=1),base_de_datos[[#This Row],[Índice]],"")</f>
        <v>6</v>
      </c>
      <c r="AV160" s="119">
        <f ca="1">IF(AND(base_de_datos[[#This Row],[Bioelectrónica]]&lt;&gt;"",base_de_datos[[#This Row],[Misma o no]]=1),base_de_datos[[#This Row],[Índice]],"")</f>
        <v>6</v>
      </c>
      <c r="AW160" s="88"/>
      <c r="AX160" s="4">
        <v>1</v>
      </c>
    </row>
    <row r="161" spans="2:51" s="6" customFormat="1" ht="13" x14ac:dyDescent="0.3">
      <c r="B161" s="9" t="s">
        <v>143</v>
      </c>
      <c r="C161" s="1" t="s">
        <v>387</v>
      </c>
      <c r="D161" s="4">
        <v>1</v>
      </c>
      <c r="E161" s="113">
        <v>0.39583333333333398</v>
      </c>
      <c r="F161" s="113">
        <v>0.45833333333333098</v>
      </c>
      <c r="G161" s="227" t="s">
        <v>92</v>
      </c>
      <c r="H161" s="4" t="s">
        <v>109</v>
      </c>
      <c r="I161" s="4"/>
      <c r="J161" s="114"/>
      <c r="K161" s="115"/>
      <c r="L161" s="3"/>
      <c r="M161" s="115"/>
      <c r="N161" s="3"/>
      <c r="O161" s="4" t="s">
        <v>391</v>
      </c>
      <c r="P161" s="114"/>
      <c r="Q161" s="114"/>
      <c r="R161" s="114"/>
      <c r="S161" s="114"/>
      <c r="T161" s="114" t="s">
        <v>90</v>
      </c>
      <c r="U161" s="114"/>
      <c r="V161" s="114"/>
      <c r="W161" s="114"/>
      <c r="X161" s="116">
        <f>_xlfn.XLOOKUP(base_de_datos[[#This Row],[Materia]],Materias,Horas)/16</f>
        <v>3</v>
      </c>
      <c r="Y161" s="117">
        <f>ROUND(((base_de_datos[[#This Row],[Hora fin]]-base_de_datos[[#This Row],[Hora inicio]])*24)*(COUNTA(base_de_datos[[#This Row],[Lunes]:[Sábado]])),1)</f>
        <v>1.5</v>
      </c>
      <c r="Z161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61" s="117">
        <f ca="1">IF(base_de_datos[[#This Row],[No clase]]=OFFSET(base_de_datos[[#This Row],[No clase]],-1,0),0,1)</f>
        <v>0</v>
      </c>
      <c r="AB161" s="117">
        <f ca="1">IF(NOT(OR(base_de_datos[[#This Row],[Horas totales]]=base_de_datos[[#This Row],[HT Plan]],base_de_datos[[#This Row],[Horas totales]]="N/A")),1,0)</f>
        <v>0</v>
      </c>
      <c r="AC161" s="117" t="str">
        <f>_xlfn.XLOOKUP(base_de_datos[[#This Row],[Profesor]],Nombre,Grado)</f>
        <v>D</v>
      </c>
      <c r="AD161" s="118" t="str">
        <f>_xlfn.XLOOKUP(base_de_datos[[#This Row],[Profesor]],Nombre,Tipo)</f>
        <v>H</v>
      </c>
      <c r="AE161" s="117">
        <f>IF(IFERROR(VLOOKUP($C161,Planes_de_estudio[],MATCH($AE$2,Carreras,0)+2,0),"")&gt;0,IFERROR(VLOOKUP($C161,Planes_de_estudio[],MATCH($AE$2,Carreras,0)+2,0),""),"")</f>
        <v>2</v>
      </c>
      <c r="AF161" s="117">
        <f>IF(IFERROR(VLOOKUP($C161,Planes_de_estudio[],MATCH($AF$2,Carreras,0)+2,0),"")&gt;0,IFERROR(VLOOKUP($C161,Planes_de_estudio[],MATCH($AF$2,Carreras,0)+2,0),""),"")</f>
        <v>2</v>
      </c>
      <c r="AG161" s="117">
        <f>IF(IFERROR(VLOOKUP($C161,Planes_de_estudio[],MATCH($AG$2,Carreras,0)+2,0),"")&gt;0,IFERROR(VLOOKUP($C161,Planes_de_estudio[],MATCH($AG$2,Carreras,0)+2,0),""),"")</f>
        <v>2</v>
      </c>
      <c r="AH161" s="117">
        <f>IF(IFERROR(VLOOKUP($C161,Planes_de_estudio[],MATCH($AH$2,Carreras,0)+2,0),"")&gt;0,IFERROR(VLOOKUP($C161,Planes_de_estudio[],MATCH($AH$2,Carreras,0)+2,0),""),"")</f>
        <v>2</v>
      </c>
      <c r="AI161" s="117">
        <f>IF(IFERROR(VLOOKUP($C161,Planes_de_estudio[],MATCH($AI$2,Carreras,0)+2,0),"")&gt;0,IFERROR(VLOOKUP($C161,Planes_de_estudio[],MATCH($AI$2,Carreras,0)+2,0),""),"")</f>
        <v>2</v>
      </c>
      <c r="AJ161" s="117">
        <f>IF(IFERROR(VLOOKUP($C161,Planes_de_estudio[],MATCH($AJ$2,Carreras,0)+2,0),"")&gt;0,IFERROR(VLOOKUP($C161,Planes_de_estudio[],MATCH($AJ$2,Carreras,0)+2,0),""),"")</f>
        <v>2</v>
      </c>
      <c r="AK161" s="117">
        <f>IF(IFERROR(VLOOKUP($C161,Planes_de_estudio[],MATCH($AK$2,Carreras,0)+2,0),"")&gt;0,IFERROR(VLOOKUP($C161,Planes_de_estudio[],MATCH($AK$2,Carreras,0)+2,0),""),"")</f>
        <v>2</v>
      </c>
      <c r="AL161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61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114</v>
      </c>
      <c r="AN161" s="117">
        <f>base_de_datos[[#This Row],[Pronóstico]]/25</f>
        <v>4.5599999999999996</v>
      </c>
      <c r="AO161" s="117" t="str">
        <f>VLOOKUP($C161,Planes_de_estudio[],2)</f>
        <v>HUM</v>
      </c>
      <c r="AP161" s="119" t="str">
        <f ca="1">IF(AND(base_de_datos[[#This Row],[Industrial]]&lt;&gt;"",base_de_datos[[#This Row],[Misma o no]]=1),base_de_datos[[#This Row],[Índice]],"")</f>
        <v/>
      </c>
      <c r="AQ161" s="119" t="str">
        <f ca="1">IF(AND(base_de_datos[[#This Row],[Mecatrónica]]&lt;&gt;"",base_de_datos[[#This Row],[Misma o no]]=1),base_de_datos[[#This Row],[Índice]],"")</f>
        <v/>
      </c>
      <c r="AR161" s="119" t="str">
        <f ca="1">IF(AND(base_de_datos[[#This Row],[Innovación y Diseño]]&lt;&gt;"",base_de_datos[[#This Row],[Misma o no]]=1),base_de_datos[[#This Row],[Índice]],"")</f>
        <v/>
      </c>
      <c r="AS161" s="119" t="str">
        <f ca="1">IF(AND(base_de_datos[[#This Row],[Inteligencia Artificial]]&lt;&gt;"",base_de_datos[[#This Row],[Misma o no]]=1),base_de_datos[[#This Row],[Índice]],"")</f>
        <v/>
      </c>
      <c r="AT161" s="119" t="str">
        <f ca="1">IF(AND(base_de_datos[[#This Row],[Tecnologías Energéticas]]&lt;&gt;"",base_de_datos[[#This Row],[Misma o no]]=1),base_de_datos[[#This Row],[Índice]],"")</f>
        <v/>
      </c>
      <c r="AU161" s="119" t="str">
        <f ca="1">IF(AND(base_de_datos[[#This Row],[Civil y Administración]]&lt;&gt;"",base_de_datos[[#This Row],[Misma o no]]=1),base_de_datos[[#This Row],[Índice]],"")</f>
        <v/>
      </c>
      <c r="AV161" s="119" t="str">
        <f ca="1">IF(AND(base_de_datos[[#This Row],[Bioelectrónica]]&lt;&gt;"",base_de_datos[[#This Row],[Misma o no]]=1),base_de_datos[[#This Row],[Índice]],"")</f>
        <v/>
      </c>
      <c r="AW161" s="88"/>
      <c r="AX161" s="4">
        <v>1</v>
      </c>
    </row>
    <row r="162" spans="2:51" s="6" customFormat="1" ht="13" x14ac:dyDescent="0.3">
      <c r="B162" s="6" t="s">
        <v>392</v>
      </c>
      <c r="C162" s="1" t="s">
        <v>387</v>
      </c>
      <c r="D162" s="4">
        <v>4</v>
      </c>
      <c r="E162" s="113">
        <v>0.39583333333333398</v>
      </c>
      <c r="F162" s="113">
        <v>0.45833333333333098</v>
      </c>
      <c r="G162" s="227" t="s">
        <v>92</v>
      </c>
      <c r="H162" s="4" t="s">
        <v>302</v>
      </c>
      <c r="I162" s="4"/>
      <c r="J162" s="114"/>
      <c r="K162" s="115"/>
      <c r="L162" s="3"/>
      <c r="M162" s="115"/>
      <c r="N162" s="3"/>
      <c r="O162" s="4" t="s">
        <v>393</v>
      </c>
      <c r="P162" s="114" t="s">
        <v>90</v>
      </c>
      <c r="Q162" s="114"/>
      <c r="R162" s="114"/>
      <c r="S162" s="114"/>
      <c r="T162" s="114"/>
      <c r="U162" s="114"/>
      <c r="V162" s="114"/>
      <c r="W162" s="114"/>
      <c r="X162" s="116">
        <f>_xlfn.XLOOKUP(base_de_datos[[#This Row],[Materia]],Materias,Horas)/16</f>
        <v>3</v>
      </c>
      <c r="Y162" s="116">
        <f>ROUND(((base_de_datos[[#This Row],[Hora fin]]-base_de_datos[[#This Row],[Hora inicio]])*24)*(COUNTA(base_de_datos[[#This Row],[Lunes]:[Sábado]])),1)</f>
        <v>1.5</v>
      </c>
      <c r="Z162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62" s="117">
        <f ca="1">IF(base_de_datos[[#This Row],[No clase]]=OFFSET(base_de_datos[[#This Row],[No clase]],-1,0),0,1)</f>
        <v>1</v>
      </c>
      <c r="AB162" s="117">
        <f ca="1">IF(NOT(OR(base_de_datos[[#This Row],[Horas totales]]=base_de_datos[[#This Row],[HT Plan]],base_de_datos[[#This Row],[Horas totales]]="N/A")),1,0)</f>
        <v>0</v>
      </c>
      <c r="AC162" s="116" t="str">
        <f>_xlfn.XLOOKUP(base_de_datos[[#This Row],[Profesor]],Nombre,Grado)</f>
        <v>SNI</v>
      </c>
      <c r="AD162" s="118" t="str">
        <f>_xlfn.XLOOKUP(base_de_datos[[#This Row],[Profesor]],Nombre,Tipo)</f>
        <v>H</v>
      </c>
      <c r="AE162" s="116">
        <f>IF(IFERROR(VLOOKUP($C162,Planes_de_estudio[],MATCH($AE$2,Carreras,0)+2,0),"")&gt;0,IFERROR(VLOOKUP($C162,Planes_de_estudio[],MATCH($AE$2,Carreras,0)+2,0),""),"")</f>
        <v>2</v>
      </c>
      <c r="AF162" s="116">
        <f>IF(IFERROR(VLOOKUP($C162,Planes_de_estudio[],MATCH($AF$2,Carreras,0)+2,0),"")&gt;0,IFERROR(VLOOKUP($C162,Planes_de_estudio[],MATCH($AF$2,Carreras,0)+2,0),""),"")</f>
        <v>2</v>
      </c>
      <c r="AG162" s="116">
        <f>IF(IFERROR(VLOOKUP($C162,Planes_de_estudio[],MATCH($AG$2,Carreras,0)+2,0),"")&gt;0,IFERROR(VLOOKUP($C162,Planes_de_estudio[],MATCH($AG$2,Carreras,0)+2,0),""),"")</f>
        <v>2</v>
      </c>
      <c r="AH162" s="116">
        <f>IF(IFERROR(VLOOKUP($C162,Planes_de_estudio[],MATCH($AH$2,Carreras,0)+2,0),"")&gt;0,IFERROR(VLOOKUP($C162,Planes_de_estudio[],MATCH($AH$2,Carreras,0)+2,0),""),"")</f>
        <v>2</v>
      </c>
      <c r="AI162" s="116">
        <f>IF(IFERROR(VLOOKUP($C162,Planes_de_estudio[],MATCH($AI$2,Carreras,0)+2,0),"")&gt;0,IFERROR(VLOOKUP($C162,Planes_de_estudio[],MATCH($AI$2,Carreras,0)+2,0),""),"")</f>
        <v>2</v>
      </c>
      <c r="AJ162" s="116">
        <f>IF(IFERROR(VLOOKUP($C162,Planes_de_estudio[],MATCH($AJ$2,Carreras,0)+2,0),"")&gt;0,IFERROR(VLOOKUP($C162,Planes_de_estudio[],MATCH($AJ$2,Carreras,0)+2,0),""),"")</f>
        <v>2</v>
      </c>
      <c r="AK162" s="116">
        <f>IF(IFERROR(VLOOKUP($C162,Planes_de_estudio[],MATCH($AK$2,Carreras,0)+2,0),"")&gt;0,IFERROR(VLOOKUP($C162,Planes_de_estudio[],MATCH($AK$2,Carreras,0)+2,0),""),"")</f>
        <v>2</v>
      </c>
      <c r="AL162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62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114</v>
      </c>
      <c r="AN162" s="117">
        <f>base_de_datos[[#This Row],[Pronóstico]]/25</f>
        <v>4.5599999999999996</v>
      </c>
      <c r="AO162" s="117" t="str">
        <f>VLOOKUP($C162,Planes_de_estudio[],2)</f>
        <v>HUM</v>
      </c>
      <c r="AP162" s="119">
        <f ca="1">IF(AND(base_de_datos[[#This Row],[Industrial]]&lt;&gt;"",base_de_datos[[#This Row],[Misma o no]]=1),base_de_datos[[#This Row],[Índice]],"")</f>
        <v>6</v>
      </c>
      <c r="AQ162" s="119">
        <f ca="1">IF(AND(base_de_datos[[#This Row],[Mecatrónica]]&lt;&gt;"",base_de_datos[[#This Row],[Misma o no]]=1),base_de_datos[[#This Row],[Índice]],"")</f>
        <v>6</v>
      </c>
      <c r="AR162" s="119">
        <f ca="1">IF(AND(base_de_datos[[#This Row],[Innovación y Diseño]]&lt;&gt;"",base_de_datos[[#This Row],[Misma o no]]=1),base_de_datos[[#This Row],[Índice]],"")</f>
        <v>6</v>
      </c>
      <c r="AS162" s="119">
        <f ca="1">IF(AND(base_de_datos[[#This Row],[Inteligencia Artificial]]&lt;&gt;"",base_de_datos[[#This Row],[Misma o no]]=1),base_de_datos[[#This Row],[Índice]],"")</f>
        <v>6</v>
      </c>
      <c r="AT162" s="119">
        <f ca="1">IF(AND(base_de_datos[[#This Row],[Tecnologías Energéticas]]&lt;&gt;"",base_de_datos[[#This Row],[Misma o no]]=1),base_de_datos[[#This Row],[Índice]],"")</f>
        <v>6</v>
      </c>
      <c r="AU162" s="119">
        <f ca="1">IF(AND(base_de_datos[[#This Row],[Civil y Administración]]&lt;&gt;"",base_de_datos[[#This Row],[Misma o no]]=1),base_de_datos[[#This Row],[Índice]],"")</f>
        <v>6</v>
      </c>
      <c r="AV162" s="119">
        <f ca="1">IF(AND(base_de_datos[[#This Row],[Bioelectrónica]]&lt;&gt;"",base_de_datos[[#This Row],[Misma o no]]=1),base_de_datos[[#This Row],[Índice]],"")</f>
        <v>6</v>
      </c>
      <c r="AW162" s="88"/>
      <c r="AX162" s="4">
        <v>1</v>
      </c>
    </row>
    <row r="163" spans="2:51" s="6" customFormat="1" ht="13" x14ac:dyDescent="0.3">
      <c r="B163" s="6" t="s">
        <v>392</v>
      </c>
      <c r="C163" s="1" t="s">
        <v>387</v>
      </c>
      <c r="D163" s="4">
        <v>4</v>
      </c>
      <c r="E163" s="113">
        <v>0.39583333333333398</v>
      </c>
      <c r="F163" s="113">
        <v>0.45833333333333098</v>
      </c>
      <c r="G163" s="227" t="s">
        <v>92</v>
      </c>
      <c r="H163" s="4" t="s">
        <v>258</v>
      </c>
      <c r="I163" s="4"/>
      <c r="J163" s="114"/>
      <c r="K163" s="115"/>
      <c r="L163" s="3"/>
      <c r="M163" s="115"/>
      <c r="N163" s="3"/>
      <c r="O163" s="4" t="s">
        <v>393</v>
      </c>
      <c r="P163" s="114"/>
      <c r="Q163" s="114"/>
      <c r="R163" s="114"/>
      <c r="S163" s="114"/>
      <c r="T163" s="114" t="s">
        <v>90</v>
      </c>
      <c r="U163" s="114"/>
      <c r="V163" s="114"/>
      <c r="W163" s="114"/>
      <c r="X163" s="116">
        <f>_xlfn.XLOOKUP(base_de_datos[[#This Row],[Materia]],Materias,Horas)/16</f>
        <v>3</v>
      </c>
      <c r="Y163" s="117">
        <f>ROUND(((base_de_datos[[#This Row],[Hora fin]]-base_de_datos[[#This Row],[Hora inicio]])*24)*(COUNTA(base_de_datos[[#This Row],[Lunes]:[Sábado]])),1)</f>
        <v>1.5</v>
      </c>
      <c r="Z163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63" s="117">
        <f ca="1">IF(base_de_datos[[#This Row],[No clase]]=OFFSET(base_de_datos[[#This Row],[No clase]],-1,0),0,1)</f>
        <v>0</v>
      </c>
      <c r="AB163" s="117">
        <f ca="1">IF(NOT(OR(base_de_datos[[#This Row],[Horas totales]]=base_de_datos[[#This Row],[HT Plan]],base_de_datos[[#This Row],[Horas totales]]="N/A")),1,0)</f>
        <v>0</v>
      </c>
      <c r="AC163" s="117" t="str">
        <f>_xlfn.XLOOKUP(base_de_datos[[#This Row],[Profesor]],Nombre,Grado)</f>
        <v>SNI</v>
      </c>
      <c r="AD163" s="118" t="str">
        <f>_xlfn.XLOOKUP(base_de_datos[[#This Row],[Profesor]],Nombre,Tipo)</f>
        <v>H</v>
      </c>
      <c r="AE163" s="117">
        <f>IF(IFERROR(VLOOKUP($C163,Planes_de_estudio[],MATCH($AE$2,Carreras,0)+2,0),"")&gt;0,IFERROR(VLOOKUP($C163,Planes_de_estudio[],MATCH($AE$2,Carreras,0)+2,0),""),"")</f>
        <v>2</v>
      </c>
      <c r="AF163" s="117">
        <f>IF(IFERROR(VLOOKUP($C163,Planes_de_estudio[],MATCH($AF$2,Carreras,0)+2,0),"")&gt;0,IFERROR(VLOOKUP($C163,Planes_de_estudio[],MATCH($AF$2,Carreras,0)+2,0),""),"")</f>
        <v>2</v>
      </c>
      <c r="AG163" s="117">
        <f>IF(IFERROR(VLOOKUP($C163,Planes_de_estudio[],MATCH($AG$2,Carreras,0)+2,0),"")&gt;0,IFERROR(VLOOKUP($C163,Planes_de_estudio[],MATCH($AG$2,Carreras,0)+2,0),""),"")</f>
        <v>2</v>
      </c>
      <c r="AH163" s="117">
        <f>IF(IFERROR(VLOOKUP($C163,Planes_de_estudio[],MATCH($AH$2,Carreras,0)+2,0),"")&gt;0,IFERROR(VLOOKUP($C163,Planes_de_estudio[],MATCH($AH$2,Carreras,0)+2,0),""),"")</f>
        <v>2</v>
      </c>
      <c r="AI163" s="117">
        <f>IF(IFERROR(VLOOKUP($C163,Planes_de_estudio[],MATCH($AI$2,Carreras,0)+2,0),"")&gt;0,IFERROR(VLOOKUP($C163,Planes_de_estudio[],MATCH($AI$2,Carreras,0)+2,0),""),"")</f>
        <v>2</v>
      </c>
      <c r="AJ163" s="117">
        <f>IF(IFERROR(VLOOKUP($C163,Planes_de_estudio[],MATCH($AJ$2,Carreras,0)+2,0),"")&gt;0,IFERROR(VLOOKUP($C163,Planes_de_estudio[],MATCH($AJ$2,Carreras,0)+2,0),""),"")</f>
        <v>2</v>
      </c>
      <c r="AK163" s="117">
        <f>IF(IFERROR(VLOOKUP($C163,Planes_de_estudio[],MATCH($AK$2,Carreras,0)+2,0),"")&gt;0,IFERROR(VLOOKUP($C163,Planes_de_estudio[],MATCH($AK$2,Carreras,0)+2,0),""),"")</f>
        <v>2</v>
      </c>
      <c r="AL163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63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114</v>
      </c>
      <c r="AN163" s="117">
        <f>base_de_datos[[#This Row],[Pronóstico]]/25</f>
        <v>4.5599999999999996</v>
      </c>
      <c r="AO163" s="117" t="str">
        <f>VLOOKUP($C163,Planes_de_estudio[],2)</f>
        <v>HUM</v>
      </c>
      <c r="AP163" s="119" t="str">
        <f ca="1">IF(AND(base_de_datos[[#This Row],[Industrial]]&lt;&gt;"",base_de_datos[[#This Row],[Misma o no]]=1),base_de_datos[[#This Row],[Índice]],"")</f>
        <v/>
      </c>
      <c r="AQ163" s="119" t="str">
        <f ca="1">IF(AND(base_de_datos[[#This Row],[Mecatrónica]]&lt;&gt;"",base_de_datos[[#This Row],[Misma o no]]=1),base_de_datos[[#This Row],[Índice]],"")</f>
        <v/>
      </c>
      <c r="AR163" s="119" t="str">
        <f ca="1">IF(AND(base_de_datos[[#This Row],[Innovación y Diseño]]&lt;&gt;"",base_de_datos[[#This Row],[Misma o no]]=1),base_de_datos[[#This Row],[Índice]],"")</f>
        <v/>
      </c>
      <c r="AS163" s="119" t="str">
        <f ca="1">IF(AND(base_de_datos[[#This Row],[Inteligencia Artificial]]&lt;&gt;"",base_de_datos[[#This Row],[Misma o no]]=1),base_de_datos[[#This Row],[Índice]],"")</f>
        <v/>
      </c>
      <c r="AT163" s="119" t="str">
        <f ca="1">IF(AND(base_de_datos[[#This Row],[Tecnologías Energéticas]]&lt;&gt;"",base_de_datos[[#This Row],[Misma o no]]=1),base_de_datos[[#This Row],[Índice]],"")</f>
        <v/>
      </c>
      <c r="AU163" s="119" t="str">
        <f ca="1">IF(AND(base_de_datos[[#This Row],[Civil y Administración]]&lt;&gt;"",base_de_datos[[#This Row],[Misma o no]]=1),base_de_datos[[#This Row],[Índice]],"")</f>
        <v/>
      </c>
      <c r="AV163" s="119" t="str">
        <f ca="1">IF(AND(base_de_datos[[#This Row],[Bioelectrónica]]&lt;&gt;"",base_de_datos[[#This Row],[Misma o no]]=1),base_de_datos[[#This Row],[Índice]],"")</f>
        <v/>
      </c>
      <c r="AW163" s="88"/>
      <c r="AX163" s="4">
        <v>1</v>
      </c>
    </row>
    <row r="164" spans="2:51" s="6" customFormat="1" ht="13" x14ac:dyDescent="0.3">
      <c r="B164" s="6" t="s">
        <v>396</v>
      </c>
      <c r="C164" s="1" t="s">
        <v>397</v>
      </c>
      <c r="D164" s="4">
        <v>2</v>
      </c>
      <c r="E164" s="113">
        <v>0.79166666666666696</v>
      </c>
      <c r="F164" s="113">
        <v>0.87499999999999001</v>
      </c>
      <c r="G164" s="4" t="s">
        <v>87</v>
      </c>
      <c r="H164" s="4" t="s">
        <v>119</v>
      </c>
      <c r="I164" s="4"/>
      <c r="J164" s="4">
        <v>16</v>
      </c>
      <c r="K164" s="115"/>
      <c r="L164" s="3"/>
      <c r="M164" s="115"/>
      <c r="N164" s="3"/>
      <c r="O164" s="2" t="s">
        <v>398</v>
      </c>
      <c r="P164" s="114"/>
      <c r="Q164" s="114" t="s">
        <v>90</v>
      </c>
      <c r="R164" s="114"/>
      <c r="S164" s="114"/>
      <c r="T164" s="114"/>
      <c r="U164" s="114"/>
      <c r="V164" s="114"/>
      <c r="W164" s="114"/>
      <c r="X164" s="116">
        <f>_xlfn.XLOOKUP(base_de_datos[[#This Row],[Materia]],Materias,Horas)/16</f>
        <v>4</v>
      </c>
      <c r="Y164" s="116">
        <f>ROUND(((base_de_datos[[#This Row],[Hora fin]]-base_de_datos[[#This Row],[Hora inicio]])*24)*(COUNTA(base_de_datos[[#This Row],[Lunes]:[Sábado]])),1)</f>
        <v>2</v>
      </c>
      <c r="Z164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64" s="117">
        <f ca="1">IF(base_de_datos[[#This Row],[No clase]]=OFFSET(base_de_datos[[#This Row],[No clase]],-1,0),0,1)</f>
        <v>1</v>
      </c>
      <c r="AB164" s="117">
        <f ca="1">IF(NOT(OR(base_de_datos[[#This Row],[Horas totales]]=base_de_datos[[#This Row],[HT Plan]],base_de_datos[[#This Row],[Horas totales]]="N/A")),1,0)</f>
        <v>0</v>
      </c>
      <c r="AC164" s="116" t="str">
        <f>_xlfn.XLOOKUP(base_de_datos[[#This Row],[Profesor]],Nombre,Grado)</f>
        <v>M</v>
      </c>
      <c r="AD164" s="118" t="str">
        <f>_xlfn.XLOOKUP(base_de_datos[[#This Row],[Profesor]],Nombre,Tipo)</f>
        <v>A</v>
      </c>
      <c r="AE164" s="116" t="str">
        <f>IF(IFERROR(VLOOKUP($C164,Planes_de_estudio[],MATCH($AE$2,Carreras,0)+2,0),"")&gt;0,IFERROR(VLOOKUP($C164,Planes_de_estudio[],MATCH($AE$2,Carreras,0)+2,0),""),"")</f>
        <v/>
      </c>
      <c r="AF164" s="116">
        <f>IF(IFERROR(VLOOKUP($C164,Planes_de_estudio[],MATCH($AF$2,Carreras,0)+2,0),"")&gt;0,IFERROR(VLOOKUP($C164,Planes_de_estudio[],MATCH($AF$2,Carreras,0)+2,0),""),"")</f>
        <v>5</v>
      </c>
      <c r="AG164" s="116">
        <f>IF(IFERROR(VLOOKUP($C164,Planes_de_estudio[],MATCH($AG$2,Carreras,0)+2,0),"")&gt;0,IFERROR(VLOOKUP($C164,Planes_de_estudio[],MATCH($AG$2,Carreras,0)+2,0),""),"")</f>
        <v>6</v>
      </c>
      <c r="AH164" s="116">
        <f>IF(IFERROR(VLOOKUP($C164,Planes_de_estudio[],MATCH($AH$2,Carreras,0)+2,0),"")&gt;0,IFERROR(VLOOKUP($C164,Planes_de_estudio[],MATCH($AH$2,Carreras,0)+2,0),""),"")</f>
        <v>5</v>
      </c>
      <c r="AI164" s="116">
        <f>IF(IFERROR(VLOOKUP($C164,Planes_de_estudio[],MATCH($AI$2,Carreras,0)+2,0),"")&gt;0,IFERROR(VLOOKUP($C164,Planes_de_estudio[],MATCH($AI$2,Carreras,0)+2,0),""),"")</f>
        <v>4</v>
      </c>
      <c r="AJ164" s="116">
        <f>IF(IFERROR(VLOOKUP($C164,Planes_de_estudio[],MATCH($AJ$2,Carreras,0)+2,0),"")&gt;0,IFERROR(VLOOKUP($C164,Planes_de_estudio[],MATCH($AJ$2,Carreras,0)+2,0),""),"")</f>
        <v>4</v>
      </c>
      <c r="AK164" s="116">
        <f>IF(IFERROR(VLOOKUP($C164,Planes_de_estudio[],MATCH($AK$2,Carreras,0)+2,0),"")&gt;0,IFERROR(VLOOKUP($C164,Planes_de_estudio[],MATCH($AK$2,Carreras,0)+2,0),""),"")</f>
        <v>5</v>
      </c>
      <c r="AL164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64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49</v>
      </c>
      <c r="AN164" s="117">
        <f>base_de_datos[[#This Row],[Pronóstico]]/25</f>
        <v>1.96</v>
      </c>
      <c r="AO164" s="117" t="str">
        <f>VLOOKUP($C164,Planes_de_estudio[],2)</f>
        <v>MAT</v>
      </c>
      <c r="AP164" s="119" t="str">
        <f ca="1">IF(AND(base_de_datos[[#This Row],[Industrial]]&lt;&gt;"",base_de_datos[[#This Row],[Misma o no]]=1),base_de_datos[[#This Row],[Índice]],"")</f>
        <v/>
      </c>
      <c r="AQ164" s="119">
        <f ca="1">IF(AND(base_de_datos[[#This Row],[Mecatrónica]]&lt;&gt;"",base_de_datos[[#This Row],[Misma o no]]=1),base_de_datos[[#This Row],[Índice]],"")</f>
        <v>4</v>
      </c>
      <c r="AR164" s="119">
        <f ca="1">IF(AND(base_de_datos[[#This Row],[Innovación y Diseño]]&lt;&gt;"",base_de_datos[[#This Row],[Misma o no]]=1),base_de_datos[[#This Row],[Índice]],"")</f>
        <v>4</v>
      </c>
      <c r="AS164" s="119">
        <f ca="1">IF(AND(base_de_datos[[#This Row],[Inteligencia Artificial]]&lt;&gt;"",base_de_datos[[#This Row],[Misma o no]]=1),base_de_datos[[#This Row],[Índice]],"")</f>
        <v>4</v>
      </c>
      <c r="AT164" s="119">
        <f ca="1">IF(AND(base_de_datos[[#This Row],[Tecnologías Energéticas]]&lt;&gt;"",base_de_datos[[#This Row],[Misma o no]]=1),base_de_datos[[#This Row],[Índice]],"")</f>
        <v>4</v>
      </c>
      <c r="AU164" s="119">
        <f ca="1">IF(AND(base_de_datos[[#This Row],[Civil y Administración]]&lt;&gt;"",base_de_datos[[#This Row],[Misma o no]]=1),base_de_datos[[#This Row],[Índice]],"")</f>
        <v>4</v>
      </c>
      <c r="AV164" s="119">
        <f ca="1">IF(AND(base_de_datos[[#This Row],[Bioelectrónica]]&lt;&gt;"",base_de_datos[[#This Row],[Misma o no]]=1),base_de_datos[[#This Row],[Índice]],"")</f>
        <v>4</v>
      </c>
      <c r="AW164" s="120"/>
      <c r="AX164" s="4" t="s">
        <v>1817</v>
      </c>
    </row>
    <row r="165" spans="2:51" s="6" customFormat="1" ht="13" x14ac:dyDescent="0.3">
      <c r="B165" s="6" t="s">
        <v>396</v>
      </c>
      <c r="C165" s="1" t="s">
        <v>397</v>
      </c>
      <c r="D165" s="4">
        <v>2</v>
      </c>
      <c r="E165" s="113">
        <v>0.79166666666666696</v>
      </c>
      <c r="F165" s="113">
        <v>0.87499999999999001</v>
      </c>
      <c r="G165" s="4" t="s">
        <v>87</v>
      </c>
      <c r="H165" s="4" t="s">
        <v>93</v>
      </c>
      <c r="I165" s="4"/>
      <c r="J165" s="4">
        <v>16</v>
      </c>
      <c r="K165" s="115"/>
      <c r="L165" s="3"/>
      <c r="M165" s="115"/>
      <c r="N165" s="3"/>
      <c r="O165" s="2" t="s">
        <v>398</v>
      </c>
      <c r="P165" s="114"/>
      <c r="Q165" s="114"/>
      <c r="R165" s="114"/>
      <c r="S165" s="114" t="s">
        <v>90</v>
      </c>
      <c r="T165" s="114"/>
      <c r="U165" s="114"/>
      <c r="V165" s="114"/>
      <c r="W165" s="114"/>
      <c r="X165" s="116">
        <f>_xlfn.XLOOKUP(base_de_datos[[#This Row],[Materia]],Materias,Horas)/16</f>
        <v>4</v>
      </c>
      <c r="Y165" s="116">
        <f>ROUND(((base_de_datos[[#This Row],[Hora fin]]-base_de_datos[[#This Row],[Hora inicio]])*24)*(COUNTA(base_de_datos[[#This Row],[Lunes]:[Sábado]])),1)</f>
        <v>2</v>
      </c>
      <c r="Z165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65" s="117">
        <f ca="1">IF(base_de_datos[[#This Row],[No clase]]=OFFSET(base_de_datos[[#This Row],[No clase]],-1,0),0,1)</f>
        <v>0</v>
      </c>
      <c r="AB165" s="117">
        <f ca="1">IF(NOT(OR(base_de_datos[[#This Row],[Horas totales]]=base_de_datos[[#This Row],[HT Plan]],base_de_datos[[#This Row],[Horas totales]]="N/A")),1,0)</f>
        <v>0</v>
      </c>
      <c r="AC165" s="116" t="str">
        <f>_xlfn.XLOOKUP(base_de_datos[[#This Row],[Profesor]],Nombre,Grado)</f>
        <v>M</v>
      </c>
      <c r="AD165" s="118" t="str">
        <f>_xlfn.XLOOKUP(base_de_datos[[#This Row],[Profesor]],Nombre,Tipo)</f>
        <v>A</v>
      </c>
      <c r="AE165" s="116" t="str">
        <f>IF(IFERROR(VLOOKUP($C165,Planes_de_estudio[],MATCH($AE$2,Carreras,0)+2,0),"")&gt;0,IFERROR(VLOOKUP($C165,Planes_de_estudio[],MATCH($AE$2,Carreras,0)+2,0),""),"")</f>
        <v/>
      </c>
      <c r="AF165" s="116">
        <f>IF(IFERROR(VLOOKUP($C165,Planes_de_estudio[],MATCH($AF$2,Carreras,0)+2,0),"")&gt;0,IFERROR(VLOOKUP($C165,Planes_de_estudio[],MATCH($AF$2,Carreras,0)+2,0),""),"")</f>
        <v>5</v>
      </c>
      <c r="AG165" s="116">
        <f>IF(IFERROR(VLOOKUP($C165,Planes_de_estudio[],MATCH($AG$2,Carreras,0)+2,0),"")&gt;0,IFERROR(VLOOKUP($C165,Planes_de_estudio[],MATCH($AG$2,Carreras,0)+2,0),""),"")</f>
        <v>6</v>
      </c>
      <c r="AH165" s="116">
        <f>IF(IFERROR(VLOOKUP($C165,Planes_de_estudio[],MATCH($AH$2,Carreras,0)+2,0),"")&gt;0,IFERROR(VLOOKUP($C165,Planes_de_estudio[],MATCH($AH$2,Carreras,0)+2,0),""),"")</f>
        <v>5</v>
      </c>
      <c r="AI165" s="116">
        <f>IF(IFERROR(VLOOKUP($C165,Planes_de_estudio[],MATCH($AI$2,Carreras,0)+2,0),"")&gt;0,IFERROR(VLOOKUP($C165,Planes_de_estudio[],MATCH($AI$2,Carreras,0)+2,0),""),"")</f>
        <v>4</v>
      </c>
      <c r="AJ165" s="116">
        <f>IF(IFERROR(VLOOKUP($C165,Planes_de_estudio[],MATCH($AJ$2,Carreras,0)+2,0),"")&gt;0,IFERROR(VLOOKUP($C165,Planes_de_estudio[],MATCH($AJ$2,Carreras,0)+2,0),""),"")</f>
        <v>4</v>
      </c>
      <c r="AK165" s="116">
        <f>IF(IFERROR(VLOOKUP($C165,Planes_de_estudio[],MATCH($AK$2,Carreras,0)+2,0),"")&gt;0,IFERROR(VLOOKUP($C165,Planes_de_estudio[],MATCH($AK$2,Carreras,0)+2,0),""),"")</f>
        <v>5</v>
      </c>
      <c r="AL165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65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49</v>
      </c>
      <c r="AN165" s="117">
        <f>base_de_datos[[#This Row],[Pronóstico]]/25</f>
        <v>1.96</v>
      </c>
      <c r="AO165" s="117" t="str">
        <f>VLOOKUP($C165,Planes_de_estudio[],2)</f>
        <v>MAT</v>
      </c>
      <c r="AP165" s="119" t="str">
        <f ca="1">IF(AND(base_de_datos[[#This Row],[Industrial]]&lt;&gt;"",base_de_datos[[#This Row],[Misma o no]]=1),base_de_datos[[#This Row],[Índice]],"")</f>
        <v/>
      </c>
      <c r="AQ165" s="119" t="str">
        <f ca="1">IF(AND(base_de_datos[[#This Row],[Mecatrónica]]&lt;&gt;"",base_de_datos[[#This Row],[Misma o no]]=1),base_de_datos[[#This Row],[Índice]],"")</f>
        <v/>
      </c>
      <c r="AR165" s="119" t="str">
        <f ca="1">IF(AND(base_de_datos[[#This Row],[Innovación y Diseño]]&lt;&gt;"",base_de_datos[[#This Row],[Misma o no]]=1),base_de_datos[[#This Row],[Índice]],"")</f>
        <v/>
      </c>
      <c r="AS165" s="119" t="str">
        <f ca="1">IF(AND(base_de_datos[[#This Row],[Inteligencia Artificial]]&lt;&gt;"",base_de_datos[[#This Row],[Misma o no]]=1),base_de_datos[[#This Row],[Índice]],"")</f>
        <v/>
      </c>
      <c r="AT165" s="119" t="str">
        <f ca="1">IF(AND(base_de_datos[[#This Row],[Tecnologías Energéticas]]&lt;&gt;"",base_de_datos[[#This Row],[Misma o no]]=1),base_de_datos[[#This Row],[Índice]],"")</f>
        <v/>
      </c>
      <c r="AU165" s="119" t="str">
        <f ca="1">IF(AND(base_de_datos[[#This Row],[Civil y Administración]]&lt;&gt;"",base_de_datos[[#This Row],[Misma o no]]=1),base_de_datos[[#This Row],[Índice]],"")</f>
        <v/>
      </c>
      <c r="AV165" s="119" t="str">
        <f ca="1">IF(AND(base_de_datos[[#This Row],[Bioelectrónica]]&lt;&gt;"",base_de_datos[[#This Row],[Misma o no]]=1),base_de_datos[[#This Row],[Índice]],"")</f>
        <v/>
      </c>
      <c r="AW165" s="120"/>
      <c r="AX165" s="4" t="s">
        <v>1817</v>
      </c>
    </row>
    <row r="166" spans="2:51" s="6" customFormat="1" ht="13" x14ac:dyDescent="0.3">
      <c r="B166" s="6" t="s">
        <v>171</v>
      </c>
      <c r="C166" s="1" t="s">
        <v>397</v>
      </c>
      <c r="D166" s="4">
        <v>1</v>
      </c>
      <c r="E166" s="113">
        <v>0.29166666666666669</v>
      </c>
      <c r="F166" s="113">
        <v>0.374999999999999</v>
      </c>
      <c r="G166" s="4" t="s">
        <v>87</v>
      </c>
      <c r="H166" s="4" t="s">
        <v>144</v>
      </c>
      <c r="I166" s="4"/>
      <c r="J166" s="4">
        <v>14</v>
      </c>
      <c r="K166" s="142"/>
      <c r="L166" s="3"/>
      <c r="M166" s="3"/>
      <c r="N166" s="3"/>
      <c r="O166" s="2" t="s">
        <v>399</v>
      </c>
      <c r="P166" s="114"/>
      <c r="Q166" s="114" t="s">
        <v>90</v>
      </c>
      <c r="R166" s="114"/>
      <c r="S166" s="114"/>
      <c r="T166" s="114"/>
      <c r="U166" s="114"/>
      <c r="V166" s="114"/>
      <c r="W166" s="114"/>
      <c r="X166" s="143">
        <f>_xlfn.XLOOKUP(base_de_datos[[#This Row],[Materia]],Materias,Horas)/16</f>
        <v>4</v>
      </c>
      <c r="Y166" s="143">
        <f>ROUND(((base_de_datos[[#This Row],[Hora fin]]-base_de_datos[[#This Row],[Hora inicio]])*24)*(COUNTA(base_de_datos[[#This Row],[Lunes]:[Sábado]])),1)</f>
        <v>2</v>
      </c>
      <c r="Z166" s="14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66" s="143">
        <f ca="1">IF(base_de_datos[[#This Row],[No clase]]=OFFSET(base_de_datos[[#This Row],[No clase]],-1,0),0,1)</f>
        <v>1</v>
      </c>
      <c r="AB166" s="143">
        <f ca="1">IF(NOT(OR(base_de_datos[[#This Row],[Horas totales]]=base_de_datos[[#This Row],[HT Plan]],base_de_datos[[#This Row],[Horas totales]]="N/A")),1,0)</f>
        <v>0</v>
      </c>
      <c r="AC166" s="143" t="str">
        <f>_xlfn.XLOOKUP(base_de_datos[[#This Row],[Profesor]],Nombre,Grado)</f>
        <v>M</v>
      </c>
      <c r="AD166" s="144" t="str">
        <f>_xlfn.XLOOKUP(base_de_datos[[#This Row],[Profesor]],Nombre,Tipo)</f>
        <v>A</v>
      </c>
      <c r="AE166" s="143" t="str">
        <f>IF(IFERROR(VLOOKUP($C166,Planes_de_estudio[],MATCH($AE$2,Carreras,0)+2,0),"")&gt;0,IFERROR(VLOOKUP($C166,Planes_de_estudio[],MATCH($AE$2,Carreras,0)+2,0),""),"")</f>
        <v/>
      </c>
      <c r="AF166" s="143">
        <f>IF(IFERROR(VLOOKUP($C166,Planes_de_estudio[],MATCH($AF$2,Carreras,0)+2,0),"")&gt;0,IFERROR(VLOOKUP($C166,Planes_de_estudio[],MATCH($AF$2,Carreras,0)+2,0),""),"")</f>
        <v>5</v>
      </c>
      <c r="AG166" s="143">
        <f>IF(IFERROR(VLOOKUP($C166,Planes_de_estudio[],MATCH($AG$2,Carreras,0)+2,0),"")&gt;0,IFERROR(VLOOKUP($C166,Planes_de_estudio[],MATCH($AG$2,Carreras,0)+2,0),""),"")</f>
        <v>6</v>
      </c>
      <c r="AH166" s="143">
        <f>IF(IFERROR(VLOOKUP($C166,Planes_de_estudio[],MATCH($AH$2,Carreras,0)+2,0),"")&gt;0,IFERROR(VLOOKUP($C166,Planes_de_estudio[],MATCH($AH$2,Carreras,0)+2,0),""),"")</f>
        <v>5</v>
      </c>
      <c r="AI166" s="143">
        <f>IF(IFERROR(VLOOKUP($C166,Planes_de_estudio[],MATCH($AI$2,Carreras,0)+2,0),"")&gt;0,IFERROR(VLOOKUP($C166,Planes_de_estudio[],MATCH($AI$2,Carreras,0)+2,0),""),"")</f>
        <v>4</v>
      </c>
      <c r="AJ166" s="143">
        <f>IF(IFERROR(VLOOKUP($C166,Planes_de_estudio[],MATCH($AJ$2,Carreras,0)+2,0),"")&gt;0,IFERROR(VLOOKUP($C166,Planes_de_estudio[],MATCH($AJ$2,Carreras,0)+2,0),""),"")</f>
        <v>4</v>
      </c>
      <c r="AK166" s="143">
        <f>IF(IFERROR(VLOOKUP($C166,Planes_de_estudio[],MATCH($AK$2,Carreras,0)+2,0),"")&gt;0,IFERROR(VLOOKUP($C166,Planes_de_estudio[],MATCH($AK$2,Carreras,0)+2,0),""),"")</f>
        <v>5</v>
      </c>
      <c r="AL166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66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49</v>
      </c>
      <c r="AN166" s="143">
        <f>base_de_datos[[#This Row],[Pronóstico]]/25</f>
        <v>1.96</v>
      </c>
      <c r="AO166" s="143" t="str">
        <f>VLOOKUP($C166,Planes_de_estudio[],2)</f>
        <v>MAT</v>
      </c>
      <c r="AP166" s="112" t="str">
        <f ca="1">IF(AND(base_de_datos[[#This Row],[Industrial]]&lt;&gt;"",base_de_datos[[#This Row],[Misma o no]]=1),base_de_datos[[#This Row],[Índice]],"")</f>
        <v/>
      </c>
      <c r="AQ166" s="112">
        <f ca="1">IF(AND(base_de_datos[[#This Row],[Mecatrónica]]&lt;&gt;"",base_de_datos[[#This Row],[Misma o no]]=1),base_de_datos[[#This Row],[Índice]],"")</f>
        <v>4</v>
      </c>
      <c r="AR166" s="112">
        <f ca="1">IF(AND(base_de_datos[[#This Row],[Innovación y Diseño]]&lt;&gt;"",base_de_datos[[#This Row],[Misma o no]]=1),base_de_datos[[#This Row],[Índice]],"")</f>
        <v>4</v>
      </c>
      <c r="AS166" s="112">
        <f ca="1">IF(AND(base_de_datos[[#This Row],[Inteligencia Artificial]]&lt;&gt;"",base_de_datos[[#This Row],[Misma o no]]=1),base_de_datos[[#This Row],[Índice]],"")</f>
        <v>4</v>
      </c>
      <c r="AT166" s="112">
        <f ca="1">IF(AND(base_de_datos[[#This Row],[Tecnologías Energéticas]]&lt;&gt;"",base_de_datos[[#This Row],[Misma o no]]=1),base_de_datos[[#This Row],[Índice]],"")</f>
        <v>4</v>
      </c>
      <c r="AU166" s="112">
        <f ca="1">IF(AND(base_de_datos[[#This Row],[Civil y Administración]]&lt;&gt;"",base_de_datos[[#This Row],[Misma o no]]=1),base_de_datos[[#This Row],[Índice]],"")</f>
        <v>4</v>
      </c>
      <c r="AV166" s="112">
        <f ca="1">IF(AND(base_de_datos[[#This Row],[Bioelectrónica]]&lt;&gt;"",base_de_datos[[#This Row],[Misma o no]]=1),base_de_datos[[#This Row],[Índice]],"")</f>
        <v>4</v>
      </c>
      <c r="AX166" s="4" t="s">
        <v>1817</v>
      </c>
    </row>
    <row r="167" spans="2:51" s="6" customFormat="1" ht="13" x14ac:dyDescent="0.3">
      <c r="B167" s="6" t="s">
        <v>171</v>
      </c>
      <c r="C167" s="1" t="s">
        <v>397</v>
      </c>
      <c r="D167" s="4">
        <v>1</v>
      </c>
      <c r="E167" s="113">
        <v>0.29166666666666669</v>
      </c>
      <c r="F167" s="113">
        <v>0.374999999999999</v>
      </c>
      <c r="G167" s="4" t="s">
        <v>87</v>
      </c>
      <c r="H167" s="4" t="s">
        <v>164</v>
      </c>
      <c r="I167" s="4"/>
      <c r="J167" s="4">
        <v>14</v>
      </c>
      <c r="K167" s="115"/>
      <c r="L167" s="3"/>
      <c r="M167" s="115"/>
      <c r="N167" s="3"/>
      <c r="O167" s="2" t="s">
        <v>399</v>
      </c>
      <c r="P167" s="114"/>
      <c r="Q167" s="114"/>
      <c r="R167" s="114"/>
      <c r="S167" s="114" t="s">
        <v>90</v>
      </c>
      <c r="T167" s="114"/>
      <c r="U167" s="114"/>
      <c r="V167" s="114"/>
      <c r="W167" s="114"/>
      <c r="X167" s="116">
        <f>_xlfn.XLOOKUP(base_de_datos[[#This Row],[Materia]],Materias,Horas)/16</f>
        <v>4</v>
      </c>
      <c r="Y167" s="116">
        <f>ROUND(((base_de_datos[[#This Row],[Hora fin]]-base_de_datos[[#This Row],[Hora inicio]])*24)*(COUNTA(base_de_datos[[#This Row],[Lunes]:[Sábado]])),1)</f>
        <v>2</v>
      </c>
      <c r="Z167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67" s="117">
        <f ca="1">IF(base_de_datos[[#This Row],[No clase]]=OFFSET(base_de_datos[[#This Row],[No clase]],-1,0),0,1)</f>
        <v>0</v>
      </c>
      <c r="AB167" s="117">
        <f ca="1">IF(NOT(OR(base_de_datos[[#This Row],[Horas totales]]=base_de_datos[[#This Row],[HT Plan]],base_de_datos[[#This Row],[Horas totales]]="N/A")),1,0)</f>
        <v>0</v>
      </c>
      <c r="AC167" s="116" t="str">
        <f>_xlfn.XLOOKUP(base_de_datos[[#This Row],[Profesor]],Nombre,Grado)</f>
        <v>M</v>
      </c>
      <c r="AD167" s="118" t="str">
        <f>_xlfn.XLOOKUP(base_de_datos[[#This Row],[Profesor]],Nombre,Tipo)</f>
        <v>A</v>
      </c>
      <c r="AE167" s="116" t="str">
        <f>IF(IFERROR(VLOOKUP($C167,Planes_de_estudio[],MATCH($AE$2,Carreras,0)+2,0),"")&gt;0,IFERROR(VLOOKUP($C167,Planes_de_estudio[],MATCH($AE$2,Carreras,0)+2,0),""),"")</f>
        <v/>
      </c>
      <c r="AF167" s="116">
        <f>IF(IFERROR(VLOOKUP($C167,Planes_de_estudio[],MATCH($AF$2,Carreras,0)+2,0),"")&gt;0,IFERROR(VLOOKUP($C167,Planes_de_estudio[],MATCH($AF$2,Carreras,0)+2,0),""),"")</f>
        <v>5</v>
      </c>
      <c r="AG167" s="116">
        <f>IF(IFERROR(VLOOKUP($C167,Planes_de_estudio[],MATCH($AG$2,Carreras,0)+2,0),"")&gt;0,IFERROR(VLOOKUP($C167,Planes_de_estudio[],MATCH($AG$2,Carreras,0)+2,0),""),"")</f>
        <v>6</v>
      </c>
      <c r="AH167" s="116">
        <f>IF(IFERROR(VLOOKUP($C167,Planes_de_estudio[],MATCH($AH$2,Carreras,0)+2,0),"")&gt;0,IFERROR(VLOOKUP($C167,Planes_de_estudio[],MATCH($AH$2,Carreras,0)+2,0),""),"")</f>
        <v>5</v>
      </c>
      <c r="AI167" s="116">
        <f>IF(IFERROR(VLOOKUP($C167,Planes_de_estudio[],MATCH($AI$2,Carreras,0)+2,0),"")&gt;0,IFERROR(VLOOKUP($C167,Planes_de_estudio[],MATCH($AI$2,Carreras,0)+2,0),""),"")</f>
        <v>4</v>
      </c>
      <c r="AJ167" s="116">
        <f>IF(IFERROR(VLOOKUP($C167,Planes_de_estudio[],MATCH($AJ$2,Carreras,0)+2,0),"")&gt;0,IFERROR(VLOOKUP($C167,Planes_de_estudio[],MATCH($AJ$2,Carreras,0)+2,0),""),"")</f>
        <v>4</v>
      </c>
      <c r="AK167" s="116">
        <f>IF(IFERROR(VLOOKUP($C167,Planes_de_estudio[],MATCH($AK$2,Carreras,0)+2,0),"")&gt;0,IFERROR(VLOOKUP($C167,Planes_de_estudio[],MATCH($AK$2,Carreras,0)+2,0),""),"")</f>
        <v>5</v>
      </c>
      <c r="AL167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67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49</v>
      </c>
      <c r="AN167" s="117">
        <f>base_de_datos[[#This Row],[Pronóstico]]/25</f>
        <v>1.96</v>
      </c>
      <c r="AO167" s="117" t="str">
        <f>VLOOKUP($C167,Planes_de_estudio[],2)</f>
        <v>MAT</v>
      </c>
      <c r="AP167" s="119" t="str">
        <f ca="1">IF(AND(base_de_datos[[#This Row],[Industrial]]&lt;&gt;"",base_de_datos[[#This Row],[Misma o no]]=1),base_de_datos[[#This Row],[Índice]],"")</f>
        <v/>
      </c>
      <c r="AQ167" s="119" t="str">
        <f ca="1">IF(AND(base_de_datos[[#This Row],[Mecatrónica]]&lt;&gt;"",base_de_datos[[#This Row],[Misma o no]]=1),base_de_datos[[#This Row],[Índice]],"")</f>
        <v/>
      </c>
      <c r="AR167" s="119" t="str">
        <f ca="1">IF(AND(base_de_datos[[#This Row],[Innovación y Diseño]]&lt;&gt;"",base_de_datos[[#This Row],[Misma o no]]=1),base_de_datos[[#This Row],[Índice]],"")</f>
        <v/>
      </c>
      <c r="AS167" s="119" t="str">
        <f ca="1">IF(AND(base_de_datos[[#This Row],[Inteligencia Artificial]]&lt;&gt;"",base_de_datos[[#This Row],[Misma o no]]=1),base_de_datos[[#This Row],[Índice]],"")</f>
        <v/>
      </c>
      <c r="AT167" s="119" t="str">
        <f ca="1">IF(AND(base_de_datos[[#This Row],[Tecnologías Energéticas]]&lt;&gt;"",base_de_datos[[#This Row],[Misma o no]]=1),base_de_datos[[#This Row],[Índice]],"")</f>
        <v/>
      </c>
      <c r="AU167" s="119" t="str">
        <f ca="1">IF(AND(base_de_datos[[#This Row],[Civil y Administración]]&lt;&gt;"",base_de_datos[[#This Row],[Misma o no]]=1),base_de_datos[[#This Row],[Índice]],"")</f>
        <v/>
      </c>
      <c r="AV167" s="119" t="str">
        <f ca="1">IF(AND(base_de_datos[[#This Row],[Bioelectrónica]]&lt;&gt;"",base_de_datos[[#This Row],[Misma o no]]=1),base_de_datos[[#This Row],[Índice]],"")</f>
        <v/>
      </c>
      <c r="AW167" s="120"/>
      <c r="AX167" s="4" t="s">
        <v>1817</v>
      </c>
    </row>
    <row r="168" spans="2:51" s="6" customFormat="1" ht="13" x14ac:dyDescent="0.3">
      <c r="B168" s="6" t="s">
        <v>394</v>
      </c>
      <c r="C168" s="1" t="s">
        <v>395</v>
      </c>
      <c r="D168" s="4">
        <v>1</v>
      </c>
      <c r="E168" s="113">
        <v>0.79166666666666696</v>
      </c>
      <c r="F168" s="113">
        <v>0.87499999999999001</v>
      </c>
      <c r="G168" s="4" t="s">
        <v>87</v>
      </c>
      <c r="H168" s="4" t="s">
        <v>125</v>
      </c>
      <c r="I168" s="4"/>
      <c r="J168" s="114">
        <v>10</v>
      </c>
      <c r="K168" s="115"/>
      <c r="L168" s="3"/>
      <c r="M168" s="115"/>
      <c r="N168" s="3"/>
      <c r="O168" s="4">
        <v>2690</v>
      </c>
      <c r="P168" s="114"/>
      <c r="Q168" s="114" t="s">
        <v>90</v>
      </c>
      <c r="R168" s="114"/>
      <c r="S168" s="114"/>
      <c r="T168" s="114"/>
      <c r="U168" s="114"/>
      <c r="V168" s="114"/>
      <c r="W168" s="114"/>
      <c r="X168" s="116">
        <f>_xlfn.XLOOKUP(base_de_datos[[#This Row],[Materia]],Materias,Horas)/16</f>
        <v>4</v>
      </c>
      <c r="Y168" s="117">
        <f>ROUND(((base_de_datos[[#This Row],[Hora fin]]-base_de_datos[[#This Row],[Hora inicio]])*24)*(COUNTA(base_de_datos[[#This Row],[Lunes]:[Sábado]])),1)</f>
        <v>2</v>
      </c>
      <c r="Z168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68" s="117">
        <f ca="1">IF(base_de_datos[[#This Row],[No clase]]=OFFSET(base_de_datos[[#This Row],[No clase]],-1,0),0,1)</f>
        <v>1</v>
      </c>
      <c r="AB168" s="117">
        <f ca="1">IF(NOT(OR(base_de_datos[[#This Row],[Horas totales]]=base_de_datos[[#This Row],[HT Plan]],base_de_datos[[#This Row],[Horas totales]]="N/A")),1,0)</f>
        <v>0</v>
      </c>
      <c r="AC168" s="117" t="str">
        <f>_xlfn.XLOOKUP(base_de_datos[[#This Row],[Profesor]],Nombre,Grado)</f>
        <v>M</v>
      </c>
      <c r="AD168" s="118" t="str">
        <f>_xlfn.XLOOKUP(base_de_datos[[#This Row],[Profesor]],Nombre,Tipo)</f>
        <v>A</v>
      </c>
      <c r="AE168" s="117" t="str">
        <f>IF(IFERROR(VLOOKUP($C168,Planes_de_estudio[],MATCH($AE$2,Carreras,0)+2,0),"")&gt;0,IFERROR(VLOOKUP($C168,Planes_de_estudio[],MATCH($AE$2,Carreras,0)+2,0),""),"")</f>
        <v/>
      </c>
      <c r="AF168" s="117" t="str">
        <f>IF(IFERROR(VLOOKUP($C168,Planes_de_estudio[],MATCH($AF$2,Carreras,0)+2,0),"")&gt;0,IFERROR(VLOOKUP($C168,Planes_de_estudio[],MATCH($AF$2,Carreras,0)+2,0),""),"")</f>
        <v/>
      </c>
      <c r="AG168" s="117" t="str">
        <f>IF(IFERROR(VLOOKUP($C168,Planes_de_estudio[],MATCH($AG$2,Carreras,0)+2,0),"")&gt;0,IFERROR(VLOOKUP($C168,Planes_de_estudio[],MATCH($AG$2,Carreras,0)+2,0),""),"")</f>
        <v/>
      </c>
      <c r="AH168" s="117" t="str">
        <f>IF(IFERROR(VLOOKUP($C168,Planes_de_estudio[],MATCH($AH$2,Carreras,0)+2,0),"")&gt;0,IFERROR(VLOOKUP($C168,Planes_de_estudio[],MATCH($AH$2,Carreras,0)+2,0),""),"")</f>
        <v/>
      </c>
      <c r="AI168" s="117" t="str">
        <f>IF(IFERROR(VLOOKUP($C168,Planes_de_estudio[],MATCH($AI$2,Carreras,0)+2,0),"")&gt;0,IFERROR(VLOOKUP($C168,Planes_de_estudio[],MATCH($AI$2,Carreras,0)+2,0),""),"")</f>
        <v/>
      </c>
      <c r="AJ168" s="117">
        <f>IF(IFERROR(VLOOKUP($C168,Planes_de_estudio[],MATCH($AJ$2,Carreras,0)+2,0),"")&gt;0,IFERROR(VLOOKUP($C168,Planes_de_estudio[],MATCH($AJ$2,Carreras,0)+2,0),""),"")</f>
        <v>6</v>
      </c>
      <c r="AK168" s="117" t="str">
        <f>IF(IFERROR(VLOOKUP($C168,Planes_de_estudio[],MATCH($AK$2,Carreras,0)+2,0),"")&gt;0,IFERROR(VLOOKUP($C168,Planes_de_estudio[],MATCH($AK$2,Carreras,0)+2,0),""),"")</f>
        <v/>
      </c>
      <c r="AL168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68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13</v>
      </c>
      <c r="AN168" s="117">
        <f>base_de_datos[[#This Row],[Pronóstico]]/25</f>
        <v>0.52</v>
      </c>
      <c r="AO168" s="117" t="str">
        <f>VLOOKUP($C168,Planes_de_estudio[],2)</f>
        <v>ESC</v>
      </c>
      <c r="AP168" s="119" t="str">
        <f ca="1">IF(AND(base_de_datos[[#This Row],[Industrial]]&lt;&gt;"",base_de_datos[[#This Row],[Misma o no]]=1),base_de_datos[[#This Row],[Índice]],"")</f>
        <v/>
      </c>
      <c r="AQ168" s="119" t="str">
        <f ca="1">IF(AND(base_de_datos[[#This Row],[Mecatrónica]]&lt;&gt;"",base_de_datos[[#This Row],[Misma o no]]=1),base_de_datos[[#This Row],[Índice]],"")</f>
        <v/>
      </c>
      <c r="AR168" s="119" t="str">
        <f ca="1">IF(AND(base_de_datos[[#This Row],[Innovación y Diseño]]&lt;&gt;"",base_de_datos[[#This Row],[Misma o no]]=1),base_de_datos[[#This Row],[Índice]],"")</f>
        <v/>
      </c>
      <c r="AS168" s="119" t="str">
        <f ca="1">IF(AND(base_de_datos[[#This Row],[Inteligencia Artificial]]&lt;&gt;"",base_de_datos[[#This Row],[Misma o no]]=1),base_de_datos[[#This Row],[Índice]],"")</f>
        <v/>
      </c>
      <c r="AT168" s="119" t="str">
        <f ca="1">IF(AND(base_de_datos[[#This Row],[Tecnologías Energéticas]]&lt;&gt;"",base_de_datos[[#This Row],[Misma o no]]=1),base_de_datos[[#This Row],[Índice]],"")</f>
        <v/>
      </c>
      <c r="AU168" s="119">
        <f ca="1">IF(AND(base_de_datos[[#This Row],[Civil y Administración]]&lt;&gt;"",base_de_datos[[#This Row],[Misma o no]]=1),base_de_datos[[#This Row],[Índice]],"")</f>
        <v>4</v>
      </c>
      <c r="AV168" s="119" t="str">
        <f ca="1">IF(AND(base_de_datos[[#This Row],[Bioelectrónica]]&lt;&gt;"",base_de_datos[[#This Row],[Misma o no]]=1),base_de_datos[[#This Row],[Índice]],"")</f>
        <v/>
      </c>
      <c r="AW168" s="88"/>
      <c r="AX168" s="4">
        <v>2</v>
      </c>
    </row>
    <row r="169" spans="2:51" s="6" customFormat="1" ht="13" x14ac:dyDescent="0.3">
      <c r="B169" s="6" t="s">
        <v>394</v>
      </c>
      <c r="C169" s="1" t="s">
        <v>395</v>
      </c>
      <c r="D169" s="4">
        <v>1</v>
      </c>
      <c r="E169" s="113">
        <v>0.79166666666666696</v>
      </c>
      <c r="F169" s="113">
        <v>0.87499999999999001</v>
      </c>
      <c r="G169" s="4" t="s">
        <v>87</v>
      </c>
      <c r="H169" s="4" t="s">
        <v>323</v>
      </c>
      <c r="I169" s="4"/>
      <c r="J169" s="126">
        <v>10</v>
      </c>
      <c r="K169" s="142"/>
      <c r="L169" s="3"/>
      <c r="M169" s="3"/>
      <c r="N169" s="3"/>
      <c r="O169" s="4">
        <v>2690</v>
      </c>
      <c r="P169" s="114"/>
      <c r="Q169" s="114"/>
      <c r="R169" s="114"/>
      <c r="S169" s="114" t="s">
        <v>90</v>
      </c>
      <c r="T169" s="114"/>
      <c r="U169" s="114"/>
      <c r="V169" s="114"/>
      <c r="W169" s="114"/>
      <c r="X169" s="143">
        <f>_xlfn.XLOOKUP(base_de_datos[[#This Row],[Materia]],Materias,Horas)/16</f>
        <v>4</v>
      </c>
      <c r="Y169" s="143">
        <f>ROUND(((base_de_datos[[#This Row],[Hora fin]]-base_de_datos[[#This Row],[Hora inicio]])*24)*(COUNTA(base_de_datos[[#This Row],[Lunes]:[Sábado]])),1)</f>
        <v>2</v>
      </c>
      <c r="Z169" s="14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69" s="143">
        <f ca="1">IF(base_de_datos[[#This Row],[No clase]]=OFFSET(base_de_datos[[#This Row],[No clase]],-1,0),0,1)</f>
        <v>0</v>
      </c>
      <c r="AB169" s="143">
        <f ca="1">IF(NOT(OR(base_de_datos[[#This Row],[Horas totales]]=base_de_datos[[#This Row],[HT Plan]],base_de_datos[[#This Row],[Horas totales]]="N/A")),1,0)</f>
        <v>0</v>
      </c>
      <c r="AC169" s="143" t="str">
        <f>_xlfn.XLOOKUP(base_de_datos[[#This Row],[Profesor]],Nombre,Grado)</f>
        <v>M</v>
      </c>
      <c r="AD169" s="144" t="str">
        <f>_xlfn.XLOOKUP(base_de_datos[[#This Row],[Profesor]],Nombre,Tipo)</f>
        <v>A</v>
      </c>
      <c r="AE169" s="143" t="str">
        <f>IF(IFERROR(VLOOKUP($C169,Planes_de_estudio[],MATCH($AE$2,Carreras,0)+2,0),"")&gt;0,IFERROR(VLOOKUP($C169,Planes_de_estudio[],MATCH($AE$2,Carreras,0)+2,0),""),"")</f>
        <v/>
      </c>
      <c r="AF169" s="143" t="str">
        <f>IF(IFERROR(VLOOKUP($C169,Planes_de_estudio[],MATCH($AF$2,Carreras,0)+2,0),"")&gt;0,IFERROR(VLOOKUP($C169,Planes_de_estudio[],MATCH($AF$2,Carreras,0)+2,0),""),"")</f>
        <v/>
      </c>
      <c r="AG169" s="143" t="str">
        <f>IF(IFERROR(VLOOKUP($C169,Planes_de_estudio[],MATCH($AG$2,Carreras,0)+2,0),"")&gt;0,IFERROR(VLOOKUP($C169,Planes_de_estudio[],MATCH($AG$2,Carreras,0)+2,0),""),"")</f>
        <v/>
      </c>
      <c r="AH169" s="143" t="str">
        <f>IF(IFERROR(VLOOKUP($C169,Planes_de_estudio[],MATCH($AH$2,Carreras,0)+2,0),"")&gt;0,IFERROR(VLOOKUP($C169,Planes_de_estudio[],MATCH($AH$2,Carreras,0)+2,0),""),"")</f>
        <v/>
      </c>
      <c r="AI169" s="143" t="str">
        <f>IF(IFERROR(VLOOKUP($C169,Planes_de_estudio[],MATCH($AI$2,Carreras,0)+2,0),"")&gt;0,IFERROR(VLOOKUP($C169,Planes_de_estudio[],MATCH($AI$2,Carreras,0)+2,0),""),"")</f>
        <v/>
      </c>
      <c r="AJ169" s="143">
        <f>IF(IFERROR(VLOOKUP($C169,Planes_de_estudio[],MATCH($AJ$2,Carreras,0)+2,0),"")&gt;0,IFERROR(VLOOKUP($C169,Planes_de_estudio[],MATCH($AJ$2,Carreras,0)+2,0),""),"")</f>
        <v>6</v>
      </c>
      <c r="AK169" s="143" t="str">
        <f>IF(IFERROR(VLOOKUP($C169,Planes_de_estudio[],MATCH($AK$2,Carreras,0)+2,0),"")&gt;0,IFERROR(VLOOKUP($C169,Planes_de_estudio[],MATCH($AK$2,Carreras,0)+2,0),""),"")</f>
        <v/>
      </c>
      <c r="AL169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69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13</v>
      </c>
      <c r="AN169" s="143">
        <f>base_de_datos[[#This Row],[Pronóstico]]/25</f>
        <v>0.52</v>
      </c>
      <c r="AO169" s="143" t="str">
        <f>VLOOKUP($C169,Planes_de_estudio[],2)</f>
        <v>ESC</v>
      </c>
      <c r="AP169" s="112" t="str">
        <f ca="1">IF(AND(base_de_datos[[#This Row],[Industrial]]&lt;&gt;"",base_de_datos[[#This Row],[Misma o no]]=1),base_de_datos[[#This Row],[Índice]],"")</f>
        <v/>
      </c>
      <c r="AQ169" s="112" t="str">
        <f ca="1">IF(AND(base_de_datos[[#This Row],[Mecatrónica]]&lt;&gt;"",base_de_datos[[#This Row],[Misma o no]]=1),base_de_datos[[#This Row],[Índice]],"")</f>
        <v/>
      </c>
      <c r="AR169" s="112" t="str">
        <f ca="1">IF(AND(base_de_datos[[#This Row],[Innovación y Diseño]]&lt;&gt;"",base_de_datos[[#This Row],[Misma o no]]=1),base_de_datos[[#This Row],[Índice]],"")</f>
        <v/>
      </c>
      <c r="AS169" s="112" t="str">
        <f ca="1">IF(AND(base_de_datos[[#This Row],[Inteligencia Artificial]]&lt;&gt;"",base_de_datos[[#This Row],[Misma o no]]=1),base_de_datos[[#This Row],[Índice]],"")</f>
        <v/>
      </c>
      <c r="AT169" s="112" t="str">
        <f ca="1">IF(AND(base_de_datos[[#This Row],[Tecnologías Energéticas]]&lt;&gt;"",base_de_datos[[#This Row],[Misma o no]]=1),base_de_datos[[#This Row],[Índice]],"")</f>
        <v/>
      </c>
      <c r="AU169" s="112" t="str">
        <f ca="1">IF(AND(base_de_datos[[#This Row],[Civil y Administración]]&lt;&gt;"",base_de_datos[[#This Row],[Misma o no]]=1),base_de_datos[[#This Row],[Índice]],"")</f>
        <v/>
      </c>
      <c r="AV169" s="112" t="str">
        <f ca="1">IF(AND(base_de_datos[[#This Row],[Bioelectrónica]]&lt;&gt;"",base_de_datos[[#This Row],[Misma o no]]=1),base_de_datos[[#This Row],[Índice]],"")</f>
        <v/>
      </c>
      <c r="AX169" s="4">
        <v>2</v>
      </c>
    </row>
    <row r="170" spans="2:51" ht="13" x14ac:dyDescent="0.3">
      <c r="B170" s="6" t="s">
        <v>407</v>
      </c>
      <c r="C170" s="1" t="s">
        <v>408</v>
      </c>
      <c r="D170" s="4">
        <v>2</v>
      </c>
      <c r="E170" s="113">
        <v>0.29166666666666669</v>
      </c>
      <c r="F170" s="113">
        <v>0.374999999999999</v>
      </c>
      <c r="G170" s="4" t="s">
        <v>87</v>
      </c>
      <c r="H170" s="4" t="s">
        <v>152</v>
      </c>
      <c r="I170" s="4"/>
      <c r="J170" s="114">
        <v>18</v>
      </c>
      <c r="K170" s="115"/>
      <c r="L170" s="3"/>
      <c r="M170" s="115"/>
      <c r="N170" s="3"/>
      <c r="O170" s="4" t="s">
        <v>409</v>
      </c>
      <c r="P170" s="114" t="s">
        <v>90</v>
      </c>
      <c r="Q170" s="114"/>
      <c r="R170" s="114" t="s">
        <v>90</v>
      </c>
      <c r="S170" s="114"/>
      <c r="T170" s="114"/>
      <c r="U170" s="114"/>
      <c r="V170" s="114"/>
      <c r="W170" s="114"/>
      <c r="X170" s="116">
        <f>_xlfn.XLOOKUP(base_de_datos[[#This Row],[Materia]],Materias,Horas)/16</f>
        <v>4</v>
      </c>
      <c r="Y170" s="116">
        <f>ROUND(((base_de_datos[[#This Row],[Hora fin]]-base_de_datos[[#This Row],[Hora inicio]])*24)*(COUNTA(base_de_datos[[#This Row],[Lunes]:[Sábado]])),1)</f>
        <v>4</v>
      </c>
      <c r="Z170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70" s="117">
        <f ca="1">IF(base_de_datos[[#This Row],[No clase]]=OFFSET(base_de_datos[[#This Row],[No clase]],-1,0),0,1)</f>
        <v>1</v>
      </c>
      <c r="AB170" s="117">
        <f ca="1">IF(NOT(OR(base_de_datos[[#This Row],[Horas totales]]=base_de_datos[[#This Row],[HT Plan]],base_de_datos[[#This Row],[Horas totales]]="N/A")),1,0)</f>
        <v>0</v>
      </c>
      <c r="AC170" s="116" t="str">
        <f>_xlfn.XLOOKUP(base_de_datos[[#This Row],[Profesor]],Nombre,Grado)</f>
        <v>M</v>
      </c>
      <c r="AD170" s="118" t="str">
        <f>_xlfn.XLOOKUP(base_de_datos[[#This Row],[Profesor]],Nombre,Tipo)</f>
        <v>A</v>
      </c>
      <c r="AE170" s="116">
        <f>IF(IFERROR(VLOOKUP($C170,Planes_de_estudio[],MATCH($AE$2,Carreras,0)+2,0),"")&gt;0,IFERROR(VLOOKUP($C170,Planes_de_estudio[],MATCH($AE$2,Carreras,0)+2,0),""),"")</f>
        <v>2</v>
      </c>
      <c r="AF170" s="116">
        <f>IF(IFERROR(VLOOKUP($C170,Planes_de_estudio[],MATCH($AF$2,Carreras,0)+2,0),"")&gt;0,IFERROR(VLOOKUP($C170,Planes_de_estudio[],MATCH($AF$2,Carreras,0)+2,0),""),"")</f>
        <v>2</v>
      </c>
      <c r="AG170" s="116" t="str">
        <f>IF(IFERROR(VLOOKUP($C170,Planes_de_estudio[],MATCH($AG$2,Carreras,0)+2,0),"")&gt;0,IFERROR(VLOOKUP($C170,Planes_de_estudio[],MATCH($AG$2,Carreras,0)+2,0),""),"")</f>
        <v/>
      </c>
      <c r="AH170" s="116">
        <f>IF(IFERROR(VLOOKUP($C170,Planes_de_estudio[],MATCH($AH$2,Carreras,0)+2,0),"")&gt;0,IFERROR(VLOOKUP($C170,Planes_de_estudio[],MATCH($AH$2,Carreras,0)+2,0),""),"")</f>
        <v>2</v>
      </c>
      <c r="AI170" s="116">
        <f>IF(IFERROR(VLOOKUP($C170,Planes_de_estudio[],MATCH($AI$2,Carreras,0)+2,0),"")&gt;0,IFERROR(VLOOKUP($C170,Planes_de_estudio[],MATCH($AI$2,Carreras,0)+2,0),""),"")</f>
        <v>2</v>
      </c>
      <c r="AJ170" s="116" t="str">
        <f>IF(IFERROR(VLOOKUP($C170,Planes_de_estudio[],MATCH($AJ$2,Carreras,0)+2,0),"")&gt;0,IFERROR(VLOOKUP($C170,Planes_de_estudio[],MATCH($AJ$2,Carreras,0)+2,0),""),"")</f>
        <v/>
      </c>
      <c r="AK170" s="116">
        <f>IF(IFERROR(VLOOKUP($C170,Planes_de_estudio[],MATCH($AK$2,Carreras,0)+2,0),"")&gt;0,IFERROR(VLOOKUP($C170,Planes_de_estudio[],MATCH($AK$2,Carreras,0)+2,0),""),"")</f>
        <v>2</v>
      </c>
      <c r="AL170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70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83</v>
      </c>
      <c r="AN170" s="117">
        <f>base_de_datos[[#This Row],[Pronóstico]]/25</f>
        <v>3.32</v>
      </c>
      <c r="AO170" s="117" t="str">
        <f>VLOOKUP($C170,Planes_de_estudio[],2)</f>
        <v>COM</v>
      </c>
      <c r="AP170" s="119">
        <f ca="1">IF(AND(base_de_datos[[#This Row],[Industrial]]&lt;&gt;"",base_de_datos[[#This Row],[Misma o no]]=1),base_de_datos[[#This Row],[Índice]],"")</f>
        <v>4</v>
      </c>
      <c r="AQ170" s="119">
        <f ca="1">IF(AND(base_de_datos[[#This Row],[Mecatrónica]]&lt;&gt;"",base_de_datos[[#This Row],[Misma o no]]=1),base_de_datos[[#This Row],[Índice]],"")</f>
        <v>4</v>
      </c>
      <c r="AR170" s="119" t="str">
        <f ca="1">IF(AND(base_de_datos[[#This Row],[Innovación y Diseño]]&lt;&gt;"",base_de_datos[[#This Row],[Misma o no]]=1),base_de_datos[[#This Row],[Índice]],"")</f>
        <v/>
      </c>
      <c r="AS170" s="119">
        <f ca="1">IF(AND(base_de_datos[[#This Row],[Inteligencia Artificial]]&lt;&gt;"",base_de_datos[[#This Row],[Misma o no]]=1),base_de_datos[[#This Row],[Índice]],"")</f>
        <v>4</v>
      </c>
      <c r="AT170" s="119">
        <f ca="1">IF(AND(base_de_datos[[#This Row],[Tecnologías Energéticas]]&lt;&gt;"",base_de_datos[[#This Row],[Misma o no]]=1),base_de_datos[[#This Row],[Índice]],"")</f>
        <v>4</v>
      </c>
      <c r="AU170" s="119" t="str">
        <f ca="1">IF(AND(base_de_datos[[#This Row],[Civil y Administración]]&lt;&gt;"",base_de_datos[[#This Row],[Misma o no]]=1),base_de_datos[[#This Row],[Índice]],"")</f>
        <v/>
      </c>
      <c r="AV170" s="119">
        <f ca="1">IF(AND(base_de_datos[[#This Row],[Bioelectrónica]]&lt;&gt;"",base_de_datos[[#This Row],[Misma o no]]=1),base_de_datos[[#This Row],[Índice]],"")</f>
        <v>4</v>
      </c>
      <c r="AW170" s="120"/>
      <c r="AX170" s="4">
        <v>2</v>
      </c>
      <c r="AY170" s="6"/>
    </row>
    <row r="171" spans="2:51" ht="13" x14ac:dyDescent="0.3">
      <c r="B171" s="9" t="s">
        <v>335</v>
      </c>
      <c r="C171" s="1" t="s">
        <v>401</v>
      </c>
      <c r="D171" s="4">
        <v>1</v>
      </c>
      <c r="E171" s="113">
        <v>0.70833333333333304</v>
      </c>
      <c r="F171" s="113">
        <v>0.79166666666665897</v>
      </c>
      <c r="G171" s="226" t="s">
        <v>92</v>
      </c>
      <c r="H171" s="4" t="s">
        <v>88</v>
      </c>
      <c r="I171" s="4"/>
      <c r="J171" s="198">
        <v>21</v>
      </c>
      <c r="K171" s="128"/>
      <c r="L171" s="3"/>
      <c r="M171" s="128"/>
      <c r="N171" s="3"/>
      <c r="O171" s="4" t="s">
        <v>402</v>
      </c>
      <c r="P171" s="114"/>
      <c r="Q171" s="114"/>
      <c r="R171" s="114" t="s">
        <v>90</v>
      </c>
      <c r="S171" s="114"/>
      <c r="T171" s="114"/>
      <c r="U171" s="114"/>
      <c r="V171" s="114"/>
      <c r="W171" s="114"/>
      <c r="X171" s="116">
        <f>_xlfn.XLOOKUP(base_de_datos[[#This Row],[Materia]],Materias,Horas)/16</f>
        <v>4</v>
      </c>
      <c r="Y171" s="116">
        <f>ROUND(((base_de_datos[[#This Row],[Hora fin]]-base_de_datos[[#This Row],[Hora inicio]])*24)*(COUNTA(base_de_datos[[#This Row],[Lunes]:[Sábado]])),1)</f>
        <v>2</v>
      </c>
      <c r="Z171" s="116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71" s="116">
        <f ca="1">IF(base_de_datos[[#This Row],[No clase]]=OFFSET(base_de_datos[[#This Row],[No clase]],-1,0),0,1)</f>
        <v>1</v>
      </c>
      <c r="AB171" s="116">
        <f ca="1">IF(NOT(OR(base_de_datos[[#This Row],[Horas totales]]=base_de_datos[[#This Row],[HT Plan]],base_de_datos[[#This Row],[Horas totales]]="N/A")),1,0)</f>
        <v>1</v>
      </c>
      <c r="AC171" s="116" t="str">
        <f>_xlfn.XLOOKUP(base_de_datos[[#This Row],[Profesor]],Nombre,Grado)</f>
        <v>E</v>
      </c>
      <c r="AD171" s="118" t="str">
        <f>_xlfn.XLOOKUP(base_de_datos[[#This Row],[Profesor]],Nombre,Tipo)</f>
        <v>TC</v>
      </c>
      <c r="AE171" s="116">
        <f>IF(IFERROR(VLOOKUP($C171,Planes_de_estudio[],MATCH($AE$2,Carreras,0)+2,0),"")&gt;0,IFERROR(VLOOKUP($C171,Planes_de_estudio[],MATCH($AE$2,Carreras,0)+2,0),""),"")</f>
        <v>6</v>
      </c>
      <c r="AF171" s="116">
        <f>IF(IFERROR(VLOOKUP($C171,Planes_de_estudio[],MATCH($AF$2,Carreras,0)+2,0),"")&gt;0,IFERROR(VLOOKUP($C171,Planes_de_estudio[],MATCH($AF$2,Carreras,0)+2,0),""),"")</f>
        <v>6</v>
      </c>
      <c r="AG171" s="116">
        <f>IF(IFERROR(VLOOKUP($C171,Planes_de_estudio[],MATCH($AG$2,Carreras,0)+2,0),"")&gt;0,IFERROR(VLOOKUP($C171,Planes_de_estudio[],MATCH($AG$2,Carreras,0)+2,0),""),"")</f>
        <v>7</v>
      </c>
      <c r="AH171" s="116" t="str">
        <f>IF(IFERROR(VLOOKUP($C171,Planes_de_estudio[],MATCH($AH$2,Carreras,0)+2,0),"")&gt;0,IFERROR(VLOOKUP($C171,Planes_de_estudio[],MATCH($AH$2,Carreras,0)+2,0),""),"")</f>
        <v/>
      </c>
      <c r="AI171" s="116" t="str">
        <f>IF(IFERROR(VLOOKUP($C171,Planes_de_estudio[],MATCH($AI$2,Carreras,0)+2,0),"")&gt;0,IFERROR(VLOOKUP($C171,Planes_de_estudio[],MATCH($AI$2,Carreras,0)+2,0),""),"")</f>
        <v/>
      </c>
      <c r="AJ171" s="116" t="str">
        <f>IF(IFERROR(VLOOKUP($C171,Planes_de_estudio[],MATCH($AJ$2,Carreras,0)+2,0),"")&gt;0,IFERROR(VLOOKUP($C171,Planes_de_estudio[],MATCH($AJ$2,Carreras,0)+2,0),""),"")</f>
        <v/>
      </c>
      <c r="AK171" s="116" t="str">
        <f>IF(IFERROR(VLOOKUP($C171,Planes_de_estudio[],MATCH($AK$2,Carreras,0)+2,0),"")&gt;0,IFERROR(VLOOKUP($C171,Planes_de_estudio[],MATCH($AK$2,Carreras,0)+2,0),""),"")</f>
        <v/>
      </c>
      <c r="AL171" s="116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71" s="116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43</v>
      </c>
      <c r="AN171" s="116">
        <f>base_de_datos[[#This Row],[Pronóstico]]/25</f>
        <v>1.72</v>
      </c>
      <c r="AO171" s="116" t="str">
        <f>VLOOKUP($C171,Planes_de_estudio[],2)</f>
        <v>MEC</v>
      </c>
      <c r="AP171" s="129">
        <f ca="1">IF(AND(base_de_datos[[#This Row],[Industrial]]&lt;&gt;"",base_de_datos[[#This Row],[Misma o no]]=1),base_de_datos[[#This Row],[Índice]],"")</f>
        <v>2</v>
      </c>
      <c r="AQ171" s="129">
        <f ca="1">IF(AND(base_de_datos[[#This Row],[Mecatrónica]]&lt;&gt;"",base_de_datos[[#This Row],[Misma o no]]=1),base_de_datos[[#This Row],[Índice]],"")</f>
        <v>2</v>
      </c>
      <c r="AR171" s="129">
        <f ca="1">IF(AND(base_de_datos[[#This Row],[Innovación y Diseño]]&lt;&gt;"",base_de_datos[[#This Row],[Misma o no]]=1),base_de_datos[[#This Row],[Índice]],"")</f>
        <v>2</v>
      </c>
      <c r="AS171" s="129" t="str">
        <f ca="1">IF(AND(base_de_datos[[#This Row],[Inteligencia Artificial]]&lt;&gt;"",base_de_datos[[#This Row],[Misma o no]]=1),base_de_datos[[#This Row],[Índice]],"")</f>
        <v/>
      </c>
      <c r="AT171" s="129" t="str">
        <f ca="1">IF(AND(base_de_datos[[#This Row],[Tecnologías Energéticas]]&lt;&gt;"",base_de_datos[[#This Row],[Misma o no]]=1),base_de_datos[[#This Row],[Índice]],"")</f>
        <v/>
      </c>
      <c r="AU171" s="129" t="str">
        <f ca="1">IF(AND(base_de_datos[[#This Row],[Civil y Administración]]&lt;&gt;"",base_de_datos[[#This Row],[Misma o no]]=1),base_de_datos[[#This Row],[Índice]],"")</f>
        <v/>
      </c>
      <c r="AV171" s="129" t="str">
        <f ca="1">IF(AND(base_de_datos[[#This Row],[Bioelectrónica]]&lt;&gt;"",base_de_datos[[#This Row],[Misma o no]]=1),base_de_datos[[#This Row],[Índice]],"")</f>
        <v/>
      </c>
      <c r="AW171" s="130"/>
      <c r="AX171" s="4" t="s">
        <v>1802</v>
      </c>
      <c r="AY171" s="6" t="s">
        <v>1805</v>
      </c>
    </row>
    <row r="172" spans="2:51" ht="13" x14ac:dyDescent="0.3">
      <c r="B172" s="9" t="s">
        <v>335</v>
      </c>
      <c r="C172" s="1" t="s">
        <v>401</v>
      </c>
      <c r="D172" s="4">
        <v>1</v>
      </c>
      <c r="E172" s="113">
        <v>0.83333333333333304</v>
      </c>
      <c r="F172" s="113">
        <v>0.91666666666665697</v>
      </c>
      <c r="G172" s="226" t="s">
        <v>92</v>
      </c>
      <c r="H172" s="4" t="s">
        <v>385</v>
      </c>
      <c r="I172" s="4"/>
      <c r="J172" s="198">
        <v>21</v>
      </c>
      <c r="K172" s="115"/>
      <c r="L172" s="3"/>
      <c r="M172" s="115"/>
      <c r="N172" s="3"/>
      <c r="O172" s="4" t="s">
        <v>403</v>
      </c>
      <c r="P172" s="114" t="s">
        <v>90</v>
      </c>
      <c r="Q172" s="114"/>
      <c r="R172" s="114"/>
      <c r="S172" s="114"/>
      <c r="T172" s="114"/>
      <c r="U172" s="114"/>
      <c r="V172" s="114"/>
      <c r="W172" s="114"/>
      <c r="X172" s="116">
        <f>_xlfn.XLOOKUP(base_de_datos[[#This Row],[Materia]],Materias,Horas)/16</f>
        <v>4</v>
      </c>
      <c r="Y172" s="116">
        <f>ROUND(((base_de_datos[[#This Row],[Hora fin]]-base_de_datos[[#This Row],[Hora inicio]])*24)*(COUNTA(base_de_datos[[#This Row],[Lunes]:[Sábado]])),1)</f>
        <v>2</v>
      </c>
      <c r="Z172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72" s="117">
        <f ca="1">IF(base_de_datos[[#This Row],[No clase]]=OFFSET(base_de_datos[[#This Row],[No clase]],-1,0),0,1)</f>
        <v>1</v>
      </c>
      <c r="AB172" s="117">
        <f ca="1">IF(NOT(OR(base_de_datos[[#This Row],[Horas totales]]=base_de_datos[[#This Row],[HT Plan]],base_de_datos[[#This Row],[Horas totales]]="N/A")),1,0)</f>
        <v>1</v>
      </c>
      <c r="AC172" s="116" t="str">
        <f>_xlfn.XLOOKUP(base_de_datos[[#This Row],[Profesor]],Nombre,Grado)</f>
        <v>E</v>
      </c>
      <c r="AD172" s="118" t="str">
        <f>_xlfn.XLOOKUP(base_de_datos[[#This Row],[Profesor]],Nombre,Tipo)</f>
        <v>TC</v>
      </c>
      <c r="AE172" s="116">
        <f>IF(IFERROR(VLOOKUP($C172,Planes_de_estudio[],MATCH($AE$2,Carreras,0)+2,0),"")&gt;0,IFERROR(VLOOKUP($C172,Planes_de_estudio[],MATCH($AE$2,Carreras,0)+2,0),""),"")</f>
        <v>6</v>
      </c>
      <c r="AF172" s="116">
        <f>IF(IFERROR(VLOOKUP($C172,Planes_de_estudio[],MATCH($AF$2,Carreras,0)+2,0),"")&gt;0,IFERROR(VLOOKUP($C172,Planes_de_estudio[],MATCH($AF$2,Carreras,0)+2,0),""),"")</f>
        <v>6</v>
      </c>
      <c r="AG172" s="116">
        <f>IF(IFERROR(VLOOKUP($C172,Planes_de_estudio[],MATCH($AG$2,Carreras,0)+2,0),"")&gt;0,IFERROR(VLOOKUP($C172,Planes_de_estudio[],MATCH($AG$2,Carreras,0)+2,0),""),"")</f>
        <v>7</v>
      </c>
      <c r="AH172" s="116" t="str">
        <f>IF(IFERROR(VLOOKUP($C172,Planes_de_estudio[],MATCH($AH$2,Carreras,0)+2,0),"")&gt;0,IFERROR(VLOOKUP($C172,Planes_de_estudio[],MATCH($AH$2,Carreras,0)+2,0),""),"")</f>
        <v/>
      </c>
      <c r="AI172" s="116" t="str">
        <f>IF(IFERROR(VLOOKUP($C172,Planes_de_estudio[],MATCH($AI$2,Carreras,0)+2,0),"")&gt;0,IFERROR(VLOOKUP($C172,Planes_de_estudio[],MATCH($AI$2,Carreras,0)+2,0),""),"")</f>
        <v/>
      </c>
      <c r="AJ172" s="116" t="str">
        <f>IF(IFERROR(VLOOKUP($C172,Planes_de_estudio[],MATCH($AJ$2,Carreras,0)+2,0),"")&gt;0,IFERROR(VLOOKUP($C172,Planes_de_estudio[],MATCH($AJ$2,Carreras,0)+2,0),""),"")</f>
        <v/>
      </c>
      <c r="AK172" s="116" t="str">
        <f>IF(IFERROR(VLOOKUP($C172,Planes_de_estudio[],MATCH($AK$2,Carreras,0)+2,0),"")&gt;0,IFERROR(VLOOKUP($C172,Planes_de_estudio[],MATCH($AK$2,Carreras,0)+2,0),""),"")</f>
        <v/>
      </c>
      <c r="AL172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72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43</v>
      </c>
      <c r="AN172" s="117">
        <f>base_de_datos[[#This Row],[Pronóstico]]/25</f>
        <v>1.72</v>
      </c>
      <c r="AO172" s="117" t="str">
        <f>VLOOKUP($C172,Planes_de_estudio[],2)</f>
        <v>MEC</v>
      </c>
      <c r="AP172" s="119">
        <f ca="1">IF(AND(base_de_datos[[#This Row],[Industrial]]&lt;&gt;"",base_de_datos[[#This Row],[Misma o no]]=1),base_de_datos[[#This Row],[Índice]],"")</f>
        <v>2</v>
      </c>
      <c r="AQ172" s="119">
        <f ca="1">IF(AND(base_de_datos[[#This Row],[Mecatrónica]]&lt;&gt;"",base_de_datos[[#This Row],[Misma o no]]=1),base_de_datos[[#This Row],[Índice]],"")</f>
        <v>2</v>
      </c>
      <c r="AR172" s="119">
        <f ca="1">IF(AND(base_de_datos[[#This Row],[Innovación y Diseño]]&lt;&gt;"",base_de_datos[[#This Row],[Misma o no]]=1),base_de_datos[[#This Row],[Índice]],"")</f>
        <v>2</v>
      </c>
      <c r="AS172" s="119" t="str">
        <f ca="1">IF(AND(base_de_datos[[#This Row],[Inteligencia Artificial]]&lt;&gt;"",base_de_datos[[#This Row],[Misma o no]]=1),base_de_datos[[#This Row],[Índice]],"")</f>
        <v/>
      </c>
      <c r="AT172" s="119" t="str">
        <f ca="1">IF(AND(base_de_datos[[#This Row],[Tecnologías Energéticas]]&lt;&gt;"",base_de_datos[[#This Row],[Misma o no]]=1),base_de_datos[[#This Row],[Índice]],"")</f>
        <v/>
      </c>
      <c r="AU172" s="119" t="str">
        <f ca="1">IF(AND(base_de_datos[[#This Row],[Civil y Administración]]&lt;&gt;"",base_de_datos[[#This Row],[Misma o no]]=1),base_de_datos[[#This Row],[Índice]],"")</f>
        <v/>
      </c>
      <c r="AV172" s="119" t="str">
        <f ca="1">IF(AND(base_de_datos[[#This Row],[Bioelectrónica]]&lt;&gt;"",base_de_datos[[#This Row],[Misma o no]]=1),base_de_datos[[#This Row],[Índice]],"")</f>
        <v/>
      </c>
      <c r="AW172" s="120"/>
      <c r="AX172" s="4" t="s">
        <v>1802</v>
      </c>
      <c r="AY172" s="6" t="s">
        <v>1805</v>
      </c>
    </row>
    <row r="173" spans="2:51" ht="13" x14ac:dyDescent="0.3">
      <c r="B173" s="9" t="s">
        <v>243</v>
      </c>
      <c r="C173" s="1" t="s">
        <v>401</v>
      </c>
      <c r="D173" s="4">
        <v>2</v>
      </c>
      <c r="E173" s="113">
        <v>0.70833333333333304</v>
      </c>
      <c r="F173" s="113">
        <v>0.79166666666665897</v>
      </c>
      <c r="G173" s="4" t="s">
        <v>87</v>
      </c>
      <c r="H173" s="4" t="s">
        <v>355</v>
      </c>
      <c r="I173" s="4"/>
      <c r="J173" s="198">
        <v>22</v>
      </c>
      <c r="K173" s="115"/>
      <c r="L173" s="3"/>
      <c r="M173" s="115"/>
      <c r="N173" s="3"/>
      <c r="O173" s="2" t="s">
        <v>404</v>
      </c>
      <c r="P173" s="114"/>
      <c r="Q173" s="114"/>
      <c r="R173" s="114" t="s">
        <v>90</v>
      </c>
      <c r="S173" s="114"/>
      <c r="T173" s="114"/>
      <c r="U173" s="114"/>
      <c r="V173" s="114"/>
      <c r="W173" s="233"/>
      <c r="X173" s="116">
        <f>_xlfn.XLOOKUP(base_de_datos[[#This Row],[Materia]],Materias,Horas)/16</f>
        <v>4</v>
      </c>
      <c r="Y173" s="116">
        <f>ROUND(((base_de_datos[[#This Row],[Hora fin]]-base_de_datos[[#This Row],[Hora inicio]])*24)*(COUNTA(base_de_datos[[#This Row],[Lunes]:[Sábado]])),1)</f>
        <v>2</v>
      </c>
      <c r="Z173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73" s="117">
        <f ca="1">IF(base_de_datos[[#This Row],[No clase]]=OFFSET(base_de_datos[[#This Row],[No clase]],-1,0),0,1)</f>
        <v>1</v>
      </c>
      <c r="AB173" s="117">
        <f ca="1">IF(NOT(OR(base_de_datos[[#This Row],[Horas totales]]=base_de_datos[[#This Row],[HT Plan]],base_de_datos[[#This Row],[Horas totales]]="N/A")),1,0)</f>
        <v>0</v>
      </c>
      <c r="AC173" s="116" t="str">
        <f>_xlfn.XLOOKUP(base_de_datos[[#This Row],[Profesor]],Nombre,Grado)</f>
        <v>M</v>
      </c>
      <c r="AD173" s="118" t="str">
        <f>_xlfn.XLOOKUP(base_de_datos[[#This Row],[Profesor]],Nombre,Tipo)</f>
        <v>A</v>
      </c>
      <c r="AE173" s="116">
        <f>IF(IFERROR(VLOOKUP($C173,Planes_de_estudio[],MATCH($AE$2,Carreras,0)+2,0),"")&gt;0,IFERROR(VLOOKUP($C173,Planes_de_estudio[],MATCH($AE$2,Carreras,0)+2,0),""),"")</f>
        <v>6</v>
      </c>
      <c r="AF173" s="116">
        <f>IF(IFERROR(VLOOKUP($C173,Planes_de_estudio[],MATCH($AF$2,Carreras,0)+2,0),"")&gt;0,IFERROR(VLOOKUP($C173,Planes_de_estudio[],MATCH($AF$2,Carreras,0)+2,0),""),"")</f>
        <v>6</v>
      </c>
      <c r="AG173" s="116">
        <f>IF(IFERROR(VLOOKUP($C173,Planes_de_estudio[],MATCH($AG$2,Carreras,0)+2,0),"")&gt;0,IFERROR(VLOOKUP($C173,Planes_de_estudio[],MATCH($AG$2,Carreras,0)+2,0),""),"")</f>
        <v>7</v>
      </c>
      <c r="AH173" s="116" t="str">
        <f>IF(IFERROR(VLOOKUP($C173,Planes_de_estudio[],MATCH($AH$2,Carreras,0)+2,0),"")&gt;0,IFERROR(VLOOKUP($C173,Planes_de_estudio[],MATCH($AH$2,Carreras,0)+2,0),""),"")</f>
        <v/>
      </c>
      <c r="AI173" s="116" t="str">
        <f>IF(IFERROR(VLOOKUP($C173,Planes_de_estudio[],MATCH($AI$2,Carreras,0)+2,0),"")&gt;0,IFERROR(VLOOKUP($C173,Planes_de_estudio[],MATCH($AI$2,Carreras,0)+2,0),""),"")</f>
        <v/>
      </c>
      <c r="AJ173" s="116" t="str">
        <f>IF(IFERROR(VLOOKUP($C173,Planes_de_estudio[],MATCH($AJ$2,Carreras,0)+2,0),"")&gt;0,IFERROR(VLOOKUP($C173,Planes_de_estudio[],MATCH($AJ$2,Carreras,0)+2,0),""),"")</f>
        <v/>
      </c>
      <c r="AK173" s="116" t="str">
        <f>IF(IFERROR(VLOOKUP($C173,Planes_de_estudio[],MATCH($AK$2,Carreras,0)+2,0),"")&gt;0,IFERROR(VLOOKUP($C173,Planes_de_estudio[],MATCH($AK$2,Carreras,0)+2,0),""),"")</f>
        <v/>
      </c>
      <c r="AL173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73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43</v>
      </c>
      <c r="AN173" s="117">
        <f>base_de_datos[[#This Row],[Pronóstico]]/25</f>
        <v>1.72</v>
      </c>
      <c r="AO173" s="117" t="str">
        <f>VLOOKUP($C173,Planes_de_estudio[],2)</f>
        <v>MEC</v>
      </c>
      <c r="AP173" s="119">
        <f ca="1">IF(AND(base_de_datos[[#This Row],[Industrial]]&lt;&gt;"",base_de_datos[[#This Row],[Misma o no]]=1),base_de_datos[[#This Row],[Índice]],"")</f>
        <v>4</v>
      </c>
      <c r="AQ173" s="119">
        <f ca="1">IF(AND(base_de_datos[[#This Row],[Mecatrónica]]&lt;&gt;"",base_de_datos[[#This Row],[Misma o no]]=1),base_de_datos[[#This Row],[Índice]],"")</f>
        <v>4</v>
      </c>
      <c r="AR173" s="119">
        <f ca="1">IF(AND(base_de_datos[[#This Row],[Innovación y Diseño]]&lt;&gt;"",base_de_datos[[#This Row],[Misma o no]]=1),base_de_datos[[#This Row],[Índice]],"")</f>
        <v>4</v>
      </c>
      <c r="AS173" s="119" t="str">
        <f ca="1">IF(AND(base_de_datos[[#This Row],[Inteligencia Artificial]]&lt;&gt;"",base_de_datos[[#This Row],[Misma o no]]=1),base_de_datos[[#This Row],[Índice]],"")</f>
        <v/>
      </c>
      <c r="AT173" s="119" t="str">
        <f ca="1">IF(AND(base_de_datos[[#This Row],[Tecnologías Energéticas]]&lt;&gt;"",base_de_datos[[#This Row],[Misma o no]]=1),base_de_datos[[#This Row],[Índice]],"")</f>
        <v/>
      </c>
      <c r="AU173" s="119" t="str">
        <f ca="1">IF(AND(base_de_datos[[#This Row],[Civil y Administración]]&lt;&gt;"",base_de_datos[[#This Row],[Misma o no]]=1),base_de_datos[[#This Row],[Índice]],"")</f>
        <v/>
      </c>
      <c r="AV173" s="119" t="str">
        <f ca="1">IF(AND(base_de_datos[[#This Row],[Bioelectrónica]]&lt;&gt;"",base_de_datos[[#This Row],[Misma o no]]=1),base_de_datos[[#This Row],[Índice]],"")</f>
        <v/>
      </c>
      <c r="AW173" s="120"/>
      <c r="AX173" s="4" t="s">
        <v>1802</v>
      </c>
      <c r="AY173" s="6" t="s">
        <v>1805</v>
      </c>
    </row>
    <row r="174" spans="2:51" ht="13" x14ac:dyDescent="0.3">
      <c r="B174" s="9" t="s">
        <v>243</v>
      </c>
      <c r="C174" s="1" t="s">
        <v>401</v>
      </c>
      <c r="D174" s="4">
        <v>2</v>
      </c>
      <c r="E174" s="113">
        <v>0.66666666666666696</v>
      </c>
      <c r="F174" s="113">
        <v>0.74999999999999301</v>
      </c>
      <c r="G174" s="4" t="s">
        <v>87</v>
      </c>
      <c r="H174" s="4" t="s">
        <v>18</v>
      </c>
      <c r="I174" s="4"/>
      <c r="J174" s="198">
        <v>22</v>
      </c>
      <c r="K174" s="115"/>
      <c r="L174" s="3"/>
      <c r="M174" s="115"/>
      <c r="N174" s="3"/>
      <c r="O174" s="2" t="s">
        <v>404</v>
      </c>
      <c r="P174" s="114"/>
      <c r="Q174" s="114"/>
      <c r="R174" s="114"/>
      <c r="S174" s="114"/>
      <c r="T174" s="114" t="s">
        <v>90</v>
      </c>
      <c r="U174" s="114"/>
      <c r="V174" s="114"/>
      <c r="W174" s="233"/>
      <c r="X174" s="116">
        <f>_xlfn.XLOOKUP(base_de_datos[[#This Row],[Materia]],Materias,Horas)/16</f>
        <v>4</v>
      </c>
      <c r="Y174" s="116">
        <f>ROUND(((base_de_datos[[#This Row],[Hora fin]]-base_de_datos[[#This Row],[Hora inicio]])*24)*(COUNTA(base_de_datos[[#This Row],[Lunes]:[Sábado]])),1)</f>
        <v>2</v>
      </c>
      <c r="Z174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74" s="117">
        <f ca="1">IF(base_de_datos[[#This Row],[No clase]]=OFFSET(base_de_datos[[#This Row],[No clase]],-1,0),0,1)</f>
        <v>0</v>
      </c>
      <c r="AB174" s="117">
        <f ca="1">IF(NOT(OR(base_de_datos[[#This Row],[Horas totales]]=base_de_datos[[#This Row],[HT Plan]],base_de_datos[[#This Row],[Horas totales]]="N/A")),1,0)</f>
        <v>0</v>
      </c>
      <c r="AC174" s="116" t="str">
        <f>_xlfn.XLOOKUP(base_de_datos[[#This Row],[Profesor]],Nombre,Grado)</f>
        <v>M</v>
      </c>
      <c r="AD174" s="118" t="str">
        <f>_xlfn.XLOOKUP(base_de_datos[[#This Row],[Profesor]],Nombre,Tipo)</f>
        <v>A</v>
      </c>
      <c r="AE174" s="116">
        <f>IF(IFERROR(VLOOKUP($C174,Planes_de_estudio[],MATCH($AE$2,Carreras,0)+2,0),"")&gt;0,IFERROR(VLOOKUP($C174,Planes_de_estudio[],MATCH($AE$2,Carreras,0)+2,0),""),"")</f>
        <v>6</v>
      </c>
      <c r="AF174" s="116">
        <f>IF(IFERROR(VLOOKUP($C174,Planes_de_estudio[],MATCH($AF$2,Carreras,0)+2,0),"")&gt;0,IFERROR(VLOOKUP($C174,Planes_de_estudio[],MATCH($AF$2,Carreras,0)+2,0),""),"")</f>
        <v>6</v>
      </c>
      <c r="AG174" s="116">
        <f>IF(IFERROR(VLOOKUP($C174,Planes_de_estudio[],MATCH($AG$2,Carreras,0)+2,0),"")&gt;0,IFERROR(VLOOKUP($C174,Planes_de_estudio[],MATCH($AG$2,Carreras,0)+2,0),""),"")</f>
        <v>7</v>
      </c>
      <c r="AH174" s="116" t="str">
        <f>IF(IFERROR(VLOOKUP($C174,Planes_de_estudio[],MATCH($AH$2,Carreras,0)+2,0),"")&gt;0,IFERROR(VLOOKUP($C174,Planes_de_estudio[],MATCH($AH$2,Carreras,0)+2,0),""),"")</f>
        <v/>
      </c>
      <c r="AI174" s="116" t="str">
        <f>IF(IFERROR(VLOOKUP($C174,Planes_de_estudio[],MATCH($AI$2,Carreras,0)+2,0),"")&gt;0,IFERROR(VLOOKUP($C174,Planes_de_estudio[],MATCH($AI$2,Carreras,0)+2,0),""),"")</f>
        <v/>
      </c>
      <c r="AJ174" s="116" t="str">
        <f>IF(IFERROR(VLOOKUP($C174,Planes_de_estudio[],MATCH($AJ$2,Carreras,0)+2,0),"")&gt;0,IFERROR(VLOOKUP($C174,Planes_de_estudio[],MATCH($AJ$2,Carreras,0)+2,0),""),"")</f>
        <v/>
      </c>
      <c r="AK174" s="116" t="str">
        <f>IF(IFERROR(VLOOKUP($C174,Planes_de_estudio[],MATCH($AK$2,Carreras,0)+2,0),"")&gt;0,IFERROR(VLOOKUP($C174,Planes_de_estudio[],MATCH($AK$2,Carreras,0)+2,0),""),"")</f>
        <v/>
      </c>
      <c r="AL174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74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43</v>
      </c>
      <c r="AN174" s="117">
        <f>base_de_datos[[#This Row],[Pronóstico]]/25</f>
        <v>1.72</v>
      </c>
      <c r="AO174" s="117" t="str">
        <f>VLOOKUP($C174,Planes_de_estudio[],2)</f>
        <v>MEC</v>
      </c>
      <c r="AP174" s="119" t="str">
        <f ca="1">IF(AND(base_de_datos[[#This Row],[Industrial]]&lt;&gt;"",base_de_datos[[#This Row],[Misma o no]]=1),base_de_datos[[#This Row],[Índice]],"")</f>
        <v/>
      </c>
      <c r="AQ174" s="119" t="str">
        <f ca="1">IF(AND(base_de_datos[[#This Row],[Mecatrónica]]&lt;&gt;"",base_de_datos[[#This Row],[Misma o no]]=1),base_de_datos[[#This Row],[Índice]],"")</f>
        <v/>
      </c>
      <c r="AR174" s="119" t="str">
        <f ca="1">IF(AND(base_de_datos[[#This Row],[Innovación y Diseño]]&lt;&gt;"",base_de_datos[[#This Row],[Misma o no]]=1),base_de_datos[[#This Row],[Índice]],"")</f>
        <v/>
      </c>
      <c r="AS174" s="119" t="str">
        <f ca="1">IF(AND(base_de_datos[[#This Row],[Inteligencia Artificial]]&lt;&gt;"",base_de_datos[[#This Row],[Misma o no]]=1),base_de_datos[[#This Row],[Índice]],"")</f>
        <v/>
      </c>
      <c r="AT174" s="119" t="str">
        <f ca="1">IF(AND(base_de_datos[[#This Row],[Tecnologías Energéticas]]&lt;&gt;"",base_de_datos[[#This Row],[Misma o no]]=1),base_de_datos[[#This Row],[Índice]],"")</f>
        <v/>
      </c>
      <c r="AU174" s="119" t="str">
        <f ca="1">IF(AND(base_de_datos[[#This Row],[Civil y Administración]]&lt;&gt;"",base_de_datos[[#This Row],[Misma o no]]=1),base_de_datos[[#This Row],[Índice]],"")</f>
        <v/>
      </c>
      <c r="AV174" s="119" t="str">
        <f ca="1">IF(AND(base_de_datos[[#This Row],[Bioelectrónica]]&lt;&gt;"",base_de_datos[[#This Row],[Misma o no]]=1),base_de_datos[[#This Row],[Índice]],"")</f>
        <v/>
      </c>
      <c r="AW174" s="120"/>
      <c r="AX174" s="4" t="s">
        <v>1802</v>
      </c>
      <c r="AY174" s="6" t="s">
        <v>1805</v>
      </c>
    </row>
    <row r="175" spans="2:51" ht="13" x14ac:dyDescent="0.3">
      <c r="B175" s="6" t="s">
        <v>410</v>
      </c>
      <c r="C175" s="1" t="s">
        <v>408</v>
      </c>
      <c r="D175" s="4">
        <v>3</v>
      </c>
      <c r="E175" s="113">
        <v>0.29166666666666669</v>
      </c>
      <c r="F175" s="113">
        <v>0.374999999999999</v>
      </c>
      <c r="G175" s="4" t="s">
        <v>87</v>
      </c>
      <c r="H175" s="4" t="s">
        <v>160</v>
      </c>
      <c r="I175" s="4"/>
      <c r="J175" s="198">
        <v>27</v>
      </c>
      <c r="K175" s="115"/>
      <c r="L175" s="3"/>
      <c r="M175" s="115"/>
      <c r="N175" s="3"/>
      <c r="O175" s="4" t="s">
        <v>411</v>
      </c>
      <c r="P175" s="114" t="s">
        <v>90</v>
      </c>
      <c r="Q175" s="114"/>
      <c r="R175" s="114" t="s">
        <v>90</v>
      </c>
      <c r="S175" s="114"/>
      <c r="T175" s="114"/>
      <c r="U175" s="114"/>
      <c r="V175" s="114"/>
      <c r="W175" s="114"/>
      <c r="X175" s="116">
        <f>_xlfn.XLOOKUP(base_de_datos[[#This Row],[Materia]],Materias,Horas)/16</f>
        <v>4</v>
      </c>
      <c r="Y175" s="116">
        <f>ROUND(((base_de_datos[[#This Row],[Hora fin]]-base_de_datos[[#This Row],[Hora inicio]])*24)*(COUNTA(base_de_datos[[#This Row],[Lunes]:[Sábado]])),1)</f>
        <v>4</v>
      </c>
      <c r="Z175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75" s="117">
        <f ca="1">IF(base_de_datos[[#This Row],[No clase]]=OFFSET(base_de_datos[[#This Row],[No clase]],-1,0),0,1)</f>
        <v>1</v>
      </c>
      <c r="AB175" s="117">
        <f ca="1">IF(NOT(OR(base_de_datos[[#This Row],[Horas totales]]=base_de_datos[[#This Row],[HT Plan]],base_de_datos[[#This Row],[Horas totales]]="N/A")),1,0)</f>
        <v>0</v>
      </c>
      <c r="AC175" s="116" t="str">
        <f>_xlfn.XLOOKUP(base_de_datos[[#This Row],[Profesor]],Nombre,Grado)</f>
        <v>M</v>
      </c>
      <c r="AD175" s="118" t="str">
        <f>_xlfn.XLOOKUP(base_de_datos[[#This Row],[Profesor]],Nombre,Tipo)</f>
        <v>A</v>
      </c>
      <c r="AE175" s="116">
        <f>IF(IFERROR(VLOOKUP($C175,Planes_de_estudio[],MATCH($AE$2,Carreras,0)+2,0),"")&gt;0,IFERROR(VLOOKUP($C175,Planes_de_estudio[],MATCH($AE$2,Carreras,0)+2,0),""),"")</f>
        <v>2</v>
      </c>
      <c r="AF175" s="116">
        <f>IF(IFERROR(VLOOKUP($C175,Planes_de_estudio[],MATCH($AF$2,Carreras,0)+2,0),"")&gt;0,IFERROR(VLOOKUP($C175,Planes_de_estudio[],MATCH($AF$2,Carreras,0)+2,0),""),"")</f>
        <v>2</v>
      </c>
      <c r="AG175" s="116" t="str">
        <f>IF(IFERROR(VLOOKUP($C175,Planes_de_estudio[],MATCH($AG$2,Carreras,0)+2,0),"")&gt;0,IFERROR(VLOOKUP($C175,Planes_de_estudio[],MATCH($AG$2,Carreras,0)+2,0),""),"")</f>
        <v/>
      </c>
      <c r="AH175" s="116">
        <f>IF(IFERROR(VLOOKUP($C175,Planes_de_estudio[],MATCH($AH$2,Carreras,0)+2,0),"")&gt;0,IFERROR(VLOOKUP($C175,Planes_de_estudio[],MATCH($AH$2,Carreras,0)+2,0),""),"")</f>
        <v>2</v>
      </c>
      <c r="AI175" s="116">
        <f>IF(IFERROR(VLOOKUP($C175,Planes_de_estudio[],MATCH($AI$2,Carreras,0)+2,0),"")&gt;0,IFERROR(VLOOKUP($C175,Planes_de_estudio[],MATCH($AI$2,Carreras,0)+2,0),""),"")</f>
        <v>2</v>
      </c>
      <c r="AJ175" s="116" t="str">
        <f>IF(IFERROR(VLOOKUP($C175,Planes_de_estudio[],MATCH($AJ$2,Carreras,0)+2,0),"")&gt;0,IFERROR(VLOOKUP($C175,Planes_de_estudio[],MATCH($AJ$2,Carreras,0)+2,0),""),"")</f>
        <v/>
      </c>
      <c r="AK175" s="116">
        <f>IF(IFERROR(VLOOKUP($C175,Planes_de_estudio[],MATCH($AK$2,Carreras,0)+2,0),"")&gt;0,IFERROR(VLOOKUP($C175,Planes_de_estudio[],MATCH($AK$2,Carreras,0)+2,0),""),"")</f>
        <v>2</v>
      </c>
      <c r="AL175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75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83</v>
      </c>
      <c r="AN175" s="117">
        <f>base_de_datos[[#This Row],[Pronóstico]]/25</f>
        <v>3.32</v>
      </c>
      <c r="AO175" s="117" t="str">
        <f>VLOOKUP($C175,Planes_de_estudio[],2)</f>
        <v>COM</v>
      </c>
      <c r="AP175" s="119">
        <f ca="1">IF(AND(base_de_datos[[#This Row],[Industrial]]&lt;&gt;"",base_de_datos[[#This Row],[Misma o no]]=1),base_de_datos[[#This Row],[Índice]],"")</f>
        <v>4</v>
      </c>
      <c r="AQ175" s="119">
        <f ca="1">IF(AND(base_de_datos[[#This Row],[Mecatrónica]]&lt;&gt;"",base_de_datos[[#This Row],[Misma o no]]=1),base_de_datos[[#This Row],[Índice]],"")</f>
        <v>4</v>
      </c>
      <c r="AR175" s="119" t="str">
        <f ca="1">IF(AND(base_de_datos[[#This Row],[Innovación y Diseño]]&lt;&gt;"",base_de_datos[[#This Row],[Misma o no]]=1),base_de_datos[[#This Row],[Índice]],"")</f>
        <v/>
      </c>
      <c r="AS175" s="119">
        <f ca="1">IF(AND(base_de_datos[[#This Row],[Inteligencia Artificial]]&lt;&gt;"",base_de_datos[[#This Row],[Misma o no]]=1),base_de_datos[[#This Row],[Índice]],"")</f>
        <v>4</v>
      </c>
      <c r="AT175" s="119">
        <f ca="1">IF(AND(base_de_datos[[#This Row],[Tecnologías Energéticas]]&lt;&gt;"",base_de_datos[[#This Row],[Misma o no]]=1),base_de_datos[[#This Row],[Índice]],"")</f>
        <v>4</v>
      </c>
      <c r="AU175" s="119" t="str">
        <f ca="1">IF(AND(base_de_datos[[#This Row],[Civil y Administración]]&lt;&gt;"",base_de_datos[[#This Row],[Misma o no]]=1),base_de_datos[[#This Row],[Índice]],"")</f>
        <v/>
      </c>
      <c r="AV175" s="119">
        <f ca="1">IF(AND(base_de_datos[[#This Row],[Bioelectrónica]]&lt;&gt;"",base_de_datos[[#This Row],[Misma o no]]=1),base_de_datos[[#This Row],[Índice]],"")</f>
        <v>4</v>
      </c>
      <c r="AW175" s="120"/>
      <c r="AX175" s="4">
        <v>2</v>
      </c>
      <c r="AY175" s="6"/>
    </row>
    <row r="176" spans="2:51" ht="13" x14ac:dyDescent="0.3">
      <c r="B176" s="6" t="s">
        <v>412</v>
      </c>
      <c r="C176" s="1" t="s">
        <v>408</v>
      </c>
      <c r="D176" s="4">
        <v>1</v>
      </c>
      <c r="E176" s="113">
        <v>0.29166666666666669</v>
      </c>
      <c r="F176" s="113">
        <v>0.374999999999999</v>
      </c>
      <c r="G176" s="4" t="s">
        <v>87</v>
      </c>
      <c r="H176" s="4" t="s">
        <v>229</v>
      </c>
      <c r="I176" s="4"/>
      <c r="J176" s="198">
        <v>28</v>
      </c>
      <c r="K176" s="115"/>
      <c r="L176" s="3"/>
      <c r="M176" s="115"/>
      <c r="N176" s="3"/>
      <c r="O176" s="4" t="s">
        <v>413</v>
      </c>
      <c r="P176" s="114" t="s">
        <v>90</v>
      </c>
      <c r="Q176" s="114"/>
      <c r="R176" s="114" t="s">
        <v>90</v>
      </c>
      <c r="S176" s="114"/>
      <c r="T176" s="114"/>
      <c r="U176" s="114"/>
      <c r="V176" s="114"/>
      <c r="W176" s="114"/>
      <c r="X176" s="116">
        <f>_xlfn.XLOOKUP(base_de_datos[[#This Row],[Materia]],Materias,Horas)/16</f>
        <v>4</v>
      </c>
      <c r="Y176" s="116">
        <f>ROUND(((base_de_datos[[#This Row],[Hora fin]]-base_de_datos[[#This Row],[Hora inicio]])*24)*(COUNTA(base_de_datos[[#This Row],[Lunes]:[Sábado]])),1)</f>
        <v>4</v>
      </c>
      <c r="Z176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76" s="117">
        <f ca="1">IF(base_de_datos[[#This Row],[No clase]]=OFFSET(base_de_datos[[#This Row],[No clase]],-1,0),0,1)</f>
        <v>1</v>
      </c>
      <c r="AB176" s="117">
        <f ca="1">IF(NOT(OR(base_de_datos[[#This Row],[Horas totales]]=base_de_datos[[#This Row],[HT Plan]],base_de_datos[[#This Row],[Horas totales]]="N/A")),1,0)</f>
        <v>0</v>
      </c>
      <c r="AC176" s="116" t="str">
        <f>_xlfn.XLOOKUP(base_de_datos[[#This Row],[Profesor]],Nombre,Grado)</f>
        <v>E</v>
      </c>
      <c r="AD176" s="118" t="str">
        <f>_xlfn.XLOOKUP(base_de_datos[[#This Row],[Profesor]],Nombre,Tipo)</f>
        <v>A</v>
      </c>
      <c r="AE176" s="116">
        <f>IF(IFERROR(VLOOKUP($C176,Planes_de_estudio[],MATCH($AE$2,Carreras,0)+2,0),"")&gt;0,IFERROR(VLOOKUP($C176,Planes_de_estudio[],MATCH($AE$2,Carreras,0)+2,0),""),"")</f>
        <v>2</v>
      </c>
      <c r="AF176" s="116">
        <f>IF(IFERROR(VLOOKUP($C176,Planes_de_estudio[],MATCH($AF$2,Carreras,0)+2,0),"")&gt;0,IFERROR(VLOOKUP($C176,Planes_de_estudio[],MATCH($AF$2,Carreras,0)+2,0),""),"")</f>
        <v>2</v>
      </c>
      <c r="AG176" s="116" t="str">
        <f>IF(IFERROR(VLOOKUP($C176,Planes_de_estudio[],MATCH($AG$2,Carreras,0)+2,0),"")&gt;0,IFERROR(VLOOKUP($C176,Planes_de_estudio[],MATCH($AG$2,Carreras,0)+2,0),""),"")</f>
        <v/>
      </c>
      <c r="AH176" s="116">
        <f>IF(IFERROR(VLOOKUP($C176,Planes_de_estudio[],MATCH($AH$2,Carreras,0)+2,0),"")&gt;0,IFERROR(VLOOKUP($C176,Planes_de_estudio[],MATCH($AH$2,Carreras,0)+2,0),""),"")</f>
        <v>2</v>
      </c>
      <c r="AI176" s="116">
        <f>IF(IFERROR(VLOOKUP($C176,Planes_de_estudio[],MATCH($AI$2,Carreras,0)+2,0),"")&gt;0,IFERROR(VLOOKUP($C176,Planes_de_estudio[],MATCH($AI$2,Carreras,0)+2,0),""),"")</f>
        <v>2</v>
      </c>
      <c r="AJ176" s="116" t="str">
        <f>IF(IFERROR(VLOOKUP($C176,Planes_de_estudio[],MATCH($AJ$2,Carreras,0)+2,0),"")&gt;0,IFERROR(VLOOKUP($C176,Planes_de_estudio[],MATCH($AJ$2,Carreras,0)+2,0),""),"")</f>
        <v/>
      </c>
      <c r="AK176" s="116">
        <f>IF(IFERROR(VLOOKUP($C176,Planes_de_estudio[],MATCH($AK$2,Carreras,0)+2,0),"")&gt;0,IFERROR(VLOOKUP($C176,Planes_de_estudio[],MATCH($AK$2,Carreras,0)+2,0),""),"")</f>
        <v>2</v>
      </c>
      <c r="AL176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76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83</v>
      </c>
      <c r="AN176" s="117">
        <f>base_de_datos[[#This Row],[Pronóstico]]/25</f>
        <v>3.32</v>
      </c>
      <c r="AO176" s="117" t="str">
        <f>VLOOKUP($C176,Planes_de_estudio[],2)</f>
        <v>COM</v>
      </c>
      <c r="AP176" s="119">
        <f ca="1">IF(AND(base_de_datos[[#This Row],[Industrial]]&lt;&gt;"",base_de_datos[[#This Row],[Misma o no]]=1),base_de_datos[[#This Row],[Índice]],"")</f>
        <v>2</v>
      </c>
      <c r="AQ176" s="119">
        <f ca="1">IF(AND(base_de_datos[[#This Row],[Mecatrónica]]&lt;&gt;"",base_de_datos[[#This Row],[Misma o no]]=1),base_de_datos[[#This Row],[Índice]],"")</f>
        <v>2</v>
      </c>
      <c r="AR176" s="119" t="str">
        <f ca="1">IF(AND(base_de_datos[[#This Row],[Innovación y Diseño]]&lt;&gt;"",base_de_datos[[#This Row],[Misma o no]]=1),base_de_datos[[#This Row],[Índice]],"")</f>
        <v/>
      </c>
      <c r="AS176" s="119">
        <f ca="1">IF(AND(base_de_datos[[#This Row],[Inteligencia Artificial]]&lt;&gt;"",base_de_datos[[#This Row],[Misma o no]]=1),base_de_datos[[#This Row],[Índice]],"")</f>
        <v>2</v>
      </c>
      <c r="AT176" s="119">
        <f ca="1">IF(AND(base_de_datos[[#This Row],[Tecnologías Energéticas]]&lt;&gt;"",base_de_datos[[#This Row],[Misma o no]]=1),base_de_datos[[#This Row],[Índice]],"")</f>
        <v>2</v>
      </c>
      <c r="AU176" s="119" t="str">
        <f ca="1">IF(AND(base_de_datos[[#This Row],[Civil y Administración]]&lt;&gt;"",base_de_datos[[#This Row],[Misma o no]]=1),base_de_datos[[#This Row],[Índice]],"")</f>
        <v/>
      </c>
      <c r="AV176" s="119">
        <f ca="1">IF(AND(base_de_datos[[#This Row],[Bioelectrónica]]&lt;&gt;"",base_de_datos[[#This Row],[Misma o no]]=1),base_de_datos[[#This Row],[Índice]],"")</f>
        <v>2</v>
      </c>
      <c r="AW176" s="120"/>
      <c r="AX176" s="4">
        <v>2</v>
      </c>
      <c r="AY176" s="6"/>
    </row>
    <row r="177" spans="2:51" ht="13" x14ac:dyDescent="0.3">
      <c r="B177" s="6" t="s">
        <v>383</v>
      </c>
      <c r="C177" s="1" t="s">
        <v>400</v>
      </c>
      <c r="D177" s="4">
        <v>1</v>
      </c>
      <c r="E177" s="113">
        <v>0.72916666666666696</v>
      </c>
      <c r="F177" s="113">
        <v>0.79166666666665897</v>
      </c>
      <c r="G177" s="4" t="s">
        <v>87</v>
      </c>
      <c r="H177" s="244" t="s">
        <v>88</v>
      </c>
      <c r="I177" s="4"/>
      <c r="J177" s="198">
        <v>24</v>
      </c>
      <c r="K177" s="115"/>
      <c r="L177" s="3"/>
      <c r="M177" s="115"/>
      <c r="N177" s="3"/>
      <c r="O177" s="4">
        <v>2088</v>
      </c>
      <c r="P177" s="114" t="s">
        <v>90</v>
      </c>
      <c r="Q177" s="114"/>
      <c r="R177" s="114"/>
      <c r="S177" s="114"/>
      <c r="T177" s="114"/>
      <c r="U177" s="114"/>
      <c r="V177" s="114"/>
      <c r="W177" s="114"/>
      <c r="X177" s="116">
        <f>_xlfn.XLOOKUP(base_de_datos[[#This Row],[Materia]],Materias,Horas)/16</f>
        <v>3</v>
      </c>
      <c r="Y177" s="116">
        <f>ROUND(((base_de_datos[[#This Row],[Hora fin]]-base_de_datos[[#This Row],[Hora inicio]])*24)*(COUNTA(base_de_datos[[#This Row],[Lunes]:[Sábado]])),1)</f>
        <v>1.5</v>
      </c>
      <c r="Z177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77" s="117">
        <f ca="1">IF(base_de_datos[[#This Row],[No clase]]=OFFSET(base_de_datos[[#This Row],[No clase]],-1,0),0,1)</f>
        <v>1</v>
      </c>
      <c r="AB177" s="117">
        <f ca="1">IF(NOT(OR(base_de_datos[[#This Row],[Horas totales]]=base_de_datos[[#This Row],[HT Plan]],base_de_datos[[#This Row],[Horas totales]]="N/A")),1,0)</f>
        <v>0</v>
      </c>
      <c r="AC177" s="116" t="str">
        <f>_xlfn.XLOOKUP(base_de_datos[[#This Row],[Profesor]],Nombre,Grado)</f>
        <v>SNI</v>
      </c>
      <c r="AD177" s="118" t="str">
        <f>_xlfn.XLOOKUP(base_de_datos[[#This Row],[Profesor]],Nombre,Tipo)</f>
        <v>A</v>
      </c>
      <c r="AE177" s="116" t="str">
        <f>IF(IFERROR(VLOOKUP($C177,Planes_de_estudio[],MATCH($AE$2,Carreras,0)+2,0),"")&gt;0,IFERROR(VLOOKUP($C177,Planes_de_estudio[],MATCH($AE$2,Carreras,0)+2,0),""),"")</f>
        <v/>
      </c>
      <c r="AF177" s="116" t="str">
        <f>IF(IFERROR(VLOOKUP($C177,Planes_de_estudio[],MATCH($AF$2,Carreras,0)+2,0),"")&gt;0,IFERROR(VLOOKUP($C177,Planes_de_estudio[],MATCH($AF$2,Carreras,0)+2,0),""),"")</f>
        <v/>
      </c>
      <c r="AG177" s="116" t="str">
        <f>IF(IFERROR(VLOOKUP($C177,Planes_de_estudio[],MATCH($AG$2,Carreras,0)+2,0),"")&gt;0,IFERROR(VLOOKUP($C177,Planes_de_estudio[],MATCH($AG$2,Carreras,0)+2,0),""),"")</f>
        <v/>
      </c>
      <c r="AH177" s="116">
        <f>IF(IFERROR(VLOOKUP($C177,Planes_de_estudio[],MATCH($AH$2,Carreras,0)+2,0),"")&gt;0,IFERROR(VLOOKUP($C177,Planes_de_estudio[],MATCH($AH$2,Carreras,0)+2,0),""),"")</f>
        <v>8</v>
      </c>
      <c r="AI177" s="116" t="str">
        <f>IF(IFERROR(VLOOKUP($C177,Planes_de_estudio[],MATCH($AI$2,Carreras,0)+2,0),"")&gt;0,IFERROR(VLOOKUP($C177,Planes_de_estudio[],MATCH($AI$2,Carreras,0)+2,0),""),"")</f>
        <v/>
      </c>
      <c r="AJ177" s="116" t="str">
        <f>IF(IFERROR(VLOOKUP($C177,Planes_de_estudio[],MATCH($AJ$2,Carreras,0)+2,0),"")&gt;0,IFERROR(VLOOKUP($C177,Planes_de_estudio[],MATCH($AJ$2,Carreras,0)+2,0),""),"")</f>
        <v/>
      </c>
      <c r="AK177" s="116" t="str">
        <f>IF(IFERROR(VLOOKUP($C177,Planes_de_estudio[],MATCH($AK$2,Carreras,0)+2,0),"")&gt;0,IFERROR(VLOOKUP($C177,Planes_de_estudio[],MATCH($AK$2,Carreras,0)+2,0),""),"")</f>
        <v/>
      </c>
      <c r="AL177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77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24</v>
      </c>
      <c r="AN177" s="117">
        <f>base_de_datos[[#This Row],[Pronóstico]]/25</f>
        <v>0.96</v>
      </c>
      <c r="AO177" s="117" t="str">
        <f>VLOOKUP($C177,Planes_de_estudio[],2)</f>
        <v>COM</v>
      </c>
      <c r="AP177" s="119" t="str">
        <f ca="1">IF(AND(base_de_datos[[#This Row],[Industrial]]&lt;&gt;"",base_de_datos[[#This Row],[Misma o no]]=1),base_de_datos[[#This Row],[Índice]],"")</f>
        <v/>
      </c>
      <c r="AQ177" s="119" t="str">
        <f ca="1">IF(AND(base_de_datos[[#This Row],[Mecatrónica]]&lt;&gt;"",base_de_datos[[#This Row],[Misma o no]]=1),base_de_datos[[#This Row],[Índice]],"")</f>
        <v/>
      </c>
      <c r="AR177" s="119" t="str">
        <f ca="1">IF(AND(base_de_datos[[#This Row],[Innovación y Diseño]]&lt;&gt;"",base_de_datos[[#This Row],[Misma o no]]=1),base_de_datos[[#This Row],[Índice]],"")</f>
        <v/>
      </c>
      <c r="AS177" s="119">
        <f ca="1">IF(AND(base_de_datos[[#This Row],[Inteligencia Artificial]]&lt;&gt;"",base_de_datos[[#This Row],[Misma o no]]=1),base_de_datos[[#This Row],[Índice]],"")</f>
        <v>6</v>
      </c>
      <c r="AT177" s="119" t="str">
        <f ca="1">IF(AND(base_de_datos[[#This Row],[Tecnologías Energéticas]]&lt;&gt;"",base_de_datos[[#This Row],[Misma o no]]=1),base_de_datos[[#This Row],[Índice]],"")</f>
        <v/>
      </c>
      <c r="AU177" s="119" t="str">
        <f ca="1">IF(AND(base_de_datos[[#This Row],[Civil y Administración]]&lt;&gt;"",base_de_datos[[#This Row],[Misma o no]]=1),base_de_datos[[#This Row],[Índice]],"")</f>
        <v/>
      </c>
      <c r="AV177" s="119" t="str">
        <f ca="1">IF(AND(base_de_datos[[#This Row],[Bioelectrónica]]&lt;&gt;"",base_de_datos[[#This Row],[Misma o no]]=1),base_de_datos[[#This Row],[Índice]],"")</f>
        <v/>
      </c>
      <c r="AW177" s="120"/>
      <c r="AX177" s="4">
        <v>3</v>
      </c>
      <c r="AY177" s="6"/>
    </row>
    <row r="178" spans="2:51" ht="13" x14ac:dyDescent="0.3">
      <c r="B178" s="6" t="s">
        <v>383</v>
      </c>
      <c r="C178" s="1" t="s">
        <v>400</v>
      </c>
      <c r="D178" s="4">
        <v>1</v>
      </c>
      <c r="E178" s="113">
        <v>0.72916666666666696</v>
      </c>
      <c r="F178" s="113">
        <v>0.79166666666665897</v>
      </c>
      <c r="G178" s="4" t="s">
        <v>87</v>
      </c>
      <c r="H178" s="244" t="s">
        <v>160</v>
      </c>
      <c r="I178" s="4"/>
      <c r="J178" s="198">
        <v>24</v>
      </c>
      <c r="K178" s="115"/>
      <c r="L178" s="3"/>
      <c r="M178" s="115"/>
      <c r="N178" s="3"/>
      <c r="O178" s="4">
        <v>2088</v>
      </c>
      <c r="P178" s="114"/>
      <c r="Q178" s="114"/>
      <c r="R178" s="114"/>
      <c r="S178" s="114"/>
      <c r="T178" s="114" t="s">
        <v>90</v>
      </c>
      <c r="U178" s="114"/>
      <c r="V178" s="114"/>
      <c r="W178" s="114"/>
      <c r="X178" s="116">
        <f>_xlfn.XLOOKUP(base_de_datos[[#This Row],[Materia]],Materias,Horas)/16</f>
        <v>3</v>
      </c>
      <c r="Y178" s="116">
        <f>ROUND(((base_de_datos[[#This Row],[Hora fin]]-base_de_datos[[#This Row],[Hora inicio]])*24)*(COUNTA(base_de_datos[[#This Row],[Lunes]:[Sábado]])),1)</f>
        <v>1.5</v>
      </c>
      <c r="Z178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78" s="117">
        <f ca="1">IF(base_de_datos[[#This Row],[No clase]]=OFFSET(base_de_datos[[#This Row],[No clase]],-1,0),0,1)</f>
        <v>0</v>
      </c>
      <c r="AB178" s="117">
        <f ca="1">IF(NOT(OR(base_de_datos[[#This Row],[Horas totales]]=base_de_datos[[#This Row],[HT Plan]],base_de_datos[[#This Row],[Horas totales]]="N/A")),1,0)</f>
        <v>0</v>
      </c>
      <c r="AC178" s="116" t="str">
        <f>_xlfn.XLOOKUP(base_de_datos[[#This Row],[Profesor]],Nombre,Grado)</f>
        <v>SNI</v>
      </c>
      <c r="AD178" s="118" t="str">
        <f>_xlfn.XLOOKUP(base_de_datos[[#This Row],[Profesor]],Nombre,Tipo)</f>
        <v>A</v>
      </c>
      <c r="AE178" s="116" t="str">
        <f>IF(IFERROR(VLOOKUP($C178,Planes_de_estudio[],MATCH($AE$2,Carreras,0)+2,0),"")&gt;0,IFERROR(VLOOKUP($C178,Planes_de_estudio[],MATCH($AE$2,Carreras,0)+2,0),""),"")</f>
        <v/>
      </c>
      <c r="AF178" s="116" t="str">
        <f>IF(IFERROR(VLOOKUP($C178,Planes_de_estudio[],MATCH($AF$2,Carreras,0)+2,0),"")&gt;0,IFERROR(VLOOKUP($C178,Planes_de_estudio[],MATCH($AF$2,Carreras,0)+2,0),""),"")</f>
        <v/>
      </c>
      <c r="AG178" s="116" t="str">
        <f>IF(IFERROR(VLOOKUP($C178,Planes_de_estudio[],MATCH($AG$2,Carreras,0)+2,0),"")&gt;0,IFERROR(VLOOKUP($C178,Planes_de_estudio[],MATCH($AG$2,Carreras,0)+2,0),""),"")</f>
        <v/>
      </c>
      <c r="AH178" s="116">
        <f>IF(IFERROR(VLOOKUP($C178,Planes_de_estudio[],MATCH($AH$2,Carreras,0)+2,0),"")&gt;0,IFERROR(VLOOKUP($C178,Planes_de_estudio[],MATCH($AH$2,Carreras,0)+2,0),""),"")</f>
        <v>8</v>
      </c>
      <c r="AI178" s="116" t="str">
        <f>IF(IFERROR(VLOOKUP($C178,Planes_de_estudio[],MATCH($AI$2,Carreras,0)+2,0),"")&gt;0,IFERROR(VLOOKUP($C178,Planes_de_estudio[],MATCH($AI$2,Carreras,0)+2,0),""),"")</f>
        <v/>
      </c>
      <c r="AJ178" s="116" t="str">
        <f>IF(IFERROR(VLOOKUP($C178,Planes_de_estudio[],MATCH($AJ$2,Carreras,0)+2,0),"")&gt;0,IFERROR(VLOOKUP($C178,Planes_de_estudio[],MATCH($AJ$2,Carreras,0)+2,0),""),"")</f>
        <v/>
      </c>
      <c r="AK178" s="116" t="str">
        <f>IF(IFERROR(VLOOKUP($C178,Planes_de_estudio[],MATCH($AK$2,Carreras,0)+2,0),"")&gt;0,IFERROR(VLOOKUP($C178,Planes_de_estudio[],MATCH($AK$2,Carreras,0)+2,0),""),"")</f>
        <v/>
      </c>
      <c r="AL178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78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24</v>
      </c>
      <c r="AN178" s="117">
        <f>base_de_datos[[#This Row],[Pronóstico]]/25</f>
        <v>0.96</v>
      </c>
      <c r="AO178" s="117" t="str">
        <f>VLOOKUP($C178,Planes_de_estudio[],2)</f>
        <v>COM</v>
      </c>
      <c r="AP178" s="119" t="str">
        <f ca="1">IF(AND(base_de_datos[[#This Row],[Industrial]]&lt;&gt;"",base_de_datos[[#This Row],[Misma o no]]=1),base_de_datos[[#This Row],[Índice]],"")</f>
        <v/>
      </c>
      <c r="AQ178" s="119" t="str">
        <f ca="1">IF(AND(base_de_datos[[#This Row],[Mecatrónica]]&lt;&gt;"",base_de_datos[[#This Row],[Misma o no]]=1),base_de_datos[[#This Row],[Índice]],"")</f>
        <v/>
      </c>
      <c r="AR178" s="119" t="str">
        <f ca="1">IF(AND(base_de_datos[[#This Row],[Innovación y Diseño]]&lt;&gt;"",base_de_datos[[#This Row],[Misma o no]]=1),base_de_datos[[#This Row],[Índice]],"")</f>
        <v/>
      </c>
      <c r="AS178" s="119" t="str">
        <f ca="1">IF(AND(base_de_datos[[#This Row],[Inteligencia Artificial]]&lt;&gt;"",base_de_datos[[#This Row],[Misma o no]]=1),base_de_datos[[#This Row],[Índice]],"")</f>
        <v/>
      </c>
      <c r="AT178" s="119" t="str">
        <f ca="1">IF(AND(base_de_datos[[#This Row],[Tecnologías Energéticas]]&lt;&gt;"",base_de_datos[[#This Row],[Misma o no]]=1),base_de_datos[[#This Row],[Índice]],"")</f>
        <v/>
      </c>
      <c r="AU178" s="119" t="str">
        <f ca="1">IF(AND(base_de_datos[[#This Row],[Civil y Administración]]&lt;&gt;"",base_de_datos[[#This Row],[Misma o no]]=1),base_de_datos[[#This Row],[Índice]],"")</f>
        <v/>
      </c>
      <c r="AV178" s="119" t="str">
        <f ca="1">IF(AND(base_de_datos[[#This Row],[Bioelectrónica]]&lt;&gt;"",base_de_datos[[#This Row],[Misma o no]]=1),base_de_datos[[#This Row],[Índice]],"")</f>
        <v/>
      </c>
      <c r="AW178" s="173" t="s">
        <v>149</v>
      </c>
      <c r="AX178" s="4">
        <v>3</v>
      </c>
      <c r="AY178" s="6"/>
    </row>
    <row r="179" spans="2:51" ht="13" x14ac:dyDescent="0.3">
      <c r="B179" s="141" t="s">
        <v>405</v>
      </c>
      <c r="C179" s="1" t="s">
        <v>406</v>
      </c>
      <c r="D179" s="4">
        <v>1</v>
      </c>
      <c r="E179" s="113">
        <v>0.70833333333333304</v>
      </c>
      <c r="F179" s="113">
        <v>0.77083333333332604</v>
      </c>
      <c r="G179" s="226" t="s">
        <v>92</v>
      </c>
      <c r="H179" s="4" t="s">
        <v>229</v>
      </c>
      <c r="I179" s="4"/>
      <c r="J179" s="114">
        <v>18</v>
      </c>
      <c r="K179" s="115"/>
      <c r="L179" s="3"/>
      <c r="M179" s="115"/>
      <c r="N179" s="3"/>
      <c r="O179" s="4">
        <v>1728</v>
      </c>
      <c r="P179" s="114"/>
      <c r="Q179" s="114" t="s">
        <v>90</v>
      </c>
      <c r="R179" s="114"/>
      <c r="S179" s="114" t="s">
        <v>90</v>
      </c>
      <c r="T179" s="114"/>
      <c r="U179" s="114"/>
      <c r="V179" s="114" t="s">
        <v>90</v>
      </c>
      <c r="W179" s="114"/>
      <c r="X179" s="116">
        <f>_xlfn.XLOOKUP(base_de_datos[[#This Row],[Materia]],Materias,Horas)/16</f>
        <v>3</v>
      </c>
      <c r="Y179" s="116">
        <f>ROUND(((base_de_datos[[#This Row],[Hora fin]]-base_de_datos[[#This Row],[Hora inicio]])*24)*(COUNTA(base_de_datos[[#This Row],[Lunes]:[Sábado]])),1)</f>
        <v>3</v>
      </c>
      <c r="Z179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79" s="117">
        <f ca="1">IF(base_de_datos[[#This Row],[No clase]]=OFFSET(base_de_datos[[#This Row],[No clase]],-1,0),0,1)</f>
        <v>1</v>
      </c>
      <c r="AB179" s="117">
        <f ca="1">IF(NOT(OR(base_de_datos[[#This Row],[Horas totales]]=base_de_datos[[#This Row],[HT Plan]],base_de_datos[[#This Row],[Horas totales]]="N/A")),1,0)</f>
        <v>0</v>
      </c>
      <c r="AC179" s="116" t="str">
        <f>_xlfn.XLOOKUP(base_de_datos[[#This Row],[Profesor]],Nombre,Grado)</f>
        <v>D</v>
      </c>
      <c r="AD179" s="118" t="str">
        <f>_xlfn.XLOOKUP(base_de_datos[[#This Row],[Profesor]],Nombre,Tipo)</f>
        <v>TC</v>
      </c>
      <c r="AE179" s="116" t="str">
        <f>IF(IFERROR(VLOOKUP($C179,Planes_de_estudio[],MATCH($AE$2,Carreras,0)+2,0),"")&gt;0,IFERROR(VLOOKUP($C179,Planes_de_estudio[],MATCH($AE$2,Carreras,0)+2,0),""),"")</f>
        <v/>
      </c>
      <c r="AF179" s="116" t="str">
        <f>IF(IFERROR(VLOOKUP($C179,Planes_de_estudio[],MATCH($AF$2,Carreras,0)+2,0),"")&gt;0,IFERROR(VLOOKUP($C179,Planes_de_estudio[],MATCH($AF$2,Carreras,0)+2,0),""),"")</f>
        <v/>
      </c>
      <c r="AG179" s="116" t="str">
        <f>IF(IFERROR(VLOOKUP($C179,Planes_de_estudio[],MATCH($AG$2,Carreras,0)+2,0),"")&gt;0,IFERROR(VLOOKUP($C179,Planes_de_estudio[],MATCH($AG$2,Carreras,0)+2,0),""),"")</f>
        <v/>
      </c>
      <c r="AH179" s="116">
        <f>IF(IFERROR(VLOOKUP($C179,Planes_de_estudio[],MATCH($AH$2,Carreras,0)+2,0),"")&gt;0,IFERROR(VLOOKUP($C179,Planes_de_estudio[],MATCH($AH$2,Carreras,0)+2,0),""),"")</f>
        <v>6</v>
      </c>
      <c r="AI179" s="116" t="str">
        <f>IF(IFERROR(VLOOKUP($C179,Planes_de_estudio[],MATCH($AI$2,Carreras,0)+2,0),"")&gt;0,IFERROR(VLOOKUP($C179,Planes_de_estudio[],MATCH($AI$2,Carreras,0)+2,0),""),"")</f>
        <v/>
      </c>
      <c r="AJ179" s="116" t="str">
        <f>IF(IFERROR(VLOOKUP($C179,Planes_de_estudio[],MATCH($AJ$2,Carreras,0)+2,0),"")&gt;0,IFERROR(VLOOKUP($C179,Planes_de_estudio[],MATCH($AJ$2,Carreras,0)+2,0),""),"")</f>
        <v/>
      </c>
      <c r="AK179" s="116" t="str">
        <f>IF(IFERROR(VLOOKUP($C179,Planes_de_estudio[],MATCH($AK$2,Carreras,0)+2,0),"")&gt;0,IFERROR(VLOOKUP($C179,Planes_de_estudio[],MATCH($AK$2,Carreras,0)+2,0),""),"")</f>
        <v/>
      </c>
      <c r="AL179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79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17</v>
      </c>
      <c r="AN179" s="117">
        <f>base_de_datos[[#This Row],[Pronóstico]]/25</f>
        <v>0.68</v>
      </c>
      <c r="AO179" s="117" t="str">
        <f>VLOOKUP($C179,Planes_de_estudio[],2)</f>
        <v>COM</v>
      </c>
      <c r="AP179" s="119" t="str">
        <f ca="1">IF(AND(base_de_datos[[#This Row],[Industrial]]&lt;&gt;"",base_de_datos[[#This Row],[Misma o no]]=1),base_de_datos[[#This Row],[Índice]],"")</f>
        <v/>
      </c>
      <c r="AQ179" s="119" t="str">
        <f ca="1">IF(AND(base_de_datos[[#This Row],[Mecatrónica]]&lt;&gt;"",base_de_datos[[#This Row],[Misma o no]]=1),base_de_datos[[#This Row],[Índice]],"")</f>
        <v/>
      </c>
      <c r="AR179" s="119" t="str">
        <f ca="1">IF(AND(base_de_datos[[#This Row],[Innovación y Diseño]]&lt;&gt;"",base_de_datos[[#This Row],[Misma o no]]=1),base_de_datos[[#This Row],[Índice]],"")</f>
        <v/>
      </c>
      <c r="AS179" s="119">
        <f ca="1">IF(AND(base_de_datos[[#This Row],[Inteligencia Artificial]]&lt;&gt;"",base_de_datos[[#This Row],[Misma o no]]=1),base_de_datos[[#This Row],[Índice]],"")</f>
        <v>6</v>
      </c>
      <c r="AT179" s="119" t="str">
        <f ca="1">IF(AND(base_de_datos[[#This Row],[Tecnologías Energéticas]]&lt;&gt;"",base_de_datos[[#This Row],[Misma o no]]=1),base_de_datos[[#This Row],[Índice]],"")</f>
        <v/>
      </c>
      <c r="AU179" s="119" t="str">
        <f ca="1">IF(AND(base_de_datos[[#This Row],[Civil y Administración]]&lt;&gt;"",base_de_datos[[#This Row],[Misma o no]]=1),base_de_datos[[#This Row],[Índice]],"")</f>
        <v/>
      </c>
      <c r="AV179" s="119" t="str">
        <f ca="1">IF(AND(base_de_datos[[#This Row],[Bioelectrónica]]&lt;&gt;"",base_de_datos[[#This Row],[Misma o no]]=1),base_de_datos[[#This Row],[Índice]],"")</f>
        <v/>
      </c>
      <c r="AW179" s="120"/>
      <c r="AX179" s="4">
        <v>2</v>
      </c>
      <c r="AY179" s="6"/>
    </row>
    <row r="180" spans="2:51" ht="13" x14ac:dyDescent="0.3">
      <c r="B180" s="6" t="s">
        <v>414</v>
      </c>
      <c r="C180" s="1" t="s">
        <v>415</v>
      </c>
      <c r="D180" s="4">
        <v>1</v>
      </c>
      <c r="E180" s="113">
        <v>0.70833333333333304</v>
      </c>
      <c r="F180" s="113">
        <v>0.79166666666665897</v>
      </c>
      <c r="G180" s="4" t="s">
        <v>87</v>
      </c>
      <c r="H180" s="4" t="s">
        <v>106</v>
      </c>
      <c r="I180" s="4"/>
      <c r="J180" s="126">
        <v>10</v>
      </c>
      <c r="K180" s="142"/>
      <c r="L180" s="3"/>
      <c r="M180" s="3"/>
      <c r="N180" s="3"/>
      <c r="O180" s="4">
        <v>2689</v>
      </c>
      <c r="P180" s="114"/>
      <c r="Q180" s="114"/>
      <c r="R180" s="114" t="s">
        <v>90</v>
      </c>
      <c r="S180" s="114"/>
      <c r="T180" s="114" t="s">
        <v>90</v>
      </c>
      <c r="U180" s="114"/>
      <c r="V180" s="114"/>
      <c r="W180" s="114"/>
      <c r="X180" s="143">
        <f>_xlfn.XLOOKUP(base_de_datos[[#This Row],[Materia]],Materias,Horas)/16</f>
        <v>4</v>
      </c>
      <c r="Y180" s="143">
        <f>ROUND(((base_de_datos[[#This Row],[Hora fin]]-base_de_datos[[#This Row],[Hora inicio]])*24)*(COUNTA(base_de_datos[[#This Row],[Lunes]:[Sábado]])),1)</f>
        <v>4</v>
      </c>
      <c r="Z180" s="14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80" s="143">
        <f ca="1">IF(base_de_datos[[#This Row],[No clase]]=OFFSET(base_de_datos[[#This Row],[No clase]],-1,0),0,1)</f>
        <v>1</v>
      </c>
      <c r="AB180" s="143">
        <f ca="1">IF(NOT(OR(base_de_datos[[#This Row],[Horas totales]]=base_de_datos[[#This Row],[HT Plan]],base_de_datos[[#This Row],[Horas totales]]="N/A")),1,0)</f>
        <v>0</v>
      </c>
      <c r="AC180" s="143" t="str">
        <f>_xlfn.XLOOKUP(base_de_datos[[#This Row],[Profesor]],Nombre,Grado)</f>
        <v>L</v>
      </c>
      <c r="AD180" s="144" t="str">
        <f>_xlfn.XLOOKUP(base_de_datos[[#This Row],[Profesor]],Nombre,Tipo)</f>
        <v>A</v>
      </c>
      <c r="AE180" s="143" t="str">
        <f>IF(IFERROR(VLOOKUP($C180,Planes_de_estudio[],MATCH($AE$2,Carreras,0)+2,0),"")&gt;0,IFERROR(VLOOKUP($C180,Planes_de_estudio[],MATCH($AE$2,Carreras,0)+2,0),""),"")</f>
        <v/>
      </c>
      <c r="AF180" s="143" t="str">
        <f>IF(IFERROR(VLOOKUP($C180,Planes_de_estudio[],MATCH($AF$2,Carreras,0)+2,0),"")&gt;0,IFERROR(VLOOKUP($C180,Planes_de_estudio[],MATCH($AF$2,Carreras,0)+2,0),""),"")</f>
        <v/>
      </c>
      <c r="AG180" s="143" t="str">
        <f>IF(IFERROR(VLOOKUP($C180,Planes_de_estudio[],MATCH($AG$2,Carreras,0)+2,0),"")&gt;0,IFERROR(VLOOKUP($C180,Planes_de_estudio[],MATCH($AG$2,Carreras,0)+2,0),""),"")</f>
        <v/>
      </c>
      <c r="AH180" s="143" t="str">
        <f>IF(IFERROR(VLOOKUP($C180,Planes_de_estudio[],MATCH($AH$2,Carreras,0)+2,0),"")&gt;0,IFERROR(VLOOKUP($C180,Planes_de_estudio[],MATCH($AH$2,Carreras,0)+2,0),""),"")</f>
        <v/>
      </c>
      <c r="AI180" s="143" t="str">
        <f>IF(IFERROR(VLOOKUP($C180,Planes_de_estudio[],MATCH($AI$2,Carreras,0)+2,0),"")&gt;0,IFERROR(VLOOKUP($C180,Planes_de_estudio[],MATCH($AI$2,Carreras,0)+2,0),""),"")</f>
        <v/>
      </c>
      <c r="AJ180" s="143">
        <f>IF(IFERROR(VLOOKUP($C180,Planes_de_estudio[],MATCH($AJ$2,Carreras,0)+2,0),"")&gt;0,IFERROR(VLOOKUP($C180,Planes_de_estudio[],MATCH($AJ$2,Carreras,0)+2,0),""),"")</f>
        <v>6</v>
      </c>
      <c r="AK180" s="143" t="str">
        <f>IF(IFERROR(VLOOKUP($C180,Planes_de_estudio[],MATCH($AK$2,Carreras,0)+2,0),"")&gt;0,IFERROR(VLOOKUP($C180,Planes_de_estudio[],MATCH($AK$2,Carreras,0)+2,0),""),"")</f>
        <v/>
      </c>
      <c r="AL180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80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13</v>
      </c>
      <c r="AN180" s="143">
        <f>base_de_datos[[#This Row],[Pronóstico]]/25</f>
        <v>0.52</v>
      </c>
      <c r="AO180" s="143" t="str">
        <f>VLOOKUP($C180,Planes_de_estudio[],2)</f>
        <v>ESC</v>
      </c>
      <c r="AP180" s="112" t="str">
        <f ca="1">IF(AND(base_de_datos[[#This Row],[Industrial]]&lt;&gt;"",base_de_datos[[#This Row],[Misma o no]]=1),base_de_datos[[#This Row],[Índice]],"")</f>
        <v/>
      </c>
      <c r="AQ180" s="112" t="str">
        <f ca="1">IF(AND(base_de_datos[[#This Row],[Mecatrónica]]&lt;&gt;"",base_de_datos[[#This Row],[Misma o no]]=1),base_de_datos[[#This Row],[Índice]],"")</f>
        <v/>
      </c>
      <c r="AR180" s="112" t="str">
        <f ca="1">IF(AND(base_de_datos[[#This Row],[Innovación y Diseño]]&lt;&gt;"",base_de_datos[[#This Row],[Misma o no]]=1),base_de_datos[[#This Row],[Índice]],"")</f>
        <v/>
      </c>
      <c r="AS180" s="112" t="str">
        <f ca="1">IF(AND(base_de_datos[[#This Row],[Inteligencia Artificial]]&lt;&gt;"",base_de_datos[[#This Row],[Misma o no]]=1),base_de_datos[[#This Row],[Índice]],"")</f>
        <v/>
      </c>
      <c r="AT180" s="112" t="str">
        <f ca="1">IF(AND(base_de_datos[[#This Row],[Tecnologías Energéticas]]&lt;&gt;"",base_de_datos[[#This Row],[Misma o no]]=1),base_de_datos[[#This Row],[Índice]],"")</f>
        <v/>
      </c>
      <c r="AU180" s="112">
        <f ca="1">IF(AND(base_de_datos[[#This Row],[Civil y Administración]]&lt;&gt;"",base_de_datos[[#This Row],[Misma o no]]=1),base_de_datos[[#This Row],[Índice]],"")</f>
        <v>1</v>
      </c>
      <c r="AV180" s="112" t="str">
        <f ca="1">IF(AND(base_de_datos[[#This Row],[Bioelectrónica]]&lt;&gt;"",base_de_datos[[#This Row],[Misma o no]]=1),base_de_datos[[#This Row],[Índice]],"")</f>
        <v/>
      </c>
      <c r="AW180" s="6"/>
      <c r="AX180" s="4">
        <v>2</v>
      </c>
      <c r="AY180" s="6"/>
    </row>
    <row r="181" spans="2:51" ht="13" x14ac:dyDescent="0.3">
      <c r="B181" s="6" t="s">
        <v>123</v>
      </c>
      <c r="C181" s="1" t="s">
        <v>417</v>
      </c>
      <c r="D181" s="4">
        <v>1</v>
      </c>
      <c r="E181" s="113">
        <v>0.79166666666666696</v>
      </c>
      <c r="F181" s="113">
        <v>0.89583333333332305</v>
      </c>
      <c r="G181" s="4" t="s">
        <v>87</v>
      </c>
      <c r="H181" s="4" t="s">
        <v>132</v>
      </c>
      <c r="I181" s="4"/>
      <c r="J181" s="231">
        <v>6</v>
      </c>
      <c r="K181" s="115"/>
      <c r="L181" s="3"/>
      <c r="M181" s="127"/>
      <c r="N181" s="3"/>
      <c r="O181" s="4" t="s">
        <v>418</v>
      </c>
      <c r="P181" s="114"/>
      <c r="Q181" s="114" t="s">
        <v>90</v>
      </c>
      <c r="R181" s="114"/>
      <c r="S181" s="114"/>
      <c r="T181" s="114"/>
      <c r="U181" s="114"/>
      <c r="V181" s="114"/>
      <c r="W181" s="114"/>
      <c r="X181" s="117">
        <f>_xlfn.XLOOKUP(base_de_datos[[#This Row],[Materia]],Materias,Horas)/16</f>
        <v>5</v>
      </c>
      <c r="Y181" s="117">
        <f>ROUND(((base_de_datos[[#This Row],[Hora fin]]-base_de_datos[[#This Row],[Hora inicio]])*24)*(COUNTA(base_de_datos[[#This Row],[Lunes]:[Sábado]])),1)</f>
        <v>2.5</v>
      </c>
      <c r="Z181" s="117">
        <f ca="1">IF(base_de_datos[[#This Row],[Misma o no]]=0,"N/A",IF((OFFSET(base_de_datos[[#This Row],[Misma o no]],1,0))=0,base_de_datos[[#This Row],[Horas]]+(OFFSET(base_de_datos[[#This Row],[Horas]],1,0)),base_de_datos[[#This Row],[Horas]]))</f>
        <v>2.5</v>
      </c>
      <c r="AA181" s="117">
        <f ca="1">IF(base_de_datos[[#This Row],[No clase]]=OFFSET(base_de_datos[[#This Row],[No clase]],-1,0),0,1)</f>
        <v>1</v>
      </c>
      <c r="AB181" s="117">
        <f ca="1">IF(NOT(OR(base_de_datos[[#This Row],[Horas totales]]=base_de_datos[[#This Row],[HT Plan]],base_de_datos[[#This Row],[Horas totales]]="N/A")),1,0)</f>
        <v>1</v>
      </c>
      <c r="AC181" s="117" t="str">
        <f>_xlfn.XLOOKUP(base_de_datos[[#This Row],[Profesor]],Nombre,Grado)</f>
        <v>M</v>
      </c>
      <c r="AD181" s="118" t="str">
        <f>_xlfn.XLOOKUP(base_de_datos[[#This Row],[Profesor]],Nombre,Tipo)</f>
        <v>A</v>
      </c>
      <c r="AE181" s="117" t="str">
        <f>IF(IFERROR(VLOOKUP($C181,Planes_de_estudio[],MATCH($AE$2,Carreras,0)+2,0),"")&gt;0,IFERROR(VLOOKUP($C181,Planes_de_estudio[],MATCH($AE$2,Carreras,0)+2,0),""),"")</f>
        <v/>
      </c>
      <c r="AF181" s="117" t="str">
        <f>IF(IFERROR(VLOOKUP($C181,Planes_de_estudio[],MATCH($AF$2,Carreras,0)+2,0),"")&gt;0,IFERROR(VLOOKUP($C181,Planes_de_estudio[],MATCH($AF$2,Carreras,0)+2,0),""),"")</f>
        <v/>
      </c>
      <c r="AG181" s="117" t="str">
        <f>IF(IFERROR(VLOOKUP($C181,Planes_de_estudio[],MATCH($AG$2,Carreras,0)+2,0),"")&gt;0,IFERROR(VLOOKUP($C181,Planes_de_estudio[],MATCH($AG$2,Carreras,0)+2,0),""),"")</f>
        <v/>
      </c>
      <c r="AH181" s="117" t="str">
        <f>IF(IFERROR(VLOOKUP($C181,Planes_de_estudio[],MATCH($AH$2,Carreras,0)+2,0),"")&gt;0,IFERROR(VLOOKUP($C181,Planes_de_estudio[],MATCH($AH$2,Carreras,0)+2,0),""),"")</f>
        <v/>
      </c>
      <c r="AI181" s="117">
        <f>IF(IFERROR(VLOOKUP($C181,Planes_de_estudio[],MATCH($AI$2,Carreras,0)+2,0),"")&gt;0,IFERROR(VLOOKUP($C181,Planes_de_estudio[],MATCH($AI$2,Carreras,0)+2,0),""),"")</f>
        <v>8</v>
      </c>
      <c r="AJ181" s="117" t="str">
        <f>IF(IFERROR(VLOOKUP($C181,Planes_de_estudio[],MATCH($AJ$2,Carreras,0)+2,0),"")&gt;0,IFERROR(VLOOKUP($C181,Planes_de_estudio[],MATCH($AJ$2,Carreras,0)+2,0),""),"")</f>
        <v/>
      </c>
      <c r="AK181" s="117" t="str">
        <f>IF(IFERROR(VLOOKUP($C181,Planes_de_estudio[],MATCH($AK$2,Carreras,0)+2,0),"")&gt;0,IFERROR(VLOOKUP($C181,Planes_de_estudio[],MATCH($AK$2,Carreras,0)+2,0),""),"")</f>
        <v/>
      </c>
      <c r="AL181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81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9</v>
      </c>
      <c r="AN181" s="117">
        <f>base_de_datos[[#This Row],[Pronóstico]]/25</f>
        <v>0.36</v>
      </c>
      <c r="AO181" s="117" t="str">
        <f>VLOOKUP($C181,Planes_de_estudio[],2)</f>
        <v>ETF</v>
      </c>
      <c r="AP181" s="119" t="str">
        <f ca="1">IF(AND(base_de_datos[[#This Row],[Industrial]]&lt;&gt;"",base_de_datos[[#This Row],[Misma o no]]=1),base_de_datos[[#This Row],[Índice]],"")</f>
        <v/>
      </c>
      <c r="AQ181" s="119" t="str">
        <f ca="1">IF(AND(base_de_datos[[#This Row],[Mecatrónica]]&lt;&gt;"",base_de_datos[[#This Row],[Misma o no]]=1),base_de_datos[[#This Row],[Índice]],"")</f>
        <v/>
      </c>
      <c r="AR181" s="119" t="str">
        <f ca="1">IF(AND(base_de_datos[[#This Row],[Innovación y Diseño]]&lt;&gt;"",base_de_datos[[#This Row],[Misma o no]]=1),base_de_datos[[#This Row],[Índice]],"")</f>
        <v/>
      </c>
      <c r="AS181" s="119" t="str">
        <f ca="1">IF(AND(base_de_datos[[#This Row],[Inteligencia Artificial]]&lt;&gt;"",base_de_datos[[#This Row],[Misma o no]]=1),base_de_datos[[#This Row],[Índice]],"")</f>
        <v/>
      </c>
      <c r="AT181" s="119">
        <f ca="1">IF(AND(base_de_datos[[#This Row],[Tecnologías Energéticas]]&lt;&gt;"",base_de_datos[[#This Row],[Misma o no]]=1),base_de_datos[[#This Row],[Índice]],"")</f>
        <v>4</v>
      </c>
      <c r="AU181" s="119" t="str">
        <f ca="1">IF(AND(base_de_datos[[#This Row],[Civil y Administración]]&lt;&gt;"",base_de_datos[[#This Row],[Misma o no]]=1),base_de_datos[[#This Row],[Índice]],"")</f>
        <v/>
      </c>
      <c r="AV181" s="119" t="str">
        <f ca="1">IF(AND(base_de_datos[[#This Row],[Bioelectrónica]]&lt;&gt;"",base_de_datos[[#This Row],[Misma o no]]=1),base_de_datos[[#This Row],[Índice]],"")</f>
        <v/>
      </c>
      <c r="AW181" s="120"/>
      <c r="AX181" s="4">
        <v>3</v>
      </c>
      <c r="AY181" s="6"/>
    </row>
    <row r="182" spans="2:51" ht="26" x14ac:dyDescent="0.3">
      <c r="B182" s="9" t="s">
        <v>276</v>
      </c>
      <c r="C182" s="1" t="s">
        <v>419</v>
      </c>
      <c r="D182" s="4">
        <v>1</v>
      </c>
      <c r="E182" s="113">
        <v>0.64583333333333304</v>
      </c>
      <c r="F182" s="113">
        <v>0.70833333333332704</v>
      </c>
      <c r="G182" s="226" t="s">
        <v>92</v>
      </c>
      <c r="H182" s="121" t="s">
        <v>109</v>
      </c>
      <c r="I182" s="121"/>
      <c r="J182" s="114">
        <v>22</v>
      </c>
      <c r="K182" s="115"/>
      <c r="L182" s="3"/>
      <c r="M182" s="115"/>
      <c r="N182" s="3"/>
      <c r="O182" s="2" t="s">
        <v>420</v>
      </c>
      <c r="P182" s="114"/>
      <c r="Q182" s="114" t="s">
        <v>90</v>
      </c>
      <c r="R182" s="114"/>
      <c r="S182" s="114"/>
      <c r="T182" s="114"/>
      <c r="U182" s="114"/>
      <c r="V182" s="114"/>
      <c r="W182" s="114"/>
      <c r="X182" s="116">
        <f>_xlfn.XLOOKUP(base_de_datos[[#This Row],[Materia]],Materias,Horas)/16</f>
        <v>3</v>
      </c>
      <c r="Y182" s="116">
        <f>ROUND(((base_de_datos[[#This Row],[Hora fin]]-base_de_datos[[#This Row],[Hora inicio]])*24)*(COUNTA(base_de_datos[[#This Row],[Lunes]:[Sábado]])),1)</f>
        <v>1.5</v>
      </c>
      <c r="Z182" s="117">
        <f ca="1">IF(base_de_datos[[#This Row],[Misma o no]]=0,"N/A",IF((OFFSET(base_de_datos[[#This Row],[Misma o no]],1,0))=0,base_de_datos[[#This Row],[Horas]]+(OFFSET(base_de_datos[[#This Row],[Horas]],1,0)),base_de_datos[[#This Row],[Horas]]))</f>
        <v>1.5</v>
      </c>
      <c r="AA182" s="117">
        <f ca="1">IF(base_de_datos[[#This Row],[No clase]]=OFFSET(base_de_datos[[#This Row],[No clase]],-1,0),0,1)</f>
        <v>1</v>
      </c>
      <c r="AB182" s="117">
        <f ca="1">IF(NOT(OR(base_de_datos[[#This Row],[Horas totales]]=base_de_datos[[#This Row],[HT Plan]],base_de_datos[[#This Row],[Horas totales]]="N/A")),1,0)</f>
        <v>1</v>
      </c>
      <c r="AC182" s="116" t="str">
        <f>_xlfn.XLOOKUP(base_de_datos[[#This Row],[Profesor]],Nombre,Grado)</f>
        <v>M</v>
      </c>
      <c r="AD182" s="118" t="str">
        <f>_xlfn.XLOOKUP(base_de_datos[[#This Row],[Profesor]],Nombre,Tipo)</f>
        <v>TC</v>
      </c>
      <c r="AE182" s="116">
        <f>IF(IFERROR(VLOOKUP($C182,Planes_de_estudio[],MATCH($AE$2,Carreras,0)+2,0),"")&gt;0,IFERROR(VLOOKUP($C182,Planes_de_estudio[],MATCH($AE$2,Carreras,0)+2,0),""),"")</f>
        <v>6</v>
      </c>
      <c r="AF182" s="116">
        <f>IF(IFERROR(VLOOKUP($C182,Planes_de_estudio[],MATCH($AF$2,Carreras,0)+2,0),"")&gt;0,IFERROR(VLOOKUP($C182,Planes_de_estudio[],MATCH($AF$2,Carreras,0)+2,0),""),"")</f>
        <v>7</v>
      </c>
      <c r="AG182" s="116">
        <f>IF(IFERROR(VLOOKUP($C182,Planes_de_estudio[],MATCH($AG$2,Carreras,0)+2,0),"")&gt;0,IFERROR(VLOOKUP($C182,Planes_de_estudio[],MATCH($AG$2,Carreras,0)+2,0),""),"")</f>
        <v>7</v>
      </c>
      <c r="AH182" s="116">
        <f>IF(IFERROR(VLOOKUP($C182,Planes_de_estudio[],MATCH($AH$2,Carreras,0)+2,0),"")&gt;0,IFERROR(VLOOKUP($C182,Planes_de_estudio[],MATCH($AH$2,Carreras,0)+2,0),""),"")</f>
        <v>7</v>
      </c>
      <c r="AI182" s="116" t="str">
        <f>IF(IFERROR(VLOOKUP($C182,Planes_de_estudio[],MATCH($AI$2,Carreras,0)+2,0),"")&gt;0,IFERROR(VLOOKUP($C182,Planes_de_estudio[],MATCH($AI$2,Carreras,0)+2,0),""),"")</f>
        <v/>
      </c>
      <c r="AJ182" s="116">
        <f>IF(IFERROR(VLOOKUP($C182,Planes_de_estudio[],MATCH($AJ$2,Carreras,0)+2,0),"")&gt;0,IFERROR(VLOOKUP($C182,Planes_de_estudio[],MATCH($AJ$2,Carreras,0)+2,0),""),"")</f>
        <v>9</v>
      </c>
      <c r="AK182" s="116">
        <f>IF(IFERROR(VLOOKUP($C182,Planes_de_estudio[],MATCH($AK$2,Carreras,0)+2,0),"")&gt;0,IFERROR(VLOOKUP($C182,Planes_de_estudio[],MATCH($AK$2,Carreras,0)+2,0),""),"")</f>
        <v>5</v>
      </c>
      <c r="AL182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82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26</v>
      </c>
      <c r="AN182" s="117">
        <f>base_de_datos[[#This Row],[Pronóstico]]/25</f>
        <v>1.04</v>
      </c>
      <c r="AO182" s="117" t="str">
        <f>VLOOKUP($C182,Planes_de_estudio[],2)</f>
        <v>EMP</v>
      </c>
      <c r="AP182" s="119">
        <f ca="1">IF(AND(base_de_datos[[#This Row],[Industrial]]&lt;&gt;"",base_de_datos[[#This Row],[Misma o no]]=1),base_de_datos[[#This Row],[Índice]],"")</f>
        <v>4</v>
      </c>
      <c r="AQ182" s="119">
        <f ca="1">IF(AND(base_de_datos[[#This Row],[Mecatrónica]]&lt;&gt;"",base_de_datos[[#This Row],[Misma o no]]=1),base_de_datos[[#This Row],[Índice]],"")</f>
        <v>4</v>
      </c>
      <c r="AR182" s="119">
        <f ca="1">IF(AND(base_de_datos[[#This Row],[Innovación y Diseño]]&lt;&gt;"",base_de_datos[[#This Row],[Misma o no]]=1),base_de_datos[[#This Row],[Índice]],"")</f>
        <v>4</v>
      </c>
      <c r="AS182" s="119">
        <f ca="1">IF(AND(base_de_datos[[#This Row],[Inteligencia Artificial]]&lt;&gt;"",base_de_datos[[#This Row],[Misma o no]]=1),base_de_datos[[#This Row],[Índice]],"")</f>
        <v>4</v>
      </c>
      <c r="AT182" s="119" t="str">
        <f ca="1">IF(AND(base_de_datos[[#This Row],[Tecnologías Energéticas]]&lt;&gt;"",base_de_datos[[#This Row],[Misma o no]]=1),base_de_datos[[#This Row],[Índice]],"")</f>
        <v/>
      </c>
      <c r="AU182" s="119">
        <f ca="1">IF(AND(base_de_datos[[#This Row],[Civil y Administración]]&lt;&gt;"",base_de_datos[[#This Row],[Misma o no]]=1),base_de_datos[[#This Row],[Índice]],"")</f>
        <v>4</v>
      </c>
      <c r="AV182" s="119">
        <f ca="1">IF(AND(base_de_datos[[#This Row],[Bioelectrónica]]&lt;&gt;"",base_de_datos[[#This Row],[Misma o no]]=1),base_de_datos[[#This Row],[Índice]],"")</f>
        <v>4</v>
      </c>
      <c r="AW182" s="120"/>
      <c r="AX182" s="4" t="s">
        <v>1803</v>
      </c>
      <c r="AY182" s="6"/>
    </row>
    <row r="183" spans="2:51" ht="13" x14ac:dyDescent="0.3">
      <c r="B183" s="9" t="s">
        <v>123</v>
      </c>
      <c r="C183" s="1" t="s">
        <v>417</v>
      </c>
      <c r="D183" s="4">
        <v>1</v>
      </c>
      <c r="E183" s="113">
        <v>0.79166666666666696</v>
      </c>
      <c r="F183" s="113">
        <v>0.89583333333332305</v>
      </c>
      <c r="G183" s="4" t="s">
        <v>87</v>
      </c>
      <c r="H183" s="121" t="s">
        <v>102</v>
      </c>
      <c r="I183" s="121"/>
      <c r="J183" s="232">
        <v>6</v>
      </c>
      <c r="K183" s="115"/>
      <c r="L183" s="3"/>
      <c r="M183" s="115"/>
      <c r="N183" s="3"/>
      <c r="O183" s="4" t="s">
        <v>418</v>
      </c>
      <c r="P183" s="114"/>
      <c r="Q183" s="114"/>
      <c r="R183" s="114"/>
      <c r="S183" s="114"/>
      <c r="T183" s="114" t="s">
        <v>90</v>
      </c>
      <c r="U183" s="114"/>
      <c r="V183" s="114"/>
      <c r="W183" s="114"/>
      <c r="X183" s="116">
        <f>_xlfn.XLOOKUP(base_de_datos[[#This Row],[Materia]],Materias,Horas)/16</f>
        <v>5</v>
      </c>
      <c r="Y183" s="116">
        <f>ROUND(((base_de_datos[[#This Row],[Hora fin]]-base_de_datos[[#This Row],[Hora inicio]])*24)*(COUNTA(base_de_datos[[#This Row],[Lunes]:[Sábado]])),1)</f>
        <v>2.5</v>
      </c>
      <c r="Z183" s="117">
        <f ca="1">IF(base_de_datos[[#This Row],[Misma o no]]=0,"N/A",IF((OFFSET(base_de_datos[[#This Row],[Misma o no]],1,0))=0,base_de_datos[[#This Row],[Horas]]+(OFFSET(base_de_datos[[#This Row],[Horas]],1,0)),base_de_datos[[#This Row],[Horas]]))</f>
        <v>2.5</v>
      </c>
      <c r="AA183" s="117">
        <f ca="1">IF(base_de_datos[[#This Row],[No clase]]=OFFSET(base_de_datos[[#This Row],[No clase]],-1,0),0,1)</f>
        <v>1</v>
      </c>
      <c r="AB183" s="117">
        <f ca="1">IF(NOT(OR(base_de_datos[[#This Row],[Horas totales]]=base_de_datos[[#This Row],[HT Plan]],base_de_datos[[#This Row],[Horas totales]]="N/A")),1,0)</f>
        <v>1</v>
      </c>
      <c r="AC183" s="116" t="str">
        <f>_xlfn.XLOOKUP(base_de_datos[[#This Row],[Profesor]],Nombre,Grado)</f>
        <v>M</v>
      </c>
      <c r="AD183" s="118" t="str">
        <f>_xlfn.XLOOKUP(base_de_datos[[#This Row],[Profesor]],Nombre,Tipo)</f>
        <v>A</v>
      </c>
      <c r="AE183" s="116" t="str">
        <f>IF(IFERROR(VLOOKUP($C183,Planes_de_estudio[],MATCH($AE$2,Carreras,0)+2,0),"")&gt;0,IFERROR(VLOOKUP($C183,Planes_de_estudio[],MATCH($AE$2,Carreras,0)+2,0),""),"")</f>
        <v/>
      </c>
      <c r="AF183" s="116" t="str">
        <f>IF(IFERROR(VLOOKUP($C183,Planes_de_estudio[],MATCH($AF$2,Carreras,0)+2,0),"")&gt;0,IFERROR(VLOOKUP($C183,Planes_de_estudio[],MATCH($AF$2,Carreras,0)+2,0),""),"")</f>
        <v/>
      </c>
      <c r="AG183" s="116" t="str">
        <f>IF(IFERROR(VLOOKUP($C183,Planes_de_estudio[],MATCH($AG$2,Carreras,0)+2,0),"")&gt;0,IFERROR(VLOOKUP($C183,Planes_de_estudio[],MATCH($AG$2,Carreras,0)+2,0),""),"")</f>
        <v/>
      </c>
      <c r="AH183" s="116" t="str">
        <f>IF(IFERROR(VLOOKUP($C183,Planes_de_estudio[],MATCH($AH$2,Carreras,0)+2,0),"")&gt;0,IFERROR(VLOOKUP($C183,Planes_de_estudio[],MATCH($AH$2,Carreras,0)+2,0),""),"")</f>
        <v/>
      </c>
      <c r="AI183" s="116">
        <f>IF(IFERROR(VLOOKUP($C183,Planes_de_estudio[],MATCH($AI$2,Carreras,0)+2,0),"")&gt;0,IFERROR(VLOOKUP($C183,Planes_de_estudio[],MATCH($AI$2,Carreras,0)+2,0),""),"")</f>
        <v>8</v>
      </c>
      <c r="AJ183" s="116" t="str">
        <f>IF(IFERROR(VLOOKUP($C183,Planes_de_estudio[],MATCH($AJ$2,Carreras,0)+2,0),"")&gt;0,IFERROR(VLOOKUP($C183,Planes_de_estudio[],MATCH($AJ$2,Carreras,0)+2,0),""),"")</f>
        <v/>
      </c>
      <c r="AK183" s="116" t="str">
        <f>IF(IFERROR(VLOOKUP($C183,Planes_de_estudio[],MATCH($AK$2,Carreras,0)+2,0),"")&gt;0,IFERROR(VLOOKUP($C183,Planes_de_estudio[],MATCH($AK$2,Carreras,0)+2,0),""),"")</f>
        <v/>
      </c>
      <c r="AL183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83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9</v>
      </c>
      <c r="AN183" s="117">
        <f>base_de_datos[[#This Row],[Pronóstico]]/25</f>
        <v>0.36</v>
      </c>
      <c r="AO183" s="117" t="str">
        <f>VLOOKUP($C183,Planes_de_estudio[],2)</f>
        <v>ETF</v>
      </c>
      <c r="AP183" s="119" t="str">
        <f ca="1">IF(AND(base_de_datos[[#This Row],[Industrial]]&lt;&gt;"",base_de_datos[[#This Row],[Misma o no]]=1),base_de_datos[[#This Row],[Índice]],"")</f>
        <v/>
      </c>
      <c r="AQ183" s="119" t="str">
        <f ca="1">IF(AND(base_de_datos[[#This Row],[Mecatrónica]]&lt;&gt;"",base_de_datos[[#This Row],[Misma o no]]=1),base_de_datos[[#This Row],[Índice]],"")</f>
        <v/>
      </c>
      <c r="AR183" s="119" t="str">
        <f ca="1">IF(AND(base_de_datos[[#This Row],[Innovación y Diseño]]&lt;&gt;"",base_de_datos[[#This Row],[Misma o no]]=1),base_de_datos[[#This Row],[Índice]],"")</f>
        <v/>
      </c>
      <c r="AS183" s="119" t="str">
        <f ca="1">IF(AND(base_de_datos[[#This Row],[Inteligencia Artificial]]&lt;&gt;"",base_de_datos[[#This Row],[Misma o no]]=1),base_de_datos[[#This Row],[Índice]],"")</f>
        <v/>
      </c>
      <c r="AT183" s="119">
        <f ca="1">IF(AND(base_de_datos[[#This Row],[Tecnologías Energéticas]]&lt;&gt;"",base_de_datos[[#This Row],[Misma o no]]=1),base_de_datos[[#This Row],[Índice]],"")</f>
        <v>4</v>
      </c>
      <c r="AU183" s="119" t="str">
        <f ca="1">IF(AND(base_de_datos[[#This Row],[Civil y Administración]]&lt;&gt;"",base_de_datos[[#This Row],[Misma o no]]=1),base_de_datos[[#This Row],[Índice]],"")</f>
        <v/>
      </c>
      <c r="AV183" s="119" t="str">
        <f ca="1">IF(AND(base_de_datos[[#This Row],[Bioelectrónica]]&lt;&gt;"",base_de_datos[[#This Row],[Misma o no]]=1),base_de_datos[[#This Row],[Índice]],"")</f>
        <v/>
      </c>
      <c r="AW183" s="120"/>
      <c r="AX183" s="4">
        <v>3</v>
      </c>
      <c r="AY183" s="6"/>
    </row>
    <row r="184" spans="2:51" ht="26" x14ac:dyDescent="0.3">
      <c r="B184" s="9" t="s">
        <v>276</v>
      </c>
      <c r="C184" s="1" t="s">
        <v>419</v>
      </c>
      <c r="D184" s="4">
        <v>1</v>
      </c>
      <c r="E184" s="113">
        <v>0.64583333333333304</v>
      </c>
      <c r="F184" s="113">
        <v>0.70833333333332704</v>
      </c>
      <c r="G184" s="226" t="s">
        <v>92</v>
      </c>
      <c r="H184" s="4" t="s">
        <v>98</v>
      </c>
      <c r="I184" s="4"/>
      <c r="J184" s="114">
        <v>22</v>
      </c>
      <c r="K184" s="115"/>
      <c r="L184" s="3"/>
      <c r="M184" s="115"/>
      <c r="N184" s="3"/>
      <c r="O184" s="2" t="s">
        <v>420</v>
      </c>
      <c r="P184" s="114"/>
      <c r="Q184" s="114"/>
      <c r="R184" s="114"/>
      <c r="S184" s="114" t="s">
        <v>90</v>
      </c>
      <c r="T184" s="114"/>
      <c r="U184" s="114"/>
      <c r="V184" s="114"/>
      <c r="W184" s="114"/>
      <c r="X184" s="116">
        <f>_xlfn.XLOOKUP(base_de_datos[[#This Row],[Materia]],Materias,Horas)/16</f>
        <v>3</v>
      </c>
      <c r="Y184" s="116">
        <f>ROUND(((base_de_datos[[#This Row],[Hora fin]]-base_de_datos[[#This Row],[Hora inicio]])*24)*(COUNTA(base_de_datos[[#This Row],[Lunes]:[Sábado]])),1)</f>
        <v>1.5</v>
      </c>
      <c r="Z184" s="117">
        <f ca="1">IF(base_de_datos[[#This Row],[Misma o no]]=0,"N/A",IF((OFFSET(base_de_datos[[#This Row],[Misma o no]],1,0))=0,base_de_datos[[#This Row],[Horas]]+(OFFSET(base_de_datos[[#This Row],[Horas]],1,0)),base_de_datos[[#This Row],[Horas]]))</f>
        <v>1.5</v>
      </c>
      <c r="AA184" s="117">
        <f ca="1">IF(base_de_datos[[#This Row],[No clase]]=OFFSET(base_de_datos[[#This Row],[No clase]],-1,0),0,1)</f>
        <v>1</v>
      </c>
      <c r="AB184" s="117">
        <f ca="1">IF(NOT(OR(base_de_datos[[#This Row],[Horas totales]]=base_de_datos[[#This Row],[HT Plan]],base_de_datos[[#This Row],[Horas totales]]="N/A")),1,0)</f>
        <v>1</v>
      </c>
      <c r="AC184" s="116" t="str">
        <f>_xlfn.XLOOKUP(base_de_datos[[#This Row],[Profesor]],Nombre,Grado)</f>
        <v>M</v>
      </c>
      <c r="AD184" s="118" t="str">
        <f>_xlfn.XLOOKUP(base_de_datos[[#This Row],[Profesor]],Nombre,Tipo)</f>
        <v>TC</v>
      </c>
      <c r="AE184" s="116">
        <f>IF(IFERROR(VLOOKUP($C184,Planes_de_estudio[],MATCH($AE$2,Carreras,0)+2,0),"")&gt;0,IFERROR(VLOOKUP($C184,Planes_de_estudio[],MATCH($AE$2,Carreras,0)+2,0),""),"")</f>
        <v>6</v>
      </c>
      <c r="AF184" s="116">
        <f>IF(IFERROR(VLOOKUP($C184,Planes_de_estudio[],MATCH($AF$2,Carreras,0)+2,0),"")&gt;0,IFERROR(VLOOKUP($C184,Planes_de_estudio[],MATCH($AF$2,Carreras,0)+2,0),""),"")</f>
        <v>7</v>
      </c>
      <c r="AG184" s="116">
        <f>IF(IFERROR(VLOOKUP($C184,Planes_de_estudio[],MATCH($AG$2,Carreras,0)+2,0),"")&gt;0,IFERROR(VLOOKUP($C184,Planes_de_estudio[],MATCH($AG$2,Carreras,0)+2,0),""),"")</f>
        <v>7</v>
      </c>
      <c r="AH184" s="116">
        <f>IF(IFERROR(VLOOKUP($C184,Planes_de_estudio[],MATCH($AH$2,Carreras,0)+2,0),"")&gt;0,IFERROR(VLOOKUP($C184,Planes_de_estudio[],MATCH($AH$2,Carreras,0)+2,0),""),"")</f>
        <v>7</v>
      </c>
      <c r="AI184" s="116" t="str">
        <f>IF(IFERROR(VLOOKUP($C184,Planes_de_estudio[],MATCH($AI$2,Carreras,0)+2,0),"")&gt;0,IFERROR(VLOOKUP($C184,Planes_de_estudio[],MATCH($AI$2,Carreras,0)+2,0),""),"")</f>
        <v/>
      </c>
      <c r="AJ184" s="116">
        <f>IF(IFERROR(VLOOKUP($C184,Planes_de_estudio[],MATCH($AJ$2,Carreras,0)+2,0),"")&gt;0,IFERROR(VLOOKUP($C184,Planes_de_estudio[],MATCH($AJ$2,Carreras,0)+2,0),""),"")</f>
        <v>9</v>
      </c>
      <c r="AK184" s="116">
        <f>IF(IFERROR(VLOOKUP($C184,Planes_de_estudio[],MATCH($AK$2,Carreras,0)+2,0),"")&gt;0,IFERROR(VLOOKUP($C184,Planes_de_estudio[],MATCH($AK$2,Carreras,0)+2,0),""),"")</f>
        <v>5</v>
      </c>
      <c r="AL184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84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26</v>
      </c>
      <c r="AN184" s="117">
        <f>base_de_datos[[#This Row],[Pronóstico]]/25</f>
        <v>1.04</v>
      </c>
      <c r="AO184" s="117" t="str">
        <f>VLOOKUP($C184,Planes_de_estudio[],2)</f>
        <v>EMP</v>
      </c>
      <c r="AP184" s="119">
        <f ca="1">IF(AND(base_de_datos[[#This Row],[Industrial]]&lt;&gt;"",base_de_datos[[#This Row],[Misma o no]]=1),base_de_datos[[#This Row],[Índice]],"")</f>
        <v>4</v>
      </c>
      <c r="AQ184" s="119">
        <f ca="1">IF(AND(base_de_datos[[#This Row],[Mecatrónica]]&lt;&gt;"",base_de_datos[[#This Row],[Misma o no]]=1),base_de_datos[[#This Row],[Índice]],"")</f>
        <v>4</v>
      </c>
      <c r="AR184" s="119">
        <f ca="1">IF(AND(base_de_datos[[#This Row],[Innovación y Diseño]]&lt;&gt;"",base_de_datos[[#This Row],[Misma o no]]=1),base_de_datos[[#This Row],[Índice]],"")</f>
        <v>4</v>
      </c>
      <c r="AS184" s="119">
        <f ca="1">IF(AND(base_de_datos[[#This Row],[Inteligencia Artificial]]&lt;&gt;"",base_de_datos[[#This Row],[Misma o no]]=1),base_de_datos[[#This Row],[Índice]],"")</f>
        <v>4</v>
      </c>
      <c r="AT184" s="119" t="str">
        <f ca="1">IF(AND(base_de_datos[[#This Row],[Tecnologías Energéticas]]&lt;&gt;"",base_de_datos[[#This Row],[Misma o no]]=1),base_de_datos[[#This Row],[Índice]],"")</f>
        <v/>
      </c>
      <c r="AU184" s="119">
        <f ca="1">IF(AND(base_de_datos[[#This Row],[Civil y Administración]]&lt;&gt;"",base_de_datos[[#This Row],[Misma o no]]=1),base_de_datos[[#This Row],[Índice]],"")</f>
        <v>4</v>
      </c>
      <c r="AV184" s="119">
        <f ca="1">IF(AND(base_de_datos[[#This Row],[Bioelectrónica]]&lt;&gt;"",base_de_datos[[#This Row],[Misma o no]]=1),base_de_datos[[#This Row],[Índice]],"")</f>
        <v>4</v>
      </c>
      <c r="AW184" s="120"/>
      <c r="AX184" s="4" t="s">
        <v>1803</v>
      </c>
      <c r="AY184" s="6"/>
    </row>
    <row r="185" spans="2:51" ht="13" x14ac:dyDescent="0.3">
      <c r="B185" s="6" t="s">
        <v>262</v>
      </c>
      <c r="C185" s="1" t="s">
        <v>127</v>
      </c>
      <c r="D185" s="4">
        <v>1</v>
      </c>
      <c r="E185" s="113">
        <v>0.375</v>
      </c>
      <c r="F185" s="113">
        <v>0.45833333333333098</v>
      </c>
      <c r="G185" s="4" t="s">
        <v>87</v>
      </c>
      <c r="H185" s="84" t="s">
        <v>18</v>
      </c>
      <c r="I185" s="4"/>
      <c r="J185" s="114">
        <v>21</v>
      </c>
      <c r="K185" s="115"/>
      <c r="L185" s="3"/>
      <c r="M185" s="115"/>
      <c r="N185" s="3"/>
      <c r="O185" s="4" t="s">
        <v>423</v>
      </c>
      <c r="P185" s="114"/>
      <c r="Q185" s="114"/>
      <c r="R185" s="114" t="s">
        <v>90</v>
      </c>
      <c r="S185" s="114"/>
      <c r="T185" s="114"/>
      <c r="U185" s="114"/>
      <c r="V185" s="114"/>
      <c r="W185" s="114"/>
      <c r="X185" s="116">
        <f>_xlfn.XLOOKUP(base_de_datos[[#This Row],[Materia]],Materias,Horas)/16</f>
        <v>4</v>
      </c>
      <c r="Y185" s="116">
        <f>ROUND(((base_de_datos[[#This Row],[Hora fin]]-base_de_datos[[#This Row],[Hora inicio]])*24)*(COUNTA(base_de_datos[[#This Row],[Lunes]:[Sábado]])),1)</f>
        <v>2</v>
      </c>
      <c r="Z185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85" s="117">
        <f ca="1">IF(base_de_datos[[#This Row],[No clase]]=OFFSET(base_de_datos[[#This Row],[No clase]],-1,0),0,1)</f>
        <v>1</v>
      </c>
      <c r="AB185" s="117">
        <f ca="1">IF(NOT(OR(base_de_datos[[#This Row],[Horas totales]]=base_de_datos[[#This Row],[HT Plan]],base_de_datos[[#This Row],[Horas totales]]="N/A")),1,0)</f>
        <v>0</v>
      </c>
      <c r="AC185" s="116" t="str">
        <f>_xlfn.XLOOKUP(base_de_datos[[#This Row],[Profesor]],Nombre,Grado)</f>
        <v>D</v>
      </c>
      <c r="AD185" s="118" t="str">
        <f>_xlfn.XLOOKUP(base_de_datos[[#This Row],[Profesor]],Nombre,Tipo)</f>
        <v>A</v>
      </c>
      <c r="AE185" s="116">
        <f>IF(IFERROR(VLOOKUP($C185,Planes_de_estudio[],MATCH($AE$2,Carreras,0)+2,0),"")&gt;0,IFERROR(VLOOKUP($C185,Planes_de_estudio[],MATCH($AE$2,Carreras,0)+2,0),""),"")</f>
        <v>1</v>
      </c>
      <c r="AF185" s="116">
        <f>IF(IFERROR(VLOOKUP($C185,Planes_de_estudio[],MATCH($AF$2,Carreras,0)+2,0),"")&gt;0,IFERROR(VLOOKUP($C185,Planes_de_estudio[],MATCH($AF$2,Carreras,0)+2,0),""),"")</f>
        <v>1</v>
      </c>
      <c r="AG185" s="116">
        <f>IF(IFERROR(VLOOKUP($C185,Planes_de_estudio[],MATCH($AG$2,Carreras,0)+2,0),"")&gt;0,IFERROR(VLOOKUP($C185,Planes_de_estudio[],MATCH($AG$2,Carreras,0)+2,0),""),"")</f>
        <v>2</v>
      </c>
      <c r="AH185" s="116">
        <f>IF(IFERROR(VLOOKUP($C185,Planes_de_estudio[],MATCH($AH$2,Carreras,0)+2,0),"")&gt;0,IFERROR(VLOOKUP($C185,Planes_de_estudio[],MATCH($AH$2,Carreras,0)+2,0),""),"")</f>
        <v>1</v>
      </c>
      <c r="AI185" s="116">
        <f>IF(IFERROR(VLOOKUP($C185,Planes_de_estudio[],MATCH($AI$2,Carreras,0)+2,0),"")&gt;0,IFERROR(VLOOKUP($C185,Planes_de_estudio[],MATCH($AI$2,Carreras,0)+2,0),""),"")</f>
        <v>1</v>
      </c>
      <c r="AJ185" s="116" t="str">
        <f>IF(IFERROR(VLOOKUP($C185,Planes_de_estudio[],MATCH($AJ$2,Carreras,0)+2,0),"")&gt;0,IFERROR(VLOOKUP($C185,Planes_de_estudio[],MATCH($AJ$2,Carreras,0)+2,0),""),"")</f>
        <v/>
      </c>
      <c r="AK185" s="116">
        <f>IF(IFERROR(VLOOKUP($C185,Planes_de_estudio[],MATCH($AK$2,Carreras,0)+2,0),"")&gt;0,IFERROR(VLOOKUP($C185,Planes_de_estudio[],MATCH($AK$2,Carreras,0)+2,0),""),"")</f>
        <v>1</v>
      </c>
      <c r="AL185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85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29</v>
      </c>
      <c r="AN185" s="117">
        <f>base_de_datos[[#This Row],[Pronóstico]]/25</f>
        <v>1.1599999999999999</v>
      </c>
      <c r="AO185" s="117" t="str">
        <f>VLOOKUP($C185,Planes_de_estudio[],2)</f>
        <v>ETF</v>
      </c>
      <c r="AP185" s="119">
        <f ca="1">IF(AND(base_de_datos[[#This Row],[Industrial]]&lt;&gt;"",base_de_datos[[#This Row],[Misma o no]]=1),base_de_datos[[#This Row],[Índice]],"")</f>
        <v>6</v>
      </c>
      <c r="AQ185" s="119">
        <f ca="1">IF(AND(base_de_datos[[#This Row],[Mecatrónica]]&lt;&gt;"",base_de_datos[[#This Row],[Misma o no]]=1),base_de_datos[[#This Row],[Índice]],"")</f>
        <v>6</v>
      </c>
      <c r="AR185" s="119">
        <f ca="1">IF(AND(base_de_datos[[#This Row],[Innovación y Diseño]]&lt;&gt;"",base_de_datos[[#This Row],[Misma o no]]=1),base_de_datos[[#This Row],[Índice]],"")</f>
        <v>6</v>
      </c>
      <c r="AS185" s="119">
        <f ca="1">IF(AND(base_de_datos[[#This Row],[Inteligencia Artificial]]&lt;&gt;"",base_de_datos[[#This Row],[Misma o no]]=1),base_de_datos[[#This Row],[Índice]],"")</f>
        <v>6</v>
      </c>
      <c r="AT185" s="119">
        <f ca="1">IF(AND(base_de_datos[[#This Row],[Tecnologías Energéticas]]&lt;&gt;"",base_de_datos[[#This Row],[Misma o no]]=1),base_de_datos[[#This Row],[Índice]],"")</f>
        <v>6</v>
      </c>
      <c r="AU185" s="119" t="str">
        <f ca="1">IF(AND(base_de_datos[[#This Row],[Civil y Administración]]&lt;&gt;"",base_de_datos[[#This Row],[Misma o no]]=1),base_de_datos[[#This Row],[Índice]],"")</f>
        <v/>
      </c>
      <c r="AV185" s="119">
        <f ca="1">IF(AND(base_de_datos[[#This Row],[Bioelectrónica]]&lt;&gt;"",base_de_datos[[#This Row],[Misma o no]]=1),base_de_datos[[#This Row],[Índice]],"")</f>
        <v>6</v>
      </c>
      <c r="AW185" s="120"/>
      <c r="AX185" s="4" t="s">
        <v>1818</v>
      </c>
      <c r="AY185" s="6"/>
    </row>
    <row r="186" spans="2:51" ht="13" x14ac:dyDescent="0.3">
      <c r="B186" s="141" t="s">
        <v>262</v>
      </c>
      <c r="C186" s="1" t="s">
        <v>127</v>
      </c>
      <c r="D186" s="4">
        <v>1</v>
      </c>
      <c r="E186" s="113">
        <v>0.29166666666666669</v>
      </c>
      <c r="F186" s="113">
        <v>0.374999999999999</v>
      </c>
      <c r="G186" s="4" t="s">
        <v>87</v>
      </c>
      <c r="H186" s="84" t="s">
        <v>18</v>
      </c>
      <c r="I186" s="4"/>
      <c r="J186" s="126">
        <v>21</v>
      </c>
      <c r="K186" s="115"/>
      <c r="L186" s="3"/>
      <c r="M186" s="127"/>
      <c r="N186" s="3"/>
      <c r="O186" s="4" t="s">
        <v>423</v>
      </c>
      <c r="P186" s="114"/>
      <c r="Q186" s="114"/>
      <c r="R186" s="114"/>
      <c r="S186" s="114"/>
      <c r="T186" s="114" t="s">
        <v>90</v>
      </c>
      <c r="U186" s="114"/>
      <c r="V186" s="114"/>
      <c r="W186" s="114"/>
      <c r="X186" s="117">
        <f>_xlfn.XLOOKUP(base_de_datos[[#This Row],[Materia]],Materias,Horas)/16</f>
        <v>4</v>
      </c>
      <c r="Y186" s="117">
        <f>ROUND(((base_de_datos[[#This Row],[Hora fin]]-base_de_datos[[#This Row],[Hora inicio]])*24)*(COUNTA(base_de_datos[[#This Row],[Lunes]:[Sábado]])),1)</f>
        <v>2</v>
      </c>
      <c r="Z186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86" s="117">
        <f ca="1">IF(base_de_datos[[#This Row],[No clase]]=OFFSET(base_de_datos[[#This Row],[No clase]],-1,0),0,1)</f>
        <v>0</v>
      </c>
      <c r="AB186" s="117">
        <f ca="1">IF(NOT(OR(base_de_datos[[#This Row],[Horas totales]]=base_de_datos[[#This Row],[HT Plan]],base_de_datos[[#This Row],[Horas totales]]="N/A")),1,0)</f>
        <v>0</v>
      </c>
      <c r="AC186" s="117" t="str">
        <f>_xlfn.XLOOKUP(base_de_datos[[#This Row],[Profesor]],Nombre,Grado)</f>
        <v>D</v>
      </c>
      <c r="AD186" s="118" t="str">
        <f>_xlfn.XLOOKUP(base_de_datos[[#This Row],[Profesor]],Nombre,Tipo)</f>
        <v>A</v>
      </c>
      <c r="AE186" s="117">
        <f>IF(IFERROR(VLOOKUP($C186,Planes_de_estudio[],MATCH($AE$2,Carreras,0)+2,0),"")&gt;0,IFERROR(VLOOKUP($C186,Planes_de_estudio[],MATCH($AE$2,Carreras,0)+2,0),""),"")</f>
        <v>1</v>
      </c>
      <c r="AF186" s="117">
        <f>IF(IFERROR(VLOOKUP($C186,Planes_de_estudio[],MATCH($AF$2,Carreras,0)+2,0),"")&gt;0,IFERROR(VLOOKUP($C186,Planes_de_estudio[],MATCH($AF$2,Carreras,0)+2,0),""),"")</f>
        <v>1</v>
      </c>
      <c r="AG186" s="117">
        <f>IF(IFERROR(VLOOKUP($C186,Planes_de_estudio[],MATCH($AG$2,Carreras,0)+2,0),"")&gt;0,IFERROR(VLOOKUP($C186,Planes_de_estudio[],MATCH($AG$2,Carreras,0)+2,0),""),"")</f>
        <v>2</v>
      </c>
      <c r="AH186" s="117">
        <f>IF(IFERROR(VLOOKUP($C186,Planes_de_estudio[],MATCH($AH$2,Carreras,0)+2,0),"")&gt;0,IFERROR(VLOOKUP($C186,Planes_de_estudio[],MATCH($AH$2,Carreras,0)+2,0),""),"")</f>
        <v>1</v>
      </c>
      <c r="AI186" s="117">
        <f>IF(IFERROR(VLOOKUP($C186,Planes_de_estudio[],MATCH($AI$2,Carreras,0)+2,0),"")&gt;0,IFERROR(VLOOKUP($C186,Planes_de_estudio[],MATCH($AI$2,Carreras,0)+2,0),""),"")</f>
        <v>1</v>
      </c>
      <c r="AJ186" s="117" t="str">
        <f>IF(IFERROR(VLOOKUP($C186,Planes_de_estudio[],MATCH($AJ$2,Carreras,0)+2,0),"")&gt;0,IFERROR(VLOOKUP($C186,Planes_de_estudio[],MATCH($AJ$2,Carreras,0)+2,0),""),"")</f>
        <v/>
      </c>
      <c r="AK186" s="117">
        <f>IF(IFERROR(VLOOKUP($C186,Planes_de_estudio[],MATCH($AK$2,Carreras,0)+2,0),"")&gt;0,IFERROR(VLOOKUP($C186,Planes_de_estudio[],MATCH($AK$2,Carreras,0)+2,0),""),"")</f>
        <v>1</v>
      </c>
      <c r="AL186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86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29</v>
      </c>
      <c r="AN186" s="117">
        <f>base_de_datos[[#This Row],[Pronóstico]]/25</f>
        <v>1.1599999999999999</v>
      </c>
      <c r="AO186" s="117" t="str">
        <f>VLOOKUP($C186,Planes_de_estudio[],2)</f>
        <v>ETF</v>
      </c>
      <c r="AP186" s="119" t="str">
        <f ca="1">IF(AND(base_de_datos[[#This Row],[Industrial]]&lt;&gt;"",base_de_datos[[#This Row],[Misma o no]]=1),base_de_datos[[#This Row],[Índice]],"")</f>
        <v/>
      </c>
      <c r="AQ186" s="119" t="str">
        <f ca="1">IF(AND(base_de_datos[[#This Row],[Mecatrónica]]&lt;&gt;"",base_de_datos[[#This Row],[Misma o no]]=1),base_de_datos[[#This Row],[Índice]],"")</f>
        <v/>
      </c>
      <c r="AR186" s="119" t="str">
        <f ca="1">IF(AND(base_de_datos[[#This Row],[Innovación y Diseño]]&lt;&gt;"",base_de_datos[[#This Row],[Misma o no]]=1),base_de_datos[[#This Row],[Índice]],"")</f>
        <v/>
      </c>
      <c r="AS186" s="119" t="str">
        <f ca="1">IF(AND(base_de_datos[[#This Row],[Inteligencia Artificial]]&lt;&gt;"",base_de_datos[[#This Row],[Misma o no]]=1),base_de_datos[[#This Row],[Índice]],"")</f>
        <v/>
      </c>
      <c r="AT186" s="119" t="str">
        <f ca="1">IF(AND(base_de_datos[[#This Row],[Tecnologías Energéticas]]&lt;&gt;"",base_de_datos[[#This Row],[Misma o no]]=1),base_de_datos[[#This Row],[Índice]],"")</f>
        <v/>
      </c>
      <c r="AU186" s="119" t="str">
        <f ca="1">IF(AND(base_de_datos[[#This Row],[Civil y Administración]]&lt;&gt;"",base_de_datos[[#This Row],[Misma o no]]=1),base_de_datos[[#This Row],[Índice]],"")</f>
        <v/>
      </c>
      <c r="AV186" s="119" t="str">
        <f ca="1">IF(AND(base_de_datos[[#This Row],[Bioelectrónica]]&lt;&gt;"",base_de_datos[[#This Row],[Misma o no]]=1),base_de_datos[[#This Row],[Índice]],"")</f>
        <v/>
      </c>
      <c r="AW186" s="120"/>
      <c r="AX186" s="4" t="s">
        <v>1818</v>
      </c>
      <c r="AY186" s="6"/>
    </row>
    <row r="187" spans="2:51" ht="13" x14ac:dyDescent="0.3">
      <c r="B187" s="9" t="s">
        <v>104</v>
      </c>
      <c r="C187" s="1" t="s">
        <v>464</v>
      </c>
      <c r="D187" s="4">
        <v>1</v>
      </c>
      <c r="E187" s="113">
        <v>0.5</v>
      </c>
      <c r="F187" s="113">
        <v>0.58333333333332904</v>
      </c>
      <c r="G187" s="226" t="s">
        <v>92</v>
      </c>
      <c r="H187" s="121" t="s">
        <v>106</v>
      </c>
      <c r="I187" s="121"/>
      <c r="J187" s="114">
        <v>12</v>
      </c>
      <c r="K187" s="115"/>
      <c r="L187" s="3"/>
      <c r="M187" s="115"/>
      <c r="N187" s="3"/>
      <c r="O187" s="4" t="s">
        <v>465</v>
      </c>
      <c r="P187" s="114" t="s">
        <v>90</v>
      </c>
      <c r="Q187" s="114"/>
      <c r="R187" s="114"/>
      <c r="S187" s="114"/>
      <c r="T187" s="114"/>
      <c r="U187" s="114"/>
      <c r="V187" s="114"/>
      <c r="W187" s="114"/>
      <c r="X187" s="116">
        <f>_xlfn.XLOOKUP(base_de_datos[[#This Row],[Materia]],Materias,Horas)/16</f>
        <v>5</v>
      </c>
      <c r="Y187" s="116">
        <f>ROUND(((base_de_datos[[#This Row],[Hora fin]]-base_de_datos[[#This Row],[Hora inicio]])*24)*(COUNTA(base_de_datos[[#This Row],[Lunes]:[Sábado]])),1)</f>
        <v>2</v>
      </c>
      <c r="Z187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87" s="117">
        <f ca="1">IF(base_de_datos[[#This Row],[No clase]]=OFFSET(base_de_datos[[#This Row],[No clase]],-1,0),0,1)</f>
        <v>1</v>
      </c>
      <c r="AB187" s="117">
        <f ca="1">IF(NOT(OR(base_de_datos[[#This Row],[Horas totales]]=base_de_datos[[#This Row],[HT Plan]],base_de_datos[[#This Row],[Horas totales]]="N/A")),1,0)</f>
        <v>1</v>
      </c>
      <c r="AC187" s="116" t="str">
        <f>_xlfn.XLOOKUP(base_de_datos[[#This Row],[Profesor]],Nombre,Grado)</f>
        <v>M</v>
      </c>
      <c r="AD187" s="118" t="str">
        <f>_xlfn.XLOOKUP(base_de_datos[[#This Row],[Profesor]],Nombre,Tipo)</f>
        <v>TC</v>
      </c>
      <c r="AE187" s="116" t="str">
        <f>IF(IFERROR(VLOOKUP($C187,Planes_de_estudio[],MATCH($AE$2,Carreras,0)+2,0),"")&gt;0,IFERROR(VLOOKUP($C187,Planes_de_estudio[],MATCH($AE$2,Carreras,0)+2,0),""),"")</f>
        <v/>
      </c>
      <c r="AF187" s="116" t="str">
        <f>IF(IFERROR(VLOOKUP($C187,Planes_de_estudio[],MATCH($AF$2,Carreras,0)+2,0),"")&gt;0,IFERROR(VLOOKUP($C187,Planes_de_estudio[],MATCH($AF$2,Carreras,0)+2,0),""),"")</f>
        <v/>
      </c>
      <c r="AG187" s="116" t="str">
        <f>IF(IFERROR(VLOOKUP($C187,Planes_de_estudio[],MATCH($AG$2,Carreras,0)+2,0),"")&gt;0,IFERROR(VLOOKUP($C187,Planes_de_estudio[],MATCH($AG$2,Carreras,0)+2,0),""),"")</f>
        <v/>
      </c>
      <c r="AH187" s="116" t="str">
        <f>IF(IFERROR(VLOOKUP($C187,Planes_de_estudio[],MATCH($AH$2,Carreras,0)+2,0),"")&gt;0,IFERROR(VLOOKUP($C187,Planes_de_estudio[],MATCH($AH$2,Carreras,0)+2,0),""),"")</f>
        <v/>
      </c>
      <c r="AI187" s="116" t="str">
        <f>IF(IFERROR(VLOOKUP($C187,Planes_de_estudio[],MATCH($AI$2,Carreras,0)+2,0),"")&gt;0,IFERROR(VLOOKUP($C187,Planes_de_estudio[],MATCH($AI$2,Carreras,0)+2,0),""),"")</f>
        <v/>
      </c>
      <c r="AJ187" s="116">
        <f>IF(IFERROR(VLOOKUP($C187,Planes_de_estudio[],MATCH($AJ$2,Carreras,0)+2,0),"")&gt;0,IFERROR(VLOOKUP($C187,Planes_de_estudio[],MATCH($AJ$2,Carreras,0)+2,0),""),"")</f>
        <v>2</v>
      </c>
      <c r="AK187" s="116" t="str">
        <f>IF(IFERROR(VLOOKUP($C187,Planes_de_estudio[],MATCH($AK$2,Carreras,0)+2,0),"")&gt;0,IFERROR(VLOOKUP($C187,Planes_de_estudio[],MATCH($AK$2,Carreras,0)+2,0),""),"")</f>
        <v/>
      </c>
      <c r="AL187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87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15</v>
      </c>
      <c r="AN187" s="117">
        <f>base_de_datos[[#This Row],[Pronóstico]]/25</f>
        <v>0.6</v>
      </c>
      <c r="AO187" s="117" t="str">
        <f>VLOOKUP($C187,Planes_de_estudio[],2)</f>
        <v>ESC</v>
      </c>
      <c r="AP187" s="119" t="str">
        <f ca="1">IF(AND(base_de_datos[[#This Row],[Industrial]]&lt;&gt;"",base_de_datos[[#This Row],[Misma o no]]=1),base_de_datos[[#This Row],[Índice]],"")</f>
        <v/>
      </c>
      <c r="AQ187" s="119" t="str">
        <f ca="1">IF(AND(base_de_datos[[#This Row],[Mecatrónica]]&lt;&gt;"",base_de_datos[[#This Row],[Misma o no]]=1),base_de_datos[[#This Row],[Índice]],"")</f>
        <v/>
      </c>
      <c r="AR187" s="119" t="str">
        <f ca="1">IF(AND(base_de_datos[[#This Row],[Innovación y Diseño]]&lt;&gt;"",base_de_datos[[#This Row],[Misma o no]]=1),base_de_datos[[#This Row],[Índice]],"")</f>
        <v/>
      </c>
      <c r="AS187" s="119" t="str">
        <f ca="1">IF(AND(base_de_datos[[#This Row],[Inteligencia Artificial]]&lt;&gt;"",base_de_datos[[#This Row],[Misma o no]]=1),base_de_datos[[#This Row],[Índice]],"")</f>
        <v/>
      </c>
      <c r="AT187" s="119" t="str">
        <f ca="1">IF(AND(base_de_datos[[#This Row],[Tecnologías Energéticas]]&lt;&gt;"",base_de_datos[[#This Row],[Misma o no]]=1),base_de_datos[[#This Row],[Índice]],"")</f>
        <v/>
      </c>
      <c r="AU187" s="119">
        <f ca="1">IF(AND(base_de_datos[[#This Row],[Civil y Administración]]&lt;&gt;"",base_de_datos[[#This Row],[Misma o no]]=1),base_de_datos[[#This Row],[Índice]],"")</f>
        <v>4</v>
      </c>
      <c r="AV187" s="119" t="str">
        <f ca="1">IF(AND(base_de_datos[[#This Row],[Bioelectrónica]]&lt;&gt;"",base_de_datos[[#This Row],[Misma o no]]=1),base_de_datos[[#This Row],[Índice]],"")</f>
        <v/>
      </c>
      <c r="AW187" s="120"/>
      <c r="AX187" s="4">
        <v>2</v>
      </c>
      <c r="AY187" s="6"/>
    </row>
    <row r="188" spans="2:51" ht="13" x14ac:dyDescent="0.3">
      <c r="B188" s="6" t="s">
        <v>421</v>
      </c>
      <c r="C188" s="1" t="s">
        <v>422</v>
      </c>
      <c r="D188" s="4">
        <v>1</v>
      </c>
      <c r="E188" s="113">
        <v>0.625</v>
      </c>
      <c r="F188" s="113">
        <v>0.687499999999994</v>
      </c>
      <c r="G188" s="4" t="s">
        <v>87</v>
      </c>
      <c r="H188" s="4" t="s">
        <v>256</v>
      </c>
      <c r="I188" s="4"/>
      <c r="J188" s="126">
        <v>15</v>
      </c>
      <c r="K188" s="142"/>
      <c r="L188" s="3"/>
      <c r="M188" s="3"/>
      <c r="N188" s="3"/>
      <c r="O188" s="4">
        <v>2254</v>
      </c>
      <c r="P188" s="114"/>
      <c r="Q188" s="114" t="s">
        <v>90</v>
      </c>
      <c r="R188" s="114"/>
      <c r="S188" s="114" t="s">
        <v>90</v>
      </c>
      <c r="T188" s="114"/>
      <c r="U188" s="114"/>
      <c r="V188" s="114"/>
      <c r="W188" s="114"/>
      <c r="X188" s="143">
        <f>_xlfn.XLOOKUP(base_de_datos[[#This Row],[Materia]],Materias,Horas)/16</f>
        <v>3</v>
      </c>
      <c r="Y188" s="143">
        <f>ROUND(((base_de_datos[[#This Row],[Hora fin]]-base_de_datos[[#This Row],[Hora inicio]])*24)*(COUNTA(base_de_datos[[#This Row],[Lunes]:[Sábado]])),1)</f>
        <v>3</v>
      </c>
      <c r="Z188" s="14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88" s="143">
        <f ca="1">IF(base_de_datos[[#This Row],[No clase]]=OFFSET(base_de_datos[[#This Row],[No clase]],-1,0),0,1)</f>
        <v>1</v>
      </c>
      <c r="AB188" s="143">
        <f ca="1">IF(NOT(OR(base_de_datos[[#This Row],[Horas totales]]=base_de_datos[[#This Row],[HT Plan]],base_de_datos[[#This Row],[Horas totales]]="N/A")),1,0)</f>
        <v>0</v>
      </c>
      <c r="AC188" s="143" t="str">
        <f>_xlfn.XLOOKUP(base_de_datos[[#This Row],[Profesor]],Nombre,Grado)</f>
        <v>M</v>
      </c>
      <c r="AD188" s="144" t="str">
        <f>_xlfn.XLOOKUP(base_de_datos[[#This Row],[Profesor]],Nombre,Tipo)</f>
        <v>OA</v>
      </c>
      <c r="AE188" s="143" t="str">
        <f>IF(IFERROR(VLOOKUP($C188,Planes_de_estudio[],MATCH($AE$2,Carreras,0)+2,0),"")&gt;0,IFERROR(VLOOKUP($C188,Planes_de_estudio[],MATCH($AE$2,Carreras,0)+2,0),""),"")</f>
        <v/>
      </c>
      <c r="AF188" s="143" t="str">
        <f>IF(IFERROR(VLOOKUP($C188,Planes_de_estudio[],MATCH($AF$2,Carreras,0)+2,0),"")&gt;0,IFERROR(VLOOKUP($C188,Planes_de_estudio[],MATCH($AF$2,Carreras,0)+2,0),""),"")</f>
        <v/>
      </c>
      <c r="AG188" s="143">
        <f>IF(IFERROR(VLOOKUP($C188,Planes_de_estudio[],MATCH($AG$2,Carreras,0)+2,0),"")&gt;0,IFERROR(VLOOKUP($C188,Planes_de_estudio[],MATCH($AG$2,Carreras,0)+2,0),""),"")</f>
        <v>8</v>
      </c>
      <c r="AH188" s="143" t="str">
        <f>IF(IFERROR(VLOOKUP($C188,Planes_de_estudio[],MATCH($AH$2,Carreras,0)+2,0),"")&gt;0,IFERROR(VLOOKUP($C188,Planes_de_estudio[],MATCH($AH$2,Carreras,0)+2,0),""),"")</f>
        <v/>
      </c>
      <c r="AI188" s="143" t="str">
        <f>IF(IFERROR(VLOOKUP($C188,Planes_de_estudio[],MATCH($AI$2,Carreras,0)+2,0),"")&gt;0,IFERROR(VLOOKUP($C188,Planes_de_estudio[],MATCH($AI$2,Carreras,0)+2,0),""),"")</f>
        <v/>
      </c>
      <c r="AJ188" s="143" t="str">
        <f>IF(IFERROR(VLOOKUP($C188,Planes_de_estudio[],MATCH($AJ$2,Carreras,0)+2,0),"")&gt;0,IFERROR(VLOOKUP($C188,Planes_de_estudio[],MATCH($AJ$2,Carreras,0)+2,0),""),"")</f>
        <v/>
      </c>
      <c r="AK188" s="143" t="str">
        <f>IF(IFERROR(VLOOKUP($C188,Planes_de_estudio[],MATCH($AK$2,Carreras,0)+2,0),"")&gt;0,IFERROR(VLOOKUP($C188,Planes_de_estudio[],MATCH($AK$2,Carreras,0)+2,0),""),"")</f>
        <v/>
      </c>
      <c r="AL188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88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19</v>
      </c>
      <c r="AN188" s="143">
        <f>base_de_datos[[#This Row],[Pronóstico]]/25</f>
        <v>0.76</v>
      </c>
      <c r="AO188" s="143" t="str">
        <f>VLOOKUP($C188,Planes_de_estudio[],2)</f>
        <v>EMP</v>
      </c>
      <c r="AP188" s="112" t="str">
        <f ca="1">IF(AND(base_de_datos[[#This Row],[Industrial]]&lt;&gt;"",base_de_datos[[#This Row],[Misma o no]]=1),base_de_datos[[#This Row],[Índice]],"")</f>
        <v/>
      </c>
      <c r="AQ188" s="112" t="str">
        <f ca="1">IF(AND(base_de_datos[[#This Row],[Mecatrónica]]&lt;&gt;"",base_de_datos[[#This Row],[Misma o no]]=1),base_de_datos[[#This Row],[Índice]],"")</f>
        <v/>
      </c>
      <c r="AR188" s="112">
        <f ca="1">IF(AND(base_de_datos[[#This Row],[Innovación y Diseño]]&lt;&gt;"",base_de_datos[[#This Row],[Misma o no]]=1),base_de_datos[[#This Row],[Índice]],"")</f>
        <v>4</v>
      </c>
      <c r="AS188" s="112" t="str">
        <f ca="1">IF(AND(base_de_datos[[#This Row],[Inteligencia Artificial]]&lt;&gt;"",base_de_datos[[#This Row],[Misma o no]]=1),base_de_datos[[#This Row],[Índice]],"")</f>
        <v/>
      </c>
      <c r="AT188" s="112" t="str">
        <f ca="1">IF(AND(base_de_datos[[#This Row],[Tecnologías Energéticas]]&lt;&gt;"",base_de_datos[[#This Row],[Misma o no]]=1),base_de_datos[[#This Row],[Índice]],"")</f>
        <v/>
      </c>
      <c r="AU188" s="112" t="str">
        <f ca="1">IF(AND(base_de_datos[[#This Row],[Civil y Administración]]&lt;&gt;"",base_de_datos[[#This Row],[Misma o no]]=1),base_de_datos[[#This Row],[Índice]],"")</f>
        <v/>
      </c>
      <c r="AV188" s="112" t="str">
        <f ca="1">IF(AND(base_de_datos[[#This Row],[Bioelectrónica]]&lt;&gt;"",base_de_datos[[#This Row],[Misma o no]]=1),base_de_datos[[#This Row],[Índice]],"")</f>
        <v/>
      </c>
      <c r="AW188" s="6"/>
      <c r="AX188" s="4">
        <v>1</v>
      </c>
      <c r="AY188" s="6"/>
    </row>
    <row r="189" spans="2:51" ht="13" x14ac:dyDescent="0.3">
      <c r="B189" s="145" t="s">
        <v>424</v>
      </c>
      <c r="C189" s="1" t="s">
        <v>425</v>
      </c>
      <c r="D189" s="4">
        <v>1</v>
      </c>
      <c r="E189" s="113">
        <v>0.75</v>
      </c>
      <c r="F189" s="113">
        <v>0.87499999999999001</v>
      </c>
      <c r="G189" s="4" t="s">
        <v>87</v>
      </c>
      <c r="H189" s="4" t="s">
        <v>98</v>
      </c>
      <c r="I189" s="4"/>
      <c r="J189" s="126">
        <v>19</v>
      </c>
      <c r="K189" s="142"/>
      <c r="L189" s="3"/>
      <c r="M189" s="3"/>
      <c r="N189" s="3"/>
      <c r="O189" s="4">
        <v>2228</v>
      </c>
      <c r="P189" s="114"/>
      <c r="Q189" s="114"/>
      <c r="R189" s="114"/>
      <c r="S189" s="114" t="s">
        <v>90</v>
      </c>
      <c r="T189" s="114"/>
      <c r="U189" s="114"/>
      <c r="V189" s="114"/>
      <c r="W189" s="114"/>
      <c r="X189" s="143">
        <f>_xlfn.XLOOKUP(base_de_datos[[#This Row],[Materia]],Materias,Horas)/16</f>
        <v>3</v>
      </c>
      <c r="Y189" s="143">
        <f>ROUND(((base_de_datos[[#This Row],[Hora fin]]-base_de_datos[[#This Row],[Hora inicio]])*24)*(COUNTA(base_de_datos[[#This Row],[Lunes]:[Sábado]])),1)</f>
        <v>3</v>
      </c>
      <c r="Z189" s="14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89" s="143">
        <f ca="1">IF(base_de_datos[[#This Row],[No clase]]=OFFSET(base_de_datos[[#This Row],[No clase]],-1,0),0,1)</f>
        <v>1</v>
      </c>
      <c r="AB189" s="143">
        <f ca="1">IF(NOT(OR(base_de_datos[[#This Row],[Horas totales]]=base_de_datos[[#This Row],[HT Plan]],base_de_datos[[#This Row],[Horas totales]]="N/A")),1,0)</f>
        <v>0</v>
      </c>
      <c r="AC189" s="228">
        <f>_xlfn.XLOOKUP(base_de_datos[[#This Row],[Profesor]],Nombre,Grado)</f>
        <v>0</v>
      </c>
      <c r="AD189" s="144" t="str">
        <f>_xlfn.XLOOKUP(base_de_datos[[#This Row],[Profesor]],Nombre,Tipo)</f>
        <v>A</v>
      </c>
      <c r="AE189" s="143">
        <f>IF(IFERROR(VLOOKUP($C189,Planes_de_estudio[],MATCH($AE$2,Carreras,0)+2,0),"")&gt;0,IFERROR(VLOOKUP($C189,Planes_de_estudio[],MATCH($AE$2,Carreras,0)+2,0),""),"")</f>
        <v>8</v>
      </c>
      <c r="AF189" s="143" t="str">
        <f>IF(IFERROR(VLOOKUP($C189,Planes_de_estudio[],MATCH($AF$2,Carreras,0)+2,0),"")&gt;0,IFERROR(VLOOKUP($C189,Planes_de_estudio[],MATCH($AF$2,Carreras,0)+2,0),""),"")</f>
        <v/>
      </c>
      <c r="AG189" s="143" t="str">
        <f>IF(IFERROR(VLOOKUP($C189,Planes_de_estudio[],MATCH($AG$2,Carreras,0)+2,0),"")&gt;0,IFERROR(VLOOKUP($C189,Planes_de_estudio[],MATCH($AG$2,Carreras,0)+2,0),""),"")</f>
        <v/>
      </c>
      <c r="AH189" s="143" t="str">
        <f>IF(IFERROR(VLOOKUP($C189,Planes_de_estudio[],MATCH($AH$2,Carreras,0)+2,0),"")&gt;0,IFERROR(VLOOKUP($C189,Planes_de_estudio[],MATCH($AH$2,Carreras,0)+2,0),""),"")</f>
        <v/>
      </c>
      <c r="AI189" s="143" t="str">
        <f>IF(IFERROR(VLOOKUP($C189,Planes_de_estudio[],MATCH($AI$2,Carreras,0)+2,0),"")&gt;0,IFERROR(VLOOKUP($C189,Planes_de_estudio[],MATCH($AI$2,Carreras,0)+2,0),""),"")</f>
        <v/>
      </c>
      <c r="AJ189" s="143" t="str">
        <f>IF(IFERROR(VLOOKUP($C189,Planes_de_estudio[],MATCH($AJ$2,Carreras,0)+2,0),"")&gt;0,IFERROR(VLOOKUP($C189,Planes_de_estudio[],MATCH($AJ$2,Carreras,0)+2,0),""),"")</f>
        <v/>
      </c>
      <c r="AK189" s="143" t="str">
        <f>IF(IFERROR(VLOOKUP($C189,Planes_de_estudio[],MATCH($AK$2,Carreras,0)+2,0),"")&gt;0,IFERROR(VLOOKUP($C189,Planes_de_estudio[],MATCH($AK$2,Carreras,0)+2,0),""),"")</f>
        <v/>
      </c>
      <c r="AL189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89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22</v>
      </c>
      <c r="AN189" s="143">
        <f>base_de_datos[[#This Row],[Pronóstico]]/25</f>
        <v>0.88</v>
      </c>
      <c r="AO189" s="143" t="str">
        <f>VLOOKUP($C189,Planes_de_estudio[],2)</f>
        <v>EMP</v>
      </c>
      <c r="AP189" s="112">
        <f ca="1">IF(AND(base_de_datos[[#This Row],[Industrial]]&lt;&gt;"",base_de_datos[[#This Row],[Misma o no]]=1),base_de_datos[[#This Row],[Índice]],"")</f>
        <v>6</v>
      </c>
      <c r="AQ189" s="112" t="str">
        <f ca="1">IF(AND(base_de_datos[[#This Row],[Mecatrónica]]&lt;&gt;"",base_de_datos[[#This Row],[Misma o no]]=1),base_de_datos[[#This Row],[Índice]],"")</f>
        <v/>
      </c>
      <c r="AR189" s="112" t="str">
        <f ca="1">IF(AND(base_de_datos[[#This Row],[Innovación y Diseño]]&lt;&gt;"",base_de_datos[[#This Row],[Misma o no]]=1),base_de_datos[[#This Row],[Índice]],"")</f>
        <v/>
      </c>
      <c r="AS189" s="112" t="str">
        <f ca="1">IF(AND(base_de_datos[[#This Row],[Inteligencia Artificial]]&lt;&gt;"",base_de_datos[[#This Row],[Misma o no]]=1),base_de_datos[[#This Row],[Índice]],"")</f>
        <v/>
      </c>
      <c r="AT189" s="112" t="str">
        <f ca="1">IF(AND(base_de_datos[[#This Row],[Tecnologías Energéticas]]&lt;&gt;"",base_de_datos[[#This Row],[Misma o no]]=1),base_de_datos[[#This Row],[Índice]],"")</f>
        <v/>
      </c>
      <c r="AU189" s="112" t="str">
        <f ca="1">IF(AND(base_de_datos[[#This Row],[Civil y Administración]]&lt;&gt;"",base_de_datos[[#This Row],[Misma o no]]=1),base_de_datos[[#This Row],[Índice]],"")</f>
        <v/>
      </c>
      <c r="AV189" s="112" t="str">
        <f ca="1">IF(AND(base_de_datos[[#This Row],[Bioelectrónica]]&lt;&gt;"",base_de_datos[[#This Row],[Misma o no]]=1),base_de_datos[[#This Row],[Índice]],"")</f>
        <v/>
      </c>
      <c r="AW189" s="6"/>
      <c r="AX189" s="4">
        <v>1</v>
      </c>
      <c r="AY189" s="6"/>
    </row>
    <row r="190" spans="2:51" ht="13" x14ac:dyDescent="0.3">
      <c r="B190" s="6" t="s">
        <v>426</v>
      </c>
      <c r="C190" s="1" t="s">
        <v>427</v>
      </c>
      <c r="D190" s="4">
        <v>1</v>
      </c>
      <c r="E190" s="257">
        <v>0.5</v>
      </c>
      <c r="F190" s="257">
        <v>0.624999999999995</v>
      </c>
      <c r="G190" s="4" t="s">
        <v>87</v>
      </c>
      <c r="H190" s="84" t="s">
        <v>152</v>
      </c>
      <c r="I190" s="4"/>
      <c r="J190" s="126">
        <v>15</v>
      </c>
      <c r="K190" s="142"/>
      <c r="L190" s="3"/>
      <c r="M190" s="3"/>
      <c r="N190" s="3"/>
      <c r="O190" s="4" t="s">
        <v>429</v>
      </c>
      <c r="P190" s="114"/>
      <c r="Q190" s="114"/>
      <c r="R190" s="114" t="s">
        <v>90</v>
      </c>
      <c r="S190" s="114"/>
      <c r="T190" s="114"/>
      <c r="U190" s="114"/>
      <c r="V190" s="114"/>
      <c r="W190" s="114"/>
      <c r="X190" s="143">
        <f>_xlfn.XLOOKUP(base_de_datos[[#This Row],[Materia]],Materias,Horas)/16</f>
        <v>3</v>
      </c>
      <c r="Y190" s="143">
        <f>ROUND(((base_de_datos[[#This Row],[Hora fin]]-base_de_datos[[#This Row],[Hora inicio]])*24)*(COUNTA(base_de_datos[[#This Row],[Lunes]:[Sábado]])),1)</f>
        <v>3</v>
      </c>
      <c r="Z190" s="14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90" s="143">
        <f ca="1">IF(base_de_datos[[#This Row],[No clase]]=OFFSET(base_de_datos[[#This Row],[No clase]],-1,0),0,1)</f>
        <v>1</v>
      </c>
      <c r="AB190" s="143">
        <f ca="1">IF(NOT(OR(base_de_datos[[#This Row],[Horas totales]]=base_de_datos[[#This Row],[HT Plan]],base_de_datos[[#This Row],[Horas totales]]="N/A")),1,0)</f>
        <v>0</v>
      </c>
      <c r="AC190" s="143" t="str">
        <f>_xlfn.XLOOKUP(base_de_datos[[#This Row],[Profesor]],Nombre,Grado)</f>
        <v>L</v>
      </c>
      <c r="AD190" s="144" t="str">
        <f>_xlfn.XLOOKUP(base_de_datos[[#This Row],[Profesor]],Nombre,Tipo)</f>
        <v>A</v>
      </c>
      <c r="AE190" s="143">
        <f>IF(IFERROR(VLOOKUP($C190,Planes_de_estudio[],MATCH($AE$2,Carreras,0)+2,0),"")&gt;0,IFERROR(VLOOKUP($C190,Planes_de_estudio[],MATCH($AE$2,Carreras,0)+2,0),""),"")</f>
        <v>3</v>
      </c>
      <c r="AF190" s="143">
        <f>IF(IFERROR(VLOOKUP($C190,Planes_de_estudio[],MATCH($AF$2,Carreras,0)+2,0),"")&gt;0,IFERROR(VLOOKUP($C190,Planes_de_estudio[],MATCH($AF$2,Carreras,0)+2,0),""),"")</f>
        <v>4</v>
      </c>
      <c r="AG190" s="143" t="str">
        <f>IF(IFERROR(VLOOKUP($C190,Planes_de_estudio[],MATCH($AG$2,Carreras,0)+2,0),"")&gt;0,IFERROR(VLOOKUP($C190,Planes_de_estudio[],MATCH($AG$2,Carreras,0)+2,0),""),"")</f>
        <v/>
      </c>
      <c r="AH190" s="143">
        <f>IF(IFERROR(VLOOKUP($C190,Planes_de_estudio[],MATCH($AH$2,Carreras,0)+2,0),"")&gt;0,IFERROR(VLOOKUP($C190,Planes_de_estudio[],MATCH($AH$2,Carreras,0)+2,0),""),"")</f>
        <v>4</v>
      </c>
      <c r="AI190" s="143" t="str">
        <f>IF(IFERROR(VLOOKUP($C190,Planes_de_estudio[],MATCH($AI$2,Carreras,0)+2,0),"")&gt;0,IFERROR(VLOOKUP($C190,Planes_de_estudio[],MATCH($AI$2,Carreras,0)+2,0),""),"")</f>
        <v/>
      </c>
      <c r="AJ190" s="143" t="str">
        <f>IF(IFERROR(VLOOKUP($C190,Planes_de_estudio[],MATCH($AJ$2,Carreras,0)+2,0),"")&gt;0,IFERROR(VLOOKUP($C190,Planes_de_estudio[],MATCH($AJ$2,Carreras,0)+2,0),""),"")</f>
        <v/>
      </c>
      <c r="AK190" s="143">
        <f>IF(IFERROR(VLOOKUP($C190,Planes_de_estudio[],MATCH($AK$2,Carreras,0)+2,0),"")&gt;0,IFERROR(VLOOKUP($C190,Planes_de_estudio[],MATCH($AK$2,Carreras,0)+2,0),""),"")</f>
        <v>4</v>
      </c>
      <c r="AL190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90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53</v>
      </c>
      <c r="AN190" s="143">
        <f>base_de_datos[[#This Row],[Pronóstico]]/25</f>
        <v>2.12</v>
      </c>
      <c r="AO190" s="143" t="str">
        <f>VLOOKUP($C190,Planes_de_estudio[],2)</f>
        <v>EMP</v>
      </c>
      <c r="AP190" s="112">
        <f ca="1">IF(AND(base_de_datos[[#This Row],[Industrial]]&lt;&gt;"",base_de_datos[[#This Row],[Misma o no]]=1),base_de_datos[[#This Row],[Índice]],"")</f>
        <v>1</v>
      </c>
      <c r="AQ190" s="112">
        <f ca="1">IF(AND(base_de_datos[[#This Row],[Mecatrónica]]&lt;&gt;"",base_de_datos[[#This Row],[Misma o no]]=1),base_de_datos[[#This Row],[Índice]],"")</f>
        <v>1</v>
      </c>
      <c r="AR190" s="112" t="str">
        <f ca="1">IF(AND(base_de_datos[[#This Row],[Innovación y Diseño]]&lt;&gt;"",base_de_datos[[#This Row],[Misma o no]]=1),base_de_datos[[#This Row],[Índice]],"")</f>
        <v/>
      </c>
      <c r="AS190" s="112">
        <f ca="1">IF(AND(base_de_datos[[#This Row],[Inteligencia Artificial]]&lt;&gt;"",base_de_datos[[#This Row],[Misma o no]]=1),base_de_datos[[#This Row],[Índice]],"")</f>
        <v>1</v>
      </c>
      <c r="AT190" s="112" t="str">
        <f ca="1">IF(AND(base_de_datos[[#This Row],[Tecnologías Energéticas]]&lt;&gt;"",base_de_datos[[#This Row],[Misma o no]]=1),base_de_datos[[#This Row],[Índice]],"")</f>
        <v/>
      </c>
      <c r="AU190" s="112" t="str">
        <f ca="1">IF(AND(base_de_datos[[#This Row],[Civil y Administración]]&lt;&gt;"",base_de_datos[[#This Row],[Misma o no]]=1),base_de_datos[[#This Row],[Índice]],"")</f>
        <v/>
      </c>
      <c r="AV190" s="112">
        <f ca="1">IF(AND(base_de_datos[[#This Row],[Bioelectrónica]]&lt;&gt;"",base_de_datos[[#This Row],[Misma o no]]=1),base_de_datos[[#This Row],[Índice]],"")</f>
        <v>1</v>
      </c>
      <c r="AW190" s="6"/>
      <c r="AX190" s="4" t="s">
        <v>1800</v>
      </c>
      <c r="AY190" s="6"/>
    </row>
    <row r="191" spans="2:51" ht="13" x14ac:dyDescent="0.3">
      <c r="B191" s="6" t="s">
        <v>291</v>
      </c>
      <c r="C191" s="1" t="s">
        <v>436</v>
      </c>
      <c r="D191" s="4">
        <v>1</v>
      </c>
      <c r="E191" s="113">
        <v>0.625</v>
      </c>
      <c r="F191" s="113">
        <v>0.70833333333332704</v>
      </c>
      <c r="G191" s="4" t="s">
        <v>87</v>
      </c>
      <c r="H191" s="4" t="s">
        <v>144</v>
      </c>
      <c r="I191" s="4"/>
      <c r="J191" s="126">
        <v>22</v>
      </c>
      <c r="K191" s="142"/>
      <c r="L191" s="3"/>
      <c r="M191" s="3"/>
      <c r="N191" s="3"/>
      <c r="O191" s="4">
        <v>2700</v>
      </c>
      <c r="P191" s="114"/>
      <c r="Q191" s="114" t="s">
        <v>90</v>
      </c>
      <c r="R191" s="114"/>
      <c r="S191" s="114"/>
      <c r="T191" s="114"/>
      <c r="U191" s="114"/>
      <c r="V191" s="114"/>
      <c r="W191" s="114"/>
      <c r="X191" s="143">
        <f>_xlfn.XLOOKUP(base_de_datos[[#This Row],[Materia]],Materias,Horas)/16</f>
        <v>4</v>
      </c>
      <c r="Y191" s="143">
        <f>ROUND(((base_de_datos[[#This Row],[Hora fin]]-base_de_datos[[#This Row],[Hora inicio]])*24)*(COUNTA(base_de_datos[[#This Row],[Lunes]:[Sábado]])),1)</f>
        <v>2</v>
      </c>
      <c r="Z191" s="143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91" s="143">
        <f ca="1">IF(base_de_datos[[#This Row],[No clase]]=OFFSET(base_de_datos[[#This Row],[No clase]],-1,0),0,1)</f>
        <v>1</v>
      </c>
      <c r="AB191" s="143">
        <f ca="1">IF(NOT(OR(base_de_datos[[#This Row],[Horas totales]]=base_de_datos[[#This Row],[HT Plan]],base_de_datos[[#This Row],[Horas totales]]="N/A")),1,0)</f>
        <v>1</v>
      </c>
      <c r="AC191" s="143" t="str">
        <f>_xlfn.XLOOKUP(base_de_datos[[#This Row],[Profesor]],Nombre,Grado)</f>
        <v>M</v>
      </c>
      <c r="AD191" s="144" t="str">
        <f>_xlfn.XLOOKUP(base_de_datos[[#This Row],[Profesor]],Nombre,Tipo)</f>
        <v>A</v>
      </c>
      <c r="AE191" s="143" t="str">
        <f>IF(IFERROR(VLOOKUP($C191,Planes_de_estudio[],MATCH($AE$2,Carreras,0)+2,0),"")&gt;0,IFERROR(VLOOKUP($C191,Planes_de_estudio[],MATCH($AE$2,Carreras,0)+2,0),""),"")</f>
        <v/>
      </c>
      <c r="AF191" s="143" t="str">
        <f>IF(IFERROR(VLOOKUP($C191,Planes_de_estudio[],MATCH($AF$2,Carreras,0)+2,0),"")&gt;0,IFERROR(VLOOKUP($C191,Planes_de_estudio[],MATCH($AF$2,Carreras,0)+2,0),""),"")</f>
        <v/>
      </c>
      <c r="AG191" s="143">
        <f>IF(IFERROR(VLOOKUP($C191,Planes_de_estudio[],MATCH($AG$2,Carreras,0)+2,0),"")&gt;0,IFERROR(VLOOKUP($C191,Planes_de_estudio[],MATCH($AG$2,Carreras,0)+2,0),""),"")</f>
        <v>7</v>
      </c>
      <c r="AH191" s="143">
        <f>IF(IFERROR(VLOOKUP($C191,Planes_de_estudio[],MATCH($AH$2,Carreras,0)+2,0),"")&gt;0,IFERROR(VLOOKUP($C191,Planes_de_estudio[],MATCH($AH$2,Carreras,0)+2,0),""),"")</f>
        <v>8</v>
      </c>
      <c r="AI191" s="143" t="str">
        <f>IF(IFERROR(VLOOKUP($C191,Planes_de_estudio[],MATCH($AI$2,Carreras,0)+2,0),"")&gt;0,IFERROR(VLOOKUP($C191,Planes_de_estudio[],MATCH($AI$2,Carreras,0)+2,0),""),"")</f>
        <v/>
      </c>
      <c r="AJ191" s="143" t="str">
        <f>IF(IFERROR(VLOOKUP($C191,Planes_de_estudio[],MATCH($AJ$2,Carreras,0)+2,0),"")&gt;0,IFERROR(VLOOKUP($C191,Planes_de_estudio[],MATCH($AJ$2,Carreras,0)+2,0),""),"")</f>
        <v/>
      </c>
      <c r="AK191" s="143" t="str">
        <f>IF(IFERROR(VLOOKUP($C191,Planes_de_estudio[],MATCH($AK$2,Carreras,0)+2,0),"")&gt;0,IFERROR(VLOOKUP($C191,Planes_de_estudio[],MATCH($AK$2,Carreras,0)+2,0),""),"")</f>
        <v/>
      </c>
      <c r="AL191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91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24</v>
      </c>
      <c r="AN191" s="143">
        <f>base_de_datos[[#This Row],[Pronóstico]]/25</f>
        <v>0.96</v>
      </c>
      <c r="AO191" s="143" t="str">
        <f>VLOOKUP($C191,Planes_de_estudio[],2)</f>
        <v>COM</v>
      </c>
      <c r="AP191" s="112" t="str">
        <f ca="1">IF(AND(base_de_datos[[#This Row],[Industrial]]&lt;&gt;"",base_de_datos[[#This Row],[Misma o no]]=1),base_de_datos[[#This Row],[Índice]],"")</f>
        <v/>
      </c>
      <c r="AQ191" s="112" t="str">
        <f ca="1">IF(AND(base_de_datos[[#This Row],[Mecatrónica]]&lt;&gt;"",base_de_datos[[#This Row],[Misma o no]]=1),base_de_datos[[#This Row],[Índice]],"")</f>
        <v/>
      </c>
      <c r="AR191" s="112">
        <f ca="1">IF(AND(base_de_datos[[#This Row],[Innovación y Diseño]]&lt;&gt;"",base_de_datos[[#This Row],[Misma o no]]=1),base_de_datos[[#This Row],[Índice]],"")</f>
        <v>4</v>
      </c>
      <c r="AS191" s="112">
        <f ca="1">IF(AND(base_de_datos[[#This Row],[Inteligencia Artificial]]&lt;&gt;"",base_de_datos[[#This Row],[Misma o no]]=1),base_de_datos[[#This Row],[Índice]],"")</f>
        <v>4</v>
      </c>
      <c r="AT191" s="112" t="str">
        <f ca="1">IF(AND(base_de_datos[[#This Row],[Tecnologías Energéticas]]&lt;&gt;"",base_de_datos[[#This Row],[Misma o no]]=1),base_de_datos[[#This Row],[Índice]],"")</f>
        <v/>
      </c>
      <c r="AU191" s="112" t="str">
        <f ca="1">IF(AND(base_de_datos[[#This Row],[Civil y Administración]]&lt;&gt;"",base_de_datos[[#This Row],[Misma o no]]=1),base_de_datos[[#This Row],[Índice]],"")</f>
        <v/>
      </c>
      <c r="AV191" s="112" t="str">
        <f ca="1">IF(AND(base_de_datos[[#This Row],[Bioelectrónica]]&lt;&gt;"",base_de_datos[[#This Row],[Misma o no]]=1),base_de_datos[[#This Row],[Índice]],"")</f>
        <v/>
      </c>
      <c r="AW191" s="6"/>
      <c r="AX191" s="4">
        <v>2</v>
      </c>
      <c r="AY191" s="6"/>
    </row>
    <row r="192" spans="2:51" ht="13" x14ac:dyDescent="0.3">
      <c r="B192" s="9" t="s">
        <v>104</v>
      </c>
      <c r="C192" s="1" t="s">
        <v>464</v>
      </c>
      <c r="D192" s="4">
        <v>1</v>
      </c>
      <c r="E192" s="113">
        <v>0.5</v>
      </c>
      <c r="F192" s="113">
        <v>0.624999999999995</v>
      </c>
      <c r="G192" s="226" t="s">
        <v>92</v>
      </c>
      <c r="H192" s="121" t="s">
        <v>106</v>
      </c>
      <c r="I192" s="121"/>
      <c r="J192" s="114">
        <v>12</v>
      </c>
      <c r="K192" s="115"/>
      <c r="L192" s="3"/>
      <c r="M192" s="115"/>
      <c r="N192" s="3"/>
      <c r="O192" s="4" t="s">
        <v>465</v>
      </c>
      <c r="P192" s="114"/>
      <c r="Q192" s="114"/>
      <c r="R192" s="114" t="s">
        <v>90</v>
      </c>
      <c r="S192" s="114"/>
      <c r="T192" s="114"/>
      <c r="U192" s="114"/>
      <c r="V192" s="114"/>
      <c r="W192" s="114"/>
      <c r="X192" s="116">
        <f>_xlfn.XLOOKUP(base_de_datos[[#This Row],[Materia]],Materias,Horas)/16</f>
        <v>5</v>
      </c>
      <c r="Y192" s="116">
        <f>ROUND(((base_de_datos[[#This Row],[Hora fin]]-base_de_datos[[#This Row],[Hora inicio]])*24)*(COUNTA(base_de_datos[[#This Row],[Lunes]:[Sábado]])),1)</f>
        <v>3</v>
      </c>
      <c r="Z192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92" s="117">
        <f ca="1">IF(base_de_datos[[#This Row],[No clase]]=OFFSET(base_de_datos[[#This Row],[No clase]],-1,0),0,1)</f>
        <v>1</v>
      </c>
      <c r="AB192" s="117">
        <f ca="1">IF(NOT(OR(base_de_datos[[#This Row],[Horas totales]]=base_de_datos[[#This Row],[HT Plan]],base_de_datos[[#This Row],[Horas totales]]="N/A")),1,0)</f>
        <v>1</v>
      </c>
      <c r="AC192" s="116" t="str">
        <f>_xlfn.XLOOKUP(base_de_datos[[#This Row],[Profesor]],Nombre,Grado)</f>
        <v>M</v>
      </c>
      <c r="AD192" s="118" t="str">
        <f>_xlfn.XLOOKUP(base_de_datos[[#This Row],[Profesor]],Nombre,Tipo)</f>
        <v>TC</v>
      </c>
      <c r="AE192" s="116" t="str">
        <f>IF(IFERROR(VLOOKUP($C192,Planes_de_estudio[],MATCH($AE$2,Carreras,0)+2,0),"")&gt;0,IFERROR(VLOOKUP($C192,Planes_de_estudio[],MATCH($AE$2,Carreras,0)+2,0),""),"")</f>
        <v/>
      </c>
      <c r="AF192" s="116" t="str">
        <f>IF(IFERROR(VLOOKUP($C192,Planes_de_estudio[],MATCH($AF$2,Carreras,0)+2,0),"")&gt;0,IFERROR(VLOOKUP($C192,Planes_de_estudio[],MATCH($AF$2,Carreras,0)+2,0),""),"")</f>
        <v/>
      </c>
      <c r="AG192" s="116" t="str">
        <f>IF(IFERROR(VLOOKUP($C192,Planes_de_estudio[],MATCH($AG$2,Carreras,0)+2,0),"")&gt;0,IFERROR(VLOOKUP($C192,Planes_de_estudio[],MATCH($AG$2,Carreras,0)+2,0),""),"")</f>
        <v/>
      </c>
      <c r="AH192" s="116" t="str">
        <f>IF(IFERROR(VLOOKUP($C192,Planes_de_estudio[],MATCH($AH$2,Carreras,0)+2,0),"")&gt;0,IFERROR(VLOOKUP($C192,Planes_de_estudio[],MATCH($AH$2,Carreras,0)+2,0),""),"")</f>
        <v/>
      </c>
      <c r="AI192" s="116" t="str">
        <f>IF(IFERROR(VLOOKUP($C192,Planes_de_estudio[],MATCH($AI$2,Carreras,0)+2,0),"")&gt;0,IFERROR(VLOOKUP($C192,Planes_de_estudio[],MATCH($AI$2,Carreras,0)+2,0),""),"")</f>
        <v/>
      </c>
      <c r="AJ192" s="116">
        <f>IF(IFERROR(VLOOKUP($C192,Planes_de_estudio[],MATCH($AJ$2,Carreras,0)+2,0),"")&gt;0,IFERROR(VLOOKUP($C192,Planes_de_estudio[],MATCH($AJ$2,Carreras,0)+2,0),""),"")</f>
        <v>2</v>
      </c>
      <c r="AK192" s="116" t="str">
        <f>IF(IFERROR(VLOOKUP($C192,Planes_de_estudio[],MATCH($AK$2,Carreras,0)+2,0),"")&gt;0,IFERROR(VLOOKUP($C192,Planes_de_estudio[],MATCH($AK$2,Carreras,0)+2,0),""),"")</f>
        <v/>
      </c>
      <c r="AL192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92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15</v>
      </c>
      <c r="AN192" s="117">
        <f>base_de_datos[[#This Row],[Pronóstico]]/25</f>
        <v>0.6</v>
      </c>
      <c r="AO192" s="117" t="str">
        <f>VLOOKUP($C192,Planes_de_estudio[],2)</f>
        <v>ESC</v>
      </c>
      <c r="AP192" s="119" t="str">
        <f ca="1">IF(AND(base_de_datos[[#This Row],[Industrial]]&lt;&gt;"",base_de_datos[[#This Row],[Misma o no]]=1),base_de_datos[[#This Row],[Índice]],"")</f>
        <v/>
      </c>
      <c r="AQ192" s="119" t="str">
        <f ca="1">IF(AND(base_de_datos[[#This Row],[Mecatrónica]]&lt;&gt;"",base_de_datos[[#This Row],[Misma o no]]=1),base_de_datos[[#This Row],[Índice]],"")</f>
        <v/>
      </c>
      <c r="AR192" s="119" t="str">
        <f ca="1">IF(AND(base_de_datos[[#This Row],[Innovación y Diseño]]&lt;&gt;"",base_de_datos[[#This Row],[Misma o no]]=1),base_de_datos[[#This Row],[Índice]],"")</f>
        <v/>
      </c>
      <c r="AS192" s="119" t="str">
        <f ca="1">IF(AND(base_de_datos[[#This Row],[Inteligencia Artificial]]&lt;&gt;"",base_de_datos[[#This Row],[Misma o no]]=1),base_de_datos[[#This Row],[Índice]],"")</f>
        <v/>
      </c>
      <c r="AT192" s="119" t="str">
        <f ca="1">IF(AND(base_de_datos[[#This Row],[Tecnologías Energéticas]]&lt;&gt;"",base_de_datos[[#This Row],[Misma o no]]=1),base_de_datos[[#This Row],[Índice]],"")</f>
        <v/>
      </c>
      <c r="AU192" s="119">
        <f ca="1">IF(AND(base_de_datos[[#This Row],[Civil y Administración]]&lt;&gt;"",base_de_datos[[#This Row],[Misma o no]]=1),base_de_datos[[#This Row],[Índice]],"")</f>
        <v>4</v>
      </c>
      <c r="AV192" s="119" t="str">
        <f ca="1">IF(AND(base_de_datos[[#This Row],[Bioelectrónica]]&lt;&gt;"",base_de_datos[[#This Row],[Misma o no]]=1),base_de_datos[[#This Row],[Índice]],"")</f>
        <v/>
      </c>
      <c r="AW192" s="120"/>
      <c r="AX192" s="4">
        <v>2</v>
      </c>
      <c r="AY192" s="6"/>
    </row>
    <row r="193" spans="2:51" ht="13" x14ac:dyDescent="0.3">
      <c r="B193" s="6" t="s">
        <v>291</v>
      </c>
      <c r="C193" s="1" t="s">
        <v>436</v>
      </c>
      <c r="D193" s="4">
        <v>1</v>
      </c>
      <c r="E193" s="113">
        <v>0.83333333333333304</v>
      </c>
      <c r="F193" s="113">
        <v>0.91666666666665697</v>
      </c>
      <c r="G193" s="4" t="s">
        <v>87</v>
      </c>
      <c r="H193" s="4" t="s">
        <v>385</v>
      </c>
      <c r="I193" s="4"/>
      <c r="J193" s="126">
        <v>22</v>
      </c>
      <c r="K193" s="142"/>
      <c r="L193" s="3"/>
      <c r="M193" s="3"/>
      <c r="N193" s="3"/>
      <c r="O193" s="4">
        <v>2700</v>
      </c>
      <c r="P193" s="114"/>
      <c r="Q193" s="114"/>
      <c r="R193" s="114"/>
      <c r="S193" s="114" t="s">
        <v>90</v>
      </c>
      <c r="T193" s="114"/>
      <c r="U193" s="114"/>
      <c r="V193" s="114"/>
      <c r="W193" s="114"/>
      <c r="X193" s="143">
        <f>_xlfn.XLOOKUP(base_de_datos[[#This Row],[Materia]],Materias,Horas)/16</f>
        <v>4</v>
      </c>
      <c r="Y193" s="143">
        <f>ROUND(((base_de_datos[[#This Row],[Hora fin]]-base_de_datos[[#This Row],[Hora inicio]])*24)*(COUNTA(base_de_datos[[#This Row],[Lunes]:[Sábado]])),1)</f>
        <v>2</v>
      </c>
      <c r="Z193" s="143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93" s="143">
        <f ca="1">IF(base_de_datos[[#This Row],[No clase]]=OFFSET(base_de_datos[[#This Row],[No clase]],-1,0),0,1)</f>
        <v>1</v>
      </c>
      <c r="AB193" s="143">
        <f ca="1">IF(NOT(OR(base_de_datos[[#This Row],[Horas totales]]=base_de_datos[[#This Row],[HT Plan]],base_de_datos[[#This Row],[Horas totales]]="N/A")),1,0)</f>
        <v>1</v>
      </c>
      <c r="AC193" s="143" t="str">
        <f>_xlfn.XLOOKUP(base_de_datos[[#This Row],[Profesor]],Nombre,Grado)</f>
        <v>M</v>
      </c>
      <c r="AD193" s="144" t="str">
        <f>_xlfn.XLOOKUP(base_de_datos[[#This Row],[Profesor]],Nombre,Tipo)</f>
        <v>A</v>
      </c>
      <c r="AE193" s="143" t="str">
        <f>IF(IFERROR(VLOOKUP($C193,Planes_de_estudio[],MATCH($AE$2,Carreras,0)+2,0),"")&gt;0,IFERROR(VLOOKUP($C193,Planes_de_estudio[],MATCH($AE$2,Carreras,0)+2,0),""),"")</f>
        <v/>
      </c>
      <c r="AF193" s="143" t="str">
        <f>IF(IFERROR(VLOOKUP($C193,Planes_de_estudio[],MATCH($AF$2,Carreras,0)+2,0),"")&gt;0,IFERROR(VLOOKUP($C193,Planes_de_estudio[],MATCH($AF$2,Carreras,0)+2,0),""),"")</f>
        <v/>
      </c>
      <c r="AG193" s="143">
        <f>IF(IFERROR(VLOOKUP($C193,Planes_de_estudio[],MATCH($AG$2,Carreras,0)+2,0),"")&gt;0,IFERROR(VLOOKUP($C193,Planes_de_estudio[],MATCH($AG$2,Carreras,0)+2,0),""),"")</f>
        <v>7</v>
      </c>
      <c r="AH193" s="143">
        <f>IF(IFERROR(VLOOKUP($C193,Planes_de_estudio[],MATCH($AH$2,Carreras,0)+2,0),"")&gt;0,IFERROR(VLOOKUP($C193,Planes_de_estudio[],MATCH($AH$2,Carreras,0)+2,0),""),"")</f>
        <v>8</v>
      </c>
      <c r="AI193" s="143" t="str">
        <f>IF(IFERROR(VLOOKUP($C193,Planes_de_estudio[],MATCH($AI$2,Carreras,0)+2,0),"")&gt;0,IFERROR(VLOOKUP($C193,Planes_de_estudio[],MATCH($AI$2,Carreras,0)+2,0),""),"")</f>
        <v/>
      </c>
      <c r="AJ193" s="143" t="str">
        <f>IF(IFERROR(VLOOKUP($C193,Planes_de_estudio[],MATCH($AJ$2,Carreras,0)+2,0),"")&gt;0,IFERROR(VLOOKUP($C193,Planes_de_estudio[],MATCH($AJ$2,Carreras,0)+2,0),""),"")</f>
        <v/>
      </c>
      <c r="AK193" s="143" t="str">
        <f>IF(IFERROR(VLOOKUP($C193,Planes_de_estudio[],MATCH($AK$2,Carreras,0)+2,0),"")&gt;0,IFERROR(VLOOKUP($C193,Planes_de_estudio[],MATCH($AK$2,Carreras,0)+2,0),""),"")</f>
        <v/>
      </c>
      <c r="AL193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93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24</v>
      </c>
      <c r="AN193" s="143">
        <f>base_de_datos[[#This Row],[Pronóstico]]/25</f>
        <v>0.96</v>
      </c>
      <c r="AO193" s="143" t="str">
        <f>VLOOKUP($C193,Planes_de_estudio[],2)</f>
        <v>COM</v>
      </c>
      <c r="AP193" s="112" t="str">
        <f ca="1">IF(AND(base_de_datos[[#This Row],[Industrial]]&lt;&gt;"",base_de_datos[[#This Row],[Misma o no]]=1),base_de_datos[[#This Row],[Índice]],"")</f>
        <v/>
      </c>
      <c r="AQ193" s="112" t="str">
        <f ca="1">IF(AND(base_de_datos[[#This Row],[Mecatrónica]]&lt;&gt;"",base_de_datos[[#This Row],[Misma o no]]=1),base_de_datos[[#This Row],[Índice]],"")</f>
        <v/>
      </c>
      <c r="AR193" s="112">
        <f ca="1">IF(AND(base_de_datos[[#This Row],[Innovación y Diseño]]&lt;&gt;"",base_de_datos[[#This Row],[Misma o no]]=1),base_de_datos[[#This Row],[Índice]],"")</f>
        <v>4</v>
      </c>
      <c r="AS193" s="112">
        <f ca="1">IF(AND(base_de_datos[[#This Row],[Inteligencia Artificial]]&lt;&gt;"",base_de_datos[[#This Row],[Misma o no]]=1),base_de_datos[[#This Row],[Índice]],"")</f>
        <v>4</v>
      </c>
      <c r="AT193" s="112" t="str">
        <f ca="1">IF(AND(base_de_datos[[#This Row],[Tecnologías Energéticas]]&lt;&gt;"",base_de_datos[[#This Row],[Misma o no]]=1),base_de_datos[[#This Row],[Índice]],"")</f>
        <v/>
      </c>
      <c r="AU193" s="112" t="str">
        <f ca="1">IF(AND(base_de_datos[[#This Row],[Civil y Administración]]&lt;&gt;"",base_de_datos[[#This Row],[Misma o no]]=1),base_de_datos[[#This Row],[Índice]],"")</f>
        <v/>
      </c>
      <c r="AV193" s="112" t="str">
        <f ca="1">IF(AND(base_de_datos[[#This Row],[Bioelectrónica]]&lt;&gt;"",base_de_datos[[#This Row],[Misma o no]]=1),base_de_datos[[#This Row],[Índice]],"")</f>
        <v/>
      </c>
      <c r="AW193" s="6"/>
      <c r="AX193" s="4">
        <v>2</v>
      </c>
      <c r="AY193" s="6"/>
    </row>
    <row r="194" spans="2:51" ht="13" x14ac:dyDescent="0.3">
      <c r="B194" s="6" t="s">
        <v>1</v>
      </c>
      <c r="C194" s="1" t="s">
        <v>440</v>
      </c>
      <c r="D194" s="4">
        <v>1</v>
      </c>
      <c r="E194" s="113">
        <v>0.83333333333333304</v>
      </c>
      <c r="F194" s="113">
        <v>0.89583333333332305</v>
      </c>
      <c r="G194" s="4" t="s">
        <v>87</v>
      </c>
      <c r="H194" s="4" t="s">
        <v>93</v>
      </c>
      <c r="I194" s="4"/>
      <c r="J194" s="126">
        <v>15</v>
      </c>
      <c r="K194" s="142"/>
      <c r="L194" s="3"/>
      <c r="M194" s="3"/>
      <c r="N194" s="3"/>
      <c r="O194" s="4">
        <v>2255</v>
      </c>
      <c r="P194" s="114" t="s">
        <v>90</v>
      </c>
      <c r="Q194" s="114"/>
      <c r="R194" s="114"/>
      <c r="S194" s="114"/>
      <c r="T194" s="114"/>
      <c r="U194" s="114"/>
      <c r="V194" s="114"/>
      <c r="W194" s="114"/>
      <c r="X194" s="143">
        <f>_xlfn.XLOOKUP(base_de_datos[[#This Row],[Materia]],Materias,Horas)/16</f>
        <v>3</v>
      </c>
      <c r="Y194" s="143">
        <f>ROUND(((base_de_datos[[#This Row],[Hora fin]]-base_de_datos[[#This Row],[Hora inicio]])*24)*(COUNTA(base_de_datos[[#This Row],[Lunes]:[Sábado]])),1)</f>
        <v>1.5</v>
      </c>
      <c r="Z194" s="143">
        <f ca="1">IF(base_de_datos[[#This Row],[Misma o no]]=0,"N/A",IF((OFFSET(base_de_datos[[#This Row],[Misma o no]],1,0))=0,base_de_datos[[#This Row],[Horas]]+(OFFSET(base_de_datos[[#This Row],[Horas]],1,0)),base_de_datos[[#This Row],[Horas]]))</f>
        <v>1.5</v>
      </c>
      <c r="AA194" s="143">
        <f ca="1">IF(base_de_datos[[#This Row],[No clase]]=OFFSET(base_de_datos[[#This Row],[No clase]],-1,0),0,1)</f>
        <v>1</v>
      </c>
      <c r="AB194" s="143">
        <f ca="1">IF(NOT(OR(base_de_datos[[#This Row],[Horas totales]]=base_de_datos[[#This Row],[HT Plan]],base_de_datos[[#This Row],[Horas totales]]="N/A")),1,0)</f>
        <v>1</v>
      </c>
      <c r="AC194" s="228">
        <f>_xlfn.XLOOKUP(base_de_datos[[#This Row],[Profesor]],Nombre,Grado)</f>
        <v>0</v>
      </c>
      <c r="AD194" s="144" t="str">
        <f>_xlfn.XLOOKUP(base_de_datos[[#This Row],[Profesor]],Nombre,Tipo)</f>
        <v>A</v>
      </c>
      <c r="AE194" s="143" t="str">
        <f>IF(IFERROR(VLOOKUP($C194,Planes_de_estudio[],MATCH($AE$2,Carreras,0)+2,0),"")&gt;0,IFERROR(VLOOKUP($C194,Planes_de_estudio[],MATCH($AE$2,Carreras,0)+2,0),""),"")</f>
        <v/>
      </c>
      <c r="AF194" s="143" t="str">
        <f>IF(IFERROR(VLOOKUP($C194,Planes_de_estudio[],MATCH($AF$2,Carreras,0)+2,0),"")&gt;0,IFERROR(VLOOKUP($C194,Planes_de_estudio[],MATCH($AF$2,Carreras,0)+2,0),""),"")</f>
        <v/>
      </c>
      <c r="AG194" s="143">
        <f>IF(IFERROR(VLOOKUP($C194,Planes_de_estudio[],MATCH($AG$2,Carreras,0)+2,0),"")&gt;0,IFERROR(VLOOKUP($C194,Planes_de_estudio[],MATCH($AG$2,Carreras,0)+2,0),""),"")</f>
        <v>6</v>
      </c>
      <c r="AH194" s="143" t="str">
        <f>IF(IFERROR(VLOOKUP($C194,Planes_de_estudio[],MATCH($AH$2,Carreras,0)+2,0),"")&gt;0,IFERROR(VLOOKUP($C194,Planes_de_estudio[],MATCH($AH$2,Carreras,0)+2,0),""),"")</f>
        <v/>
      </c>
      <c r="AI194" s="143" t="str">
        <f>IF(IFERROR(VLOOKUP($C194,Planes_de_estudio[],MATCH($AI$2,Carreras,0)+2,0),"")&gt;0,IFERROR(VLOOKUP($C194,Planes_de_estudio[],MATCH($AI$2,Carreras,0)+2,0),""),"")</f>
        <v/>
      </c>
      <c r="AJ194" s="143" t="str">
        <f>IF(IFERROR(VLOOKUP($C194,Planes_de_estudio[],MATCH($AJ$2,Carreras,0)+2,0),"")&gt;0,IFERROR(VLOOKUP($C194,Planes_de_estudio[],MATCH($AJ$2,Carreras,0)+2,0),""),"")</f>
        <v/>
      </c>
      <c r="AK194" s="143" t="str">
        <f>IF(IFERROR(VLOOKUP($C194,Planes_de_estudio[],MATCH($AK$2,Carreras,0)+2,0),"")&gt;0,IFERROR(VLOOKUP($C194,Planes_de_estudio[],MATCH($AK$2,Carreras,0)+2,0),""),"")</f>
        <v/>
      </c>
      <c r="AL194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94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28</v>
      </c>
      <c r="AN194" s="143">
        <f>base_de_datos[[#This Row],[Pronóstico]]/25</f>
        <v>1.1200000000000001</v>
      </c>
      <c r="AO194" s="143" t="str">
        <f>VLOOKUP($C194,Planes_de_estudio[],2)</f>
        <v>EMP</v>
      </c>
      <c r="AP194" s="112" t="str">
        <f ca="1">IF(AND(base_de_datos[[#This Row],[Industrial]]&lt;&gt;"",base_de_datos[[#This Row],[Misma o no]]=1),base_de_datos[[#This Row],[Índice]],"")</f>
        <v/>
      </c>
      <c r="AQ194" s="112" t="str">
        <f ca="1">IF(AND(base_de_datos[[#This Row],[Mecatrónica]]&lt;&gt;"",base_de_datos[[#This Row],[Misma o no]]=1),base_de_datos[[#This Row],[Índice]],"")</f>
        <v/>
      </c>
      <c r="AR194" s="112">
        <f ca="1">IF(AND(base_de_datos[[#This Row],[Innovación y Diseño]]&lt;&gt;"",base_de_datos[[#This Row],[Misma o no]]=1),base_de_datos[[#This Row],[Índice]],"")</f>
        <v>6</v>
      </c>
      <c r="AS194" s="112" t="str">
        <f ca="1">IF(AND(base_de_datos[[#This Row],[Inteligencia Artificial]]&lt;&gt;"",base_de_datos[[#This Row],[Misma o no]]=1),base_de_datos[[#This Row],[Índice]],"")</f>
        <v/>
      </c>
      <c r="AT194" s="112" t="str">
        <f ca="1">IF(AND(base_de_datos[[#This Row],[Tecnologías Energéticas]]&lt;&gt;"",base_de_datos[[#This Row],[Misma o no]]=1),base_de_datos[[#This Row],[Índice]],"")</f>
        <v/>
      </c>
      <c r="AU194" s="112" t="str">
        <f ca="1">IF(AND(base_de_datos[[#This Row],[Civil y Administración]]&lt;&gt;"",base_de_datos[[#This Row],[Misma o no]]=1),base_de_datos[[#This Row],[Índice]],"")</f>
        <v/>
      </c>
      <c r="AV194" s="112" t="str">
        <f ca="1">IF(AND(base_de_datos[[#This Row],[Bioelectrónica]]&lt;&gt;"",base_de_datos[[#This Row],[Misma o no]]=1),base_de_datos[[#This Row],[Índice]],"")</f>
        <v/>
      </c>
      <c r="AW194" s="6"/>
      <c r="AX194" s="4">
        <v>2</v>
      </c>
      <c r="AY194" s="6"/>
    </row>
    <row r="195" spans="2:51" ht="13" x14ac:dyDescent="0.3">
      <c r="B195" s="6" t="s">
        <v>268</v>
      </c>
      <c r="C195" s="1" t="s">
        <v>441</v>
      </c>
      <c r="D195" s="4">
        <v>1</v>
      </c>
      <c r="E195" s="113">
        <v>0.70833333333333304</v>
      </c>
      <c r="F195" s="113">
        <v>0.79166666666665897</v>
      </c>
      <c r="G195" s="226" t="s">
        <v>92</v>
      </c>
      <c r="H195" s="4" t="s">
        <v>102</v>
      </c>
      <c r="I195" s="4"/>
      <c r="J195" s="232">
        <v>7</v>
      </c>
      <c r="K195" s="115"/>
      <c r="L195" s="3"/>
      <c r="M195" s="115"/>
      <c r="N195" s="3"/>
      <c r="O195" s="4" t="s">
        <v>442</v>
      </c>
      <c r="P195" s="114"/>
      <c r="Q195" s="114" t="s">
        <v>90</v>
      </c>
      <c r="R195" s="114"/>
      <c r="S195" s="114"/>
      <c r="T195" s="114"/>
      <c r="U195" s="114"/>
      <c r="V195" s="114"/>
      <c r="W195" s="114"/>
      <c r="X195" s="116">
        <f>_xlfn.XLOOKUP(base_de_datos[[#This Row],[Materia]],Materias,Horas)/16</f>
        <v>5</v>
      </c>
      <c r="Y195" s="116">
        <f>ROUND(((base_de_datos[[#This Row],[Hora fin]]-base_de_datos[[#This Row],[Hora inicio]])*24)*(COUNTA(base_de_datos[[#This Row],[Lunes]:[Sábado]])),1)</f>
        <v>2</v>
      </c>
      <c r="Z195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95" s="117">
        <f ca="1">IF(base_de_datos[[#This Row],[No clase]]=OFFSET(base_de_datos[[#This Row],[No clase]],-1,0),0,1)</f>
        <v>1</v>
      </c>
      <c r="AB195" s="117">
        <f ca="1">IF(NOT(OR(base_de_datos[[#This Row],[Horas totales]]=base_de_datos[[#This Row],[HT Plan]],base_de_datos[[#This Row],[Horas totales]]="N/A")),1,0)</f>
        <v>1</v>
      </c>
      <c r="AC195" s="116" t="str">
        <f>_xlfn.XLOOKUP(base_de_datos[[#This Row],[Profesor]],Nombre,Grado)</f>
        <v>SNI</v>
      </c>
      <c r="AD195" s="118" t="str">
        <f>_xlfn.XLOOKUP(base_de_datos[[#This Row],[Profesor]],Nombre,Tipo)</f>
        <v>TC</v>
      </c>
      <c r="AE195" s="116" t="str">
        <f>IF(IFERROR(VLOOKUP($C195,Planes_de_estudio[],MATCH($AE$2,Carreras,0)+2,0),"")&gt;0,IFERROR(VLOOKUP($C195,Planes_de_estudio[],MATCH($AE$2,Carreras,0)+2,0),""),"")</f>
        <v/>
      </c>
      <c r="AF195" s="116" t="str">
        <f>IF(IFERROR(VLOOKUP($C195,Planes_de_estudio[],MATCH($AF$2,Carreras,0)+2,0),"")&gt;0,IFERROR(VLOOKUP($C195,Planes_de_estudio[],MATCH($AF$2,Carreras,0)+2,0),""),"")</f>
        <v/>
      </c>
      <c r="AG195" s="116" t="str">
        <f>IF(IFERROR(VLOOKUP($C195,Planes_de_estudio[],MATCH($AG$2,Carreras,0)+2,0),"")&gt;0,IFERROR(VLOOKUP($C195,Planes_de_estudio[],MATCH($AG$2,Carreras,0)+2,0),""),"")</f>
        <v/>
      </c>
      <c r="AH195" s="116" t="str">
        <f>IF(IFERROR(VLOOKUP($C195,Planes_de_estudio[],MATCH($AH$2,Carreras,0)+2,0),"")&gt;0,IFERROR(VLOOKUP($C195,Planes_de_estudio[],MATCH($AH$2,Carreras,0)+2,0),""),"")</f>
        <v/>
      </c>
      <c r="AI195" s="116">
        <f>IF(IFERROR(VLOOKUP($C195,Planes_de_estudio[],MATCH($AI$2,Carreras,0)+2,0),"")&gt;0,IFERROR(VLOOKUP($C195,Planes_de_estudio[],MATCH($AI$2,Carreras,0)+2,0),""),"")</f>
        <v>8</v>
      </c>
      <c r="AJ195" s="116" t="str">
        <f>IF(IFERROR(VLOOKUP($C195,Planes_de_estudio[],MATCH($AJ$2,Carreras,0)+2,0),"")&gt;0,IFERROR(VLOOKUP($C195,Planes_de_estudio[],MATCH($AJ$2,Carreras,0)+2,0),""),"")</f>
        <v/>
      </c>
      <c r="AK195" s="116" t="str">
        <f>IF(IFERROR(VLOOKUP($C195,Planes_de_estudio[],MATCH($AK$2,Carreras,0)+2,0),"")&gt;0,IFERROR(VLOOKUP($C195,Planes_de_estudio[],MATCH($AK$2,Carreras,0)+2,0),""),"")</f>
        <v/>
      </c>
      <c r="AL195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95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9</v>
      </c>
      <c r="AN195" s="117">
        <f>base_de_datos[[#This Row],[Pronóstico]]/25</f>
        <v>0.36</v>
      </c>
      <c r="AO195" s="117" t="str">
        <f>VLOOKUP($C195,Planes_de_estudio[],2)</f>
        <v>ETF</v>
      </c>
      <c r="AP195" s="119" t="str">
        <f ca="1">IF(AND(base_de_datos[[#This Row],[Industrial]]&lt;&gt;"",base_de_datos[[#This Row],[Misma o no]]=1),base_de_datos[[#This Row],[Índice]],"")</f>
        <v/>
      </c>
      <c r="AQ195" s="119" t="str">
        <f ca="1">IF(AND(base_de_datos[[#This Row],[Mecatrónica]]&lt;&gt;"",base_de_datos[[#This Row],[Misma o no]]=1),base_de_datos[[#This Row],[Índice]],"")</f>
        <v/>
      </c>
      <c r="AR195" s="119" t="str">
        <f ca="1">IF(AND(base_de_datos[[#This Row],[Innovación y Diseño]]&lt;&gt;"",base_de_datos[[#This Row],[Misma o no]]=1),base_de_datos[[#This Row],[Índice]],"")</f>
        <v/>
      </c>
      <c r="AS195" s="119" t="str">
        <f ca="1">IF(AND(base_de_datos[[#This Row],[Inteligencia Artificial]]&lt;&gt;"",base_de_datos[[#This Row],[Misma o no]]=1),base_de_datos[[#This Row],[Índice]],"")</f>
        <v/>
      </c>
      <c r="AT195" s="119">
        <f ca="1">IF(AND(base_de_datos[[#This Row],[Tecnologías Energéticas]]&lt;&gt;"",base_de_datos[[#This Row],[Misma o no]]=1),base_de_datos[[#This Row],[Índice]],"")</f>
        <v>6</v>
      </c>
      <c r="AU195" s="119" t="str">
        <f ca="1">IF(AND(base_de_datos[[#This Row],[Civil y Administración]]&lt;&gt;"",base_de_datos[[#This Row],[Misma o no]]=1),base_de_datos[[#This Row],[Índice]],"")</f>
        <v/>
      </c>
      <c r="AV195" s="119" t="str">
        <f ca="1">IF(AND(base_de_datos[[#This Row],[Bioelectrónica]]&lt;&gt;"",base_de_datos[[#This Row],[Misma o no]]=1),base_de_datos[[#This Row],[Índice]],"")</f>
        <v/>
      </c>
      <c r="AW195" s="120"/>
      <c r="AX195" s="4">
        <v>2</v>
      </c>
      <c r="AY195" s="6"/>
    </row>
    <row r="196" spans="2:51" ht="13" x14ac:dyDescent="0.3">
      <c r="B196" s="6" t="s">
        <v>123</v>
      </c>
      <c r="C196" s="1" t="s">
        <v>416</v>
      </c>
      <c r="D196" s="4">
        <v>1</v>
      </c>
      <c r="E196" s="113">
        <v>0.66666666666666696</v>
      </c>
      <c r="F196" s="113">
        <v>0.79166666666665897</v>
      </c>
      <c r="G196" s="4" t="s">
        <v>87</v>
      </c>
      <c r="H196" s="84" t="s">
        <v>207</v>
      </c>
      <c r="I196" s="4"/>
      <c r="J196" s="234">
        <v>6</v>
      </c>
      <c r="K196" s="115"/>
      <c r="L196" s="3"/>
      <c r="M196" s="127"/>
      <c r="N196" s="3"/>
      <c r="O196" s="4">
        <v>7244</v>
      </c>
      <c r="P196" s="114"/>
      <c r="Q196" s="114" t="s">
        <v>90</v>
      </c>
      <c r="R196" s="114"/>
      <c r="S196" s="114"/>
      <c r="T196" s="114"/>
      <c r="U196" s="114"/>
      <c r="V196" s="114"/>
      <c r="W196" s="114"/>
      <c r="X196" s="117">
        <f>_xlfn.XLOOKUP(base_de_datos[[#This Row],[Materia]],Materias,Horas)/16</f>
        <v>3</v>
      </c>
      <c r="Y196" s="117">
        <f>ROUND(((base_de_datos[[#This Row],[Hora fin]]-base_de_datos[[#This Row],[Hora inicio]])*24)*(COUNTA(base_de_datos[[#This Row],[Lunes]:[Sábado]])),1)</f>
        <v>3</v>
      </c>
      <c r="Z196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96" s="117">
        <f ca="1">IF(base_de_datos[[#This Row],[No clase]]=OFFSET(base_de_datos[[#This Row],[No clase]],-1,0),0,1)</f>
        <v>1</v>
      </c>
      <c r="AB196" s="117">
        <f ca="1">IF(NOT(OR(base_de_datos[[#This Row],[Horas totales]]=base_de_datos[[#This Row],[HT Plan]],base_de_datos[[#This Row],[Horas totales]]="N/A")),1,0)</f>
        <v>0</v>
      </c>
      <c r="AC196" s="117" t="str">
        <f>_xlfn.XLOOKUP(base_de_datos[[#This Row],[Profesor]],Nombre,Grado)</f>
        <v>M</v>
      </c>
      <c r="AD196" s="118" t="str">
        <f>_xlfn.XLOOKUP(base_de_datos[[#This Row],[Profesor]],Nombre,Tipo)</f>
        <v>A</v>
      </c>
      <c r="AE196" s="117" t="str">
        <f>IF(IFERROR(VLOOKUP($C196,Planes_de_estudio[],MATCH($AE$2,Carreras,0)+2,0),"")&gt;0,IFERROR(VLOOKUP($C196,Planes_de_estudio[],MATCH($AE$2,Carreras,0)+2,0),""),"")</f>
        <v/>
      </c>
      <c r="AF196" s="117">
        <f>IF(IFERROR(VLOOKUP($C196,Planes_de_estudio[],MATCH($AF$2,Carreras,0)+2,0),"")&gt;0,IFERROR(VLOOKUP($C196,Planes_de_estudio[],MATCH($AF$2,Carreras,0)+2,0),""),"")</f>
        <v>8</v>
      </c>
      <c r="AG196" s="117" t="str">
        <f>IF(IFERROR(VLOOKUP($C196,Planes_de_estudio[],MATCH($AG$2,Carreras,0)+2,0),"")&gt;0,IFERROR(VLOOKUP($C196,Planes_de_estudio[],MATCH($AG$2,Carreras,0)+2,0),""),"")</f>
        <v/>
      </c>
      <c r="AH196" s="117" t="str">
        <f>IF(IFERROR(VLOOKUP($C196,Planes_de_estudio[],MATCH($AH$2,Carreras,0)+2,0),"")&gt;0,IFERROR(VLOOKUP($C196,Planes_de_estudio[],MATCH($AH$2,Carreras,0)+2,0),""),"")</f>
        <v/>
      </c>
      <c r="AI196" s="117" t="str">
        <f>IF(IFERROR(VLOOKUP($C196,Planes_de_estudio[],MATCH($AI$2,Carreras,0)+2,0),"")&gt;0,IFERROR(VLOOKUP($C196,Planes_de_estudio[],MATCH($AI$2,Carreras,0)+2,0),""),"")</f>
        <v/>
      </c>
      <c r="AJ196" s="117" t="str">
        <f>IF(IFERROR(VLOOKUP($C196,Planes_de_estudio[],MATCH($AJ$2,Carreras,0)+2,0),"")&gt;0,IFERROR(VLOOKUP($C196,Planes_de_estudio[],MATCH($AJ$2,Carreras,0)+2,0),""),"")</f>
        <v/>
      </c>
      <c r="AK196" s="117" t="str">
        <f>IF(IFERROR(VLOOKUP($C196,Planes_de_estudio[],MATCH($AK$2,Carreras,0)+2,0),"")&gt;0,IFERROR(VLOOKUP($C196,Planes_de_estudio[],MATCH($AK$2,Carreras,0)+2,0),""),"")</f>
        <v/>
      </c>
      <c r="AL196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96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16</v>
      </c>
      <c r="AN196" s="117">
        <f>base_de_datos[[#This Row],[Pronóstico]]/25</f>
        <v>0.64</v>
      </c>
      <c r="AO196" s="117" t="str">
        <f>VLOOKUP($C196,Planes_de_estudio[],2)</f>
        <v>EEC</v>
      </c>
      <c r="AP196" s="119" t="str">
        <f ca="1">IF(AND(base_de_datos[[#This Row],[Industrial]]&lt;&gt;"",base_de_datos[[#This Row],[Misma o no]]=1),base_de_datos[[#This Row],[Índice]],"")</f>
        <v/>
      </c>
      <c r="AQ196" s="119">
        <f ca="1">IF(AND(base_de_datos[[#This Row],[Mecatrónica]]&lt;&gt;"",base_de_datos[[#This Row],[Misma o no]]=1),base_de_datos[[#This Row],[Índice]],"")</f>
        <v>4</v>
      </c>
      <c r="AR196" s="119" t="str">
        <f ca="1">IF(AND(base_de_datos[[#This Row],[Innovación y Diseño]]&lt;&gt;"",base_de_datos[[#This Row],[Misma o no]]=1),base_de_datos[[#This Row],[Índice]],"")</f>
        <v/>
      </c>
      <c r="AS196" s="119" t="str">
        <f ca="1">IF(AND(base_de_datos[[#This Row],[Inteligencia Artificial]]&lt;&gt;"",base_de_datos[[#This Row],[Misma o no]]=1),base_de_datos[[#This Row],[Índice]],"")</f>
        <v/>
      </c>
      <c r="AT196" s="119" t="str">
        <f ca="1">IF(AND(base_de_datos[[#This Row],[Tecnologías Energéticas]]&lt;&gt;"",base_de_datos[[#This Row],[Misma o no]]=1),base_de_datos[[#This Row],[Índice]],"")</f>
        <v/>
      </c>
      <c r="AU196" s="119" t="str">
        <f ca="1">IF(AND(base_de_datos[[#This Row],[Civil y Administración]]&lt;&gt;"",base_de_datos[[#This Row],[Misma o no]]=1),base_de_datos[[#This Row],[Índice]],"")</f>
        <v/>
      </c>
      <c r="AV196" s="119" t="str">
        <f ca="1">IF(AND(base_de_datos[[#This Row],[Bioelectrónica]]&lt;&gt;"",base_de_datos[[#This Row],[Misma o no]]=1),base_de_datos[[#This Row],[Índice]],"")</f>
        <v/>
      </c>
      <c r="AW196" s="120"/>
      <c r="AX196" s="4">
        <v>2</v>
      </c>
      <c r="AY196" s="6"/>
    </row>
    <row r="197" spans="2:51" ht="13" x14ac:dyDescent="0.3">
      <c r="B197" s="6" t="s">
        <v>426</v>
      </c>
      <c r="C197" s="1" t="s">
        <v>427</v>
      </c>
      <c r="D197" s="4">
        <v>2</v>
      </c>
      <c r="E197" s="113">
        <v>0.5</v>
      </c>
      <c r="F197" s="113">
        <v>0.562499999999996</v>
      </c>
      <c r="G197" s="4" t="s">
        <v>87</v>
      </c>
      <c r="H197" s="4" t="s">
        <v>95</v>
      </c>
      <c r="I197" s="4"/>
      <c r="J197" s="126">
        <v>10</v>
      </c>
      <c r="K197" s="142"/>
      <c r="L197" s="3"/>
      <c r="M197" s="3"/>
      <c r="N197" s="3"/>
      <c r="O197" s="4" t="s">
        <v>428</v>
      </c>
      <c r="P197" s="114"/>
      <c r="Q197" s="114" t="s">
        <v>90</v>
      </c>
      <c r="R197" s="114"/>
      <c r="S197" s="114" t="s">
        <v>90</v>
      </c>
      <c r="T197" s="114"/>
      <c r="U197" s="114"/>
      <c r="V197" s="114"/>
      <c r="W197" s="114"/>
      <c r="X197" s="143">
        <f>_xlfn.XLOOKUP(base_de_datos[[#This Row],[Materia]],Materias,Horas)/16</f>
        <v>3</v>
      </c>
      <c r="Y197" s="143">
        <f>ROUND(((base_de_datos[[#This Row],[Hora fin]]-base_de_datos[[#This Row],[Hora inicio]])*24)*(COUNTA(base_de_datos[[#This Row],[Lunes]:[Sábado]])),1)</f>
        <v>3</v>
      </c>
      <c r="Z197" s="14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97" s="143">
        <f ca="1">IF(base_de_datos[[#This Row],[No clase]]=OFFSET(base_de_datos[[#This Row],[No clase]],-1,0),0,1)</f>
        <v>1</v>
      </c>
      <c r="AB197" s="143">
        <f ca="1">IF(NOT(OR(base_de_datos[[#This Row],[Horas totales]]=base_de_datos[[#This Row],[HT Plan]],base_de_datos[[#This Row],[Horas totales]]="N/A")),1,0)</f>
        <v>0</v>
      </c>
      <c r="AC197" s="143" t="str">
        <f>_xlfn.XLOOKUP(base_de_datos[[#This Row],[Profesor]],Nombre,Grado)</f>
        <v>L</v>
      </c>
      <c r="AD197" s="144" t="str">
        <f>_xlfn.XLOOKUP(base_de_datos[[#This Row],[Profesor]],Nombre,Tipo)</f>
        <v>A</v>
      </c>
      <c r="AE197" s="143">
        <f>IF(IFERROR(VLOOKUP($C197,Planes_de_estudio[],MATCH($AE$2,Carreras,0)+2,0),"")&gt;0,IFERROR(VLOOKUP($C197,Planes_de_estudio[],MATCH($AE$2,Carreras,0)+2,0),""),"")</f>
        <v>3</v>
      </c>
      <c r="AF197" s="143">
        <f>IF(IFERROR(VLOOKUP($C197,Planes_de_estudio[],MATCH($AF$2,Carreras,0)+2,0),"")&gt;0,IFERROR(VLOOKUP($C197,Planes_de_estudio[],MATCH($AF$2,Carreras,0)+2,0),""),"")</f>
        <v>4</v>
      </c>
      <c r="AG197" s="143" t="str">
        <f>IF(IFERROR(VLOOKUP($C197,Planes_de_estudio[],MATCH($AG$2,Carreras,0)+2,0),"")&gt;0,IFERROR(VLOOKUP($C197,Planes_de_estudio[],MATCH($AG$2,Carreras,0)+2,0),""),"")</f>
        <v/>
      </c>
      <c r="AH197" s="143">
        <f>IF(IFERROR(VLOOKUP($C197,Planes_de_estudio[],MATCH($AH$2,Carreras,0)+2,0),"")&gt;0,IFERROR(VLOOKUP($C197,Planes_de_estudio[],MATCH($AH$2,Carreras,0)+2,0),""),"")</f>
        <v>4</v>
      </c>
      <c r="AI197" s="143" t="str">
        <f>IF(IFERROR(VLOOKUP($C197,Planes_de_estudio[],MATCH($AI$2,Carreras,0)+2,0),"")&gt;0,IFERROR(VLOOKUP($C197,Planes_de_estudio[],MATCH($AI$2,Carreras,0)+2,0),""),"")</f>
        <v/>
      </c>
      <c r="AJ197" s="143" t="str">
        <f>IF(IFERROR(VLOOKUP($C197,Planes_de_estudio[],MATCH($AJ$2,Carreras,0)+2,0),"")&gt;0,IFERROR(VLOOKUP($C197,Planes_de_estudio[],MATCH($AJ$2,Carreras,0)+2,0),""),"")</f>
        <v/>
      </c>
      <c r="AK197" s="143">
        <f>IF(IFERROR(VLOOKUP($C197,Planes_de_estudio[],MATCH($AK$2,Carreras,0)+2,0),"")&gt;0,IFERROR(VLOOKUP($C197,Planes_de_estudio[],MATCH($AK$2,Carreras,0)+2,0),""),"")</f>
        <v>4</v>
      </c>
      <c r="AL197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97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53</v>
      </c>
      <c r="AN197" s="143">
        <f>base_de_datos[[#This Row],[Pronóstico]]/25</f>
        <v>2.12</v>
      </c>
      <c r="AO197" s="143" t="str">
        <f>VLOOKUP($C197,Planes_de_estudio[],2)</f>
        <v>EMP</v>
      </c>
      <c r="AP197" s="112">
        <f ca="1">IF(AND(base_de_datos[[#This Row],[Industrial]]&lt;&gt;"",base_de_datos[[#This Row],[Misma o no]]=1),base_de_datos[[#This Row],[Índice]],"")</f>
        <v>1</v>
      </c>
      <c r="AQ197" s="112">
        <f ca="1">IF(AND(base_de_datos[[#This Row],[Mecatrónica]]&lt;&gt;"",base_de_datos[[#This Row],[Misma o no]]=1),base_de_datos[[#This Row],[Índice]],"")</f>
        <v>1</v>
      </c>
      <c r="AR197" s="112" t="str">
        <f ca="1">IF(AND(base_de_datos[[#This Row],[Innovación y Diseño]]&lt;&gt;"",base_de_datos[[#This Row],[Misma o no]]=1),base_de_datos[[#This Row],[Índice]],"")</f>
        <v/>
      </c>
      <c r="AS197" s="112">
        <f ca="1">IF(AND(base_de_datos[[#This Row],[Inteligencia Artificial]]&lt;&gt;"",base_de_datos[[#This Row],[Misma o no]]=1),base_de_datos[[#This Row],[Índice]],"")</f>
        <v>1</v>
      </c>
      <c r="AT197" s="112" t="str">
        <f ca="1">IF(AND(base_de_datos[[#This Row],[Tecnologías Energéticas]]&lt;&gt;"",base_de_datos[[#This Row],[Misma o no]]=1),base_de_datos[[#This Row],[Índice]],"")</f>
        <v/>
      </c>
      <c r="AU197" s="112" t="str">
        <f ca="1">IF(AND(base_de_datos[[#This Row],[Civil y Administración]]&lt;&gt;"",base_de_datos[[#This Row],[Misma o no]]=1),base_de_datos[[#This Row],[Índice]],"")</f>
        <v/>
      </c>
      <c r="AV197" s="112">
        <f ca="1">IF(AND(base_de_datos[[#This Row],[Bioelectrónica]]&lt;&gt;"",base_de_datos[[#This Row],[Misma o no]]=1),base_de_datos[[#This Row],[Índice]],"")</f>
        <v>1</v>
      </c>
      <c r="AW197" s="6"/>
      <c r="AX197" s="4" t="s">
        <v>1800</v>
      </c>
      <c r="AY197" s="6"/>
    </row>
    <row r="198" spans="2:51" ht="13" x14ac:dyDescent="0.3">
      <c r="B198" s="6" t="s">
        <v>434</v>
      </c>
      <c r="C198" s="1" t="s">
        <v>435</v>
      </c>
      <c r="D198" s="4">
        <v>1</v>
      </c>
      <c r="E198" s="113">
        <v>0.70833333333333304</v>
      </c>
      <c r="F198" s="113">
        <v>0.83333333333332504</v>
      </c>
      <c r="G198" s="226" t="s">
        <v>87</v>
      </c>
      <c r="H198" s="121" t="s">
        <v>93</v>
      </c>
      <c r="I198" s="121"/>
      <c r="J198" s="198">
        <v>25</v>
      </c>
      <c r="K198" s="115"/>
      <c r="L198" s="3"/>
      <c r="M198" s="115"/>
      <c r="N198" s="3"/>
      <c r="O198" s="4">
        <v>1734</v>
      </c>
      <c r="P198" s="114"/>
      <c r="Q198" s="114" t="s">
        <v>90</v>
      </c>
      <c r="R198" s="114"/>
      <c r="S198" s="114"/>
      <c r="T198" s="114"/>
      <c r="U198" s="114"/>
      <c r="V198" s="114"/>
      <c r="W198" s="114"/>
      <c r="X198" s="116">
        <f>_xlfn.XLOOKUP(base_de_datos[[#This Row],[Materia]],Materias,Horas)/16</f>
        <v>3</v>
      </c>
      <c r="Y198" s="116">
        <f>ROUND(((base_de_datos[[#This Row],[Hora fin]]-base_de_datos[[#This Row],[Hora inicio]])*24)*(COUNTA(base_de_datos[[#This Row],[Lunes]:[Sábado]])),1)</f>
        <v>3</v>
      </c>
      <c r="Z198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98" s="117">
        <f ca="1">IF(base_de_datos[[#This Row],[No clase]]=OFFSET(base_de_datos[[#This Row],[No clase]],-1,0),0,1)</f>
        <v>1</v>
      </c>
      <c r="AB198" s="117">
        <f ca="1">IF(NOT(OR(base_de_datos[[#This Row],[Horas totales]]=base_de_datos[[#This Row],[HT Plan]],base_de_datos[[#This Row],[Horas totales]]="N/A")),1,0)</f>
        <v>0</v>
      </c>
      <c r="AC198" s="116" t="str">
        <f>_xlfn.XLOOKUP(base_de_datos[[#This Row],[Profesor]],Nombre,Grado)</f>
        <v>M</v>
      </c>
      <c r="AD198" s="118" t="str">
        <f>_xlfn.XLOOKUP(base_de_datos[[#This Row],[Profesor]],Nombre,Tipo)</f>
        <v>TC</v>
      </c>
      <c r="AE198" s="116">
        <f>IF(IFERROR(VLOOKUP($C198,Planes_de_estudio[],MATCH($AE$2,Carreras,0)+2,0),"")&gt;0,IFERROR(VLOOKUP($C198,Planes_de_estudio[],MATCH($AE$2,Carreras,0)+2,0),""),"")</f>
        <v>6</v>
      </c>
      <c r="AF198" s="116" t="str">
        <f>IF(IFERROR(VLOOKUP($C198,Planes_de_estudio[],MATCH($AF$2,Carreras,0)+2,0),"")&gt;0,IFERROR(VLOOKUP($C198,Planes_de_estudio[],MATCH($AF$2,Carreras,0)+2,0),""),"")</f>
        <v/>
      </c>
      <c r="AG198" s="116" t="str">
        <f>IF(IFERROR(VLOOKUP($C198,Planes_de_estudio[],MATCH($AG$2,Carreras,0)+2,0),"")&gt;0,IFERROR(VLOOKUP($C198,Planes_de_estudio[],MATCH($AG$2,Carreras,0)+2,0),""),"")</f>
        <v/>
      </c>
      <c r="AH198" s="116" t="str">
        <f>IF(IFERROR(VLOOKUP($C198,Planes_de_estudio[],MATCH($AH$2,Carreras,0)+2,0),"")&gt;0,IFERROR(VLOOKUP($C198,Planes_de_estudio[],MATCH($AH$2,Carreras,0)+2,0),""),"")</f>
        <v/>
      </c>
      <c r="AI198" s="116" t="str">
        <f>IF(IFERROR(VLOOKUP($C198,Planes_de_estudio[],MATCH($AI$2,Carreras,0)+2,0),"")&gt;0,IFERROR(VLOOKUP($C198,Planes_de_estudio[],MATCH($AI$2,Carreras,0)+2,0),""),"")</f>
        <v/>
      </c>
      <c r="AJ198" s="116" t="str">
        <f>IF(IFERROR(VLOOKUP($C198,Planes_de_estudio[],MATCH($AJ$2,Carreras,0)+2,0),"")&gt;0,IFERROR(VLOOKUP($C198,Planes_de_estudio[],MATCH($AJ$2,Carreras,0)+2,0),""),"")</f>
        <v/>
      </c>
      <c r="AK198" s="116" t="str">
        <f>IF(IFERROR(VLOOKUP($C198,Planes_de_estudio[],MATCH($AK$2,Carreras,0)+2,0),"")&gt;0,IFERROR(VLOOKUP($C198,Planes_de_estudio[],MATCH($AK$2,Carreras,0)+2,0),""),"")</f>
        <v/>
      </c>
      <c r="AL198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98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25</v>
      </c>
      <c r="AN198" s="117">
        <f>base_de_datos[[#This Row],[Pronóstico]]/25</f>
        <v>1</v>
      </c>
      <c r="AO198" s="117" t="str">
        <f>VLOOKUP($C198,Planes_de_estudio[],2)</f>
        <v>DOP</v>
      </c>
      <c r="AP198" s="119">
        <f ca="1">IF(AND(base_de_datos[[#This Row],[Industrial]]&lt;&gt;"",base_de_datos[[#This Row],[Misma o no]]=1),base_de_datos[[#This Row],[Índice]],"")</f>
        <v>4</v>
      </c>
      <c r="AQ198" s="119" t="str">
        <f ca="1">IF(AND(base_de_datos[[#This Row],[Mecatrónica]]&lt;&gt;"",base_de_datos[[#This Row],[Misma o no]]=1),base_de_datos[[#This Row],[Índice]],"")</f>
        <v/>
      </c>
      <c r="AR198" s="119" t="str">
        <f ca="1">IF(AND(base_de_datos[[#This Row],[Innovación y Diseño]]&lt;&gt;"",base_de_datos[[#This Row],[Misma o no]]=1),base_de_datos[[#This Row],[Índice]],"")</f>
        <v/>
      </c>
      <c r="AS198" s="119" t="str">
        <f ca="1">IF(AND(base_de_datos[[#This Row],[Inteligencia Artificial]]&lt;&gt;"",base_de_datos[[#This Row],[Misma o no]]=1),base_de_datos[[#This Row],[Índice]],"")</f>
        <v/>
      </c>
      <c r="AT198" s="119" t="str">
        <f ca="1">IF(AND(base_de_datos[[#This Row],[Tecnologías Energéticas]]&lt;&gt;"",base_de_datos[[#This Row],[Misma o no]]=1),base_de_datos[[#This Row],[Índice]],"")</f>
        <v/>
      </c>
      <c r="AU198" s="119" t="str">
        <f ca="1">IF(AND(base_de_datos[[#This Row],[Civil y Administración]]&lt;&gt;"",base_de_datos[[#This Row],[Misma o no]]=1),base_de_datos[[#This Row],[Índice]],"")</f>
        <v/>
      </c>
      <c r="AV198" s="119" t="str">
        <f ca="1">IF(AND(base_de_datos[[#This Row],[Bioelectrónica]]&lt;&gt;"",base_de_datos[[#This Row],[Misma o no]]=1),base_de_datos[[#This Row],[Índice]],"")</f>
        <v/>
      </c>
      <c r="AW198" s="120"/>
      <c r="AX198" s="4">
        <v>3</v>
      </c>
      <c r="AY198" s="6"/>
    </row>
    <row r="199" spans="2:51" ht="13" x14ac:dyDescent="0.3">
      <c r="B199" s="6" t="s">
        <v>1</v>
      </c>
      <c r="C199" s="1" t="s">
        <v>440</v>
      </c>
      <c r="D199" s="4">
        <v>1</v>
      </c>
      <c r="E199" s="113">
        <v>0.75</v>
      </c>
      <c r="F199" s="113">
        <v>0.81249999999999201</v>
      </c>
      <c r="G199" s="4" t="s">
        <v>87</v>
      </c>
      <c r="H199" s="4" t="s">
        <v>297</v>
      </c>
      <c r="I199" s="4"/>
      <c r="J199" s="126">
        <v>15</v>
      </c>
      <c r="K199" s="142"/>
      <c r="L199" s="3"/>
      <c r="M199" s="3"/>
      <c r="N199" s="3"/>
      <c r="O199" s="4">
        <v>2255</v>
      </c>
      <c r="P199" s="114"/>
      <c r="Q199" s="114"/>
      <c r="R199" s="114"/>
      <c r="S199" s="114"/>
      <c r="T199" s="114" t="s">
        <v>90</v>
      </c>
      <c r="U199" s="114"/>
      <c r="V199" s="114"/>
      <c r="W199" s="114"/>
      <c r="X199" s="143">
        <f>_xlfn.XLOOKUP(base_de_datos[[#This Row],[Materia]],Materias,Horas)/16</f>
        <v>3</v>
      </c>
      <c r="Y199" s="143">
        <f>ROUND(((base_de_datos[[#This Row],[Hora fin]]-base_de_datos[[#This Row],[Hora inicio]])*24)*(COUNTA(base_de_datos[[#This Row],[Lunes]:[Sábado]])),1)</f>
        <v>1.5</v>
      </c>
      <c r="Z199" s="143">
        <f ca="1">IF(base_de_datos[[#This Row],[Misma o no]]=0,"N/A",IF((OFFSET(base_de_datos[[#This Row],[Misma o no]],1,0))=0,base_de_datos[[#This Row],[Horas]]+(OFFSET(base_de_datos[[#This Row],[Horas]],1,0)),base_de_datos[[#This Row],[Horas]]))</f>
        <v>1.5</v>
      </c>
      <c r="AA199" s="143">
        <f ca="1">IF(base_de_datos[[#This Row],[No clase]]=OFFSET(base_de_datos[[#This Row],[No clase]],-1,0),0,1)</f>
        <v>1</v>
      </c>
      <c r="AB199" s="143">
        <f ca="1">IF(NOT(OR(base_de_datos[[#This Row],[Horas totales]]=base_de_datos[[#This Row],[HT Plan]],base_de_datos[[#This Row],[Horas totales]]="N/A")),1,0)</f>
        <v>1</v>
      </c>
      <c r="AC199" s="228">
        <f>_xlfn.XLOOKUP(base_de_datos[[#This Row],[Profesor]],Nombre,Grado)</f>
        <v>0</v>
      </c>
      <c r="AD199" s="144" t="str">
        <f>_xlfn.XLOOKUP(base_de_datos[[#This Row],[Profesor]],Nombre,Tipo)</f>
        <v>A</v>
      </c>
      <c r="AE199" s="143" t="str">
        <f>IF(IFERROR(VLOOKUP($C199,Planes_de_estudio[],MATCH($AE$2,Carreras,0)+2,0),"")&gt;0,IFERROR(VLOOKUP($C199,Planes_de_estudio[],MATCH($AE$2,Carreras,0)+2,0),""),"")</f>
        <v/>
      </c>
      <c r="AF199" s="143" t="str">
        <f>IF(IFERROR(VLOOKUP($C199,Planes_de_estudio[],MATCH($AF$2,Carreras,0)+2,0),"")&gt;0,IFERROR(VLOOKUP($C199,Planes_de_estudio[],MATCH($AF$2,Carreras,0)+2,0),""),"")</f>
        <v/>
      </c>
      <c r="AG199" s="143">
        <f>IF(IFERROR(VLOOKUP($C199,Planes_de_estudio[],MATCH($AG$2,Carreras,0)+2,0),"")&gt;0,IFERROR(VLOOKUP($C199,Planes_de_estudio[],MATCH($AG$2,Carreras,0)+2,0),""),"")</f>
        <v>6</v>
      </c>
      <c r="AH199" s="143" t="str">
        <f>IF(IFERROR(VLOOKUP($C199,Planes_de_estudio[],MATCH($AH$2,Carreras,0)+2,0),"")&gt;0,IFERROR(VLOOKUP($C199,Planes_de_estudio[],MATCH($AH$2,Carreras,0)+2,0),""),"")</f>
        <v/>
      </c>
      <c r="AI199" s="143" t="str">
        <f>IF(IFERROR(VLOOKUP($C199,Planes_de_estudio[],MATCH($AI$2,Carreras,0)+2,0),"")&gt;0,IFERROR(VLOOKUP($C199,Planes_de_estudio[],MATCH($AI$2,Carreras,0)+2,0),""),"")</f>
        <v/>
      </c>
      <c r="AJ199" s="143" t="str">
        <f>IF(IFERROR(VLOOKUP($C199,Planes_de_estudio[],MATCH($AJ$2,Carreras,0)+2,0),"")&gt;0,IFERROR(VLOOKUP($C199,Planes_de_estudio[],MATCH($AJ$2,Carreras,0)+2,0),""),"")</f>
        <v/>
      </c>
      <c r="AK199" s="143" t="str">
        <f>IF(IFERROR(VLOOKUP($C199,Planes_de_estudio[],MATCH($AK$2,Carreras,0)+2,0),"")&gt;0,IFERROR(VLOOKUP($C199,Planes_de_estudio[],MATCH($AK$2,Carreras,0)+2,0),""),"")</f>
        <v/>
      </c>
      <c r="AL199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99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28</v>
      </c>
      <c r="AN199" s="143">
        <f>base_de_datos[[#This Row],[Pronóstico]]/25</f>
        <v>1.1200000000000001</v>
      </c>
      <c r="AO199" s="143" t="str">
        <f>VLOOKUP($C199,Planes_de_estudio[],2)</f>
        <v>EMP</v>
      </c>
      <c r="AP199" s="112" t="str">
        <f ca="1">IF(AND(base_de_datos[[#This Row],[Industrial]]&lt;&gt;"",base_de_datos[[#This Row],[Misma o no]]=1),base_de_datos[[#This Row],[Índice]],"")</f>
        <v/>
      </c>
      <c r="AQ199" s="112" t="str">
        <f ca="1">IF(AND(base_de_datos[[#This Row],[Mecatrónica]]&lt;&gt;"",base_de_datos[[#This Row],[Misma o no]]=1),base_de_datos[[#This Row],[Índice]],"")</f>
        <v/>
      </c>
      <c r="AR199" s="112">
        <f ca="1">IF(AND(base_de_datos[[#This Row],[Innovación y Diseño]]&lt;&gt;"",base_de_datos[[#This Row],[Misma o no]]=1),base_de_datos[[#This Row],[Índice]],"")</f>
        <v>6</v>
      </c>
      <c r="AS199" s="112" t="str">
        <f ca="1">IF(AND(base_de_datos[[#This Row],[Inteligencia Artificial]]&lt;&gt;"",base_de_datos[[#This Row],[Misma o no]]=1),base_de_datos[[#This Row],[Índice]],"")</f>
        <v/>
      </c>
      <c r="AT199" s="112" t="str">
        <f ca="1">IF(AND(base_de_datos[[#This Row],[Tecnologías Energéticas]]&lt;&gt;"",base_de_datos[[#This Row],[Misma o no]]=1),base_de_datos[[#This Row],[Índice]],"")</f>
        <v/>
      </c>
      <c r="AU199" s="112" t="str">
        <f ca="1">IF(AND(base_de_datos[[#This Row],[Civil y Administración]]&lt;&gt;"",base_de_datos[[#This Row],[Misma o no]]=1),base_de_datos[[#This Row],[Índice]],"")</f>
        <v/>
      </c>
      <c r="AV199" s="112" t="str">
        <f ca="1">IF(AND(base_de_datos[[#This Row],[Bioelectrónica]]&lt;&gt;"",base_de_datos[[#This Row],[Misma o no]]=1),base_de_datos[[#This Row],[Índice]],"")</f>
        <v/>
      </c>
      <c r="AW199" s="6"/>
      <c r="AX199" s="4">
        <v>2</v>
      </c>
      <c r="AY199" s="6"/>
    </row>
    <row r="200" spans="2:51" ht="13" x14ac:dyDescent="0.3">
      <c r="B200" s="6" t="s">
        <v>188</v>
      </c>
      <c r="C200" s="1" t="s">
        <v>443</v>
      </c>
      <c r="D200" s="4">
        <v>1</v>
      </c>
      <c r="E200" s="113">
        <v>0.79166666666666696</v>
      </c>
      <c r="F200" s="113">
        <v>0.87499999999999001</v>
      </c>
      <c r="G200" s="4" t="s">
        <v>87</v>
      </c>
      <c r="H200" s="4" t="s">
        <v>207</v>
      </c>
      <c r="I200" s="4"/>
      <c r="J200" s="126">
        <v>18</v>
      </c>
      <c r="K200" s="115"/>
      <c r="L200" s="3"/>
      <c r="M200" s="127"/>
      <c r="N200" s="3"/>
      <c r="O200" s="4" t="s">
        <v>444</v>
      </c>
      <c r="P200" s="114"/>
      <c r="Q200" s="114" t="s">
        <v>90</v>
      </c>
      <c r="R200" s="114"/>
      <c r="S200" s="114"/>
      <c r="T200" s="114" t="s">
        <v>90</v>
      </c>
      <c r="U200" s="114"/>
      <c r="V200" s="114" t="s">
        <v>90</v>
      </c>
      <c r="W200" s="114"/>
      <c r="X200" s="117">
        <f>_xlfn.XLOOKUP(base_de_datos[[#This Row],[Materia]],Materias,Horas)/16</f>
        <v>4</v>
      </c>
      <c r="Y200" s="117">
        <f>ROUND(((base_de_datos[[#This Row],[Hora fin]]-base_de_datos[[#This Row],[Hora inicio]])*24)*(COUNTA(base_de_datos[[#This Row],[Lunes]:[Sábado]])),1)</f>
        <v>4</v>
      </c>
      <c r="Z200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00" s="117">
        <f ca="1">IF(base_de_datos[[#This Row],[No clase]]=OFFSET(base_de_datos[[#This Row],[No clase]],-1,0),0,1)</f>
        <v>1</v>
      </c>
      <c r="AB200" s="117">
        <f ca="1">IF(NOT(OR(base_de_datos[[#This Row],[Horas totales]]=base_de_datos[[#This Row],[HT Plan]],base_de_datos[[#This Row],[Horas totales]]="N/A")),1,0)</f>
        <v>0</v>
      </c>
      <c r="AC200" s="117" t="str">
        <f>_xlfn.XLOOKUP(base_de_datos[[#This Row],[Profesor]],Nombre,Grado)</f>
        <v>E</v>
      </c>
      <c r="AD200" s="118" t="str">
        <f>_xlfn.XLOOKUP(base_de_datos[[#This Row],[Profesor]],Nombre,Tipo)</f>
        <v>A</v>
      </c>
      <c r="AE200" s="117">
        <f>IF(IFERROR(VLOOKUP($C200,Planes_de_estudio[],MATCH($AE$2,Carreras,0)+2,0),"")&gt;0,IFERROR(VLOOKUP($C200,Planes_de_estudio[],MATCH($AE$2,Carreras,0)+2,0),""),"")</f>
        <v>8</v>
      </c>
      <c r="AF200" s="117" t="str">
        <f>IF(IFERROR(VLOOKUP($C200,Planes_de_estudio[],MATCH($AF$2,Carreras,0)+2,0),"")&gt;0,IFERROR(VLOOKUP($C200,Planes_de_estudio[],MATCH($AF$2,Carreras,0)+2,0),""),"")</f>
        <v/>
      </c>
      <c r="AG200" s="117" t="str">
        <f>IF(IFERROR(VLOOKUP($C200,Planes_de_estudio[],MATCH($AG$2,Carreras,0)+2,0),"")&gt;0,IFERROR(VLOOKUP($C200,Planes_de_estudio[],MATCH($AG$2,Carreras,0)+2,0),""),"")</f>
        <v/>
      </c>
      <c r="AH200" s="117" t="str">
        <f>IF(IFERROR(VLOOKUP($C200,Planes_de_estudio[],MATCH($AH$2,Carreras,0)+2,0),"")&gt;0,IFERROR(VLOOKUP($C200,Planes_de_estudio[],MATCH($AH$2,Carreras,0)+2,0),""),"")</f>
        <v/>
      </c>
      <c r="AI200" s="117" t="str">
        <f>IF(IFERROR(VLOOKUP($C200,Planes_de_estudio[],MATCH($AI$2,Carreras,0)+2,0),"")&gt;0,IFERROR(VLOOKUP($C200,Planes_de_estudio[],MATCH($AI$2,Carreras,0)+2,0),""),"")</f>
        <v/>
      </c>
      <c r="AJ200" s="117" t="str">
        <f>IF(IFERROR(VLOOKUP($C200,Planes_de_estudio[],MATCH($AJ$2,Carreras,0)+2,0),"")&gt;0,IFERROR(VLOOKUP($C200,Planes_de_estudio[],MATCH($AJ$2,Carreras,0)+2,0),""),"")</f>
        <v/>
      </c>
      <c r="AK200" s="117" t="str">
        <f>IF(IFERROR(VLOOKUP($C200,Planes_de_estudio[],MATCH($AK$2,Carreras,0)+2,0),"")&gt;0,IFERROR(VLOOKUP($C200,Planes_de_estudio[],MATCH($AK$2,Carreras,0)+2,0),""),"")</f>
        <v/>
      </c>
      <c r="AL200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200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22</v>
      </c>
      <c r="AN200" s="117">
        <f>base_de_datos[[#This Row],[Pronóstico]]/25</f>
        <v>0.88</v>
      </c>
      <c r="AO200" s="117" t="str">
        <f>VLOOKUP($C200,Planes_de_estudio[],2)</f>
        <v>MEC</v>
      </c>
      <c r="AP200" s="119">
        <f ca="1">IF(AND(base_de_datos[[#This Row],[Industrial]]&lt;&gt;"",base_de_datos[[#This Row],[Misma o no]]=1),base_de_datos[[#This Row],[Índice]],"")</f>
        <v>2</v>
      </c>
      <c r="AQ200" s="119" t="str">
        <f ca="1">IF(AND(base_de_datos[[#This Row],[Mecatrónica]]&lt;&gt;"",base_de_datos[[#This Row],[Misma o no]]=1),base_de_datos[[#This Row],[Índice]],"")</f>
        <v/>
      </c>
      <c r="AR200" s="119" t="str">
        <f ca="1">IF(AND(base_de_datos[[#This Row],[Innovación y Diseño]]&lt;&gt;"",base_de_datos[[#This Row],[Misma o no]]=1),base_de_datos[[#This Row],[Índice]],"")</f>
        <v/>
      </c>
      <c r="AS200" s="119" t="str">
        <f ca="1">IF(AND(base_de_datos[[#This Row],[Inteligencia Artificial]]&lt;&gt;"",base_de_datos[[#This Row],[Misma o no]]=1),base_de_datos[[#This Row],[Índice]],"")</f>
        <v/>
      </c>
      <c r="AT200" s="119" t="str">
        <f ca="1">IF(AND(base_de_datos[[#This Row],[Tecnologías Energéticas]]&lt;&gt;"",base_de_datos[[#This Row],[Misma o no]]=1),base_de_datos[[#This Row],[Índice]],"")</f>
        <v/>
      </c>
      <c r="AU200" s="119" t="str">
        <f ca="1">IF(AND(base_de_datos[[#This Row],[Civil y Administración]]&lt;&gt;"",base_de_datos[[#This Row],[Misma o no]]=1),base_de_datos[[#This Row],[Índice]],"")</f>
        <v/>
      </c>
      <c r="AV200" s="119" t="str">
        <f ca="1">IF(AND(base_de_datos[[#This Row],[Bioelectrónica]]&lt;&gt;"",base_de_datos[[#This Row],[Misma o no]]=1),base_de_datos[[#This Row],[Índice]],"")</f>
        <v/>
      </c>
      <c r="AW200" s="120"/>
      <c r="AX200" s="4">
        <v>2</v>
      </c>
      <c r="AY200" s="6"/>
    </row>
    <row r="201" spans="2:51" ht="13" x14ac:dyDescent="0.3">
      <c r="B201" s="6" t="s">
        <v>431</v>
      </c>
      <c r="C201" s="1" t="s">
        <v>432</v>
      </c>
      <c r="D201" s="4"/>
      <c r="E201" s="113">
        <v>0.66666666666666696</v>
      </c>
      <c r="F201" s="113">
        <v>0.79166666666665897</v>
      </c>
      <c r="G201" s="4" t="s">
        <v>87</v>
      </c>
      <c r="H201" s="4" t="s">
        <v>207</v>
      </c>
      <c r="I201" s="4"/>
      <c r="J201" s="198">
        <v>8</v>
      </c>
      <c r="K201" s="115"/>
      <c r="L201" s="3"/>
      <c r="M201" s="115"/>
      <c r="N201" s="3"/>
      <c r="O201" s="4" t="s">
        <v>433</v>
      </c>
      <c r="P201" s="114"/>
      <c r="Q201" s="114"/>
      <c r="R201" s="114"/>
      <c r="S201" s="114"/>
      <c r="T201" s="114" t="s">
        <v>90</v>
      </c>
      <c r="U201" s="114"/>
      <c r="V201" s="114" t="s">
        <v>90</v>
      </c>
      <c r="W201" s="114"/>
      <c r="X201" s="116">
        <f>_xlfn.XLOOKUP(base_de_datos[[#This Row],[Materia]],Materias,Horas)/16</f>
        <v>3</v>
      </c>
      <c r="Y201" s="116">
        <f>ROUND(((base_de_datos[[#This Row],[Hora fin]]-base_de_datos[[#This Row],[Hora inicio]])*24)*(COUNTA(base_de_datos[[#This Row],[Lunes]:[Sábado]])),1)</f>
        <v>3</v>
      </c>
      <c r="Z201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201" s="117">
        <f ca="1">IF(base_de_datos[[#This Row],[No clase]]=OFFSET(base_de_datos[[#This Row],[No clase]],-1,0),0,1)</f>
        <v>1</v>
      </c>
      <c r="AB201" s="117">
        <f ca="1">IF(NOT(OR(base_de_datos[[#This Row],[Horas totales]]=base_de_datos[[#This Row],[HT Plan]],base_de_datos[[#This Row],[Horas totales]]="N/A")),1,0)</f>
        <v>0</v>
      </c>
      <c r="AC201" s="116" t="str">
        <f>_xlfn.XLOOKUP(base_de_datos[[#This Row],[Profesor]],Nombre,Grado)</f>
        <v>SNI</v>
      </c>
      <c r="AD201" s="118" t="str">
        <f>_xlfn.XLOOKUP(base_de_datos[[#This Row],[Profesor]],Nombre,Tipo)</f>
        <v>OA</v>
      </c>
      <c r="AE201" s="116" t="str">
        <f>IF(IFERROR(VLOOKUP($C201,Planes_de_estudio[],MATCH($AE$2,Carreras,0)+2,0),"")&gt;0,IFERROR(VLOOKUP($C201,Planes_de_estudio[],MATCH($AE$2,Carreras,0)+2,0),""),"")</f>
        <v/>
      </c>
      <c r="AF201" s="116" t="str">
        <f>IF(IFERROR(VLOOKUP($C201,Planes_de_estudio[],MATCH($AF$2,Carreras,0)+2,0),"")&gt;0,IFERROR(VLOOKUP($C201,Planes_de_estudio[],MATCH($AF$2,Carreras,0)+2,0),""),"")</f>
        <v/>
      </c>
      <c r="AG201" s="116" t="str">
        <f>IF(IFERROR(VLOOKUP($C201,Planes_de_estudio[],MATCH($AG$2,Carreras,0)+2,0),"")&gt;0,IFERROR(VLOOKUP($C201,Planes_de_estudio[],MATCH($AG$2,Carreras,0)+2,0),""),"")</f>
        <v/>
      </c>
      <c r="AH201" s="116" t="str">
        <f>IF(IFERROR(VLOOKUP($C201,Planes_de_estudio[],MATCH($AH$2,Carreras,0)+2,0),"")&gt;0,IFERROR(VLOOKUP($C201,Planes_de_estudio[],MATCH($AH$2,Carreras,0)+2,0),""),"")</f>
        <v/>
      </c>
      <c r="AI201" s="116" t="str">
        <f>IF(IFERROR(VLOOKUP($C201,Planes_de_estudio[],MATCH($AI$2,Carreras,0)+2,0),"")&gt;0,IFERROR(VLOOKUP($C201,Planes_de_estudio[],MATCH($AI$2,Carreras,0)+2,0),""),"")</f>
        <v/>
      </c>
      <c r="AJ201" s="116" t="str">
        <f>IF(IFERROR(VLOOKUP($C201,Planes_de_estudio[],MATCH($AJ$2,Carreras,0)+2,0),"")&gt;0,IFERROR(VLOOKUP($C201,Planes_de_estudio[],MATCH($AJ$2,Carreras,0)+2,0),""),"")</f>
        <v/>
      </c>
      <c r="AK201" s="116">
        <f>IF(IFERROR(VLOOKUP($C201,Planes_de_estudio[],MATCH($AK$2,Carreras,0)+2,0),"")&gt;0,IFERROR(VLOOKUP($C201,Planes_de_estudio[],MATCH($AK$2,Carreras,0)+2,0),""),"")</f>
        <v>6</v>
      </c>
      <c r="AL201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201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</v>
      </c>
      <c r="AN201" s="117">
        <f>base_de_datos[[#This Row],[Pronóstico]]/25</f>
        <v>0.12</v>
      </c>
      <c r="AO201" s="117" t="str">
        <f>VLOOKUP($C201,Planes_de_estudio[],2)</f>
        <v>BIO</v>
      </c>
      <c r="AP201" s="119" t="str">
        <f ca="1">IF(AND(base_de_datos[[#This Row],[Industrial]]&lt;&gt;"",base_de_datos[[#This Row],[Misma o no]]=1),base_de_datos[[#This Row],[Índice]],"")</f>
        <v/>
      </c>
      <c r="AQ201" s="119" t="str">
        <f ca="1">IF(AND(base_de_datos[[#This Row],[Mecatrónica]]&lt;&gt;"",base_de_datos[[#This Row],[Misma o no]]=1),base_de_datos[[#This Row],[Índice]],"")</f>
        <v/>
      </c>
      <c r="AR201" s="119" t="str">
        <f ca="1">IF(AND(base_de_datos[[#This Row],[Innovación y Diseño]]&lt;&gt;"",base_de_datos[[#This Row],[Misma o no]]=1),base_de_datos[[#This Row],[Índice]],"")</f>
        <v/>
      </c>
      <c r="AS201" s="119" t="str">
        <f ca="1">IF(AND(base_de_datos[[#This Row],[Inteligencia Artificial]]&lt;&gt;"",base_de_datos[[#This Row],[Misma o no]]=1),base_de_datos[[#This Row],[Índice]],"")</f>
        <v/>
      </c>
      <c r="AT201" s="119" t="str">
        <f ca="1">IF(AND(base_de_datos[[#This Row],[Tecnologías Energéticas]]&lt;&gt;"",base_de_datos[[#This Row],[Misma o no]]=1),base_de_datos[[#This Row],[Índice]],"")</f>
        <v/>
      </c>
      <c r="AU201" s="119" t="str">
        <f ca="1">IF(AND(base_de_datos[[#This Row],[Civil y Administración]]&lt;&gt;"",base_de_datos[[#This Row],[Misma o no]]=1),base_de_datos[[#This Row],[Índice]],"")</f>
        <v/>
      </c>
      <c r="AV201" s="119">
        <f ca="1">IF(AND(base_de_datos[[#This Row],[Bioelectrónica]]&lt;&gt;"",base_de_datos[[#This Row],[Misma o no]]=1),base_de_datos[[#This Row],[Índice]],"")</f>
        <v>6</v>
      </c>
      <c r="AW201" s="120"/>
      <c r="AX201" s="4">
        <v>3</v>
      </c>
      <c r="AY201" s="6"/>
    </row>
    <row r="202" spans="2:51" ht="13" x14ac:dyDescent="0.3">
      <c r="B202" s="6" t="s">
        <v>437</v>
      </c>
      <c r="C202" s="1" t="s">
        <v>438</v>
      </c>
      <c r="D202" s="4">
        <v>1</v>
      </c>
      <c r="E202" s="113">
        <v>0.70833333333333304</v>
      </c>
      <c r="F202" s="113">
        <v>0.79166666666665897</v>
      </c>
      <c r="G202" s="226" t="s">
        <v>92</v>
      </c>
      <c r="H202" s="4" t="s">
        <v>258</v>
      </c>
      <c r="I202" s="4"/>
      <c r="J202" s="199">
        <v>8</v>
      </c>
      <c r="K202" s="142"/>
      <c r="L202" s="3"/>
      <c r="M202" s="3"/>
      <c r="N202" s="3"/>
      <c r="O202" s="2" t="s">
        <v>439</v>
      </c>
      <c r="P202" s="114"/>
      <c r="Q202" s="114" t="s">
        <v>90</v>
      </c>
      <c r="R202" s="114"/>
      <c r="S202" s="114"/>
      <c r="T202" s="114"/>
      <c r="U202" s="114"/>
      <c r="V202" s="114"/>
      <c r="W202" s="114"/>
      <c r="X202" s="143">
        <f>_xlfn.XLOOKUP(base_de_datos[[#This Row],[Materia]],Materias,Horas)/16</f>
        <v>4</v>
      </c>
      <c r="Y202" s="143">
        <f>ROUND(((base_de_datos[[#This Row],[Hora fin]]-base_de_datos[[#This Row],[Hora inicio]])*24)*(COUNTA(base_de_datos[[#This Row],[Lunes]:[Sábado]])),1)</f>
        <v>2</v>
      </c>
      <c r="Z202" s="143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202" s="143">
        <f ca="1">IF(base_de_datos[[#This Row],[No clase]]=OFFSET(base_de_datos[[#This Row],[No clase]],-1,0),0,1)</f>
        <v>1</v>
      </c>
      <c r="AB202" s="143">
        <f ca="1">IF(NOT(OR(base_de_datos[[#This Row],[Horas totales]]=base_de_datos[[#This Row],[HT Plan]],base_de_datos[[#This Row],[Horas totales]]="N/A")),1,0)</f>
        <v>1</v>
      </c>
      <c r="AC202" s="143" t="str">
        <f>_xlfn.XLOOKUP(base_de_datos[[#This Row],[Profesor]],Nombre,Grado)</f>
        <v>M</v>
      </c>
      <c r="AD202" s="144" t="str">
        <f>_xlfn.XLOOKUP(base_de_datos[[#This Row],[Profesor]],Nombre,Tipo)</f>
        <v>TC</v>
      </c>
      <c r="AE202" s="143" t="str">
        <f>IF(IFERROR(VLOOKUP($C202,Planes_de_estudio[],MATCH($AE$2,Carreras,0)+2,0),"")&gt;0,IFERROR(VLOOKUP($C202,Planes_de_estudio[],MATCH($AE$2,Carreras,0)+2,0),""),"")</f>
        <v/>
      </c>
      <c r="AF202" s="143" t="str">
        <f>IF(IFERROR(VLOOKUP($C202,Planes_de_estudio[],MATCH($AF$2,Carreras,0)+2,0),"")&gt;0,IFERROR(VLOOKUP($C202,Planes_de_estudio[],MATCH($AF$2,Carreras,0)+2,0),""),"")</f>
        <v/>
      </c>
      <c r="AG202" s="143" t="str">
        <f>IF(IFERROR(VLOOKUP($C202,Planes_de_estudio[],MATCH($AG$2,Carreras,0)+2,0),"")&gt;0,IFERROR(VLOOKUP($C202,Planes_de_estudio[],MATCH($AG$2,Carreras,0)+2,0),""),"")</f>
        <v/>
      </c>
      <c r="AH202" s="143" t="str">
        <f>IF(IFERROR(VLOOKUP($C202,Planes_de_estudio[],MATCH($AH$2,Carreras,0)+2,0),"")&gt;0,IFERROR(VLOOKUP($C202,Planes_de_estudio[],MATCH($AH$2,Carreras,0)+2,0),""),"")</f>
        <v/>
      </c>
      <c r="AI202" s="143" t="str">
        <f>IF(IFERROR(VLOOKUP($C202,Planes_de_estudio[],MATCH($AI$2,Carreras,0)+2,0),"")&gt;0,IFERROR(VLOOKUP($C202,Planes_de_estudio[],MATCH($AI$2,Carreras,0)+2,0),""),"")</f>
        <v/>
      </c>
      <c r="AJ202" s="143" t="str">
        <f>IF(IFERROR(VLOOKUP($C202,Planes_de_estudio[],MATCH($AJ$2,Carreras,0)+2,0),"")&gt;0,IFERROR(VLOOKUP($C202,Planes_de_estudio[],MATCH($AJ$2,Carreras,0)+2,0),""),"")</f>
        <v/>
      </c>
      <c r="AK202" s="143">
        <f>IF(IFERROR(VLOOKUP($C202,Planes_de_estudio[],MATCH($AK$2,Carreras,0)+2,0),"")&gt;0,IFERROR(VLOOKUP($C202,Planes_de_estudio[],MATCH($AK$2,Carreras,0)+2,0),""),"")</f>
        <v>6</v>
      </c>
      <c r="AL202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02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</v>
      </c>
      <c r="AN202" s="143">
        <f>base_de_datos[[#This Row],[Pronóstico]]/25</f>
        <v>0.12</v>
      </c>
      <c r="AO202" s="143" t="str">
        <f>VLOOKUP($C202,Planes_de_estudio[],2)</f>
        <v>EEC</v>
      </c>
      <c r="AP202" s="112" t="str">
        <f ca="1">IF(AND(base_de_datos[[#This Row],[Industrial]]&lt;&gt;"",base_de_datos[[#This Row],[Misma o no]]=1),base_de_datos[[#This Row],[Índice]],"")</f>
        <v/>
      </c>
      <c r="AQ202" s="112" t="str">
        <f ca="1">IF(AND(base_de_datos[[#This Row],[Mecatrónica]]&lt;&gt;"",base_de_datos[[#This Row],[Misma o no]]=1),base_de_datos[[#This Row],[Índice]],"")</f>
        <v/>
      </c>
      <c r="AR202" s="112" t="str">
        <f ca="1">IF(AND(base_de_datos[[#This Row],[Innovación y Diseño]]&lt;&gt;"",base_de_datos[[#This Row],[Misma o no]]=1),base_de_datos[[#This Row],[Índice]],"")</f>
        <v/>
      </c>
      <c r="AS202" s="112" t="str">
        <f ca="1">IF(AND(base_de_datos[[#This Row],[Inteligencia Artificial]]&lt;&gt;"",base_de_datos[[#This Row],[Misma o no]]=1),base_de_datos[[#This Row],[Índice]],"")</f>
        <v/>
      </c>
      <c r="AT202" s="112" t="str">
        <f ca="1">IF(AND(base_de_datos[[#This Row],[Tecnologías Energéticas]]&lt;&gt;"",base_de_datos[[#This Row],[Misma o no]]=1),base_de_datos[[#This Row],[Índice]],"")</f>
        <v/>
      </c>
      <c r="AU202" s="112" t="str">
        <f ca="1">IF(AND(base_de_datos[[#This Row],[Civil y Administración]]&lt;&gt;"",base_de_datos[[#This Row],[Misma o no]]=1),base_de_datos[[#This Row],[Índice]],"")</f>
        <v/>
      </c>
      <c r="AV202" s="112">
        <f ca="1">IF(AND(base_de_datos[[#This Row],[Bioelectrónica]]&lt;&gt;"",base_de_datos[[#This Row],[Misma o no]]=1),base_de_datos[[#This Row],[Índice]],"")</f>
        <v>4</v>
      </c>
      <c r="AW202" s="6"/>
      <c r="AX202" s="4">
        <v>3</v>
      </c>
      <c r="AY202" s="6"/>
    </row>
    <row r="203" spans="2:51" ht="13" x14ac:dyDescent="0.3">
      <c r="B203" s="6" t="s">
        <v>446</v>
      </c>
      <c r="C203" s="1" t="s">
        <v>447</v>
      </c>
      <c r="D203" s="4"/>
      <c r="E203" s="113">
        <v>0.70833333333333304</v>
      </c>
      <c r="F203" s="113">
        <v>0.79166666666665897</v>
      </c>
      <c r="G203" s="4" t="s">
        <v>87</v>
      </c>
      <c r="H203" s="4" t="s">
        <v>229</v>
      </c>
      <c r="I203" s="4"/>
      <c r="J203" s="126">
        <v>15</v>
      </c>
      <c r="K203" s="142"/>
      <c r="L203" s="3"/>
      <c r="M203" s="3"/>
      <c r="N203" s="3"/>
      <c r="O203" s="4">
        <v>2376</v>
      </c>
      <c r="P203" s="114"/>
      <c r="Q203" s="114"/>
      <c r="R203" s="114"/>
      <c r="S203" s="114"/>
      <c r="T203" s="114" t="s">
        <v>90</v>
      </c>
      <c r="U203" s="114"/>
      <c r="V203" s="114"/>
      <c r="W203" s="114"/>
      <c r="X203" s="143">
        <f>_xlfn.XLOOKUP(base_de_datos[[#This Row],[Materia]],Materias,Horas)/16</f>
        <v>2</v>
      </c>
      <c r="Y203" s="143">
        <f>ROUND(((base_de_datos[[#This Row],[Hora fin]]-base_de_datos[[#This Row],[Hora inicio]])*24)*(COUNTA(base_de_datos[[#This Row],[Lunes]:[Sábado]])),1)</f>
        <v>2</v>
      </c>
      <c r="Z203" s="143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203" s="143">
        <f ca="1">IF(base_de_datos[[#This Row],[No clase]]=OFFSET(base_de_datos[[#This Row],[No clase]],-1,0),0,1)</f>
        <v>1</v>
      </c>
      <c r="AB203" s="143">
        <f ca="1">IF(NOT(OR(base_de_datos[[#This Row],[Horas totales]]=base_de_datos[[#This Row],[HT Plan]],base_de_datos[[#This Row],[Horas totales]]="N/A")),1,0)</f>
        <v>0</v>
      </c>
      <c r="AC203" s="228">
        <f>_xlfn.XLOOKUP(base_de_datos[[#This Row],[Profesor]],Nombre,Grado)</f>
        <v>0</v>
      </c>
      <c r="AD203" s="144" t="str">
        <f>_xlfn.XLOOKUP(base_de_datos[[#This Row],[Profesor]],Nombre,Tipo)</f>
        <v>A</v>
      </c>
      <c r="AE203" s="143">
        <f>IF(IFERROR(VLOOKUP($C203,Planes_de_estudio[],MATCH($AE$2,Carreras,0)+2,0),"")&gt;0,IFERROR(VLOOKUP($C203,Planes_de_estudio[],MATCH($AE$2,Carreras,0)+2,0),""),"")</f>
        <v>8</v>
      </c>
      <c r="AF203" s="143" t="str">
        <f>IF(IFERROR(VLOOKUP($C203,Planes_de_estudio[],MATCH($AF$2,Carreras,0)+2,0),"")&gt;0,IFERROR(VLOOKUP($C203,Planes_de_estudio[],MATCH($AF$2,Carreras,0)+2,0),""),"")</f>
        <v/>
      </c>
      <c r="AG203" s="143">
        <f>IF(IFERROR(VLOOKUP($C203,Planes_de_estudio[],MATCH($AG$2,Carreras,0)+2,0),"")&gt;0,IFERROR(VLOOKUP($C203,Planes_de_estudio[],MATCH($AG$2,Carreras,0)+2,0),""),"")</f>
        <v>8</v>
      </c>
      <c r="AH203" s="143" t="str">
        <f>IF(IFERROR(VLOOKUP($C203,Planes_de_estudio[],MATCH($AH$2,Carreras,0)+2,0),"")&gt;0,IFERROR(VLOOKUP($C203,Planes_de_estudio[],MATCH($AH$2,Carreras,0)+2,0),""),"")</f>
        <v/>
      </c>
      <c r="AI203" s="143" t="str">
        <f>IF(IFERROR(VLOOKUP($C203,Planes_de_estudio[],MATCH($AI$2,Carreras,0)+2,0),"")&gt;0,IFERROR(VLOOKUP($C203,Planes_de_estudio[],MATCH($AI$2,Carreras,0)+2,0),""),"")</f>
        <v/>
      </c>
      <c r="AJ203" s="143" t="str">
        <f>IF(IFERROR(VLOOKUP($C203,Planes_de_estudio[],MATCH($AJ$2,Carreras,0)+2,0),"")&gt;0,IFERROR(VLOOKUP($C203,Planes_de_estudio[],MATCH($AJ$2,Carreras,0)+2,0),""),"")</f>
        <v/>
      </c>
      <c r="AK203" s="143" t="str">
        <f>IF(IFERROR(VLOOKUP($C203,Planes_de_estudio[],MATCH($AK$2,Carreras,0)+2,0),"")&gt;0,IFERROR(VLOOKUP($C203,Planes_de_estudio[],MATCH($AK$2,Carreras,0)+2,0),""),"")</f>
        <v/>
      </c>
      <c r="AL203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203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41</v>
      </c>
      <c r="AN203" s="143">
        <f>base_de_datos[[#This Row],[Pronóstico]]/25</f>
        <v>1.64</v>
      </c>
      <c r="AO203" s="143" t="str">
        <f>VLOOKUP($C203,Planes_de_estudio[],2)</f>
        <v>ETF</v>
      </c>
      <c r="AP203" s="112">
        <f ca="1">IF(AND(base_de_datos[[#This Row],[Industrial]]&lt;&gt;"",base_de_datos[[#This Row],[Misma o no]]=1),base_de_datos[[#This Row],[Índice]],"")</f>
        <v>6</v>
      </c>
      <c r="AQ203" s="112" t="str">
        <f ca="1">IF(AND(base_de_datos[[#This Row],[Mecatrónica]]&lt;&gt;"",base_de_datos[[#This Row],[Misma o no]]=1),base_de_datos[[#This Row],[Índice]],"")</f>
        <v/>
      </c>
      <c r="AR203" s="112">
        <f ca="1">IF(AND(base_de_datos[[#This Row],[Innovación y Diseño]]&lt;&gt;"",base_de_datos[[#This Row],[Misma o no]]=1),base_de_datos[[#This Row],[Índice]],"")</f>
        <v>6</v>
      </c>
      <c r="AS203" s="112" t="str">
        <f ca="1">IF(AND(base_de_datos[[#This Row],[Inteligencia Artificial]]&lt;&gt;"",base_de_datos[[#This Row],[Misma o no]]=1),base_de_datos[[#This Row],[Índice]],"")</f>
        <v/>
      </c>
      <c r="AT203" s="112" t="str">
        <f ca="1">IF(AND(base_de_datos[[#This Row],[Tecnologías Energéticas]]&lt;&gt;"",base_de_datos[[#This Row],[Misma o no]]=1),base_de_datos[[#This Row],[Índice]],"")</f>
        <v/>
      </c>
      <c r="AU203" s="112" t="str">
        <f ca="1">IF(AND(base_de_datos[[#This Row],[Civil y Administración]]&lt;&gt;"",base_de_datos[[#This Row],[Misma o no]]=1),base_de_datos[[#This Row],[Índice]],"")</f>
        <v/>
      </c>
      <c r="AV203" s="112" t="str">
        <f ca="1">IF(AND(base_de_datos[[#This Row],[Bioelectrónica]]&lt;&gt;"",base_de_datos[[#This Row],[Misma o no]]=1),base_de_datos[[#This Row],[Índice]],"")</f>
        <v/>
      </c>
      <c r="AW203" s="6"/>
      <c r="AX203" s="4" t="s">
        <v>1807</v>
      </c>
      <c r="AY203" s="6"/>
    </row>
    <row r="204" spans="2:51" ht="13" x14ac:dyDescent="0.3">
      <c r="B204" s="6" t="s">
        <v>268</v>
      </c>
      <c r="C204" s="1" t="s">
        <v>441</v>
      </c>
      <c r="D204" s="4">
        <v>1</v>
      </c>
      <c r="E204" s="113">
        <v>0.66666666666666696</v>
      </c>
      <c r="F204" s="113">
        <v>0.79166666666665897</v>
      </c>
      <c r="G204" s="226" t="s">
        <v>92</v>
      </c>
      <c r="H204" s="4" t="s">
        <v>102</v>
      </c>
      <c r="I204" s="4"/>
      <c r="J204" s="232">
        <v>7</v>
      </c>
      <c r="K204" s="128"/>
      <c r="L204" s="3"/>
      <c r="M204" s="128"/>
      <c r="N204" s="3"/>
      <c r="O204" s="4" t="s">
        <v>442</v>
      </c>
      <c r="P204" s="114"/>
      <c r="Q204" s="114"/>
      <c r="R204" s="114"/>
      <c r="S204" s="114"/>
      <c r="T204" s="114" t="s">
        <v>90</v>
      </c>
      <c r="U204" s="114"/>
      <c r="V204" s="114"/>
      <c r="W204" s="114"/>
      <c r="X204" s="116">
        <f>_xlfn.XLOOKUP(base_de_datos[[#This Row],[Materia]],Materias,Horas)/16</f>
        <v>5</v>
      </c>
      <c r="Y204" s="116">
        <f>ROUND(((base_de_datos[[#This Row],[Hora fin]]-base_de_datos[[#This Row],[Hora inicio]])*24)*(COUNTA(base_de_datos[[#This Row],[Lunes]:[Sábado]])),1)</f>
        <v>3</v>
      </c>
      <c r="Z204" s="116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204" s="116">
        <f ca="1">IF(base_de_datos[[#This Row],[No clase]]=OFFSET(base_de_datos[[#This Row],[No clase]],-1,0),0,1)</f>
        <v>1</v>
      </c>
      <c r="AB204" s="116">
        <f ca="1">IF(NOT(OR(base_de_datos[[#This Row],[Horas totales]]=base_de_datos[[#This Row],[HT Plan]],base_de_datos[[#This Row],[Horas totales]]="N/A")),1,0)</f>
        <v>1</v>
      </c>
      <c r="AC204" s="116" t="str">
        <f>_xlfn.XLOOKUP(base_de_datos[[#This Row],[Profesor]],Nombre,Grado)</f>
        <v>SNI</v>
      </c>
      <c r="AD204" s="118" t="str">
        <f>_xlfn.XLOOKUP(base_de_datos[[#This Row],[Profesor]],Nombre,Tipo)</f>
        <v>TC</v>
      </c>
      <c r="AE204" s="116" t="str">
        <f>IF(IFERROR(VLOOKUP($C204,Planes_de_estudio[],MATCH($AE$2,Carreras,0)+2,0),"")&gt;0,IFERROR(VLOOKUP($C204,Planes_de_estudio[],MATCH($AE$2,Carreras,0)+2,0),""),"")</f>
        <v/>
      </c>
      <c r="AF204" s="116" t="str">
        <f>IF(IFERROR(VLOOKUP($C204,Planes_de_estudio[],MATCH($AF$2,Carreras,0)+2,0),"")&gt;0,IFERROR(VLOOKUP($C204,Planes_de_estudio[],MATCH($AF$2,Carreras,0)+2,0),""),"")</f>
        <v/>
      </c>
      <c r="AG204" s="116" t="str">
        <f>IF(IFERROR(VLOOKUP($C204,Planes_de_estudio[],MATCH($AG$2,Carreras,0)+2,0),"")&gt;0,IFERROR(VLOOKUP($C204,Planes_de_estudio[],MATCH($AG$2,Carreras,0)+2,0),""),"")</f>
        <v/>
      </c>
      <c r="AH204" s="116" t="str">
        <f>IF(IFERROR(VLOOKUP($C204,Planes_de_estudio[],MATCH($AH$2,Carreras,0)+2,0),"")&gt;0,IFERROR(VLOOKUP($C204,Planes_de_estudio[],MATCH($AH$2,Carreras,0)+2,0),""),"")</f>
        <v/>
      </c>
      <c r="AI204" s="116">
        <f>IF(IFERROR(VLOOKUP($C204,Planes_de_estudio[],MATCH($AI$2,Carreras,0)+2,0),"")&gt;0,IFERROR(VLOOKUP($C204,Planes_de_estudio[],MATCH($AI$2,Carreras,0)+2,0),""),"")</f>
        <v>8</v>
      </c>
      <c r="AJ204" s="116" t="str">
        <f>IF(IFERROR(VLOOKUP($C204,Planes_de_estudio[],MATCH($AJ$2,Carreras,0)+2,0),"")&gt;0,IFERROR(VLOOKUP($C204,Planes_de_estudio[],MATCH($AJ$2,Carreras,0)+2,0),""),"")</f>
        <v/>
      </c>
      <c r="AK204" s="116" t="str">
        <f>IF(IFERROR(VLOOKUP($C204,Planes_de_estudio[],MATCH($AK$2,Carreras,0)+2,0),"")&gt;0,IFERROR(VLOOKUP($C204,Planes_de_estudio[],MATCH($AK$2,Carreras,0)+2,0),""),"")</f>
        <v/>
      </c>
      <c r="AL204" s="116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204" s="116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9</v>
      </c>
      <c r="AN204" s="116">
        <f>base_de_datos[[#This Row],[Pronóstico]]/25</f>
        <v>0.36</v>
      </c>
      <c r="AO204" s="116" t="str">
        <f>VLOOKUP($C204,Planes_de_estudio[],2)</f>
        <v>ETF</v>
      </c>
      <c r="AP204" s="129" t="str">
        <f ca="1">IF(AND(base_de_datos[[#This Row],[Industrial]]&lt;&gt;"",base_de_datos[[#This Row],[Misma o no]]=1),base_de_datos[[#This Row],[Índice]],"")</f>
        <v/>
      </c>
      <c r="AQ204" s="129" t="str">
        <f ca="1">IF(AND(base_de_datos[[#This Row],[Mecatrónica]]&lt;&gt;"",base_de_datos[[#This Row],[Misma o no]]=1),base_de_datos[[#This Row],[Índice]],"")</f>
        <v/>
      </c>
      <c r="AR204" s="129" t="str">
        <f ca="1">IF(AND(base_de_datos[[#This Row],[Innovación y Diseño]]&lt;&gt;"",base_de_datos[[#This Row],[Misma o no]]=1),base_de_datos[[#This Row],[Índice]],"")</f>
        <v/>
      </c>
      <c r="AS204" s="129" t="str">
        <f ca="1">IF(AND(base_de_datos[[#This Row],[Inteligencia Artificial]]&lt;&gt;"",base_de_datos[[#This Row],[Misma o no]]=1),base_de_datos[[#This Row],[Índice]],"")</f>
        <v/>
      </c>
      <c r="AT204" s="129">
        <f ca="1">IF(AND(base_de_datos[[#This Row],[Tecnologías Energéticas]]&lt;&gt;"",base_de_datos[[#This Row],[Misma o no]]=1),base_de_datos[[#This Row],[Índice]],"")</f>
        <v>6</v>
      </c>
      <c r="AU204" s="129" t="str">
        <f ca="1">IF(AND(base_de_datos[[#This Row],[Civil y Administración]]&lt;&gt;"",base_de_datos[[#This Row],[Misma o no]]=1),base_de_datos[[#This Row],[Índice]],"")</f>
        <v/>
      </c>
      <c r="AV204" s="129" t="str">
        <f ca="1">IF(AND(base_de_datos[[#This Row],[Bioelectrónica]]&lt;&gt;"",base_de_datos[[#This Row],[Misma o no]]=1),base_de_datos[[#This Row],[Índice]],"")</f>
        <v/>
      </c>
      <c r="AW204" s="130"/>
      <c r="AX204" s="4">
        <v>2</v>
      </c>
      <c r="AY204" s="6"/>
    </row>
    <row r="205" spans="2:51" ht="13" x14ac:dyDescent="0.3">
      <c r="B205" s="6" t="s">
        <v>319</v>
      </c>
      <c r="C205" s="1" t="s">
        <v>459</v>
      </c>
      <c r="D205" s="4">
        <v>1</v>
      </c>
      <c r="E205" s="113">
        <v>0.375</v>
      </c>
      <c r="F205" s="113">
        <v>0.45833333333333098</v>
      </c>
      <c r="G205" s="226" t="s">
        <v>92</v>
      </c>
      <c r="H205" s="4" t="s">
        <v>18</v>
      </c>
      <c r="I205" s="4"/>
      <c r="J205" s="198">
        <v>27</v>
      </c>
      <c r="K205" s="115"/>
      <c r="L205" s="3"/>
      <c r="M205" s="115"/>
      <c r="N205" s="3"/>
      <c r="O205" s="2" t="s">
        <v>460</v>
      </c>
      <c r="P205" s="114"/>
      <c r="Q205" s="114" t="s">
        <v>90</v>
      </c>
      <c r="R205" s="114"/>
      <c r="S205" s="114"/>
      <c r="T205" s="114"/>
      <c r="U205" s="114"/>
      <c r="V205" s="114"/>
      <c r="W205" s="114"/>
      <c r="X205" s="116">
        <f>_xlfn.XLOOKUP(base_de_datos[[#This Row],[Materia]],Materias,Horas)/16</f>
        <v>4</v>
      </c>
      <c r="Y205" s="117">
        <f>ROUND(((base_de_datos[[#This Row],[Hora fin]]-base_de_datos[[#This Row],[Hora inicio]])*24)*(COUNTA(base_de_datos[[#This Row],[Lunes]:[Sábado]])),1)</f>
        <v>2</v>
      </c>
      <c r="Z205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205" s="117">
        <f ca="1">IF(base_de_datos[[#This Row],[No clase]]=OFFSET(base_de_datos[[#This Row],[No clase]],-1,0),0,1)</f>
        <v>1</v>
      </c>
      <c r="AB205" s="117">
        <f ca="1">IF(NOT(OR(base_de_datos[[#This Row],[Horas totales]]=base_de_datos[[#This Row],[HT Plan]],base_de_datos[[#This Row],[Horas totales]]="N/A")),1,0)</f>
        <v>1</v>
      </c>
      <c r="AC205" s="117" t="str">
        <f>_xlfn.XLOOKUP(base_de_datos[[#This Row],[Profesor]],Nombre,Grado)</f>
        <v>M</v>
      </c>
      <c r="AD205" s="118" t="str">
        <f>_xlfn.XLOOKUP(base_de_datos[[#This Row],[Profesor]],Nombre,Tipo)</f>
        <v>TC</v>
      </c>
      <c r="AE205" s="117">
        <f>IF(IFERROR(VLOOKUP($C205,Planes_de_estudio[],MATCH($AE$2,Carreras,0)+2,0),"")&gt;0,IFERROR(VLOOKUP($C205,Planes_de_estudio[],MATCH($AE$2,Carreras,0)+2,0),""),"")</f>
        <v>3</v>
      </c>
      <c r="AF205" s="117">
        <f>IF(IFERROR(VLOOKUP($C205,Planes_de_estudio[],MATCH($AF$2,Carreras,0)+2,0),"")&gt;0,IFERROR(VLOOKUP($C205,Planes_de_estudio[],MATCH($AF$2,Carreras,0)+2,0),""),"")</f>
        <v>4</v>
      </c>
      <c r="AG205" s="117" t="str">
        <f>IF(IFERROR(VLOOKUP($C205,Planes_de_estudio[],MATCH($AG$2,Carreras,0)+2,0),"")&gt;0,IFERROR(VLOOKUP($C205,Planes_de_estudio[],MATCH($AG$2,Carreras,0)+2,0),""),"")</f>
        <v/>
      </c>
      <c r="AH205" s="117" t="str">
        <f>IF(IFERROR(VLOOKUP($C205,Planes_de_estudio[],MATCH($AH$2,Carreras,0)+2,0),"")&gt;0,IFERROR(VLOOKUP($C205,Planes_de_estudio[],MATCH($AH$2,Carreras,0)+2,0),""),"")</f>
        <v/>
      </c>
      <c r="AI205" s="117">
        <f>IF(IFERROR(VLOOKUP($C205,Planes_de_estudio[],MATCH($AI$2,Carreras,0)+2,0),"")&gt;0,IFERROR(VLOOKUP($C205,Planes_de_estudio[],MATCH($AI$2,Carreras,0)+2,0),""),"")</f>
        <v>3</v>
      </c>
      <c r="AJ205" s="117" t="str">
        <f>IF(IFERROR(VLOOKUP($C205,Planes_de_estudio[],MATCH($AJ$2,Carreras,0)+2,0),"")&gt;0,IFERROR(VLOOKUP($C205,Planes_de_estudio[],MATCH($AJ$2,Carreras,0)+2,0),""),"")</f>
        <v/>
      </c>
      <c r="AK205" s="117">
        <f>IF(IFERROR(VLOOKUP($C205,Planes_de_estudio[],MATCH($AK$2,Carreras,0)+2,0),"")&gt;0,IFERROR(VLOOKUP($C205,Planes_de_estudio[],MATCH($AK$2,Carreras,0)+2,0),""),"")</f>
        <v>4</v>
      </c>
      <c r="AL205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05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26</v>
      </c>
      <c r="AN205" s="117">
        <f>base_de_datos[[#This Row],[Pronóstico]]/25</f>
        <v>1.04</v>
      </c>
      <c r="AO205" s="117" t="str">
        <f>VLOOKUP($C205,Planes_de_estudio[],2)</f>
        <v>ETF</v>
      </c>
      <c r="AP205" s="119">
        <f ca="1">IF(AND(base_de_datos[[#This Row],[Industrial]]&lt;&gt;"",base_de_datos[[#This Row],[Misma o no]]=1),base_de_datos[[#This Row],[Índice]],"")</f>
        <v>4</v>
      </c>
      <c r="AQ205" s="119">
        <f ca="1">IF(AND(base_de_datos[[#This Row],[Mecatrónica]]&lt;&gt;"",base_de_datos[[#This Row],[Misma o no]]=1),base_de_datos[[#This Row],[Índice]],"")</f>
        <v>4</v>
      </c>
      <c r="AR205" s="119" t="str">
        <f ca="1">IF(AND(base_de_datos[[#This Row],[Innovación y Diseño]]&lt;&gt;"",base_de_datos[[#This Row],[Misma o no]]=1),base_de_datos[[#This Row],[Índice]],"")</f>
        <v/>
      </c>
      <c r="AS205" s="119" t="str">
        <f ca="1">IF(AND(base_de_datos[[#This Row],[Inteligencia Artificial]]&lt;&gt;"",base_de_datos[[#This Row],[Misma o no]]=1),base_de_datos[[#This Row],[Índice]],"")</f>
        <v/>
      </c>
      <c r="AT205" s="119">
        <f ca="1">IF(AND(base_de_datos[[#This Row],[Tecnologías Energéticas]]&lt;&gt;"",base_de_datos[[#This Row],[Misma o no]]=1),base_de_datos[[#This Row],[Índice]],"")</f>
        <v>4</v>
      </c>
      <c r="AU205" s="119" t="str">
        <f ca="1">IF(AND(base_de_datos[[#This Row],[Civil y Administración]]&lt;&gt;"",base_de_datos[[#This Row],[Misma o no]]=1),base_de_datos[[#This Row],[Índice]],"")</f>
        <v/>
      </c>
      <c r="AV205" s="119">
        <f ca="1">IF(AND(base_de_datos[[#This Row],[Bioelectrónica]]&lt;&gt;"",base_de_datos[[#This Row],[Misma o no]]=1),base_de_datos[[#This Row],[Índice]],"")</f>
        <v>4</v>
      </c>
      <c r="AW205" s="120"/>
      <c r="AX205" s="4">
        <v>3</v>
      </c>
      <c r="AY205" s="6"/>
    </row>
    <row r="206" spans="2:51" ht="13" x14ac:dyDescent="0.3">
      <c r="B206" s="6" t="s">
        <v>448</v>
      </c>
      <c r="C206" s="1" t="s">
        <v>449</v>
      </c>
      <c r="D206" s="4">
        <v>1</v>
      </c>
      <c r="E206" s="113">
        <v>0.6875</v>
      </c>
      <c r="F206" s="113">
        <v>0.79166666666665897</v>
      </c>
      <c r="G206" s="4" t="s">
        <v>87</v>
      </c>
      <c r="H206" s="4" t="s">
        <v>18</v>
      </c>
      <c r="I206" s="4"/>
      <c r="J206" s="126">
        <v>17</v>
      </c>
      <c r="K206" s="115"/>
      <c r="L206" s="3"/>
      <c r="M206" s="127"/>
      <c r="N206" s="3"/>
      <c r="O206" s="4">
        <v>1907</v>
      </c>
      <c r="P206" s="114"/>
      <c r="Q206" s="114" t="s">
        <v>90</v>
      </c>
      <c r="R206" s="114"/>
      <c r="S206" s="114" t="s">
        <v>90</v>
      </c>
      <c r="T206" s="114"/>
      <c r="U206" s="114"/>
      <c r="V206" s="114"/>
      <c r="W206" s="114"/>
      <c r="X206" s="117">
        <f>_xlfn.XLOOKUP(base_de_datos[[#This Row],[Materia]],Materias,Horas)/16</f>
        <v>5</v>
      </c>
      <c r="Y206" s="117">
        <f>ROUND(((base_de_datos[[#This Row],[Hora fin]]-base_de_datos[[#This Row],[Hora inicio]])*24)*(COUNTA(base_de_datos[[#This Row],[Lunes]:[Sábado]])),1)</f>
        <v>5</v>
      </c>
      <c r="Z206" s="117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206" s="117">
        <f ca="1">IF(base_de_datos[[#This Row],[No clase]]=OFFSET(base_de_datos[[#This Row],[No clase]],-1,0),0,1)</f>
        <v>1</v>
      </c>
      <c r="AB206" s="117">
        <f ca="1">IF(NOT(OR(base_de_datos[[#This Row],[Horas totales]]=base_de_datos[[#This Row],[HT Plan]],base_de_datos[[#This Row],[Horas totales]]="N/A")),1,0)</f>
        <v>0</v>
      </c>
      <c r="AC206" s="117" t="str">
        <f>_xlfn.XLOOKUP(base_de_datos[[#This Row],[Profesor]],Nombre,Grado)</f>
        <v>M</v>
      </c>
      <c r="AD206" s="118" t="str">
        <f>_xlfn.XLOOKUP(base_de_datos[[#This Row],[Profesor]],Nombre,Tipo)</f>
        <v>A</v>
      </c>
      <c r="AE206" s="117" t="str">
        <f>IF(IFERROR(VLOOKUP($C206,Planes_de_estudio[],MATCH($AE$2,Carreras,0)+2,0),"")&gt;0,IFERROR(VLOOKUP($C206,Planes_de_estudio[],MATCH($AE$2,Carreras,0)+2,0),""),"")</f>
        <v/>
      </c>
      <c r="AF206" s="117" t="str">
        <f>IF(IFERROR(VLOOKUP($C206,Planes_de_estudio[],MATCH($AF$2,Carreras,0)+2,0),"")&gt;0,IFERROR(VLOOKUP($C206,Planes_de_estudio[],MATCH($AF$2,Carreras,0)+2,0),""),"")</f>
        <v/>
      </c>
      <c r="AG206" s="117">
        <f>IF(IFERROR(VLOOKUP($C206,Planes_de_estudio[],MATCH($AG$2,Carreras,0)+2,0),"")&gt;0,IFERROR(VLOOKUP($C206,Planes_de_estudio[],MATCH($AG$2,Carreras,0)+2,0),""),"")</f>
        <v>8</v>
      </c>
      <c r="AH206" s="117" t="str">
        <f>IF(IFERROR(VLOOKUP($C206,Planes_de_estudio[],MATCH($AH$2,Carreras,0)+2,0),"")&gt;0,IFERROR(VLOOKUP($C206,Planes_de_estudio[],MATCH($AH$2,Carreras,0)+2,0),""),"")</f>
        <v/>
      </c>
      <c r="AI206" s="117" t="str">
        <f>IF(IFERROR(VLOOKUP($C206,Planes_de_estudio[],MATCH($AI$2,Carreras,0)+2,0),"")&gt;0,IFERROR(VLOOKUP($C206,Planes_de_estudio[],MATCH($AI$2,Carreras,0)+2,0),""),"")</f>
        <v/>
      </c>
      <c r="AJ206" s="117" t="str">
        <f>IF(IFERROR(VLOOKUP($C206,Planes_de_estudio[],MATCH($AJ$2,Carreras,0)+2,0),"")&gt;0,IFERROR(VLOOKUP($C206,Planes_de_estudio[],MATCH($AJ$2,Carreras,0)+2,0),""),"")</f>
        <v/>
      </c>
      <c r="AK206" s="117" t="str">
        <f>IF(IFERROR(VLOOKUP($C206,Planes_de_estudio[],MATCH($AK$2,Carreras,0)+2,0),"")&gt;0,IFERROR(VLOOKUP($C206,Planes_de_estudio[],MATCH($AK$2,Carreras,0)+2,0),""),"")</f>
        <v/>
      </c>
      <c r="AL206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06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19</v>
      </c>
      <c r="AN206" s="117">
        <f>base_de_datos[[#This Row],[Pronóstico]]/25</f>
        <v>0.76</v>
      </c>
      <c r="AO206" s="117" t="str">
        <f>VLOOKUP($C206,Planes_de_estudio[],2)</f>
        <v>IID</v>
      </c>
      <c r="AP206" s="119" t="str">
        <f ca="1">IF(AND(base_de_datos[[#This Row],[Industrial]]&lt;&gt;"",base_de_datos[[#This Row],[Misma o no]]=1),base_de_datos[[#This Row],[Índice]],"")</f>
        <v/>
      </c>
      <c r="AQ206" s="119" t="str">
        <f ca="1">IF(AND(base_de_datos[[#This Row],[Mecatrónica]]&lt;&gt;"",base_de_datos[[#This Row],[Misma o no]]=1),base_de_datos[[#This Row],[Índice]],"")</f>
        <v/>
      </c>
      <c r="AR206" s="119">
        <f ca="1">IF(AND(base_de_datos[[#This Row],[Innovación y Diseño]]&lt;&gt;"",base_de_datos[[#This Row],[Misma o no]]=1),base_de_datos[[#This Row],[Índice]],"")</f>
        <v>4</v>
      </c>
      <c r="AS206" s="119" t="str">
        <f ca="1">IF(AND(base_de_datos[[#This Row],[Inteligencia Artificial]]&lt;&gt;"",base_de_datos[[#This Row],[Misma o no]]=1),base_de_datos[[#This Row],[Índice]],"")</f>
        <v/>
      </c>
      <c r="AT206" s="119" t="str">
        <f ca="1">IF(AND(base_de_datos[[#This Row],[Tecnologías Energéticas]]&lt;&gt;"",base_de_datos[[#This Row],[Misma o no]]=1),base_de_datos[[#This Row],[Índice]],"")</f>
        <v/>
      </c>
      <c r="AU206" s="119" t="str">
        <f ca="1">IF(AND(base_de_datos[[#This Row],[Civil y Administración]]&lt;&gt;"",base_de_datos[[#This Row],[Misma o no]]=1),base_de_datos[[#This Row],[Índice]],"")</f>
        <v/>
      </c>
      <c r="AV206" s="119" t="str">
        <f ca="1">IF(AND(base_de_datos[[#This Row],[Bioelectrónica]]&lt;&gt;"",base_de_datos[[#This Row],[Misma o no]]=1),base_de_datos[[#This Row],[Índice]],"")</f>
        <v/>
      </c>
      <c r="AW206" s="120"/>
      <c r="AX206" s="4">
        <v>3</v>
      </c>
      <c r="AY206" s="6"/>
    </row>
    <row r="207" spans="2:51" ht="13" x14ac:dyDescent="0.3">
      <c r="B207" s="9" t="s">
        <v>225</v>
      </c>
      <c r="C207" s="1" t="s">
        <v>450</v>
      </c>
      <c r="D207" s="4">
        <v>1</v>
      </c>
      <c r="E207" s="113">
        <v>0.5</v>
      </c>
      <c r="F207" s="113">
        <v>0.60416666666666197</v>
      </c>
      <c r="G207" s="4" t="s">
        <v>87</v>
      </c>
      <c r="H207" s="4" t="s">
        <v>297</v>
      </c>
      <c r="I207" s="4"/>
      <c r="J207" s="114">
        <v>19</v>
      </c>
      <c r="K207" s="115"/>
      <c r="L207" s="3"/>
      <c r="M207" s="115"/>
      <c r="N207" s="3"/>
      <c r="O207" s="4">
        <v>1818</v>
      </c>
      <c r="P207" s="114"/>
      <c r="Q207" s="114" t="s">
        <v>90</v>
      </c>
      <c r="R207" s="114"/>
      <c r="S207" s="114" t="s">
        <v>90</v>
      </c>
      <c r="T207" s="114"/>
      <c r="U207" s="114"/>
      <c r="V207" s="114"/>
      <c r="W207" s="114"/>
      <c r="X207" s="116">
        <f>_xlfn.XLOOKUP(base_de_datos[[#This Row],[Materia]],Materias,Horas)/16</f>
        <v>5</v>
      </c>
      <c r="Y207" s="117">
        <f>ROUND(((base_de_datos[[#This Row],[Hora fin]]-base_de_datos[[#This Row],[Hora inicio]])*24)*(COUNTA(base_de_datos[[#This Row],[Lunes]:[Sábado]])),1)</f>
        <v>5</v>
      </c>
      <c r="Z207" s="117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207" s="117">
        <f ca="1">IF(base_de_datos[[#This Row],[No clase]]=OFFSET(base_de_datos[[#This Row],[No clase]],-1,0),0,1)</f>
        <v>1</v>
      </c>
      <c r="AB207" s="117">
        <f ca="1">IF(NOT(OR(base_de_datos[[#This Row],[Horas totales]]=base_de_datos[[#This Row],[HT Plan]],base_de_datos[[#This Row],[Horas totales]]="N/A")),1,0)</f>
        <v>0</v>
      </c>
      <c r="AC207" s="117" t="str">
        <f>_xlfn.XLOOKUP(base_de_datos[[#This Row],[Profesor]],Nombre,Grado)</f>
        <v>M</v>
      </c>
      <c r="AD207" s="118" t="str">
        <f>_xlfn.XLOOKUP(base_de_datos[[#This Row],[Profesor]],Nombre,Tipo)</f>
        <v>A</v>
      </c>
      <c r="AE207" s="117" t="str">
        <f>IF(IFERROR(VLOOKUP($C207,Planes_de_estudio[],MATCH($AE$2,Carreras,0)+2,0),"")&gt;0,IFERROR(VLOOKUP($C207,Planes_de_estudio[],MATCH($AE$2,Carreras,0)+2,0),""),"")</f>
        <v/>
      </c>
      <c r="AF207" s="117" t="str">
        <f>IF(IFERROR(VLOOKUP($C207,Planes_de_estudio[],MATCH($AF$2,Carreras,0)+2,0),"")&gt;0,IFERROR(VLOOKUP($C207,Planes_de_estudio[],MATCH($AF$2,Carreras,0)+2,0),""),"")</f>
        <v/>
      </c>
      <c r="AG207" s="117">
        <f>IF(IFERROR(VLOOKUP($C207,Planes_de_estudio[],MATCH($AG$2,Carreras,0)+2,0),"")&gt;0,IFERROR(VLOOKUP($C207,Planes_de_estudio[],MATCH($AG$2,Carreras,0)+2,0),""),"")</f>
        <v>4</v>
      </c>
      <c r="AH207" s="117" t="str">
        <f>IF(IFERROR(VLOOKUP($C207,Planes_de_estudio[],MATCH($AH$2,Carreras,0)+2,0),"")&gt;0,IFERROR(VLOOKUP($C207,Planes_de_estudio[],MATCH($AH$2,Carreras,0)+2,0),""),"")</f>
        <v/>
      </c>
      <c r="AI207" s="117" t="str">
        <f>IF(IFERROR(VLOOKUP($C207,Planes_de_estudio[],MATCH($AI$2,Carreras,0)+2,0),"")&gt;0,IFERROR(VLOOKUP($C207,Planes_de_estudio[],MATCH($AI$2,Carreras,0)+2,0),""),"")</f>
        <v/>
      </c>
      <c r="AJ207" s="117" t="str">
        <f>IF(IFERROR(VLOOKUP($C207,Planes_de_estudio[],MATCH($AJ$2,Carreras,0)+2,0),"")&gt;0,IFERROR(VLOOKUP($C207,Planes_de_estudio[],MATCH($AJ$2,Carreras,0)+2,0),""),"")</f>
        <v/>
      </c>
      <c r="AK207" s="117" t="str">
        <f>IF(IFERROR(VLOOKUP($C207,Planes_de_estudio[],MATCH($AK$2,Carreras,0)+2,0),"")&gt;0,IFERROR(VLOOKUP($C207,Planes_de_estudio[],MATCH($AK$2,Carreras,0)+2,0),""),"")</f>
        <v/>
      </c>
      <c r="AL207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07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15</v>
      </c>
      <c r="AN207" s="117">
        <f>base_de_datos[[#This Row],[Pronóstico]]/25</f>
        <v>0.6</v>
      </c>
      <c r="AO207" s="117" t="str">
        <f>VLOOKUP($C207,Planes_de_estudio[],2)</f>
        <v>IID</v>
      </c>
      <c r="AP207" s="119" t="str">
        <f ca="1">IF(AND(base_de_datos[[#This Row],[Industrial]]&lt;&gt;"",base_de_datos[[#This Row],[Misma o no]]=1),base_de_datos[[#This Row],[Índice]],"")</f>
        <v/>
      </c>
      <c r="AQ207" s="119" t="str">
        <f ca="1">IF(AND(base_de_datos[[#This Row],[Mecatrónica]]&lt;&gt;"",base_de_datos[[#This Row],[Misma o no]]=1),base_de_datos[[#This Row],[Índice]],"")</f>
        <v/>
      </c>
      <c r="AR207" s="119">
        <f ca="1">IF(AND(base_de_datos[[#This Row],[Innovación y Diseño]]&lt;&gt;"",base_de_datos[[#This Row],[Misma o no]]=1),base_de_datos[[#This Row],[Índice]],"")</f>
        <v>4</v>
      </c>
      <c r="AS207" s="119" t="str">
        <f ca="1">IF(AND(base_de_datos[[#This Row],[Inteligencia Artificial]]&lt;&gt;"",base_de_datos[[#This Row],[Misma o no]]=1),base_de_datos[[#This Row],[Índice]],"")</f>
        <v/>
      </c>
      <c r="AT207" s="119" t="str">
        <f ca="1">IF(AND(base_de_datos[[#This Row],[Tecnologías Energéticas]]&lt;&gt;"",base_de_datos[[#This Row],[Misma o no]]=1),base_de_datos[[#This Row],[Índice]],"")</f>
        <v/>
      </c>
      <c r="AU207" s="119" t="str">
        <f ca="1">IF(AND(base_de_datos[[#This Row],[Civil y Administración]]&lt;&gt;"",base_de_datos[[#This Row],[Misma o no]]=1),base_de_datos[[#This Row],[Índice]],"")</f>
        <v/>
      </c>
      <c r="AV207" s="119" t="str">
        <f ca="1">IF(AND(base_de_datos[[#This Row],[Bioelectrónica]]&lt;&gt;"",base_de_datos[[#This Row],[Misma o no]]=1),base_de_datos[[#This Row],[Índice]],"")</f>
        <v/>
      </c>
      <c r="AW207" s="120"/>
      <c r="AX207" s="4">
        <v>3</v>
      </c>
      <c r="AY207" s="6"/>
    </row>
    <row r="208" spans="2:51" ht="13" x14ac:dyDescent="0.3">
      <c r="B208" s="6" t="s">
        <v>451</v>
      </c>
      <c r="C208" s="1" t="s">
        <v>452</v>
      </c>
      <c r="D208" s="4">
        <v>1</v>
      </c>
      <c r="E208" s="113">
        <v>0.70833333333333304</v>
      </c>
      <c r="F208" s="113">
        <v>0.81249999999999201</v>
      </c>
      <c r="G208" s="4" t="s">
        <v>87</v>
      </c>
      <c r="H208" s="4" t="s">
        <v>297</v>
      </c>
      <c r="I208" s="4"/>
      <c r="J208" s="126">
        <v>12</v>
      </c>
      <c r="K208" s="115"/>
      <c r="L208" s="3"/>
      <c r="M208" s="127"/>
      <c r="N208" s="3"/>
      <c r="O208" s="4">
        <v>1908</v>
      </c>
      <c r="P208" s="114"/>
      <c r="Q208" s="114"/>
      <c r="R208" s="114" t="s">
        <v>90</v>
      </c>
      <c r="S208" s="114"/>
      <c r="T208" s="114"/>
      <c r="U208" s="114"/>
      <c r="V208" s="114" t="s">
        <v>90</v>
      </c>
      <c r="W208" s="114"/>
      <c r="X208" s="117">
        <f>_xlfn.XLOOKUP(base_de_datos[[#This Row],[Materia]],Materias,Horas)/16</f>
        <v>5</v>
      </c>
      <c r="Y208" s="117">
        <f>ROUND(((base_de_datos[[#This Row],[Hora fin]]-base_de_datos[[#This Row],[Hora inicio]])*24)*(COUNTA(base_de_datos[[#This Row],[Lunes]:[Sábado]])),1)</f>
        <v>2.5</v>
      </c>
      <c r="Z208" s="117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208" s="117">
        <f ca="1">IF(base_de_datos[[#This Row],[No clase]]=OFFSET(base_de_datos[[#This Row],[No clase]],-1,0),0,1)</f>
        <v>1</v>
      </c>
      <c r="AB208" s="117">
        <f ca="1">IF(NOT(OR(base_de_datos[[#This Row],[Horas totales]]=base_de_datos[[#This Row],[HT Plan]],base_de_datos[[#This Row],[Horas totales]]="N/A")),1,0)</f>
        <v>0</v>
      </c>
      <c r="AC208" s="117" t="str">
        <f>_xlfn.XLOOKUP(base_de_datos[[#This Row],[Profesor]],Nombre,Grado)</f>
        <v>E</v>
      </c>
      <c r="AD208" s="118" t="str">
        <f>_xlfn.XLOOKUP(base_de_datos[[#This Row],[Profesor]],Nombre,Tipo)</f>
        <v>A</v>
      </c>
      <c r="AE208" s="117" t="str">
        <f>IF(IFERROR(VLOOKUP($C208,Planes_de_estudio[],MATCH($AE$2,Carreras,0)+2,0),"")&gt;0,IFERROR(VLOOKUP($C208,Planes_de_estudio[],MATCH($AE$2,Carreras,0)+2,0),""),"")</f>
        <v/>
      </c>
      <c r="AF208" s="117" t="str">
        <f>IF(IFERROR(VLOOKUP($C208,Planes_de_estudio[],MATCH($AF$2,Carreras,0)+2,0),"")&gt;0,IFERROR(VLOOKUP($C208,Planes_de_estudio[],MATCH($AF$2,Carreras,0)+2,0),""),"")</f>
        <v/>
      </c>
      <c r="AG208" s="117">
        <f>IF(IFERROR(VLOOKUP($C208,Planes_de_estudio[],MATCH($AG$2,Carreras,0)+2,0),"")&gt;0,IFERROR(VLOOKUP($C208,Planes_de_estudio[],MATCH($AG$2,Carreras,0)+2,0),""),"")</f>
        <v>6</v>
      </c>
      <c r="AH208" s="117" t="str">
        <f>IF(IFERROR(VLOOKUP($C208,Planes_de_estudio[],MATCH($AH$2,Carreras,0)+2,0),"")&gt;0,IFERROR(VLOOKUP($C208,Planes_de_estudio[],MATCH($AH$2,Carreras,0)+2,0),""),"")</f>
        <v/>
      </c>
      <c r="AI208" s="117" t="str">
        <f>IF(IFERROR(VLOOKUP($C208,Planes_de_estudio[],MATCH($AI$2,Carreras,0)+2,0),"")&gt;0,IFERROR(VLOOKUP($C208,Planes_de_estudio[],MATCH($AI$2,Carreras,0)+2,0),""),"")</f>
        <v/>
      </c>
      <c r="AJ208" s="117" t="str">
        <f>IF(IFERROR(VLOOKUP($C208,Planes_de_estudio[],MATCH($AJ$2,Carreras,0)+2,0),"")&gt;0,IFERROR(VLOOKUP($C208,Planes_de_estudio[],MATCH($AJ$2,Carreras,0)+2,0),""),"")</f>
        <v/>
      </c>
      <c r="AK208" s="117" t="str">
        <f>IF(IFERROR(VLOOKUP($C208,Planes_de_estudio[],MATCH($AK$2,Carreras,0)+2,0),"")&gt;0,IFERROR(VLOOKUP($C208,Planes_de_estudio[],MATCH($AK$2,Carreras,0)+2,0),""),"")</f>
        <v/>
      </c>
      <c r="AL208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208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28</v>
      </c>
      <c r="AN208" s="117">
        <f>base_de_datos[[#This Row],[Pronóstico]]/25</f>
        <v>1.1200000000000001</v>
      </c>
      <c r="AO208" s="117" t="str">
        <f>VLOOKUP($C208,Planes_de_estudio[],2)</f>
        <v>IID</v>
      </c>
      <c r="AP208" s="119" t="str">
        <f ca="1">IF(AND(base_de_datos[[#This Row],[Industrial]]&lt;&gt;"",base_de_datos[[#This Row],[Misma o no]]=1),base_de_datos[[#This Row],[Índice]],"")</f>
        <v/>
      </c>
      <c r="AQ208" s="119" t="str">
        <f ca="1">IF(AND(base_de_datos[[#This Row],[Mecatrónica]]&lt;&gt;"",base_de_datos[[#This Row],[Misma o no]]=1),base_de_datos[[#This Row],[Índice]],"")</f>
        <v/>
      </c>
      <c r="AR208" s="119">
        <f ca="1">IF(AND(base_de_datos[[#This Row],[Innovación y Diseño]]&lt;&gt;"",base_de_datos[[#This Row],[Misma o no]]=1),base_de_datos[[#This Row],[Índice]],"")</f>
        <v>2</v>
      </c>
      <c r="AS208" s="119" t="str">
        <f ca="1">IF(AND(base_de_datos[[#This Row],[Inteligencia Artificial]]&lt;&gt;"",base_de_datos[[#This Row],[Misma o no]]=1),base_de_datos[[#This Row],[Índice]],"")</f>
        <v/>
      </c>
      <c r="AT208" s="119" t="str">
        <f ca="1">IF(AND(base_de_datos[[#This Row],[Tecnologías Energéticas]]&lt;&gt;"",base_de_datos[[#This Row],[Misma o no]]=1),base_de_datos[[#This Row],[Índice]],"")</f>
        <v/>
      </c>
      <c r="AU208" s="119" t="str">
        <f ca="1">IF(AND(base_de_datos[[#This Row],[Civil y Administración]]&lt;&gt;"",base_de_datos[[#This Row],[Misma o no]]=1),base_de_datos[[#This Row],[Índice]],"")</f>
        <v/>
      </c>
      <c r="AV208" s="119" t="str">
        <f ca="1">IF(AND(base_de_datos[[#This Row],[Bioelectrónica]]&lt;&gt;"",base_de_datos[[#This Row],[Misma o no]]=1),base_de_datos[[#This Row],[Índice]],"")</f>
        <v/>
      </c>
      <c r="AW208" s="120"/>
      <c r="AX208" s="4">
        <v>3</v>
      </c>
      <c r="AY208" s="6"/>
    </row>
    <row r="209" spans="2:51" ht="13" x14ac:dyDescent="0.3">
      <c r="B209" s="6" t="s">
        <v>451</v>
      </c>
      <c r="C209" s="1" t="s">
        <v>452</v>
      </c>
      <c r="D209" s="4">
        <v>1</v>
      </c>
      <c r="E209" s="113">
        <v>0.60416666666666696</v>
      </c>
      <c r="F209" s="113">
        <v>0.70833333333332704</v>
      </c>
      <c r="G209" s="4" t="s">
        <v>87</v>
      </c>
      <c r="H209" s="4" t="s">
        <v>297</v>
      </c>
      <c r="I209" s="4"/>
      <c r="J209" s="126">
        <v>12</v>
      </c>
      <c r="K209" s="115"/>
      <c r="L209" s="3"/>
      <c r="M209" s="127"/>
      <c r="N209" s="3"/>
      <c r="O209" s="4">
        <v>1908</v>
      </c>
      <c r="P209" s="114"/>
      <c r="Q209" s="114"/>
      <c r="R209" s="114"/>
      <c r="S209" s="114" t="s">
        <v>90</v>
      </c>
      <c r="T209" s="114"/>
      <c r="U209" s="114"/>
      <c r="V209" s="114" t="s">
        <v>90</v>
      </c>
      <c r="W209" s="114"/>
      <c r="X209" s="117">
        <f>_xlfn.XLOOKUP(base_de_datos[[#This Row],[Materia]],Materias,Horas)/16</f>
        <v>5</v>
      </c>
      <c r="Y209" s="117">
        <f>ROUND(((base_de_datos[[#This Row],[Hora fin]]-base_de_datos[[#This Row],[Hora inicio]])*24)*(COUNTA(base_de_datos[[#This Row],[Lunes]:[Sábado]])),1)</f>
        <v>2.5</v>
      </c>
      <c r="Z209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09" s="117">
        <f ca="1">IF(base_de_datos[[#This Row],[No clase]]=OFFSET(base_de_datos[[#This Row],[No clase]],-1,0),0,1)</f>
        <v>0</v>
      </c>
      <c r="AB209" s="117">
        <f ca="1">IF(NOT(OR(base_de_datos[[#This Row],[Horas totales]]=base_de_datos[[#This Row],[HT Plan]],base_de_datos[[#This Row],[Horas totales]]="N/A")),1,0)</f>
        <v>0</v>
      </c>
      <c r="AC209" s="117" t="str">
        <f>_xlfn.XLOOKUP(base_de_datos[[#This Row],[Profesor]],Nombre,Grado)</f>
        <v>E</v>
      </c>
      <c r="AD209" s="118" t="str">
        <f>_xlfn.XLOOKUP(base_de_datos[[#This Row],[Profesor]],Nombre,Tipo)</f>
        <v>A</v>
      </c>
      <c r="AE209" s="117" t="str">
        <f>IF(IFERROR(VLOOKUP($C209,Planes_de_estudio[],MATCH($AE$2,Carreras,0)+2,0),"")&gt;0,IFERROR(VLOOKUP($C209,Planes_de_estudio[],MATCH($AE$2,Carreras,0)+2,0),""),"")</f>
        <v/>
      </c>
      <c r="AF209" s="117" t="str">
        <f>IF(IFERROR(VLOOKUP($C209,Planes_de_estudio[],MATCH($AF$2,Carreras,0)+2,0),"")&gt;0,IFERROR(VLOOKUP($C209,Planes_de_estudio[],MATCH($AF$2,Carreras,0)+2,0),""),"")</f>
        <v/>
      </c>
      <c r="AG209" s="117">
        <f>IF(IFERROR(VLOOKUP($C209,Planes_de_estudio[],MATCH($AG$2,Carreras,0)+2,0),"")&gt;0,IFERROR(VLOOKUP($C209,Planes_de_estudio[],MATCH($AG$2,Carreras,0)+2,0),""),"")</f>
        <v>6</v>
      </c>
      <c r="AH209" s="117" t="str">
        <f>IF(IFERROR(VLOOKUP($C209,Planes_de_estudio[],MATCH($AH$2,Carreras,0)+2,0),"")&gt;0,IFERROR(VLOOKUP($C209,Planes_de_estudio[],MATCH($AH$2,Carreras,0)+2,0),""),"")</f>
        <v/>
      </c>
      <c r="AI209" s="117" t="str">
        <f>IF(IFERROR(VLOOKUP($C209,Planes_de_estudio[],MATCH($AI$2,Carreras,0)+2,0),"")&gt;0,IFERROR(VLOOKUP($C209,Planes_de_estudio[],MATCH($AI$2,Carreras,0)+2,0),""),"")</f>
        <v/>
      </c>
      <c r="AJ209" s="117" t="str">
        <f>IF(IFERROR(VLOOKUP($C209,Planes_de_estudio[],MATCH($AJ$2,Carreras,0)+2,0),"")&gt;0,IFERROR(VLOOKUP($C209,Planes_de_estudio[],MATCH($AJ$2,Carreras,0)+2,0),""),"")</f>
        <v/>
      </c>
      <c r="AK209" s="117" t="str">
        <f>IF(IFERROR(VLOOKUP($C209,Planes_de_estudio[],MATCH($AK$2,Carreras,0)+2,0),"")&gt;0,IFERROR(VLOOKUP($C209,Planes_de_estudio[],MATCH($AK$2,Carreras,0)+2,0),""),"")</f>
        <v/>
      </c>
      <c r="AL209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209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28</v>
      </c>
      <c r="AN209" s="117">
        <f>base_de_datos[[#This Row],[Pronóstico]]/25</f>
        <v>1.1200000000000001</v>
      </c>
      <c r="AO209" s="117" t="str">
        <f>VLOOKUP($C209,Planes_de_estudio[],2)</f>
        <v>IID</v>
      </c>
      <c r="AP209" s="119" t="str">
        <f ca="1">IF(AND(base_de_datos[[#This Row],[Industrial]]&lt;&gt;"",base_de_datos[[#This Row],[Misma o no]]=1),base_de_datos[[#This Row],[Índice]],"")</f>
        <v/>
      </c>
      <c r="AQ209" s="119" t="str">
        <f ca="1">IF(AND(base_de_datos[[#This Row],[Mecatrónica]]&lt;&gt;"",base_de_datos[[#This Row],[Misma o no]]=1),base_de_datos[[#This Row],[Índice]],"")</f>
        <v/>
      </c>
      <c r="AR209" s="119" t="str">
        <f ca="1">IF(AND(base_de_datos[[#This Row],[Innovación y Diseño]]&lt;&gt;"",base_de_datos[[#This Row],[Misma o no]]=1),base_de_datos[[#This Row],[Índice]],"")</f>
        <v/>
      </c>
      <c r="AS209" s="119" t="str">
        <f ca="1">IF(AND(base_de_datos[[#This Row],[Inteligencia Artificial]]&lt;&gt;"",base_de_datos[[#This Row],[Misma o no]]=1),base_de_datos[[#This Row],[Índice]],"")</f>
        <v/>
      </c>
      <c r="AT209" s="119" t="str">
        <f ca="1">IF(AND(base_de_datos[[#This Row],[Tecnologías Energéticas]]&lt;&gt;"",base_de_datos[[#This Row],[Misma o no]]=1),base_de_datos[[#This Row],[Índice]],"")</f>
        <v/>
      </c>
      <c r="AU209" s="119" t="str">
        <f ca="1">IF(AND(base_de_datos[[#This Row],[Civil y Administración]]&lt;&gt;"",base_de_datos[[#This Row],[Misma o no]]=1),base_de_datos[[#This Row],[Índice]],"")</f>
        <v/>
      </c>
      <c r="AV209" s="119" t="str">
        <f ca="1">IF(AND(base_de_datos[[#This Row],[Bioelectrónica]]&lt;&gt;"",base_de_datos[[#This Row],[Misma o no]]=1),base_de_datos[[#This Row],[Índice]],"")</f>
        <v/>
      </c>
      <c r="AW209" s="120"/>
      <c r="AX209" s="4">
        <v>3</v>
      </c>
      <c r="AY209" s="6"/>
    </row>
    <row r="210" spans="2:51" ht="13" x14ac:dyDescent="0.3">
      <c r="B210" s="6" t="s">
        <v>437</v>
      </c>
      <c r="C210" s="1" t="s">
        <v>438</v>
      </c>
      <c r="D210" s="4">
        <v>1</v>
      </c>
      <c r="E210" s="113">
        <v>0.70833333333333304</v>
      </c>
      <c r="F210" s="113">
        <v>0.79166666666665897</v>
      </c>
      <c r="G210" s="226" t="s">
        <v>92</v>
      </c>
      <c r="H210" s="4" t="s">
        <v>235</v>
      </c>
      <c r="I210" s="4"/>
      <c r="J210" s="198">
        <v>8</v>
      </c>
      <c r="K210" s="115"/>
      <c r="L210" s="3"/>
      <c r="M210" s="115"/>
      <c r="N210" s="3"/>
      <c r="O210" s="2" t="s">
        <v>439</v>
      </c>
      <c r="P210" s="114"/>
      <c r="Q210" s="114"/>
      <c r="R210" s="114"/>
      <c r="S210" s="114" t="s">
        <v>90</v>
      </c>
      <c r="T210" s="114"/>
      <c r="U210" s="114"/>
      <c r="V210" s="114"/>
      <c r="W210" s="114"/>
      <c r="X210" s="116">
        <f>_xlfn.XLOOKUP(base_de_datos[[#This Row],[Materia]],Materias,Horas)/16</f>
        <v>4</v>
      </c>
      <c r="Y210" s="116">
        <f>ROUND(((base_de_datos[[#This Row],[Hora fin]]-base_de_datos[[#This Row],[Hora inicio]])*24)*(COUNTA(base_de_datos[[#This Row],[Lunes]:[Sábado]])),1)</f>
        <v>2</v>
      </c>
      <c r="Z210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210" s="117">
        <f ca="1">IF(base_de_datos[[#This Row],[No clase]]=OFFSET(base_de_datos[[#This Row],[No clase]],-1,0),0,1)</f>
        <v>1</v>
      </c>
      <c r="AB210" s="117">
        <f ca="1">IF(NOT(OR(base_de_datos[[#This Row],[Horas totales]]=base_de_datos[[#This Row],[HT Plan]],base_de_datos[[#This Row],[Horas totales]]="N/A")),1,0)</f>
        <v>1</v>
      </c>
      <c r="AC210" s="116" t="str">
        <f>_xlfn.XLOOKUP(base_de_datos[[#This Row],[Profesor]],Nombre,Grado)</f>
        <v>M</v>
      </c>
      <c r="AD210" s="118" t="str">
        <f>_xlfn.XLOOKUP(base_de_datos[[#This Row],[Profesor]],Nombre,Tipo)</f>
        <v>TC</v>
      </c>
      <c r="AE210" s="116" t="str">
        <f>IF(IFERROR(VLOOKUP($C210,Planes_de_estudio[],MATCH($AE$2,Carreras,0)+2,0),"")&gt;0,IFERROR(VLOOKUP($C210,Planes_de_estudio[],MATCH($AE$2,Carreras,0)+2,0),""),"")</f>
        <v/>
      </c>
      <c r="AF210" s="116" t="str">
        <f>IF(IFERROR(VLOOKUP($C210,Planes_de_estudio[],MATCH($AF$2,Carreras,0)+2,0),"")&gt;0,IFERROR(VLOOKUP($C210,Planes_de_estudio[],MATCH($AF$2,Carreras,0)+2,0),""),"")</f>
        <v/>
      </c>
      <c r="AG210" s="116" t="str">
        <f>IF(IFERROR(VLOOKUP($C210,Planes_de_estudio[],MATCH($AG$2,Carreras,0)+2,0),"")&gt;0,IFERROR(VLOOKUP($C210,Planes_de_estudio[],MATCH($AG$2,Carreras,0)+2,0),""),"")</f>
        <v/>
      </c>
      <c r="AH210" s="116" t="str">
        <f>IF(IFERROR(VLOOKUP($C210,Planes_de_estudio[],MATCH($AH$2,Carreras,0)+2,0),"")&gt;0,IFERROR(VLOOKUP($C210,Planes_de_estudio[],MATCH($AH$2,Carreras,0)+2,0),""),"")</f>
        <v/>
      </c>
      <c r="AI210" s="116" t="str">
        <f>IF(IFERROR(VLOOKUP($C210,Planes_de_estudio[],MATCH($AI$2,Carreras,0)+2,0),"")&gt;0,IFERROR(VLOOKUP($C210,Planes_de_estudio[],MATCH($AI$2,Carreras,0)+2,0),""),"")</f>
        <v/>
      </c>
      <c r="AJ210" s="116" t="str">
        <f>IF(IFERROR(VLOOKUP($C210,Planes_de_estudio[],MATCH($AJ$2,Carreras,0)+2,0),"")&gt;0,IFERROR(VLOOKUP($C210,Planes_de_estudio[],MATCH($AJ$2,Carreras,0)+2,0),""),"")</f>
        <v/>
      </c>
      <c r="AK210" s="116">
        <f>IF(IFERROR(VLOOKUP($C210,Planes_de_estudio[],MATCH($AK$2,Carreras,0)+2,0),"")&gt;0,IFERROR(VLOOKUP($C210,Planes_de_estudio[],MATCH($AK$2,Carreras,0)+2,0),""),"")</f>
        <v>6</v>
      </c>
      <c r="AL210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10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</v>
      </c>
      <c r="AN210" s="117">
        <f>base_de_datos[[#This Row],[Pronóstico]]/25</f>
        <v>0.12</v>
      </c>
      <c r="AO210" s="117" t="str">
        <f>VLOOKUP($C210,Planes_de_estudio[],2)</f>
        <v>EEC</v>
      </c>
      <c r="AP210" s="119" t="str">
        <f ca="1">IF(AND(base_de_datos[[#This Row],[Industrial]]&lt;&gt;"",base_de_datos[[#This Row],[Misma o no]]=1),base_de_datos[[#This Row],[Índice]],"")</f>
        <v/>
      </c>
      <c r="AQ210" s="119" t="str">
        <f ca="1">IF(AND(base_de_datos[[#This Row],[Mecatrónica]]&lt;&gt;"",base_de_datos[[#This Row],[Misma o no]]=1),base_de_datos[[#This Row],[Índice]],"")</f>
        <v/>
      </c>
      <c r="AR210" s="119" t="str">
        <f ca="1">IF(AND(base_de_datos[[#This Row],[Innovación y Diseño]]&lt;&gt;"",base_de_datos[[#This Row],[Misma o no]]=1),base_de_datos[[#This Row],[Índice]],"")</f>
        <v/>
      </c>
      <c r="AS210" s="119" t="str">
        <f ca="1">IF(AND(base_de_datos[[#This Row],[Inteligencia Artificial]]&lt;&gt;"",base_de_datos[[#This Row],[Misma o no]]=1),base_de_datos[[#This Row],[Índice]],"")</f>
        <v/>
      </c>
      <c r="AT210" s="119" t="str">
        <f ca="1">IF(AND(base_de_datos[[#This Row],[Tecnologías Energéticas]]&lt;&gt;"",base_de_datos[[#This Row],[Misma o no]]=1),base_de_datos[[#This Row],[Índice]],"")</f>
        <v/>
      </c>
      <c r="AU210" s="119" t="str">
        <f ca="1">IF(AND(base_de_datos[[#This Row],[Civil y Administración]]&lt;&gt;"",base_de_datos[[#This Row],[Misma o no]]=1),base_de_datos[[#This Row],[Índice]],"")</f>
        <v/>
      </c>
      <c r="AV210" s="119">
        <f ca="1">IF(AND(base_de_datos[[#This Row],[Bioelectrónica]]&lt;&gt;"",base_de_datos[[#This Row],[Misma o no]]=1),base_de_datos[[#This Row],[Índice]],"")</f>
        <v>4</v>
      </c>
      <c r="AW210" s="120"/>
      <c r="AX210" s="4">
        <v>3</v>
      </c>
      <c r="AY210" s="6"/>
    </row>
    <row r="211" spans="2:51" ht="13" x14ac:dyDescent="0.3">
      <c r="B211" s="6" t="s">
        <v>357</v>
      </c>
      <c r="C211" s="1" t="s">
        <v>456</v>
      </c>
      <c r="D211" s="4">
        <v>1</v>
      </c>
      <c r="E211" s="257">
        <v>0.66666666666666696</v>
      </c>
      <c r="F211" s="257">
        <v>0.74999999999999301</v>
      </c>
      <c r="G211" s="226" t="s">
        <v>92</v>
      </c>
      <c r="H211" s="4" t="s">
        <v>457</v>
      </c>
      <c r="I211" s="4"/>
      <c r="J211" s="231">
        <v>5</v>
      </c>
      <c r="K211" s="115"/>
      <c r="L211" s="3"/>
      <c r="M211" s="127"/>
      <c r="N211" s="3"/>
      <c r="O211" s="4" t="s">
        <v>458</v>
      </c>
      <c r="P211" s="114"/>
      <c r="Q211" s="114" t="s">
        <v>90</v>
      </c>
      <c r="R211" s="114"/>
      <c r="S211" s="114"/>
      <c r="T211" s="114"/>
      <c r="U211" s="114"/>
      <c r="V211" s="114"/>
      <c r="W211" s="114"/>
      <c r="X211" s="117">
        <f>_xlfn.XLOOKUP(base_de_datos[[#This Row],[Materia]],Materias,Horas)/16</f>
        <v>4</v>
      </c>
      <c r="Y211" s="117">
        <f>ROUND(((base_de_datos[[#This Row],[Hora fin]]-base_de_datos[[#This Row],[Hora inicio]])*24)*(COUNTA(base_de_datos[[#This Row],[Lunes]:[Sábado]])),1)</f>
        <v>2</v>
      </c>
      <c r="Z211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211" s="117">
        <f ca="1">IF(base_de_datos[[#This Row],[No clase]]=OFFSET(base_de_datos[[#This Row],[No clase]],-1,0),0,1)</f>
        <v>1</v>
      </c>
      <c r="AB211" s="117">
        <f ca="1">IF(NOT(OR(base_de_datos[[#This Row],[Horas totales]]=base_de_datos[[#This Row],[HT Plan]],base_de_datos[[#This Row],[Horas totales]]="N/A")),1,0)</f>
        <v>1</v>
      </c>
      <c r="AC211" s="117" t="str">
        <f>_xlfn.XLOOKUP(base_de_datos[[#This Row],[Profesor]],Nombre,Grado)</f>
        <v>SNI</v>
      </c>
      <c r="AD211" s="118" t="str">
        <f>_xlfn.XLOOKUP(base_de_datos[[#This Row],[Profesor]],Nombre,Tipo)</f>
        <v>TC</v>
      </c>
      <c r="AE211" s="117" t="str">
        <f>IF(IFERROR(VLOOKUP($C211,Planes_de_estudio[],MATCH($AE$2,Carreras,0)+2,0),"")&gt;0,IFERROR(VLOOKUP($C211,Planes_de_estudio[],MATCH($AE$2,Carreras,0)+2,0),""),"")</f>
        <v/>
      </c>
      <c r="AF211" s="117" t="str">
        <f>IF(IFERROR(VLOOKUP($C211,Planes_de_estudio[],MATCH($AF$2,Carreras,0)+2,0),"")&gt;0,IFERROR(VLOOKUP($C211,Planes_de_estudio[],MATCH($AF$2,Carreras,0)+2,0),""),"")</f>
        <v/>
      </c>
      <c r="AG211" s="117" t="str">
        <f>IF(IFERROR(VLOOKUP($C211,Planes_de_estudio[],MATCH($AG$2,Carreras,0)+2,0),"")&gt;0,IFERROR(VLOOKUP($C211,Planes_de_estudio[],MATCH($AG$2,Carreras,0)+2,0),""),"")</f>
        <v/>
      </c>
      <c r="AH211" s="117" t="str">
        <f>IF(IFERROR(VLOOKUP($C211,Planes_de_estudio[],MATCH($AH$2,Carreras,0)+2,0),"")&gt;0,IFERROR(VLOOKUP($C211,Planes_de_estudio[],MATCH($AH$2,Carreras,0)+2,0),""),"")</f>
        <v/>
      </c>
      <c r="AI211" s="117" t="str">
        <f>IF(IFERROR(VLOOKUP($C211,Planes_de_estudio[],MATCH($AI$2,Carreras,0)+2,0),"")&gt;0,IFERROR(VLOOKUP($C211,Planes_de_estudio[],MATCH($AI$2,Carreras,0)+2,0),""),"")</f>
        <v/>
      </c>
      <c r="AJ211" s="117" t="str">
        <f>IF(IFERROR(VLOOKUP($C211,Planes_de_estudio[],MATCH($AJ$2,Carreras,0)+2,0),"")&gt;0,IFERROR(VLOOKUP($C211,Planes_de_estudio[],MATCH($AJ$2,Carreras,0)+2,0),""),"")</f>
        <v/>
      </c>
      <c r="AK211" s="117">
        <f>IF(IFERROR(VLOOKUP($C211,Planes_de_estudio[],MATCH($AK$2,Carreras,0)+2,0),"")&gt;0,IFERROR(VLOOKUP($C211,Planes_de_estudio[],MATCH($AK$2,Carreras,0)+2,0),""),"")</f>
        <v>8</v>
      </c>
      <c r="AL211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211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10</v>
      </c>
      <c r="AN211" s="117">
        <f>base_de_datos[[#This Row],[Pronóstico]]/25</f>
        <v>0.4</v>
      </c>
      <c r="AO211" s="117" t="str">
        <f>VLOOKUP($C211,Planes_de_estudio[],2)</f>
        <v>BIO</v>
      </c>
      <c r="AP211" s="119" t="str">
        <f ca="1">IF(AND(base_de_datos[[#This Row],[Industrial]]&lt;&gt;"",base_de_datos[[#This Row],[Misma o no]]=1),base_de_datos[[#This Row],[Índice]],"")</f>
        <v/>
      </c>
      <c r="AQ211" s="119" t="str">
        <f ca="1">IF(AND(base_de_datos[[#This Row],[Mecatrónica]]&lt;&gt;"",base_de_datos[[#This Row],[Misma o no]]=1),base_de_datos[[#This Row],[Índice]],"")</f>
        <v/>
      </c>
      <c r="AR211" s="119" t="str">
        <f ca="1">IF(AND(base_de_datos[[#This Row],[Innovación y Diseño]]&lt;&gt;"",base_de_datos[[#This Row],[Misma o no]]=1),base_de_datos[[#This Row],[Índice]],"")</f>
        <v/>
      </c>
      <c r="AS211" s="119" t="str">
        <f ca="1">IF(AND(base_de_datos[[#This Row],[Inteligencia Artificial]]&lt;&gt;"",base_de_datos[[#This Row],[Misma o no]]=1),base_de_datos[[#This Row],[Índice]],"")</f>
        <v/>
      </c>
      <c r="AT211" s="119" t="str">
        <f ca="1">IF(AND(base_de_datos[[#This Row],[Tecnologías Energéticas]]&lt;&gt;"",base_de_datos[[#This Row],[Misma o no]]=1),base_de_datos[[#This Row],[Índice]],"")</f>
        <v/>
      </c>
      <c r="AU211" s="119" t="str">
        <f ca="1">IF(AND(base_de_datos[[#This Row],[Civil y Administración]]&lt;&gt;"",base_de_datos[[#This Row],[Misma o no]]=1),base_de_datos[[#This Row],[Índice]],"")</f>
        <v/>
      </c>
      <c r="AV211" s="119">
        <f ca="1">IF(AND(base_de_datos[[#This Row],[Bioelectrónica]]&lt;&gt;"",base_de_datos[[#This Row],[Misma o no]]=1),base_de_datos[[#This Row],[Índice]],"")</f>
        <v>6</v>
      </c>
      <c r="AW211" s="120"/>
      <c r="AX211" s="4">
        <v>2</v>
      </c>
      <c r="AY211" s="6"/>
    </row>
    <row r="212" spans="2:51" ht="13" x14ac:dyDescent="0.3">
      <c r="B212" s="141" t="s">
        <v>453</v>
      </c>
      <c r="C212" s="1" t="s">
        <v>454</v>
      </c>
      <c r="D212" s="4">
        <v>1</v>
      </c>
      <c r="E212" s="113">
        <v>0.29166666666666669</v>
      </c>
      <c r="F212" s="113">
        <v>0.374999999999999</v>
      </c>
      <c r="G212" s="226" t="s">
        <v>92</v>
      </c>
      <c r="H212" s="4" t="s">
        <v>18</v>
      </c>
      <c r="I212" s="4"/>
      <c r="J212" s="126">
        <v>19</v>
      </c>
      <c r="K212" s="128"/>
      <c r="L212" s="3"/>
      <c r="M212" s="140"/>
      <c r="N212" s="3"/>
      <c r="O212" s="4">
        <v>1814</v>
      </c>
      <c r="P212" s="114"/>
      <c r="Q212" s="114"/>
      <c r="R212" s="114" t="s">
        <v>90</v>
      </c>
      <c r="S212" s="114"/>
      <c r="T212" s="114"/>
      <c r="U212" s="114"/>
      <c r="V212" s="114"/>
      <c r="W212" s="114"/>
      <c r="X212" s="116">
        <f>_xlfn.XLOOKUP(base_de_datos[[#This Row],[Materia]],Materias,Horas)/16</f>
        <v>5</v>
      </c>
      <c r="Y212" s="116">
        <f>ROUND(((base_de_datos[[#This Row],[Hora fin]]-base_de_datos[[#This Row],[Hora inicio]])*24)*(COUNTA(base_de_datos[[#This Row],[Lunes]:[Sábado]])),1)</f>
        <v>2</v>
      </c>
      <c r="Z212" s="116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212" s="116">
        <f ca="1">IF(base_de_datos[[#This Row],[No clase]]=OFFSET(base_de_datos[[#This Row],[No clase]],-1,0),0,1)</f>
        <v>1</v>
      </c>
      <c r="AB212" s="116">
        <f ca="1">IF(NOT(OR(base_de_datos[[#This Row],[Horas totales]]=base_de_datos[[#This Row],[HT Plan]],base_de_datos[[#This Row],[Horas totales]]="N/A")),1,0)</f>
        <v>1</v>
      </c>
      <c r="AC212" s="116" t="str">
        <f>_xlfn.XLOOKUP(base_de_datos[[#This Row],[Profesor]],Nombre,Grado)</f>
        <v>E</v>
      </c>
      <c r="AD212" s="118" t="str">
        <f>_xlfn.XLOOKUP(base_de_datos[[#This Row],[Profesor]],Nombre,Tipo)</f>
        <v>TC</v>
      </c>
      <c r="AE212" s="116" t="str">
        <f>IF(IFERROR(VLOOKUP($C212,Planes_de_estudio[],MATCH($AE$2,Carreras,0)+2,0),"")&gt;0,IFERROR(VLOOKUP($C212,Planes_de_estudio[],MATCH($AE$2,Carreras,0)+2,0),""),"")</f>
        <v/>
      </c>
      <c r="AF212" s="116" t="str">
        <f>IF(IFERROR(VLOOKUP($C212,Planes_de_estudio[],MATCH($AF$2,Carreras,0)+2,0),"")&gt;0,IFERROR(VLOOKUP($C212,Planes_de_estudio[],MATCH($AF$2,Carreras,0)+2,0),""),"")</f>
        <v/>
      </c>
      <c r="AG212" s="116">
        <f>IF(IFERROR(VLOOKUP($C212,Planes_de_estudio[],MATCH($AG$2,Carreras,0)+2,0),"")&gt;0,IFERROR(VLOOKUP($C212,Planes_de_estudio[],MATCH($AG$2,Carreras,0)+2,0),""),"")</f>
        <v>2</v>
      </c>
      <c r="AH212" s="116" t="str">
        <f>IF(IFERROR(VLOOKUP($C212,Planes_de_estudio[],MATCH($AH$2,Carreras,0)+2,0),"")&gt;0,IFERROR(VLOOKUP($C212,Planes_de_estudio[],MATCH($AH$2,Carreras,0)+2,0),""),"")</f>
        <v/>
      </c>
      <c r="AI212" s="116" t="str">
        <f>IF(IFERROR(VLOOKUP($C212,Planes_de_estudio[],MATCH($AI$2,Carreras,0)+2,0),"")&gt;0,IFERROR(VLOOKUP($C212,Planes_de_estudio[],MATCH($AI$2,Carreras,0)+2,0),""),"")</f>
        <v/>
      </c>
      <c r="AJ212" s="116" t="str">
        <f>IF(IFERROR(VLOOKUP($C212,Planes_de_estudio[],MATCH($AJ$2,Carreras,0)+2,0),"")&gt;0,IFERROR(VLOOKUP($C212,Planes_de_estudio[],MATCH($AJ$2,Carreras,0)+2,0),""),"")</f>
        <v/>
      </c>
      <c r="AK212" s="116" t="str">
        <f>IF(IFERROR(VLOOKUP($C212,Planes_de_estudio[],MATCH($AK$2,Carreras,0)+2,0),"")&gt;0,IFERROR(VLOOKUP($C212,Planes_de_estudio[],MATCH($AK$2,Carreras,0)+2,0),""),"")</f>
        <v/>
      </c>
      <c r="AL212" s="116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212" s="116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16</v>
      </c>
      <c r="AN212" s="116">
        <f>base_de_datos[[#This Row],[Pronóstico]]/25</f>
        <v>0.64</v>
      </c>
      <c r="AO212" s="116" t="str">
        <f>VLOOKUP($C212,Planes_de_estudio[],2)</f>
        <v>IID</v>
      </c>
      <c r="AP212" s="129" t="str">
        <f ca="1">IF(AND(base_de_datos[[#This Row],[Industrial]]&lt;&gt;"",base_de_datos[[#This Row],[Misma o no]]=1),base_de_datos[[#This Row],[Índice]],"")</f>
        <v/>
      </c>
      <c r="AQ212" s="129" t="str">
        <f ca="1">IF(AND(base_de_datos[[#This Row],[Mecatrónica]]&lt;&gt;"",base_de_datos[[#This Row],[Misma o no]]=1),base_de_datos[[#This Row],[Índice]],"")</f>
        <v/>
      </c>
      <c r="AR212" s="129">
        <f ca="1">IF(AND(base_de_datos[[#This Row],[Innovación y Diseño]]&lt;&gt;"",base_de_datos[[#This Row],[Misma o no]]=1),base_de_datos[[#This Row],[Índice]],"")</f>
        <v>2</v>
      </c>
      <c r="AS212" s="129" t="str">
        <f ca="1">IF(AND(base_de_datos[[#This Row],[Inteligencia Artificial]]&lt;&gt;"",base_de_datos[[#This Row],[Misma o no]]=1),base_de_datos[[#This Row],[Índice]],"")</f>
        <v/>
      </c>
      <c r="AT212" s="129" t="str">
        <f ca="1">IF(AND(base_de_datos[[#This Row],[Tecnologías Energéticas]]&lt;&gt;"",base_de_datos[[#This Row],[Misma o no]]=1),base_de_datos[[#This Row],[Índice]],"")</f>
        <v/>
      </c>
      <c r="AU212" s="129" t="str">
        <f ca="1">IF(AND(base_de_datos[[#This Row],[Civil y Administración]]&lt;&gt;"",base_de_datos[[#This Row],[Misma o no]]=1),base_de_datos[[#This Row],[Índice]],"")</f>
        <v/>
      </c>
      <c r="AV212" s="129" t="str">
        <f ca="1">IF(AND(base_de_datos[[#This Row],[Bioelectrónica]]&lt;&gt;"",base_de_datos[[#This Row],[Misma o no]]=1),base_de_datos[[#This Row],[Índice]],"")</f>
        <v/>
      </c>
      <c r="AW212" s="130"/>
      <c r="AX212" s="4">
        <v>2</v>
      </c>
      <c r="AY212" s="6"/>
    </row>
    <row r="213" spans="2:51" ht="13" x14ac:dyDescent="0.3">
      <c r="B213" s="6" t="s">
        <v>357</v>
      </c>
      <c r="C213" s="1" t="s">
        <v>456</v>
      </c>
      <c r="D213" s="4">
        <v>1</v>
      </c>
      <c r="E213" s="257">
        <v>0.58333333333333304</v>
      </c>
      <c r="F213" s="257">
        <v>0.66666666666666097</v>
      </c>
      <c r="G213" s="226" t="s">
        <v>92</v>
      </c>
      <c r="H213" s="4" t="s">
        <v>457</v>
      </c>
      <c r="I213" s="4"/>
      <c r="J213" s="231">
        <v>5</v>
      </c>
      <c r="K213" s="115"/>
      <c r="L213" s="3"/>
      <c r="M213" s="127"/>
      <c r="N213" s="3"/>
      <c r="O213" s="4" t="s">
        <v>458</v>
      </c>
      <c r="P213" s="114"/>
      <c r="Q213" s="114"/>
      <c r="R213" s="114"/>
      <c r="S213" s="114"/>
      <c r="T213" s="114" t="s">
        <v>90</v>
      </c>
      <c r="U213" s="114"/>
      <c r="V213" s="114"/>
      <c r="W213" s="114"/>
      <c r="X213" s="117">
        <f>_xlfn.XLOOKUP(base_de_datos[[#This Row],[Materia]],Materias,Horas)/16</f>
        <v>4</v>
      </c>
      <c r="Y213" s="117">
        <f>ROUND(((base_de_datos[[#This Row],[Hora fin]]-base_de_datos[[#This Row],[Hora inicio]])*24)*(COUNTA(base_de_datos[[#This Row],[Lunes]:[Sábado]])),1)</f>
        <v>2</v>
      </c>
      <c r="Z213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213" s="117">
        <f ca="1">IF(base_de_datos[[#This Row],[No clase]]=OFFSET(base_de_datos[[#This Row],[No clase]],-1,0),0,1)</f>
        <v>1</v>
      </c>
      <c r="AB213" s="117">
        <f ca="1">IF(NOT(OR(base_de_datos[[#This Row],[Horas totales]]=base_de_datos[[#This Row],[HT Plan]],base_de_datos[[#This Row],[Horas totales]]="N/A")),1,0)</f>
        <v>1</v>
      </c>
      <c r="AC213" s="117" t="str">
        <f>_xlfn.XLOOKUP(base_de_datos[[#This Row],[Profesor]],Nombre,Grado)</f>
        <v>SNI</v>
      </c>
      <c r="AD213" s="118" t="str">
        <f>_xlfn.XLOOKUP(base_de_datos[[#This Row],[Profesor]],Nombre,Tipo)</f>
        <v>TC</v>
      </c>
      <c r="AE213" s="117" t="str">
        <f>IF(IFERROR(VLOOKUP($C213,Planes_de_estudio[],MATCH($AE$2,Carreras,0)+2,0),"")&gt;0,IFERROR(VLOOKUP($C213,Planes_de_estudio[],MATCH($AE$2,Carreras,0)+2,0),""),"")</f>
        <v/>
      </c>
      <c r="AF213" s="117" t="str">
        <f>IF(IFERROR(VLOOKUP($C213,Planes_de_estudio[],MATCH($AF$2,Carreras,0)+2,0),"")&gt;0,IFERROR(VLOOKUP($C213,Planes_de_estudio[],MATCH($AF$2,Carreras,0)+2,0),""),"")</f>
        <v/>
      </c>
      <c r="AG213" s="117" t="str">
        <f>IF(IFERROR(VLOOKUP($C213,Planes_de_estudio[],MATCH($AG$2,Carreras,0)+2,0),"")&gt;0,IFERROR(VLOOKUP($C213,Planes_de_estudio[],MATCH($AG$2,Carreras,0)+2,0),""),"")</f>
        <v/>
      </c>
      <c r="AH213" s="117" t="str">
        <f>IF(IFERROR(VLOOKUP($C213,Planes_de_estudio[],MATCH($AH$2,Carreras,0)+2,0),"")&gt;0,IFERROR(VLOOKUP($C213,Planes_de_estudio[],MATCH($AH$2,Carreras,0)+2,0),""),"")</f>
        <v/>
      </c>
      <c r="AI213" s="117" t="str">
        <f>IF(IFERROR(VLOOKUP($C213,Planes_de_estudio[],MATCH($AI$2,Carreras,0)+2,0),"")&gt;0,IFERROR(VLOOKUP($C213,Planes_de_estudio[],MATCH($AI$2,Carreras,0)+2,0),""),"")</f>
        <v/>
      </c>
      <c r="AJ213" s="117" t="str">
        <f>IF(IFERROR(VLOOKUP($C213,Planes_de_estudio[],MATCH($AJ$2,Carreras,0)+2,0),"")&gt;0,IFERROR(VLOOKUP($C213,Planes_de_estudio[],MATCH($AJ$2,Carreras,0)+2,0),""),"")</f>
        <v/>
      </c>
      <c r="AK213" s="117">
        <f>IF(IFERROR(VLOOKUP($C213,Planes_de_estudio[],MATCH($AK$2,Carreras,0)+2,0),"")&gt;0,IFERROR(VLOOKUP($C213,Planes_de_estudio[],MATCH($AK$2,Carreras,0)+2,0),""),"")</f>
        <v>8</v>
      </c>
      <c r="AL213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213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10</v>
      </c>
      <c r="AN213" s="117">
        <f>base_de_datos[[#This Row],[Pronóstico]]/25</f>
        <v>0.4</v>
      </c>
      <c r="AO213" s="117" t="str">
        <f>VLOOKUP($C213,Planes_de_estudio[],2)</f>
        <v>BIO</v>
      </c>
      <c r="AP213" s="119" t="str">
        <f ca="1">IF(AND(base_de_datos[[#This Row],[Industrial]]&lt;&gt;"",base_de_datos[[#This Row],[Misma o no]]=1),base_de_datos[[#This Row],[Índice]],"")</f>
        <v/>
      </c>
      <c r="AQ213" s="119" t="str">
        <f ca="1">IF(AND(base_de_datos[[#This Row],[Mecatrónica]]&lt;&gt;"",base_de_datos[[#This Row],[Misma o no]]=1),base_de_datos[[#This Row],[Índice]],"")</f>
        <v/>
      </c>
      <c r="AR213" s="119" t="str">
        <f ca="1">IF(AND(base_de_datos[[#This Row],[Innovación y Diseño]]&lt;&gt;"",base_de_datos[[#This Row],[Misma o no]]=1),base_de_datos[[#This Row],[Índice]],"")</f>
        <v/>
      </c>
      <c r="AS213" s="119" t="str">
        <f ca="1">IF(AND(base_de_datos[[#This Row],[Inteligencia Artificial]]&lt;&gt;"",base_de_datos[[#This Row],[Misma o no]]=1),base_de_datos[[#This Row],[Índice]],"")</f>
        <v/>
      </c>
      <c r="AT213" s="119" t="str">
        <f ca="1">IF(AND(base_de_datos[[#This Row],[Tecnologías Energéticas]]&lt;&gt;"",base_de_datos[[#This Row],[Misma o no]]=1),base_de_datos[[#This Row],[Índice]],"")</f>
        <v/>
      </c>
      <c r="AU213" s="119" t="str">
        <f ca="1">IF(AND(base_de_datos[[#This Row],[Civil y Administración]]&lt;&gt;"",base_de_datos[[#This Row],[Misma o no]]=1),base_de_datos[[#This Row],[Índice]],"")</f>
        <v/>
      </c>
      <c r="AV213" s="119">
        <f ca="1">IF(AND(base_de_datos[[#This Row],[Bioelectrónica]]&lt;&gt;"",base_de_datos[[#This Row],[Misma o no]]=1),base_de_datos[[#This Row],[Índice]],"")</f>
        <v>6</v>
      </c>
      <c r="AW213" s="120"/>
      <c r="AX213" s="4">
        <v>2</v>
      </c>
      <c r="AY213" s="6"/>
    </row>
    <row r="214" spans="2:51" ht="13" x14ac:dyDescent="0.3">
      <c r="B214" s="6" t="s">
        <v>243</v>
      </c>
      <c r="C214" s="1" t="s">
        <v>430</v>
      </c>
      <c r="D214" s="4">
        <v>1</v>
      </c>
      <c r="E214" s="113">
        <v>0.375</v>
      </c>
      <c r="F214" s="113">
        <v>0.437499999999998</v>
      </c>
      <c r="G214" s="4" t="s">
        <v>87</v>
      </c>
      <c r="H214" s="4" t="s">
        <v>125</v>
      </c>
      <c r="I214" s="4"/>
      <c r="J214" s="126">
        <v>18</v>
      </c>
      <c r="K214" s="115"/>
      <c r="L214" s="3"/>
      <c r="M214" s="127"/>
      <c r="N214" s="3"/>
      <c r="O214" s="4">
        <v>1877</v>
      </c>
      <c r="P214" s="114" t="s">
        <v>90</v>
      </c>
      <c r="Q214" s="114"/>
      <c r="R214" s="114" t="s">
        <v>90</v>
      </c>
      <c r="S214" s="114"/>
      <c r="T214" s="114"/>
      <c r="U214" s="114"/>
      <c r="V214" s="114"/>
      <c r="W214" s="114"/>
      <c r="X214" s="117">
        <f>_xlfn.XLOOKUP(base_de_datos[[#This Row],[Materia]],Materias,Horas)/16</f>
        <v>3</v>
      </c>
      <c r="Y214" s="117">
        <f>ROUND(((base_de_datos[[#This Row],[Hora fin]]-base_de_datos[[#This Row],[Hora inicio]])*24)*(COUNTA(base_de_datos[[#This Row],[Lunes]:[Sábado]])),1)</f>
        <v>3</v>
      </c>
      <c r="Z214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214" s="117">
        <f ca="1">IF(base_de_datos[[#This Row],[No clase]]=OFFSET(base_de_datos[[#This Row],[No clase]],-1,0),0,1)</f>
        <v>1</v>
      </c>
      <c r="AB214" s="117">
        <f ca="1">IF(NOT(OR(base_de_datos[[#This Row],[Horas totales]]=base_de_datos[[#This Row],[HT Plan]],base_de_datos[[#This Row],[Horas totales]]="N/A")),1,0)</f>
        <v>0</v>
      </c>
      <c r="AC214" s="117" t="str">
        <f>_xlfn.XLOOKUP(base_de_datos[[#This Row],[Profesor]],Nombre,Grado)</f>
        <v>M</v>
      </c>
      <c r="AD214" s="118" t="str">
        <f>_xlfn.XLOOKUP(base_de_datos[[#This Row],[Profesor]],Nombre,Tipo)</f>
        <v>A</v>
      </c>
      <c r="AE214" s="117" t="str">
        <f>IF(IFERROR(VLOOKUP($C214,Planes_de_estudio[],MATCH($AE$2,Carreras,0)+2,0),"")&gt;0,IFERROR(VLOOKUP($C214,Planes_de_estudio[],MATCH($AE$2,Carreras,0)+2,0),""),"")</f>
        <v/>
      </c>
      <c r="AF214" s="117">
        <f>IF(IFERROR(VLOOKUP($C214,Planes_de_estudio[],MATCH($AF$2,Carreras,0)+2,0),"")&gt;0,IFERROR(VLOOKUP($C214,Planes_de_estudio[],MATCH($AF$2,Carreras,0)+2,0),""),"")</f>
        <v>4</v>
      </c>
      <c r="AG214" s="117" t="str">
        <f>IF(IFERROR(VLOOKUP($C214,Planes_de_estudio[],MATCH($AG$2,Carreras,0)+2,0),"")&gt;0,IFERROR(VLOOKUP($C214,Planes_de_estudio[],MATCH($AG$2,Carreras,0)+2,0),""),"")</f>
        <v/>
      </c>
      <c r="AH214" s="117" t="str">
        <f>IF(IFERROR(VLOOKUP($C214,Planes_de_estudio[],MATCH($AH$2,Carreras,0)+2,0),"")&gt;0,IFERROR(VLOOKUP($C214,Planes_de_estudio[],MATCH($AH$2,Carreras,0)+2,0),""),"")</f>
        <v/>
      </c>
      <c r="AI214" s="117" t="str">
        <f>IF(IFERROR(VLOOKUP($C214,Planes_de_estudio[],MATCH($AI$2,Carreras,0)+2,0),"")&gt;0,IFERROR(VLOOKUP($C214,Planes_de_estudio[],MATCH($AI$2,Carreras,0)+2,0),""),"")</f>
        <v/>
      </c>
      <c r="AJ214" s="117" t="str">
        <f>IF(IFERROR(VLOOKUP($C214,Planes_de_estudio[],MATCH($AJ$2,Carreras,0)+2,0),"")&gt;0,IFERROR(VLOOKUP($C214,Planes_de_estudio[],MATCH($AJ$2,Carreras,0)+2,0),""),"")</f>
        <v/>
      </c>
      <c r="AK214" s="117" t="str">
        <f>IF(IFERROR(VLOOKUP($C214,Planes_de_estudio[],MATCH($AK$2,Carreras,0)+2,0),"")&gt;0,IFERROR(VLOOKUP($C214,Planes_de_estudio[],MATCH($AK$2,Carreras,0)+2,0),""),"")</f>
        <v/>
      </c>
      <c r="AL214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14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16</v>
      </c>
      <c r="AN214" s="117">
        <f>base_de_datos[[#This Row],[Pronóstico]]/25</f>
        <v>0.64</v>
      </c>
      <c r="AO214" s="117" t="str">
        <f>VLOOKUP($C214,Planes_de_estudio[],2)</f>
        <v>MEC</v>
      </c>
      <c r="AP214" s="119" t="str">
        <f ca="1">IF(AND(base_de_datos[[#This Row],[Industrial]]&lt;&gt;"",base_de_datos[[#This Row],[Misma o no]]=1),base_de_datos[[#This Row],[Índice]],"")</f>
        <v/>
      </c>
      <c r="AQ214" s="119">
        <f ca="1">IF(AND(base_de_datos[[#This Row],[Mecatrónica]]&lt;&gt;"",base_de_datos[[#This Row],[Misma o no]]=1),base_de_datos[[#This Row],[Índice]],"")</f>
        <v>4</v>
      </c>
      <c r="AR214" s="119" t="str">
        <f ca="1">IF(AND(base_de_datos[[#This Row],[Innovación y Diseño]]&lt;&gt;"",base_de_datos[[#This Row],[Misma o no]]=1),base_de_datos[[#This Row],[Índice]],"")</f>
        <v/>
      </c>
      <c r="AS214" s="119" t="str">
        <f ca="1">IF(AND(base_de_datos[[#This Row],[Inteligencia Artificial]]&lt;&gt;"",base_de_datos[[#This Row],[Misma o no]]=1),base_de_datos[[#This Row],[Índice]],"")</f>
        <v/>
      </c>
      <c r="AT214" s="119" t="str">
        <f ca="1">IF(AND(base_de_datos[[#This Row],[Tecnologías Energéticas]]&lt;&gt;"",base_de_datos[[#This Row],[Misma o no]]=1),base_de_datos[[#This Row],[Índice]],"")</f>
        <v/>
      </c>
      <c r="AU214" s="119" t="str">
        <f ca="1">IF(AND(base_de_datos[[#This Row],[Civil y Administración]]&lt;&gt;"",base_de_datos[[#This Row],[Misma o no]]=1),base_de_datos[[#This Row],[Índice]],"")</f>
        <v/>
      </c>
      <c r="AV214" s="119" t="str">
        <f ca="1">IF(AND(base_de_datos[[#This Row],[Bioelectrónica]]&lt;&gt;"",base_de_datos[[#This Row],[Misma o no]]=1),base_de_datos[[#This Row],[Índice]],"")</f>
        <v/>
      </c>
      <c r="AW214" s="120"/>
      <c r="AX214" s="4">
        <v>2</v>
      </c>
      <c r="AY214" s="6"/>
    </row>
    <row r="215" spans="2:51" ht="13" x14ac:dyDescent="0.3">
      <c r="B215" s="6" t="s">
        <v>319</v>
      </c>
      <c r="C215" s="1" t="s">
        <v>459</v>
      </c>
      <c r="D215" s="4">
        <v>1</v>
      </c>
      <c r="E215" s="113">
        <v>0.375</v>
      </c>
      <c r="F215" s="113">
        <v>0.45833333333333098</v>
      </c>
      <c r="G215" s="226" t="s">
        <v>92</v>
      </c>
      <c r="H215" s="4" t="s">
        <v>18</v>
      </c>
      <c r="I215" s="4"/>
      <c r="J215" s="199">
        <v>27</v>
      </c>
      <c r="K215" s="115"/>
      <c r="L215" s="3"/>
      <c r="M215" s="127"/>
      <c r="N215" s="3"/>
      <c r="O215" s="2" t="s">
        <v>460</v>
      </c>
      <c r="P215" s="114"/>
      <c r="Q215" s="114"/>
      <c r="R215" s="114"/>
      <c r="S215" s="114" t="s">
        <v>90</v>
      </c>
      <c r="T215" s="114"/>
      <c r="U215" s="114"/>
      <c r="V215" s="114"/>
      <c r="W215" s="114"/>
      <c r="X215" s="117">
        <f>_xlfn.XLOOKUP(base_de_datos[[#This Row],[Materia]],Materias,Horas)/16</f>
        <v>4</v>
      </c>
      <c r="Y215" s="117">
        <f>ROUND(((base_de_datos[[#This Row],[Hora fin]]-base_de_datos[[#This Row],[Hora inicio]])*24)*(COUNTA(base_de_datos[[#This Row],[Lunes]:[Sábado]])),1)</f>
        <v>2</v>
      </c>
      <c r="Z215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215" s="117">
        <f ca="1">IF(base_de_datos[[#This Row],[No clase]]=OFFSET(base_de_datos[[#This Row],[No clase]],-1,0),0,1)</f>
        <v>1</v>
      </c>
      <c r="AB215" s="117">
        <f ca="1">IF(NOT(OR(base_de_datos[[#This Row],[Horas totales]]=base_de_datos[[#This Row],[HT Plan]],base_de_datos[[#This Row],[Horas totales]]="N/A")),1,0)</f>
        <v>1</v>
      </c>
      <c r="AC215" s="117" t="str">
        <f>_xlfn.XLOOKUP(base_de_datos[[#This Row],[Profesor]],Nombre,Grado)</f>
        <v>M</v>
      </c>
      <c r="AD215" s="118" t="str">
        <f>_xlfn.XLOOKUP(base_de_datos[[#This Row],[Profesor]],Nombre,Tipo)</f>
        <v>TC</v>
      </c>
      <c r="AE215" s="117">
        <f>IF(IFERROR(VLOOKUP($C215,Planes_de_estudio[],MATCH($AE$2,Carreras,0)+2,0),"")&gt;0,IFERROR(VLOOKUP($C215,Planes_de_estudio[],MATCH($AE$2,Carreras,0)+2,0),""),"")</f>
        <v>3</v>
      </c>
      <c r="AF215" s="117">
        <f>IF(IFERROR(VLOOKUP($C215,Planes_de_estudio[],MATCH($AF$2,Carreras,0)+2,0),"")&gt;0,IFERROR(VLOOKUP($C215,Planes_de_estudio[],MATCH($AF$2,Carreras,0)+2,0),""),"")</f>
        <v>4</v>
      </c>
      <c r="AG215" s="117" t="str">
        <f>IF(IFERROR(VLOOKUP($C215,Planes_de_estudio[],MATCH($AG$2,Carreras,0)+2,0),"")&gt;0,IFERROR(VLOOKUP($C215,Planes_de_estudio[],MATCH($AG$2,Carreras,0)+2,0),""),"")</f>
        <v/>
      </c>
      <c r="AH215" s="117" t="str">
        <f>IF(IFERROR(VLOOKUP($C215,Planes_de_estudio[],MATCH($AH$2,Carreras,0)+2,0),"")&gt;0,IFERROR(VLOOKUP($C215,Planes_de_estudio[],MATCH($AH$2,Carreras,0)+2,0),""),"")</f>
        <v/>
      </c>
      <c r="AI215" s="117">
        <f>IF(IFERROR(VLOOKUP($C215,Planes_de_estudio[],MATCH($AI$2,Carreras,0)+2,0),"")&gt;0,IFERROR(VLOOKUP($C215,Planes_de_estudio[],MATCH($AI$2,Carreras,0)+2,0),""),"")</f>
        <v>3</v>
      </c>
      <c r="AJ215" s="117" t="str">
        <f>IF(IFERROR(VLOOKUP($C215,Planes_de_estudio[],MATCH($AJ$2,Carreras,0)+2,0),"")&gt;0,IFERROR(VLOOKUP($C215,Planes_de_estudio[],MATCH($AJ$2,Carreras,0)+2,0),""),"")</f>
        <v/>
      </c>
      <c r="AK215" s="117">
        <f>IF(IFERROR(VLOOKUP($C215,Planes_de_estudio[],MATCH($AK$2,Carreras,0)+2,0),"")&gt;0,IFERROR(VLOOKUP($C215,Planes_de_estudio[],MATCH($AK$2,Carreras,0)+2,0),""),"")</f>
        <v>4</v>
      </c>
      <c r="AL215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15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26</v>
      </c>
      <c r="AN215" s="117">
        <f>base_de_datos[[#This Row],[Pronóstico]]/25</f>
        <v>1.04</v>
      </c>
      <c r="AO215" s="117" t="str">
        <f>VLOOKUP($C215,Planes_de_estudio[],2)</f>
        <v>ETF</v>
      </c>
      <c r="AP215" s="119">
        <f ca="1">IF(AND(base_de_datos[[#This Row],[Industrial]]&lt;&gt;"",base_de_datos[[#This Row],[Misma o no]]=1),base_de_datos[[#This Row],[Índice]],"")</f>
        <v>4</v>
      </c>
      <c r="AQ215" s="119">
        <f ca="1">IF(AND(base_de_datos[[#This Row],[Mecatrónica]]&lt;&gt;"",base_de_datos[[#This Row],[Misma o no]]=1),base_de_datos[[#This Row],[Índice]],"")</f>
        <v>4</v>
      </c>
      <c r="AR215" s="119" t="str">
        <f ca="1">IF(AND(base_de_datos[[#This Row],[Innovación y Diseño]]&lt;&gt;"",base_de_datos[[#This Row],[Misma o no]]=1),base_de_datos[[#This Row],[Índice]],"")</f>
        <v/>
      </c>
      <c r="AS215" s="119" t="str">
        <f ca="1">IF(AND(base_de_datos[[#This Row],[Inteligencia Artificial]]&lt;&gt;"",base_de_datos[[#This Row],[Misma o no]]=1),base_de_datos[[#This Row],[Índice]],"")</f>
        <v/>
      </c>
      <c r="AT215" s="119">
        <f ca="1">IF(AND(base_de_datos[[#This Row],[Tecnologías Energéticas]]&lt;&gt;"",base_de_datos[[#This Row],[Misma o no]]=1),base_de_datos[[#This Row],[Índice]],"")</f>
        <v>4</v>
      </c>
      <c r="AU215" s="119" t="str">
        <f ca="1">IF(AND(base_de_datos[[#This Row],[Civil y Administración]]&lt;&gt;"",base_de_datos[[#This Row],[Misma o no]]=1),base_de_datos[[#This Row],[Índice]],"")</f>
        <v/>
      </c>
      <c r="AV215" s="119">
        <f ca="1">IF(AND(base_de_datos[[#This Row],[Bioelectrónica]]&lt;&gt;"",base_de_datos[[#This Row],[Misma o no]]=1),base_de_datos[[#This Row],[Índice]],"")</f>
        <v>4</v>
      </c>
      <c r="AW215" s="120"/>
      <c r="AX215" s="4">
        <v>3</v>
      </c>
      <c r="AY215" s="6"/>
    </row>
    <row r="216" spans="2:51" ht="10.5" customHeight="1" x14ac:dyDescent="0.3">
      <c r="B216" s="141" t="s">
        <v>453</v>
      </c>
      <c r="C216" s="1" t="s">
        <v>454</v>
      </c>
      <c r="D216" s="4">
        <v>1</v>
      </c>
      <c r="E216" s="113">
        <v>0.5</v>
      </c>
      <c r="F216" s="113">
        <v>0.624999999999995</v>
      </c>
      <c r="G216" s="226" t="s">
        <v>92</v>
      </c>
      <c r="H216" s="4" t="s">
        <v>18</v>
      </c>
      <c r="I216" s="4"/>
      <c r="J216" s="126">
        <v>19</v>
      </c>
      <c r="K216" s="115"/>
      <c r="L216" s="3"/>
      <c r="M216" s="127"/>
      <c r="N216" s="3"/>
      <c r="O216" s="4">
        <v>1814</v>
      </c>
      <c r="P216" s="114"/>
      <c r="Q216" s="114"/>
      <c r="R216" s="114"/>
      <c r="S216" s="114"/>
      <c r="T216" s="114" t="s">
        <v>90</v>
      </c>
      <c r="U216" s="114"/>
      <c r="V216" s="114"/>
      <c r="W216" s="114"/>
      <c r="X216" s="117">
        <f>_xlfn.XLOOKUP(base_de_datos[[#This Row],[Materia]],Materias,Horas)/16</f>
        <v>5</v>
      </c>
      <c r="Y216" s="117">
        <f>ROUND(((base_de_datos[[#This Row],[Hora fin]]-base_de_datos[[#This Row],[Hora inicio]])*24)*(COUNTA(base_de_datos[[#This Row],[Lunes]:[Sábado]])),1)</f>
        <v>3</v>
      </c>
      <c r="Z216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216" s="117">
        <f ca="1">IF(base_de_datos[[#This Row],[No clase]]=OFFSET(base_de_datos[[#This Row],[No clase]],-1,0),0,1)</f>
        <v>1</v>
      </c>
      <c r="AB216" s="117">
        <f ca="1">IF(NOT(OR(base_de_datos[[#This Row],[Horas totales]]=base_de_datos[[#This Row],[HT Plan]],base_de_datos[[#This Row],[Horas totales]]="N/A")),1,0)</f>
        <v>1</v>
      </c>
      <c r="AC216" s="117" t="str">
        <f>_xlfn.XLOOKUP(base_de_datos[[#This Row],[Profesor]],Nombre,Grado)</f>
        <v>E</v>
      </c>
      <c r="AD216" s="118" t="str">
        <f>_xlfn.XLOOKUP(base_de_datos[[#This Row],[Profesor]],Nombre,Tipo)</f>
        <v>TC</v>
      </c>
      <c r="AE216" s="117" t="str">
        <f>IF(IFERROR(VLOOKUP($C216,Planes_de_estudio[],MATCH($AE$2,Carreras,0)+2,0),"")&gt;0,IFERROR(VLOOKUP($C216,Planes_de_estudio[],MATCH($AE$2,Carreras,0)+2,0),""),"")</f>
        <v/>
      </c>
      <c r="AF216" s="117" t="str">
        <f>IF(IFERROR(VLOOKUP($C216,Planes_de_estudio[],MATCH($AF$2,Carreras,0)+2,0),"")&gt;0,IFERROR(VLOOKUP($C216,Planes_de_estudio[],MATCH($AF$2,Carreras,0)+2,0),""),"")</f>
        <v/>
      </c>
      <c r="AG216" s="117">
        <f>IF(IFERROR(VLOOKUP($C216,Planes_de_estudio[],MATCH($AG$2,Carreras,0)+2,0),"")&gt;0,IFERROR(VLOOKUP($C216,Planes_de_estudio[],MATCH($AG$2,Carreras,0)+2,0),""),"")</f>
        <v>2</v>
      </c>
      <c r="AH216" s="117" t="str">
        <f>IF(IFERROR(VLOOKUP($C216,Planes_de_estudio[],MATCH($AH$2,Carreras,0)+2,0),"")&gt;0,IFERROR(VLOOKUP($C216,Planes_de_estudio[],MATCH($AH$2,Carreras,0)+2,0),""),"")</f>
        <v/>
      </c>
      <c r="AI216" s="117" t="str">
        <f>IF(IFERROR(VLOOKUP($C216,Planes_de_estudio[],MATCH($AI$2,Carreras,0)+2,0),"")&gt;0,IFERROR(VLOOKUP($C216,Planes_de_estudio[],MATCH($AI$2,Carreras,0)+2,0),""),"")</f>
        <v/>
      </c>
      <c r="AJ216" s="117" t="str">
        <f>IF(IFERROR(VLOOKUP($C216,Planes_de_estudio[],MATCH($AJ$2,Carreras,0)+2,0),"")&gt;0,IFERROR(VLOOKUP($C216,Planes_de_estudio[],MATCH($AJ$2,Carreras,0)+2,0),""),"")</f>
        <v/>
      </c>
      <c r="AK216" s="117" t="str">
        <f>IF(IFERROR(VLOOKUP($C216,Planes_de_estudio[],MATCH($AK$2,Carreras,0)+2,0),"")&gt;0,IFERROR(VLOOKUP($C216,Planes_de_estudio[],MATCH($AK$2,Carreras,0)+2,0),""),"")</f>
        <v/>
      </c>
      <c r="AL216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216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16</v>
      </c>
      <c r="AN216" s="117">
        <f>base_de_datos[[#This Row],[Pronóstico]]/25</f>
        <v>0.64</v>
      </c>
      <c r="AO216" s="117" t="str">
        <f>VLOOKUP($C216,Planes_de_estudio[],2)</f>
        <v>IID</v>
      </c>
      <c r="AP216" s="119" t="str">
        <f ca="1">IF(AND(base_de_datos[[#This Row],[Industrial]]&lt;&gt;"",base_de_datos[[#This Row],[Misma o no]]=1),base_de_datos[[#This Row],[Índice]],"")</f>
        <v/>
      </c>
      <c r="AQ216" s="119" t="str">
        <f ca="1">IF(AND(base_de_datos[[#This Row],[Mecatrónica]]&lt;&gt;"",base_de_datos[[#This Row],[Misma o no]]=1),base_de_datos[[#This Row],[Índice]],"")</f>
        <v/>
      </c>
      <c r="AR216" s="119">
        <f ca="1">IF(AND(base_de_datos[[#This Row],[Innovación y Diseño]]&lt;&gt;"",base_de_datos[[#This Row],[Misma o no]]=1),base_de_datos[[#This Row],[Índice]],"")</f>
        <v>2</v>
      </c>
      <c r="AS216" s="119" t="str">
        <f ca="1">IF(AND(base_de_datos[[#This Row],[Inteligencia Artificial]]&lt;&gt;"",base_de_datos[[#This Row],[Misma o no]]=1),base_de_datos[[#This Row],[Índice]],"")</f>
        <v/>
      </c>
      <c r="AT216" s="119" t="str">
        <f ca="1">IF(AND(base_de_datos[[#This Row],[Tecnologías Energéticas]]&lt;&gt;"",base_de_datos[[#This Row],[Misma o no]]=1),base_de_datos[[#This Row],[Índice]],"")</f>
        <v/>
      </c>
      <c r="AU216" s="119" t="str">
        <f ca="1">IF(AND(base_de_datos[[#This Row],[Civil y Administración]]&lt;&gt;"",base_de_datos[[#This Row],[Misma o no]]=1),base_de_datos[[#This Row],[Índice]],"")</f>
        <v/>
      </c>
      <c r="AV216" s="119" t="str">
        <f ca="1">IF(AND(base_de_datos[[#This Row],[Bioelectrónica]]&lt;&gt;"",base_de_datos[[#This Row],[Misma o no]]=1),base_de_datos[[#This Row],[Índice]],"")</f>
        <v/>
      </c>
      <c r="AW216" s="120"/>
      <c r="AX216" s="4">
        <v>2</v>
      </c>
      <c r="AY216" s="6"/>
    </row>
    <row r="217" spans="2:51" ht="13" x14ac:dyDescent="0.3">
      <c r="B217" s="6" t="s">
        <v>461</v>
      </c>
      <c r="C217" s="1" t="s">
        <v>462</v>
      </c>
      <c r="D217" s="4">
        <v>1</v>
      </c>
      <c r="E217" s="113">
        <v>0.75</v>
      </c>
      <c r="F217" s="113">
        <v>0.83333333333332504</v>
      </c>
      <c r="G217" s="4" t="s">
        <v>87</v>
      </c>
      <c r="H217" s="4" t="s">
        <v>194</v>
      </c>
      <c r="I217" s="4"/>
      <c r="J217" s="199">
        <v>25</v>
      </c>
      <c r="K217" s="142"/>
      <c r="L217" s="3"/>
      <c r="M217" s="3"/>
      <c r="N217" s="3"/>
      <c r="O217" s="2" t="s">
        <v>463</v>
      </c>
      <c r="P217" s="114"/>
      <c r="Q217" s="114"/>
      <c r="R217" s="114"/>
      <c r="S217" s="114"/>
      <c r="T217" s="114" t="s">
        <v>90</v>
      </c>
      <c r="U217" s="114"/>
      <c r="V217" s="114"/>
      <c r="W217" s="114"/>
      <c r="X217" s="143">
        <f>_xlfn.XLOOKUP(base_de_datos[[#This Row],[Materia]],Materias,Horas)/16</f>
        <v>4</v>
      </c>
      <c r="Y217" s="143">
        <f>ROUND(((base_de_datos[[#This Row],[Hora fin]]-base_de_datos[[#This Row],[Hora inicio]])*24)*(COUNTA(base_de_datos[[#This Row],[Lunes]:[Sábado]])),1)</f>
        <v>2</v>
      </c>
      <c r="Z217" s="14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17" s="143">
        <f ca="1">IF(base_de_datos[[#This Row],[No clase]]=OFFSET(base_de_datos[[#This Row],[No clase]],-1,0),0,1)</f>
        <v>1</v>
      </c>
      <c r="AB217" s="143">
        <f ca="1">IF(NOT(OR(base_de_datos[[#This Row],[Horas totales]]=base_de_datos[[#This Row],[HT Plan]],base_de_datos[[#This Row],[Horas totales]]="N/A")),1,0)</f>
        <v>0</v>
      </c>
      <c r="AC217" s="143" t="str">
        <f>_xlfn.XLOOKUP(base_de_datos[[#This Row],[Profesor]],Nombre,Grado)</f>
        <v>M</v>
      </c>
      <c r="AD217" s="144" t="str">
        <f>_xlfn.XLOOKUP(base_de_datos[[#This Row],[Profesor]],Nombre,Tipo)</f>
        <v>OA</v>
      </c>
      <c r="AE217" s="143">
        <f>IF(IFERROR(VLOOKUP($C217,Planes_de_estudio[],MATCH($AE$2,Carreras,0)+2,0),"")&gt;0,IFERROR(VLOOKUP($C217,Planes_de_estudio[],MATCH($AE$2,Carreras,0)+2,0),""),"")</f>
        <v>6</v>
      </c>
      <c r="AF217" s="143" t="str">
        <f>IF(IFERROR(VLOOKUP($C217,Planes_de_estudio[],MATCH($AF$2,Carreras,0)+2,0),"")&gt;0,IFERROR(VLOOKUP($C217,Planes_de_estudio[],MATCH($AF$2,Carreras,0)+2,0),""),"")</f>
        <v/>
      </c>
      <c r="AG217" s="143" t="str">
        <f>IF(IFERROR(VLOOKUP($C217,Planes_de_estudio[],MATCH($AG$2,Carreras,0)+2,0),"")&gt;0,IFERROR(VLOOKUP($C217,Planes_de_estudio[],MATCH($AG$2,Carreras,0)+2,0),""),"")</f>
        <v/>
      </c>
      <c r="AH217" s="143" t="str">
        <f>IF(IFERROR(VLOOKUP($C217,Planes_de_estudio[],MATCH($AH$2,Carreras,0)+2,0),"")&gt;0,IFERROR(VLOOKUP($C217,Planes_de_estudio[],MATCH($AH$2,Carreras,0)+2,0),""),"")</f>
        <v/>
      </c>
      <c r="AI217" s="143" t="str">
        <f>IF(IFERROR(VLOOKUP($C217,Planes_de_estudio[],MATCH($AI$2,Carreras,0)+2,0),"")&gt;0,IFERROR(VLOOKUP($C217,Planes_de_estudio[],MATCH($AI$2,Carreras,0)+2,0),""),"")</f>
        <v/>
      </c>
      <c r="AJ217" s="143" t="str">
        <f>IF(IFERROR(VLOOKUP($C217,Planes_de_estudio[],MATCH($AJ$2,Carreras,0)+2,0),"")&gt;0,IFERROR(VLOOKUP($C217,Planes_de_estudio[],MATCH($AJ$2,Carreras,0)+2,0),""),"")</f>
        <v/>
      </c>
      <c r="AK217" s="143" t="str">
        <f>IF(IFERROR(VLOOKUP($C217,Planes_de_estudio[],MATCH($AK$2,Carreras,0)+2,0),"")&gt;0,IFERROR(VLOOKUP($C217,Planes_de_estudio[],MATCH($AK$2,Carreras,0)+2,0),""),"")</f>
        <v/>
      </c>
      <c r="AL217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17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25</v>
      </c>
      <c r="AN217" s="143">
        <f>base_de_datos[[#This Row],[Pronóstico]]/25</f>
        <v>1</v>
      </c>
      <c r="AO217" s="143" t="str">
        <f>VLOOKUP($C217,Planes_de_estudio[],2)</f>
        <v>EEC</v>
      </c>
      <c r="AP217" s="112">
        <f ca="1">IF(AND(base_de_datos[[#This Row],[Industrial]]&lt;&gt;"",base_de_datos[[#This Row],[Misma o no]]=1),base_de_datos[[#This Row],[Índice]],"")</f>
        <v>4</v>
      </c>
      <c r="AQ217" s="112" t="str">
        <f ca="1">IF(AND(base_de_datos[[#This Row],[Mecatrónica]]&lt;&gt;"",base_de_datos[[#This Row],[Misma o no]]=1),base_de_datos[[#This Row],[Índice]],"")</f>
        <v/>
      </c>
      <c r="AR217" s="112" t="str">
        <f ca="1">IF(AND(base_de_datos[[#This Row],[Innovación y Diseño]]&lt;&gt;"",base_de_datos[[#This Row],[Misma o no]]=1),base_de_datos[[#This Row],[Índice]],"")</f>
        <v/>
      </c>
      <c r="AS217" s="112" t="str">
        <f ca="1">IF(AND(base_de_datos[[#This Row],[Inteligencia Artificial]]&lt;&gt;"",base_de_datos[[#This Row],[Misma o no]]=1),base_de_datos[[#This Row],[Índice]],"")</f>
        <v/>
      </c>
      <c r="AT217" s="112" t="str">
        <f ca="1">IF(AND(base_de_datos[[#This Row],[Tecnologías Energéticas]]&lt;&gt;"",base_de_datos[[#This Row],[Misma o no]]=1),base_de_datos[[#This Row],[Índice]],"")</f>
        <v/>
      </c>
      <c r="AU217" s="112" t="str">
        <f ca="1">IF(AND(base_de_datos[[#This Row],[Civil y Administración]]&lt;&gt;"",base_de_datos[[#This Row],[Misma o no]]=1),base_de_datos[[#This Row],[Índice]],"")</f>
        <v/>
      </c>
      <c r="AV217" s="112" t="str">
        <f ca="1">IF(AND(base_de_datos[[#This Row],[Bioelectrónica]]&lt;&gt;"",base_de_datos[[#This Row],[Misma o no]]=1),base_de_datos[[#This Row],[Índice]],"")</f>
        <v/>
      </c>
      <c r="AW217" s="6"/>
      <c r="AX217" s="4">
        <v>1</v>
      </c>
      <c r="AY217" s="6"/>
    </row>
    <row r="218" spans="2:51" ht="13" x14ac:dyDescent="0.3">
      <c r="B218" s="9" t="s">
        <v>461</v>
      </c>
      <c r="C218" s="1" t="s">
        <v>462</v>
      </c>
      <c r="D218" s="4">
        <v>1</v>
      </c>
      <c r="E218" s="113">
        <v>0.70833333333333304</v>
      </c>
      <c r="F218" s="113">
        <v>0.79166666666665897</v>
      </c>
      <c r="G218" s="4" t="s">
        <v>87</v>
      </c>
      <c r="H218" s="4" t="s">
        <v>355</v>
      </c>
      <c r="I218" s="4"/>
      <c r="J218" s="198">
        <v>25</v>
      </c>
      <c r="K218" s="115"/>
      <c r="L218" s="3"/>
      <c r="M218" s="115"/>
      <c r="N218" s="3"/>
      <c r="O218" s="2" t="s">
        <v>463</v>
      </c>
      <c r="P218" s="114"/>
      <c r="Q218" s="114"/>
      <c r="R218" s="114"/>
      <c r="S218" s="114" t="s">
        <v>90</v>
      </c>
      <c r="T218" s="114"/>
      <c r="U218" s="114"/>
      <c r="V218" s="114"/>
      <c r="W218" s="114"/>
      <c r="X218" s="116">
        <f>_xlfn.XLOOKUP(base_de_datos[[#This Row],[Materia]],Materias,Horas)/16</f>
        <v>4</v>
      </c>
      <c r="Y218" s="116">
        <f>ROUND(((base_de_datos[[#This Row],[Hora fin]]-base_de_datos[[#This Row],[Hora inicio]])*24)*(COUNTA(base_de_datos[[#This Row],[Lunes]:[Sábado]])),1)</f>
        <v>2</v>
      </c>
      <c r="Z218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18" s="117">
        <f ca="1">IF(base_de_datos[[#This Row],[No clase]]=OFFSET(base_de_datos[[#This Row],[No clase]],-1,0),0,1)</f>
        <v>0</v>
      </c>
      <c r="AB218" s="117">
        <f ca="1">IF(NOT(OR(base_de_datos[[#This Row],[Horas totales]]=base_de_datos[[#This Row],[HT Plan]],base_de_datos[[#This Row],[Horas totales]]="N/A")),1,0)</f>
        <v>0</v>
      </c>
      <c r="AC218" s="116" t="str">
        <f>_xlfn.XLOOKUP(base_de_datos[[#This Row],[Profesor]],Nombre,Grado)</f>
        <v>M</v>
      </c>
      <c r="AD218" s="118" t="str">
        <f>_xlfn.XLOOKUP(base_de_datos[[#This Row],[Profesor]],Nombre,Tipo)</f>
        <v>OA</v>
      </c>
      <c r="AE218" s="116">
        <f>IF(IFERROR(VLOOKUP($C218,Planes_de_estudio[],MATCH($AE$2,Carreras,0)+2,0),"")&gt;0,IFERROR(VLOOKUP($C218,Planes_de_estudio[],MATCH($AE$2,Carreras,0)+2,0),""),"")</f>
        <v>6</v>
      </c>
      <c r="AF218" s="116" t="str">
        <f>IF(IFERROR(VLOOKUP($C218,Planes_de_estudio[],MATCH($AF$2,Carreras,0)+2,0),"")&gt;0,IFERROR(VLOOKUP($C218,Planes_de_estudio[],MATCH($AF$2,Carreras,0)+2,0),""),"")</f>
        <v/>
      </c>
      <c r="AG218" s="116" t="str">
        <f>IF(IFERROR(VLOOKUP($C218,Planes_de_estudio[],MATCH($AG$2,Carreras,0)+2,0),"")&gt;0,IFERROR(VLOOKUP($C218,Planes_de_estudio[],MATCH($AG$2,Carreras,0)+2,0),""),"")</f>
        <v/>
      </c>
      <c r="AH218" s="116" t="str">
        <f>IF(IFERROR(VLOOKUP($C218,Planes_de_estudio[],MATCH($AH$2,Carreras,0)+2,0),"")&gt;0,IFERROR(VLOOKUP($C218,Planes_de_estudio[],MATCH($AH$2,Carreras,0)+2,0),""),"")</f>
        <v/>
      </c>
      <c r="AI218" s="116" t="str">
        <f>IF(IFERROR(VLOOKUP($C218,Planes_de_estudio[],MATCH($AI$2,Carreras,0)+2,0),"")&gt;0,IFERROR(VLOOKUP($C218,Planes_de_estudio[],MATCH($AI$2,Carreras,0)+2,0),""),"")</f>
        <v/>
      </c>
      <c r="AJ218" s="116" t="str">
        <f>IF(IFERROR(VLOOKUP($C218,Planes_de_estudio[],MATCH($AJ$2,Carreras,0)+2,0),"")&gt;0,IFERROR(VLOOKUP($C218,Planes_de_estudio[],MATCH($AJ$2,Carreras,0)+2,0),""),"")</f>
        <v/>
      </c>
      <c r="AK218" s="116" t="str">
        <f>IF(IFERROR(VLOOKUP($C218,Planes_de_estudio[],MATCH($AK$2,Carreras,0)+2,0),"")&gt;0,IFERROR(VLOOKUP($C218,Planes_de_estudio[],MATCH($AK$2,Carreras,0)+2,0),""),"")</f>
        <v/>
      </c>
      <c r="AL218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18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25</v>
      </c>
      <c r="AN218" s="117">
        <f>base_de_datos[[#This Row],[Pronóstico]]/25</f>
        <v>1</v>
      </c>
      <c r="AO218" s="117" t="str">
        <f>VLOOKUP($C218,Planes_de_estudio[],2)</f>
        <v>EEC</v>
      </c>
      <c r="AP218" s="119" t="str">
        <f ca="1">IF(AND(base_de_datos[[#This Row],[Industrial]]&lt;&gt;"",base_de_datos[[#This Row],[Misma o no]]=1),base_de_datos[[#This Row],[Índice]],"")</f>
        <v/>
      </c>
      <c r="AQ218" s="119" t="str">
        <f ca="1">IF(AND(base_de_datos[[#This Row],[Mecatrónica]]&lt;&gt;"",base_de_datos[[#This Row],[Misma o no]]=1),base_de_datos[[#This Row],[Índice]],"")</f>
        <v/>
      </c>
      <c r="AR218" s="119" t="str">
        <f ca="1">IF(AND(base_de_datos[[#This Row],[Innovación y Diseño]]&lt;&gt;"",base_de_datos[[#This Row],[Misma o no]]=1),base_de_datos[[#This Row],[Índice]],"")</f>
        <v/>
      </c>
      <c r="AS218" s="119" t="str">
        <f ca="1">IF(AND(base_de_datos[[#This Row],[Inteligencia Artificial]]&lt;&gt;"",base_de_datos[[#This Row],[Misma o no]]=1),base_de_datos[[#This Row],[Índice]],"")</f>
        <v/>
      </c>
      <c r="AT218" s="119" t="str">
        <f ca="1">IF(AND(base_de_datos[[#This Row],[Tecnologías Energéticas]]&lt;&gt;"",base_de_datos[[#This Row],[Misma o no]]=1),base_de_datos[[#This Row],[Índice]],"")</f>
        <v/>
      </c>
      <c r="AU218" s="119" t="str">
        <f ca="1">IF(AND(base_de_datos[[#This Row],[Civil y Administración]]&lt;&gt;"",base_de_datos[[#This Row],[Misma o no]]=1),base_de_datos[[#This Row],[Índice]],"")</f>
        <v/>
      </c>
      <c r="AV218" s="119" t="str">
        <f ca="1">IF(AND(base_de_datos[[#This Row],[Bioelectrónica]]&lt;&gt;"",base_de_datos[[#This Row],[Misma o no]]=1),base_de_datos[[#This Row],[Índice]],"")</f>
        <v/>
      </c>
      <c r="AW218" s="120"/>
      <c r="AX218" s="4">
        <v>1</v>
      </c>
      <c r="AY218" s="6"/>
    </row>
    <row r="219" spans="2:51" ht="13" x14ac:dyDescent="0.3">
      <c r="B219" s="9" t="s">
        <v>453</v>
      </c>
      <c r="C219" s="1" t="s">
        <v>455</v>
      </c>
      <c r="D219" s="4">
        <v>1</v>
      </c>
      <c r="E219" s="113">
        <v>0.375</v>
      </c>
      <c r="F219" s="113">
        <v>0.45833333333333098</v>
      </c>
      <c r="G219" s="226" t="s">
        <v>92</v>
      </c>
      <c r="H219" s="4" t="s">
        <v>297</v>
      </c>
      <c r="I219" s="4"/>
      <c r="J219" s="114">
        <v>19</v>
      </c>
      <c r="K219" s="115"/>
      <c r="L219" s="3"/>
      <c r="M219" s="115"/>
      <c r="N219" s="3"/>
      <c r="O219" s="4">
        <v>1817</v>
      </c>
      <c r="P219" s="114"/>
      <c r="Q219" s="114" t="s">
        <v>90</v>
      </c>
      <c r="R219" s="114"/>
      <c r="S219" s="114" t="s">
        <v>90</v>
      </c>
      <c r="T219" s="114"/>
      <c r="U219" s="114"/>
      <c r="V219" s="114"/>
      <c r="W219" s="114"/>
      <c r="X219" s="116">
        <f>_xlfn.XLOOKUP(base_de_datos[[#This Row],[Materia]],Materias,Horas)/16</f>
        <v>4</v>
      </c>
      <c r="Y219" s="117">
        <f>ROUND(((base_de_datos[[#This Row],[Hora fin]]-base_de_datos[[#This Row],[Hora inicio]])*24)*(COUNTA(base_de_datos[[#This Row],[Lunes]:[Sábado]])),1)</f>
        <v>4</v>
      </c>
      <c r="Z219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19" s="117">
        <f ca="1">IF(base_de_datos[[#This Row],[No clase]]=OFFSET(base_de_datos[[#This Row],[No clase]],-1,0),0,1)</f>
        <v>1</v>
      </c>
      <c r="AB219" s="117">
        <f ca="1">IF(NOT(OR(base_de_datos[[#This Row],[Horas totales]]=base_de_datos[[#This Row],[HT Plan]],base_de_datos[[#This Row],[Horas totales]]="N/A")),1,0)</f>
        <v>0</v>
      </c>
      <c r="AC219" s="117" t="str">
        <f>_xlfn.XLOOKUP(base_de_datos[[#This Row],[Profesor]],Nombre,Grado)</f>
        <v>E</v>
      </c>
      <c r="AD219" s="118" t="str">
        <f>_xlfn.XLOOKUP(base_de_datos[[#This Row],[Profesor]],Nombre,Tipo)</f>
        <v>TC</v>
      </c>
      <c r="AE219" s="117" t="str">
        <f>IF(IFERROR(VLOOKUP($C219,Planes_de_estudio[],MATCH($AE$2,Carreras,0)+2,0),"")&gt;0,IFERROR(VLOOKUP($C219,Planes_de_estudio[],MATCH($AE$2,Carreras,0)+2,0),""),"")</f>
        <v/>
      </c>
      <c r="AF219" s="117" t="str">
        <f>IF(IFERROR(VLOOKUP($C219,Planes_de_estudio[],MATCH($AF$2,Carreras,0)+2,0),"")&gt;0,IFERROR(VLOOKUP($C219,Planes_de_estudio[],MATCH($AF$2,Carreras,0)+2,0),""),"")</f>
        <v/>
      </c>
      <c r="AG219" s="117">
        <f>IF(IFERROR(VLOOKUP($C219,Planes_de_estudio[],MATCH($AG$2,Carreras,0)+2,0),"")&gt;0,IFERROR(VLOOKUP($C219,Planes_de_estudio[],MATCH($AG$2,Carreras,0)+2,0),""),"")</f>
        <v>2</v>
      </c>
      <c r="AH219" s="117" t="str">
        <f>IF(IFERROR(VLOOKUP($C219,Planes_de_estudio[],MATCH($AH$2,Carreras,0)+2,0),"")&gt;0,IFERROR(VLOOKUP($C219,Planes_de_estudio[],MATCH($AH$2,Carreras,0)+2,0),""),"")</f>
        <v/>
      </c>
      <c r="AI219" s="117" t="str">
        <f>IF(IFERROR(VLOOKUP($C219,Planes_de_estudio[],MATCH($AI$2,Carreras,0)+2,0),"")&gt;0,IFERROR(VLOOKUP($C219,Planes_de_estudio[],MATCH($AI$2,Carreras,0)+2,0),""),"")</f>
        <v/>
      </c>
      <c r="AJ219" s="117" t="str">
        <f>IF(IFERROR(VLOOKUP($C219,Planes_de_estudio[],MATCH($AJ$2,Carreras,0)+2,0),"")&gt;0,IFERROR(VLOOKUP($C219,Planes_de_estudio[],MATCH($AJ$2,Carreras,0)+2,0),""),"")</f>
        <v/>
      </c>
      <c r="AK219" s="117" t="str">
        <f>IF(IFERROR(VLOOKUP($C219,Planes_de_estudio[],MATCH($AK$2,Carreras,0)+2,0),"")&gt;0,IFERROR(VLOOKUP($C219,Planes_de_estudio[],MATCH($AK$2,Carreras,0)+2,0),""),"")</f>
        <v/>
      </c>
      <c r="AL219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219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16</v>
      </c>
      <c r="AN219" s="117">
        <f>base_de_datos[[#This Row],[Pronóstico]]/25</f>
        <v>0.64</v>
      </c>
      <c r="AO219" s="117" t="str">
        <f>VLOOKUP($C219,Planes_de_estudio[],2)</f>
        <v>IID</v>
      </c>
      <c r="AP219" s="119" t="str">
        <f ca="1">IF(AND(base_de_datos[[#This Row],[Industrial]]&lt;&gt;"",base_de_datos[[#This Row],[Misma o no]]=1),base_de_datos[[#This Row],[Índice]],"")</f>
        <v/>
      </c>
      <c r="AQ219" s="119" t="str">
        <f ca="1">IF(AND(base_de_datos[[#This Row],[Mecatrónica]]&lt;&gt;"",base_de_datos[[#This Row],[Misma o no]]=1),base_de_datos[[#This Row],[Índice]],"")</f>
        <v/>
      </c>
      <c r="AR219" s="119">
        <f ca="1">IF(AND(base_de_datos[[#This Row],[Innovación y Diseño]]&lt;&gt;"",base_de_datos[[#This Row],[Misma o no]]=1),base_de_datos[[#This Row],[Índice]],"")</f>
        <v>2</v>
      </c>
      <c r="AS219" s="119" t="str">
        <f ca="1">IF(AND(base_de_datos[[#This Row],[Inteligencia Artificial]]&lt;&gt;"",base_de_datos[[#This Row],[Misma o no]]=1),base_de_datos[[#This Row],[Índice]],"")</f>
        <v/>
      </c>
      <c r="AT219" s="119" t="str">
        <f ca="1">IF(AND(base_de_datos[[#This Row],[Tecnologías Energéticas]]&lt;&gt;"",base_de_datos[[#This Row],[Misma o no]]=1),base_de_datos[[#This Row],[Índice]],"")</f>
        <v/>
      </c>
      <c r="AU219" s="119" t="str">
        <f ca="1">IF(AND(base_de_datos[[#This Row],[Civil y Administración]]&lt;&gt;"",base_de_datos[[#This Row],[Misma o no]]=1),base_de_datos[[#This Row],[Índice]],"")</f>
        <v/>
      </c>
      <c r="AV219" s="119" t="str">
        <f ca="1">IF(AND(base_de_datos[[#This Row],[Bioelectrónica]]&lt;&gt;"",base_de_datos[[#This Row],[Misma o no]]=1),base_de_datos[[#This Row],[Índice]],"")</f>
        <v/>
      </c>
      <c r="AW219" s="120"/>
      <c r="AX219" s="4">
        <v>1</v>
      </c>
      <c r="AY219" s="6"/>
    </row>
    <row r="220" spans="2:51" ht="13" x14ac:dyDescent="0.3">
      <c r="B220" s="6" t="s">
        <v>407</v>
      </c>
      <c r="C220" s="1" t="s">
        <v>445</v>
      </c>
      <c r="D220" s="4">
        <v>1</v>
      </c>
      <c r="E220" s="113">
        <v>0.29166666666666669</v>
      </c>
      <c r="F220" s="113">
        <v>0.35416666666666602</v>
      </c>
      <c r="G220" s="4" t="s">
        <v>87</v>
      </c>
      <c r="H220" s="4" t="s">
        <v>18</v>
      </c>
      <c r="I220" s="4"/>
      <c r="J220" s="126">
        <v>26</v>
      </c>
      <c r="K220" s="115"/>
      <c r="L220" s="3"/>
      <c r="M220" s="127"/>
      <c r="N220" s="3"/>
      <c r="O220" s="4">
        <v>2070</v>
      </c>
      <c r="P220" s="114"/>
      <c r="Q220" s="114" t="s">
        <v>90</v>
      </c>
      <c r="R220" s="114"/>
      <c r="S220" s="114" t="s">
        <v>90</v>
      </c>
      <c r="T220" s="114"/>
      <c r="U220" s="114"/>
      <c r="V220" s="114"/>
      <c r="W220" s="114"/>
      <c r="X220" s="117">
        <f>_xlfn.XLOOKUP(base_de_datos[[#This Row],[Materia]],Materias,Horas)/16</f>
        <v>3</v>
      </c>
      <c r="Y220" s="117">
        <f>ROUND(((base_de_datos[[#This Row],[Hora fin]]-base_de_datos[[#This Row],[Hora inicio]])*24)*(COUNTA(base_de_datos[[#This Row],[Lunes]:[Sábado]])),1)</f>
        <v>3</v>
      </c>
      <c r="Z220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220" s="117">
        <f ca="1">IF(base_de_datos[[#This Row],[No clase]]=OFFSET(base_de_datos[[#This Row],[No clase]],-1,0),0,1)</f>
        <v>1</v>
      </c>
      <c r="AB220" s="117">
        <f ca="1">IF(NOT(OR(base_de_datos[[#This Row],[Horas totales]]=base_de_datos[[#This Row],[HT Plan]],base_de_datos[[#This Row],[Horas totales]]="N/A")),1,0)</f>
        <v>0</v>
      </c>
      <c r="AC220" s="117" t="str">
        <f>_xlfn.XLOOKUP(base_de_datos[[#This Row],[Profesor]],Nombre,Grado)</f>
        <v>M</v>
      </c>
      <c r="AD220" s="118" t="str">
        <f>_xlfn.XLOOKUP(base_de_datos[[#This Row],[Profesor]],Nombre,Tipo)</f>
        <v>A</v>
      </c>
      <c r="AE220" s="117" t="str">
        <f>IF(IFERROR(VLOOKUP($C220,Planes_de_estudio[],MATCH($AE$2,Carreras,0)+2,0),"")&gt;0,IFERROR(VLOOKUP($C220,Planes_de_estudio[],MATCH($AE$2,Carreras,0)+2,0),""),"")</f>
        <v/>
      </c>
      <c r="AF220" s="117" t="str">
        <f>IF(IFERROR(VLOOKUP($C220,Planes_de_estudio[],MATCH($AF$2,Carreras,0)+2,0),"")&gt;0,IFERROR(VLOOKUP($C220,Planes_de_estudio[],MATCH($AF$2,Carreras,0)+2,0),""),"")</f>
        <v/>
      </c>
      <c r="AG220" s="117" t="str">
        <f>IF(IFERROR(VLOOKUP($C220,Planes_de_estudio[],MATCH($AG$2,Carreras,0)+2,0),"")&gt;0,IFERROR(VLOOKUP($C220,Planes_de_estudio[],MATCH($AG$2,Carreras,0)+2,0),""),"")</f>
        <v/>
      </c>
      <c r="AH220" s="117">
        <f>IF(IFERROR(VLOOKUP($C220,Planes_de_estudio[],MATCH($AH$2,Carreras,0)+2,0),"")&gt;0,IFERROR(VLOOKUP($C220,Planes_de_estudio[],MATCH($AH$2,Carreras,0)+2,0),""),"")</f>
        <v>4</v>
      </c>
      <c r="AI220" s="117" t="str">
        <f>IF(IFERROR(VLOOKUP($C220,Planes_de_estudio[],MATCH($AI$2,Carreras,0)+2,0),"")&gt;0,IFERROR(VLOOKUP($C220,Planes_de_estudio[],MATCH($AI$2,Carreras,0)+2,0),""),"")</f>
        <v/>
      </c>
      <c r="AJ220" s="117" t="str">
        <f>IF(IFERROR(VLOOKUP($C220,Planes_de_estudio[],MATCH($AJ$2,Carreras,0)+2,0),"")&gt;0,IFERROR(VLOOKUP($C220,Planes_de_estudio[],MATCH($AJ$2,Carreras,0)+2,0),""),"")</f>
        <v/>
      </c>
      <c r="AK220" s="117" t="str">
        <f>IF(IFERROR(VLOOKUP($C220,Planes_de_estudio[],MATCH($AK$2,Carreras,0)+2,0),"")&gt;0,IFERROR(VLOOKUP($C220,Planes_de_estudio[],MATCH($AK$2,Carreras,0)+2,0),""),"")</f>
        <v/>
      </c>
      <c r="AL220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20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28</v>
      </c>
      <c r="AN220" s="117">
        <f>base_de_datos[[#This Row],[Pronóstico]]/25</f>
        <v>1.1200000000000001</v>
      </c>
      <c r="AO220" s="117" t="str">
        <f>VLOOKUP($C220,Planes_de_estudio[],2)</f>
        <v>COM</v>
      </c>
      <c r="AP220" s="119" t="str">
        <f ca="1">IF(AND(base_de_datos[[#This Row],[Industrial]]&lt;&gt;"",base_de_datos[[#This Row],[Misma o no]]=1),base_de_datos[[#This Row],[Índice]],"")</f>
        <v/>
      </c>
      <c r="AQ220" s="119" t="str">
        <f ca="1">IF(AND(base_de_datos[[#This Row],[Mecatrónica]]&lt;&gt;"",base_de_datos[[#This Row],[Misma o no]]=1),base_de_datos[[#This Row],[Índice]],"")</f>
        <v/>
      </c>
      <c r="AR220" s="119" t="str">
        <f ca="1">IF(AND(base_de_datos[[#This Row],[Innovación y Diseño]]&lt;&gt;"",base_de_datos[[#This Row],[Misma o no]]=1),base_de_datos[[#This Row],[Índice]],"")</f>
        <v/>
      </c>
      <c r="AS220" s="119">
        <f ca="1">IF(AND(base_de_datos[[#This Row],[Inteligencia Artificial]]&lt;&gt;"",base_de_datos[[#This Row],[Misma o no]]=1),base_de_datos[[#This Row],[Índice]],"")</f>
        <v>4</v>
      </c>
      <c r="AT220" s="119" t="str">
        <f ca="1">IF(AND(base_de_datos[[#This Row],[Tecnologías Energéticas]]&lt;&gt;"",base_de_datos[[#This Row],[Misma o no]]=1),base_de_datos[[#This Row],[Índice]],"")</f>
        <v/>
      </c>
      <c r="AU220" s="119" t="str">
        <f ca="1">IF(AND(base_de_datos[[#This Row],[Civil y Administración]]&lt;&gt;"",base_de_datos[[#This Row],[Misma o no]]=1),base_de_datos[[#This Row],[Índice]],"")</f>
        <v/>
      </c>
      <c r="AV220" s="119" t="str">
        <f ca="1">IF(AND(base_de_datos[[#This Row],[Bioelectrónica]]&lt;&gt;"",base_de_datos[[#This Row],[Misma o no]]=1),base_de_datos[[#This Row],[Índice]],"")</f>
        <v/>
      </c>
      <c r="AW220" s="120"/>
      <c r="AX220" s="4">
        <v>1</v>
      </c>
      <c r="AY220" s="6"/>
    </row>
    <row r="221" spans="2:51" ht="13" x14ac:dyDescent="0.3">
      <c r="B221" s="6" t="s">
        <v>466</v>
      </c>
      <c r="C221" s="1" t="s">
        <v>467</v>
      </c>
      <c r="D221" s="4">
        <v>1</v>
      </c>
      <c r="E221" s="113">
        <v>0.75</v>
      </c>
      <c r="F221" s="113">
        <v>0.83333333333332504</v>
      </c>
      <c r="G221" s="4" t="s">
        <v>87</v>
      </c>
      <c r="H221" s="4" t="s">
        <v>102</v>
      </c>
      <c r="I221" s="4"/>
      <c r="J221" s="198">
        <v>4</v>
      </c>
      <c r="K221" s="128"/>
      <c r="L221" s="3"/>
      <c r="M221" s="128"/>
      <c r="N221" s="3"/>
      <c r="O221" s="4" t="s">
        <v>468</v>
      </c>
      <c r="P221" s="114"/>
      <c r="Q221" s="114"/>
      <c r="R221" s="114" t="s">
        <v>90</v>
      </c>
      <c r="S221" s="114"/>
      <c r="T221" s="114"/>
      <c r="U221" s="114"/>
      <c r="V221" s="114"/>
      <c r="W221" s="114"/>
      <c r="X221" s="116">
        <f>_xlfn.XLOOKUP(base_de_datos[[#This Row],[Materia]],Materias,Horas)/16</f>
        <v>4</v>
      </c>
      <c r="Y221" s="116">
        <f>ROUND(((base_de_datos[[#This Row],[Hora fin]]-base_de_datos[[#This Row],[Hora inicio]])*24)*(COUNTA(base_de_datos[[#This Row],[Lunes]:[Sábado]])),1)</f>
        <v>2</v>
      </c>
      <c r="Z221" s="116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21" s="116">
        <f ca="1">IF(base_de_datos[[#This Row],[No clase]]=OFFSET(base_de_datos[[#This Row],[No clase]],-1,0),0,1)</f>
        <v>1</v>
      </c>
      <c r="AB221" s="116">
        <f ca="1">IF(NOT(OR(base_de_datos[[#This Row],[Horas totales]]=base_de_datos[[#This Row],[HT Plan]],base_de_datos[[#This Row],[Horas totales]]="N/A")),1,0)</f>
        <v>0</v>
      </c>
      <c r="AC221" s="116" t="str">
        <f>_xlfn.XLOOKUP(base_de_datos[[#This Row],[Profesor]],Nombre,Grado)</f>
        <v>SNI</v>
      </c>
      <c r="AD221" s="118" t="str">
        <f>_xlfn.XLOOKUP(base_de_datos[[#This Row],[Profesor]],Nombre,Tipo)</f>
        <v>A</v>
      </c>
      <c r="AE221" s="116" t="str">
        <f>IF(IFERROR(VLOOKUP($C221,Planes_de_estudio[],MATCH($AE$2,Carreras,0)+2,0),"")&gt;0,IFERROR(VLOOKUP($C221,Planes_de_estudio[],MATCH($AE$2,Carreras,0)+2,0),""),"")</f>
        <v/>
      </c>
      <c r="AF221" s="116" t="str">
        <f>IF(IFERROR(VLOOKUP($C221,Planes_de_estudio[],MATCH($AF$2,Carreras,0)+2,0),"")&gt;0,IFERROR(VLOOKUP($C221,Planes_de_estudio[],MATCH($AF$2,Carreras,0)+2,0),""),"")</f>
        <v/>
      </c>
      <c r="AG221" s="116" t="str">
        <f>IF(IFERROR(VLOOKUP($C221,Planes_de_estudio[],MATCH($AG$2,Carreras,0)+2,0),"")&gt;0,IFERROR(VLOOKUP($C221,Planes_de_estudio[],MATCH($AG$2,Carreras,0)+2,0),""),"")</f>
        <v/>
      </c>
      <c r="AH221" s="116" t="str">
        <f>IF(IFERROR(VLOOKUP($C221,Planes_de_estudio[],MATCH($AH$2,Carreras,0)+2,0),"")&gt;0,IFERROR(VLOOKUP($C221,Planes_de_estudio[],MATCH($AH$2,Carreras,0)+2,0),""),"")</f>
        <v/>
      </c>
      <c r="AI221" s="116">
        <f>IF(IFERROR(VLOOKUP($C221,Planes_de_estudio[],MATCH($AI$2,Carreras,0)+2,0),"")&gt;0,IFERROR(VLOOKUP($C221,Planes_de_estudio[],MATCH($AI$2,Carreras,0)+2,0),""),"")</f>
        <v>6</v>
      </c>
      <c r="AJ221" s="116" t="str">
        <f>IF(IFERROR(VLOOKUP($C221,Planes_de_estudio[],MATCH($AJ$2,Carreras,0)+2,0),"")&gt;0,IFERROR(VLOOKUP($C221,Planes_de_estudio[],MATCH($AJ$2,Carreras,0)+2,0),""),"")</f>
        <v/>
      </c>
      <c r="AK221" s="116" t="str">
        <f>IF(IFERROR(VLOOKUP($C221,Planes_de_estudio[],MATCH($AK$2,Carreras,0)+2,0),"")&gt;0,IFERROR(VLOOKUP($C221,Planes_de_estudio[],MATCH($AK$2,Carreras,0)+2,0),""),"")</f>
        <v/>
      </c>
      <c r="AL221" s="116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221" s="116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</v>
      </c>
      <c r="AN221" s="116">
        <f>base_de_datos[[#This Row],[Pronóstico]]/25</f>
        <v>0.12</v>
      </c>
      <c r="AO221" s="116" t="str">
        <f>VLOOKUP($C221,Planes_de_estudio[],2)</f>
        <v>ETF</v>
      </c>
      <c r="AP221" s="129" t="str">
        <f ca="1">IF(AND(base_de_datos[[#This Row],[Industrial]]&lt;&gt;"",base_de_datos[[#This Row],[Misma o no]]=1),base_de_datos[[#This Row],[Índice]],"")</f>
        <v/>
      </c>
      <c r="AQ221" s="129" t="str">
        <f ca="1">IF(AND(base_de_datos[[#This Row],[Mecatrónica]]&lt;&gt;"",base_de_datos[[#This Row],[Misma o no]]=1),base_de_datos[[#This Row],[Índice]],"")</f>
        <v/>
      </c>
      <c r="AR221" s="129" t="str">
        <f ca="1">IF(AND(base_de_datos[[#This Row],[Innovación y Diseño]]&lt;&gt;"",base_de_datos[[#This Row],[Misma o no]]=1),base_de_datos[[#This Row],[Índice]],"")</f>
        <v/>
      </c>
      <c r="AS221" s="129" t="str">
        <f ca="1">IF(AND(base_de_datos[[#This Row],[Inteligencia Artificial]]&lt;&gt;"",base_de_datos[[#This Row],[Misma o no]]=1),base_de_datos[[#This Row],[Índice]],"")</f>
        <v/>
      </c>
      <c r="AT221" s="129">
        <f ca="1">IF(AND(base_de_datos[[#This Row],[Tecnologías Energéticas]]&lt;&gt;"",base_de_datos[[#This Row],[Misma o no]]=1),base_de_datos[[#This Row],[Índice]],"")</f>
        <v>6</v>
      </c>
      <c r="AU221" s="129" t="str">
        <f ca="1">IF(AND(base_de_datos[[#This Row],[Civil y Administración]]&lt;&gt;"",base_de_datos[[#This Row],[Misma o no]]=1),base_de_datos[[#This Row],[Índice]],"")</f>
        <v/>
      </c>
      <c r="AV221" s="129" t="str">
        <f ca="1">IF(AND(base_de_datos[[#This Row],[Bioelectrónica]]&lt;&gt;"",base_de_datos[[#This Row],[Misma o no]]=1),base_de_datos[[#This Row],[Índice]],"")</f>
        <v/>
      </c>
      <c r="AW221" s="130"/>
      <c r="AX221" s="4">
        <v>2</v>
      </c>
      <c r="AY221" s="6"/>
    </row>
    <row r="222" spans="2:51" ht="13" x14ac:dyDescent="0.3">
      <c r="B222" s="6" t="s">
        <v>466</v>
      </c>
      <c r="C222" s="1" t="s">
        <v>467</v>
      </c>
      <c r="D222" s="4">
        <v>1</v>
      </c>
      <c r="E222" s="113">
        <v>0.79166666666666696</v>
      </c>
      <c r="F222" s="113">
        <v>0.87499999999999001</v>
      </c>
      <c r="G222" s="4" t="s">
        <v>87</v>
      </c>
      <c r="H222" s="4" t="s">
        <v>127</v>
      </c>
      <c r="I222" s="4"/>
      <c r="J222" s="199">
        <v>4</v>
      </c>
      <c r="K222" s="115"/>
      <c r="L222" s="3"/>
      <c r="M222" s="127"/>
      <c r="N222" s="3"/>
      <c r="O222" s="4" t="s">
        <v>468</v>
      </c>
      <c r="P222" s="114"/>
      <c r="Q222" s="114"/>
      <c r="R222" s="114"/>
      <c r="S222" s="114"/>
      <c r="T222" s="114" t="s">
        <v>90</v>
      </c>
      <c r="U222" s="114"/>
      <c r="V222" s="114"/>
      <c r="W222" s="114"/>
      <c r="X222" s="117">
        <f>_xlfn.XLOOKUP(base_de_datos[[#This Row],[Materia]],Materias,Horas)/16</f>
        <v>4</v>
      </c>
      <c r="Y222" s="117">
        <f>ROUND(((base_de_datos[[#This Row],[Hora fin]]-base_de_datos[[#This Row],[Hora inicio]])*24)*(COUNTA(base_de_datos[[#This Row],[Lunes]:[Sábado]])),1)</f>
        <v>2</v>
      </c>
      <c r="Z222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22" s="117">
        <f ca="1">IF(base_de_datos[[#This Row],[No clase]]=OFFSET(base_de_datos[[#This Row],[No clase]],-1,0),0,1)</f>
        <v>0</v>
      </c>
      <c r="AB222" s="117">
        <f ca="1">IF(NOT(OR(base_de_datos[[#This Row],[Horas totales]]=base_de_datos[[#This Row],[HT Plan]],base_de_datos[[#This Row],[Horas totales]]="N/A")),1,0)</f>
        <v>0</v>
      </c>
      <c r="AC222" s="117" t="str">
        <f>_xlfn.XLOOKUP(base_de_datos[[#This Row],[Profesor]],Nombre,Grado)</f>
        <v>SNI</v>
      </c>
      <c r="AD222" s="118" t="str">
        <f>_xlfn.XLOOKUP(base_de_datos[[#This Row],[Profesor]],Nombre,Tipo)</f>
        <v>A</v>
      </c>
      <c r="AE222" s="117" t="str">
        <f>IF(IFERROR(VLOOKUP($C222,Planes_de_estudio[],MATCH($AE$2,Carreras,0)+2,0),"")&gt;0,IFERROR(VLOOKUP($C222,Planes_de_estudio[],MATCH($AE$2,Carreras,0)+2,0),""),"")</f>
        <v/>
      </c>
      <c r="AF222" s="117" t="str">
        <f>IF(IFERROR(VLOOKUP($C222,Planes_de_estudio[],MATCH($AF$2,Carreras,0)+2,0),"")&gt;0,IFERROR(VLOOKUP($C222,Planes_de_estudio[],MATCH($AF$2,Carreras,0)+2,0),""),"")</f>
        <v/>
      </c>
      <c r="AG222" s="117" t="str">
        <f>IF(IFERROR(VLOOKUP($C222,Planes_de_estudio[],MATCH($AG$2,Carreras,0)+2,0),"")&gt;0,IFERROR(VLOOKUP($C222,Planes_de_estudio[],MATCH($AG$2,Carreras,0)+2,0),""),"")</f>
        <v/>
      </c>
      <c r="AH222" s="117" t="str">
        <f>IF(IFERROR(VLOOKUP($C222,Planes_de_estudio[],MATCH($AH$2,Carreras,0)+2,0),"")&gt;0,IFERROR(VLOOKUP($C222,Planes_de_estudio[],MATCH($AH$2,Carreras,0)+2,0),""),"")</f>
        <v/>
      </c>
      <c r="AI222" s="117">
        <f>IF(IFERROR(VLOOKUP($C222,Planes_de_estudio[],MATCH($AI$2,Carreras,0)+2,0),"")&gt;0,IFERROR(VLOOKUP($C222,Planes_de_estudio[],MATCH($AI$2,Carreras,0)+2,0),""),"")</f>
        <v>6</v>
      </c>
      <c r="AJ222" s="117" t="str">
        <f>IF(IFERROR(VLOOKUP($C222,Planes_de_estudio[],MATCH($AJ$2,Carreras,0)+2,0),"")&gt;0,IFERROR(VLOOKUP($C222,Planes_de_estudio[],MATCH($AJ$2,Carreras,0)+2,0),""),"")</f>
        <v/>
      </c>
      <c r="AK222" s="117" t="str">
        <f>IF(IFERROR(VLOOKUP($C222,Planes_de_estudio[],MATCH($AK$2,Carreras,0)+2,0),"")&gt;0,IFERROR(VLOOKUP($C222,Planes_de_estudio[],MATCH($AK$2,Carreras,0)+2,0),""),"")</f>
        <v/>
      </c>
      <c r="AL222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222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</v>
      </c>
      <c r="AN222" s="117">
        <f>base_de_datos[[#This Row],[Pronóstico]]/25</f>
        <v>0.12</v>
      </c>
      <c r="AO222" s="117" t="str">
        <f>VLOOKUP($C222,Planes_de_estudio[],2)</f>
        <v>ETF</v>
      </c>
      <c r="AP222" s="119" t="str">
        <f ca="1">IF(AND(base_de_datos[[#This Row],[Industrial]]&lt;&gt;"",base_de_datos[[#This Row],[Misma o no]]=1),base_de_datos[[#This Row],[Índice]],"")</f>
        <v/>
      </c>
      <c r="AQ222" s="119" t="str">
        <f ca="1">IF(AND(base_de_datos[[#This Row],[Mecatrónica]]&lt;&gt;"",base_de_datos[[#This Row],[Misma o no]]=1),base_de_datos[[#This Row],[Índice]],"")</f>
        <v/>
      </c>
      <c r="AR222" s="119" t="str">
        <f ca="1">IF(AND(base_de_datos[[#This Row],[Innovación y Diseño]]&lt;&gt;"",base_de_datos[[#This Row],[Misma o no]]=1),base_de_datos[[#This Row],[Índice]],"")</f>
        <v/>
      </c>
      <c r="AS222" s="119" t="str">
        <f ca="1">IF(AND(base_de_datos[[#This Row],[Inteligencia Artificial]]&lt;&gt;"",base_de_datos[[#This Row],[Misma o no]]=1),base_de_datos[[#This Row],[Índice]],"")</f>
        <v/>
      </c>
      <c r="AT222" s="119" t="str">
        <f ca="1">IF(AND(base_de_datos[[#This Row],[Tecnologías Energéticas]]&lt;&gt;"",base_de_datos[[#This Row],[Misma o no]]=1),base_de_datos[[#This Row],[Índice]],"")</f>
        <v/>
      </c>
      <c r="AU222" s="119" t="str">
        <f ca="1">IF(AND(base_de_datos[[#This Row],[Civil y Administración]]&lt;&gt;"",base_de_datos[[#This Row],[Misma o no]]=1),base_de_datos[[#This Row],[Índice]],"")</f>
        <v/>
      </c>
      <c r="AV222" s="119" t="str">
        <f ca="1">IF(AND(base_de_datos[[#This Row],[Bioelectrónica]]&lt;&gt;"",base_de_datos[[#This Row],[Misma o no]]=1),base_de_datos[[#This Row],[Índice]],"")</f>
        <v/>
      </c>
      <c r="AW222" s="120"/>
      <c r="AX222" s="4">
        <v>2</v>
      </c>
      <c r="AY222" s="6"/>
    </row>
    <row r="223" spans="2:51" ht="13" x14ac:dyDescent="0.3">
      <c r="B223" s="6" t="s">
        <v>469</v>
      </c>
      <c r="C223" s="1" t="s">
        <v>470</v>
      </c>
      <c r="D223" s="4">
        <v>1</v>
      </c>
      <c r="E223" s="113">
        <v>0.70833333333333304</v>
      </c>
      <c r="F223" s="113">
        <v>0.79166666666665897</v>
      </c>
      <c r="G223" s="4" t="s">
        <v>87</v>
      </c>
      <c r="H223" s="4" t="s">
        <v>355</v>
      </c>
      <c r="I223" s="4"/>
      <c r="J223" s="231">
        <v>9</v>
      </c>
      <c r="K223" s="115"/>
      <c r="L223" s="3"/>
      <c r="M223" s="127"/>
      <c r="N223" s="3"/>
      <c r="O223" s="4" t="s">
        <v>471</v>
      </c>
      <c r="P223" s="114" t="s">
        <v>90</v>
      </c>
      <c r="Q223" s="114"/>
      <c r="R223" s="114"/>
      <c r="S223" s="114"/>
      <c r="T223" s="114"/>
      <c r="U223" s="114"/>
      <c r="V223" s="114"/>
      <c r="W223" s="114"/>
      <c r="X223" s="117">
        <f>_xlfn.XLOOKUP(base_de_datos[[#This Row],[Materia]],Materias,Horas)/16</f>
        <v>4</v>
      </c>
      <c r="Y223" s="117">
        <f>ROUND(((base_de_datos[[#This Row],[Hora fin]]-base_de_datos[[#This Row],[Hora inicio]])*24)*(COUNTA(base_de_datos[[#This Row],[Lunes]:[Sábado]])),1)</f>
        <v>2</v>
      </c>
      <c r="Z223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23" s="117">
        <f ca="1">IF(base_de_datos[[#This Row],[No clase]]=OFFSET(base_de_datos[[#This Row],[No clase]],-1,0),0,1)</f>
        <v>1</v>
      </c>
      <c r="AB223" s="117">
        <f ca="1">IF(NOT(OR(base_de_datos[[#This Row],[Horas totales]]=base_de_datos[[#This Row],[HT Plan]],base_de_datos[[#This Row],[Horas totales]]="N/A")),1,0)</f>
        <v>0</v>
      </c>
      <c r="AC223" s="117" t="str">
        <f>_xlfn.XLOOKUP(base_de_datos[[#This Row],[Profesor]],Nombre,Grado)</f>
        <v>M</v>
      </c>
      <c r="AD223" s="118" t="str">
        <f>_xlfn.XLOOKUP(base_de_datos[[#This Row],[Profesor]],Nombre,Tipo)</f>
        <v>A</v>
      </c>
      <c r="AE223" s="117" t="str">
        <f>IF(IFERROR(VLOOKUP($C223,Planes_de_estudio[],MATCH($AE$2,Carreras,0)+2,0),"")&gt;0,IFERROR(VLOOKUP($C223,Planes_de_estudio[],MATCH($AE$2,Carreras,0)+2,0),""),"")</f>
        <v/>
      </c>
      <c r="AF223" s="117" t="str">
        <f>IF(IFERROR(VLOOKUP($C223,Planes_de_estudio[],MATCH($AF$2,Carreras,0)+2,0),"")&gt;0,IFERROR(VLOOKUP($C223,Planes_de_estudio[],MATCH($AF$2,Carreras,0)+2,0),""),"")</f>
        <v/>
      </c>
      <c r="AG223" s="117" t="str">
        <f>IF(IFERROR(VLOOKUP($C223,Planes_de_estudio[],MATCH($AG$2,Carreras,0)+2,0),"")&gt;0,IFERROR(VLOOKUP($C223,Planes_de_estudio[],MATCH($AG$2,Carreras,0)+2,0),""),"")</f>
        <v/>
      </c>
      <c r="AH223" s="117" t="str">
        <f>IF(IFERROR(VLOOKUP($C223,Planes_de_estudio[],MATCH($AH$2,Carreras,0)+2,0),"")&gt;0,IFERROR(VLOOKUP($C223,Planes_de_estudio[],MATCH($AH$2,Carreras,0)+2,0),""),"")</f>
        <v/>
      </c>
      <c r="AI223" s="117" t="str">
        <f>IF(IFERROR(VLOOKUP($C223,Planes_de_estudio[],MATCH($AI$2,Carreras,0)+2,0),"")&gt;0,IFERROR(VLOOKUP($C223,Planes_de_estudio[],MATCH($AI$2,Carreras,0)+2,0),""),"")</f>
        <v/>
      </c>
      <c r="AJ223" s="117">
        <f>IF(IFERROR(VLOOKUP($C223,Planes_de_estudio[],MATCH($AJ$2,Carreras,0)+2,0),"")&gt;0,IFERROR(VLOOKUP($C223,Planes_de_estudio[],MATCH($AJ$2,Carreras,0)+2,0),""),"")</f>
        <v>10</v>
      </c>
      <c r="AK223" s="117" t="str">
        <f>IF(IFERROR(VLOOKUP($C223,Planes_de_estudio[],MATCH($AK$2,Carreras,0)+2,0),"")&gt;0,IFERROR(VLOOKUP($C223,Planes_de_estudio[],MATCH($AK$2,Carreras,0)+2,0),""),"")</f>
        <v/>
      </c>
      <c r="AL223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23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223" s="117">
        <f>base_de_datos[[#This Row],[Pronóstico]]/25</f>
        <v>0</v>
      </c>
      <c r="AO223" s="117" t="str">
        <f>VLOOKUP($C223,Planes_de_estudio[],2)</f>
        <v>AIC</v>
      </c>
      <c r="AP223" s="119" t="str">
        <f ca="1">IF(AND(base_de_datos[[#This Row],[Industrial]]&lt;&gt;"",base_de_datos[[#This Row],[Misma o no]]=1),base_de_datos[[#This Row],[Índice]],"")</f>
        <v/>
      </c>
      <c r="AQ223" s="119" t="str">
        <f ca="1">IF(AND(base_de_datos[[#This Row],[Mecatrónica]]&lt;&gt;"",base_de_datos[[#This Row],[Misma o no]]=1),base_de_datos[[#This Row],[Índice]],"")</f>
        <v/>
      </c>
      <c r="AR223" s="119" t="str">
        <f ca="1">IF(AND(base_de_datos[[#This Row],[Innovación y Diseño]]&lt;&gt;"",base_de_datos[[#This Row],[Misma o no]]=1),base_de_datos[[#This Row],[Índice]],"")</f>
        <v/>
      </c>
      <c r="AS223" s="119" t="str">
        <f ca="1">IF(AND(base_de_datos[[#This Row],[Inteligencia Artificial]]&lt;&gt;"",base_de_datos[[#This Row],[Misma o no]]=1),base_de_datos[[#This Row],[Índice]],"")</f>
        <v/>
      </c>
      <c r="AT223" s="119" t="str">
        <f ca="1">IF(AND(base_de_datos[[#This Row],[Tecnologías Energéticas]]&lt;&gt;"",base_de_datos[[#This Row],[Misma o no]]=1),base_de_datos[[#This Row],[Índice]],"")</f>
        <v/>
      </c>
      <c r="AU223" s="119">
        <f ca="1">IF(AND(base_de_datos[[#This Row],[Civil y Administración]]&lt;&gt;"",base_de_datos[[#This Row],[Misma o no]]=1),base_de_datos[[#This Row],[Índice]],"")</f>
        <v>4</v>
      </c>
      <c r="AV223" s="119" t="str">
        <f ca="1">IF(AND(base_de_datos[[#This Row],[Bioelectrónica]]&lt;&gt;"",base_de_datos[[#This Row],[Misma o no]]=1),base_de_datos[[#This Row],[Índice]],"")</f>
        <v/>
      </c>
      <c r="AW223" s="120"/>
      <c r="AX223" s="4">
        <v>1</v>
      </c>
      <c r="AY223" s="6"/>
    </row>
    <row r="224" spans="2:51" ht="13" x14ac:dyDescent="0.3">
      <c r="B224" s="6" t="s">
        <v>469</v>
      </c>
      <c r="C224" s="1" t="s">
        <v>470</v>
      </c>
      <c r="D224" s="4">
        <v>1</v>
      </c>
      <c r="E224" s="113">
        <v>0.70833333333333304</v>
      </c>
      <c r="F224" s="113">
        <v>0.79166666666665897</v>
      </c>
      <c r="G224" s="4" t="s">
        <v>87</v>
      </c>
      <c r="H224" s="4" t="s">
        <v>125</v>
      </c>
      <c r="I224" s="4"/>
      <c r="J224" s="231">
        <v>9</v>
      </c>
      <c r="K224" s="115"/>
      <c r="L224" s="3"/>
      <c r="M224" s="127"/>
      <c r="N224" s="3"/>
      <c r="O224" s="4" t="s">
        <v>471</v>
      </c>
      <c r="P224" s="114"/>
      <c r="Q224" s="114"/>
      <c r="R224" s="114" t="s">
        <v>90</v>
      </c>
      <c r="S224" s="114"/>
      <c r="T224" s="114"/>
      <c r="U224" s="114"/>
      <c r="V224" s="114"/>
      <c r="W224" s="114"/>
      <c r="X224" s="117">
        <f>_xlfn.XLOOKUP(base_de_datos[[#This Row],[Materia]],Materias,Horas)/16</f>
        <v>4</v>
      </c>
      <c r="Y224" s="117">
        <f>ROUND(((base_de_datos[[#This Row],[Hora fin]]-base_de_datos[[#This Row],[Hora inicio]])*24)*(COUNTA(base_de_datos[[#This Row],[Lunes]:[Sábado]])),1)</f>
        <v>2</v>
      </c>
      <c r="Z224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24" s="117">
        <f ca="1">IF(base_de_datos[[#This Row],[No clase]]=OFFSET(base_de_datos[[#This Row],[No clase]],-1,0),0,1)</f>
        <v>0</v>
      </c>
      <c r="AB224" s="117">
        <f ca="1">IF(NOT(OR(base_de_datos[[#This Row],[Horas totales]]=base_de_datos[[#This Row],[HT Plan]],base_de_datos[[#This Row],[Horas totales]]="N/A")),1,0)</f>
        <v>0</v>
      </c>
      <c r="AC224" s="117" t="str">
        <f>_xlfn.XLOOKUP(base_de_datos[[#This Row],[Profesor]],Nombre,Grado)</f>
        <v>M</v>
      </c>
      <c r="AD224" s="118" t="str">
        <f>_xlfn.XLOOKUP(base_de_datos[[#This Row],[Profesor]],Nombre,Tipo)</f>
        <v>A</v>
      </c>
      <c r="AE224" s="117" t="str">
        <f>IF(IFERROR(VLOOKUP($C224,Planes_de_estudio[],MATCH($AE$2,Carreras,0)+2,0),"")&gt;0,IFERROR(VLOOKUP($C224,Planes_de_estudio[],MATCH($AE$2,Carreras,0)+2,0),""),"")</f>
        <v/>
      </c>
      <c r="AF224" s="117" t="str">
        <f>IF(IFERROR(VLOOKUP($C224,Planes_de_estudio[],MATCH($AF$2,Carreras,0)+2,0),"")&gt;0,IFERROR(VLOOKUP($C224,Planes_de_estudio[],MATCH($AF$2,Carreras,0)+2,0),""),"")</f>
        <v/>
      </c>
      <c r="AG224" s="117" t="str">
        <f>IF(IFERROR(VLOOKUP($C224,Planes_de_estudio[],MATCH($AG$2,Carreras,0)+2,0),"")&gt;0,IFERROR(VLOOKUP($C224,Planes_de_estudio[],MATCH($AG$2,Carreras,0)+2,0),""),"")</f>
        <v/>
      </c>
      <c r="AH224" s="117" t="str">
        <f>IF(IFERROR(VLOOKUP($C224,Planes_de_estudio[],MATCH($AH$2,Carreras,0)+2,0),"")&gt;0,IFERROR(VLOOKUP($C224,Planes_de_estudio[],MATCH($AH$2,Carreras,0)+2,0),""),"")</f>
        <v/>
      </c>
      <c r="AI224" s="117" t="str">
        <f>IF(IFERROR(VLOOKUP($C224,Planes_de_estudio[],MATCH($AI$2,Carreras,0)+2,0),"")&gt;0,IFERROR(VLOOKUP($C224,Planes_de_estudio[],MATCH($AI$2,Carreras,0)+2,0),""),"")</f>
        <v/>
      </c>
      <c r="AJ224" s="117">
        <f>IF(IFERROR(VLOOKUP($C224,Planes_de_estudio[],MATCH($AJ$2,Carreras,0)+2,0),"")&gt;0,IFERROR(VLOOKUP($C224,Planes_de_estudio[],MATCH($AJ$2,Carreras,0)+2,0),""),"")</f>
        <v>10</v>
      </c>
      <c r="AK224" s="117" t="str">
        <f>IF(IFERROR(VLOOKUP($C224,Planes_de_estudio[],MATCH($AK$2,Carreras,0)+2,0),"")&gt;0,IFERROR(VLOOKUP($C224,Planes_de_estudio[],MATCH($AK$2,Carreras,0)+2,0),""),"")</f>
        <v/>
      </c>
      <c r="AL224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24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224" s="117">
        <f>base_de_datos[[#This Row],[Pronóstico]]/25</f>
        <v>0</v>
      </c>
      <c r="AO224" s="117" t="str">
        <f>VLOOKUP($C224,Planes_de_estudio[],2)</f>
        <v>AIC</v>
      </c>
      <c r="AP224" s="119" t="str">
        <f ca="1">IF(AND(base_de_datos[[#This Row],[Industrial]]&lt;&gt;"",base_de_datos[[#This Row],[Misma o no]]=1),base_de_datos[[#This Row],[Índice]],"")</f>
        <v/>
      </c>
      <c r="AQ224" s="119" t="str">
        <f ca="1">IF(AND(base_de_datos[[#This Row],[Mecatrónica]]&lt;&gt;"",base_de_datos[[#This Row],[Misma o no]]=1),base_de_datos[[#This Row],[Índice]],"")</f>
        <v/>
      </c>
      <c r="AR224" s="119" t="str">
        <f ca="1">IF(AND(base_de_datos[[#This Row],[Innovación y Diseño]]&lt;&gt;"",base_de_datos[[#This Row],[Misma o no]]=1),base_de_datos[[#This Row],[Índice]],"")</f>
        <v/>
      </c>
      <c r="AS224" s="119" t="str">
        <f ca="1">IF(AND(base_de_datos[[#This Row],[Inteligencia Artificial]]&lt;&gt;"",base_de_datos[[#This Row],[Misma o no]]=1),base_de_datos[[#This Row],[Índice]],"")</f>
        <v/>
      </c>
      <c r="AT224" s="119" t="str">
        <f ca="1">IF(AND(base_de_datos[[#This Row],[Tecnologías Energéticas]]&lt;&gt;"",base_de_datos[[#This Row],[Misma o no]]=1),base_de_datos[[#This Row],[Índice]],"")</f>
        <v/>
      </c>
      <c r="AU224" s="119" t="str">
        <f ca="1">IF(AND(base_de_datos[[#This Row],[Civil y Administración]]&lt;&gt;"",base_de_datos[[#This Row],[Misma o no]]=1),base_de_datos[[#This Row],[Índice]],"")</f>
        <v/>
      </c>
      <c r="AV224" s="119" t="str">
        <f ca="1">IF(AND(base_de_datos[[#This Row],[Bioelectrónica]]&lt;&gt;"",base_de_datos[[#This Row],[Misma o no]]=1),base_de_datos[[#This Row],[Índice]],"")</f>
        <v/>
      </c>
      <c r="AW224" s="120"/>
      <c r="AX224" s="4">
        <v>1</v>
      </c>
      <c r="AY224" s="6"/>
    </row>
    <row r="225" spans="49:49" ht="13" x14ac:dyDescent="0.3">
      <c r="AW225" s="6"/>
    </row>
    <row r="226" spans="49:49" ht="13" x14ac:dyDescent="0.3">
      <c r="AW226" s="6"/>
    </row>
    <row r="227" spans="49:49" ht="13" x14ac:dyDescent="0.3">
      <c r="AW227" s="6"/>
    </row>
    <row r="228" spans="49:49" ht="13" x14ac:dyDescent="0.3">
      <c r="AW228" s="6"/>
    </row>
    <row r="229" spans="49:49" ht="13" x14ac:dyDescent="0.3">
      <c r="AW229" s="6"/>
    </row>
    <row r="230" spans="49:49" ht="13" x14ac:dyDescent="0.3">
      <c r="AW230" s="6"/>
    </row>
    <row r="231" spans="49:49" ht="13" x14ac:dyDescent="0.3">
      <c r="AW231" s="6"/>
    </row>
    <row r="232" spans="49:49" ht="13" x14ac:dyDescent="0.3">
      <c r="AW232" s="6"/>
    </row>
    <row r="233" spans="49:49" ht="13" x14ac:dyDescent="0.3">
      <c r="AW233" s="6"/>
    </row>
    <row r="234" spans="49:49" ht="13" x14ac:dyDescent="0.3">
      <c r="AW234" s="6"/>
    </row>
    <row r="235" spans="49:49" ht="13" x14ac:dyDescent="0.3">
      <c r="AW235" s="6"/>
    </row>
    <row r="236" spans="49:49" ht="13" x14ac:dyDescent="0.3">
      <c r="AW236" s="6"/>
    </row>
    <row r="237" spans="49:49" ht="13" x14ac:dyDescent="0.3">
      <c r="AW237" s="6"/>
    </row>
    <row r="238" spans="49:49" ht="13" x14ac:dyDescent="0.3">
      <c r="AW238" s="6"/>
    </row>
    <row r="239" spans="49:49" ht="13" x14ac:dyDescent="0.3">
      <c r="AW239" s="6"/>
    </row>
    <row r="240" spans="49:49" ht="13" x14ac:dyDescent="0.3">
      <c r="AW240" s="6"/>
    </row>
    <row r="241" spans="49:49" ht="13" x14ac:dyDescent="0.3">
      <c r="AW241" s="6"/>
    </row>
    <row r="242" spans="49:49" ht="13" x14ac:dyDescent="0.3">
      <c r="AW242" s="6"/>
    </row>
    <row r="243" spans="49:49" ht="13" x14ac:dyDescent="0.3">
      <c r="AW243" s="6"/>
    </row>
    <row r="244" spans="49:49" ht="13" x14ac:dyDescent="0.3">
      <c r="AW244" s="6"/>
    </row>
    <row r="245" spans="49:49" ht="13" x14ac:dyDescent="0.3">
      <c r="AW245" s="6"/>
    </row>
    <row r="246" spans="49:49" ht="13" x14ac:dyDescent="0.3">
      <c r="AW246" s="6"/>
    </row>
    <row r="247" spans="49:49" ht="13" x14ac:dyDescent="0.3">
      <c r="AW247" s="6"/>
    </row>
    <row r="248" spans="49:49" ht="13" x14ac:dyDescent="0.3">
      <c r="AW248" s="6"/>
    </row>
    <row r="249" spans="49:49" ht="13" x14ac:dyDescent="0.3">
      <c r="AW249" s="6"/>
    </row>
    <row r="250" spans="49:49" ht="13" x14ac:dyDescent="0.3">
      <c r="AW250" s="6"/>
    </row>
    <row r="251" spans="49:49" ht="13" x14ac:dyDescent="0.3">
      <c r="AW251" s="6"/>
    </row>
    <row r="252" spans="49:49" ht="13" x14ac:dyDescent="0.3">
      <c r="AW252" s="6"/>
    </row>
    <row r="253" spans="49:49" ht="13" x14ac:dyDescent="0.3">
      <c r="AW253" s="6"/>
    </row>
    <row r="254" spans="49:49" ht="13" x14ac:dyDescent="0.3">
      <c r="AW254" s="6"/>
    </row>
    <row r="255" spans="49:49" ht="13" x14ac:dyDescent="0.3">
      <c r="AW255" s="6"/>
    </row>
    <row r="256" spans="49:49" ht="13" x14ac:dyDescent="0.3">
      <c r="AW256" s="6"/>
    </row>
    <row r="257" spans="49:49" ht="13" x14ac:dyDescent="0.3">
      <c r="AW257" s="6"/>
    </row>
    <row r="258" spans="49:49" ht="13" x14ac:dyDescent="0.3">
      <c r="AW258" s="6"/>
    </row>
    <row r="259" spans="49:49" ht="13" x14ac:dyDescent="0.3">
      <c r="AW259" s="6"/>
    </row>
    <row r="260" spans="49:49" ht="13" x14ac:dyDescent="0.3">
      <c r="AW260" s="6"/>
    </row>
    <row r="261" spans="49:49" ht="13" x14ac:dyDescent="0.3">
      <c r="AW261" s="6"/>
    </row>
    <row r="262" spans="49:49" ht="13" x14ac:dyDescent="0.3">
      <c r="AW262" s="6"/>
    </row>
    <row r="263" spans="49:49" ht="13" x14ac:dyDescent="0.3">
      <c r="AW263" s="6"/>
    </row>
    <row r="264" spans="49:49" ht="13" x14ac:dyDescent="0.3">
      <c r="AW264" s="6"/>
    </row>
    <row r="265" spans="49:49" ht="13" x14ac:dyDescent="0.3">
      <c r="AW265" s="6"/>
    </row>
    <row r="266" spans="49:49" ht="13" x14ac:dyDescent="0.3">
      <c r="AW266" s="6"/>
    </row>
    <row r="267" spans="49:49" ht="13" x14ac:dyDescent="0.3">
      <c r="AW267" s="6"/>
    </row>
    <row r="268" spans="49:49" ht="13" x14ac:dyDescent="0.3">
      <c r="AW268" s="6"/>
    </row>
    <row r="269" spans="49:49" ht="13" x14ac:dyDescent="0.3">
      <c r="AW269" s="6"/>
    </row>
    <row r="270" spans="49:49" ht="13" x14ac:dyDescent="0.3">
      <c r="AW270" s="6"/>
    </row>
    <row r="271" spans="49:49" ht="13" x14ac:dyDescent="0.3">
      <c r="AW271" s="6"/>
    </row>
    <row r="272" spans="49:49" ht="13" x14ac:dyDescent="0.3">
      <c r="AW272" s="6"/>
    </row>
    <row r="273" spans="49:49" ht="13" x14ac:dyDescent="0.3">
      <c r="AW273" s="6"/>
    </row>
    <row r="274" spans="49:49" ht="13" x14ac:dyDescent="0.3">
      <c r="AW274" s="6"/>
    </row>
    <row r="275" spans="49:49" ht="13" x14ac:dyDescent="0.3">
      <c r="AW275" s="6"/>
    </row>
    <row r="276" spans="49:49" ht="13" x14ac:dyDescent="0.3">
      <c r="AW276" s="6"/>
    </row>
    <row r="277" spans="49:49" ht="13" x14ac:dyDescent="0.3">
      <c r="AW277" s="6"/>
    </row>
    <row r="278" spans="49:49" ht="13" x14ac:dyDescent="0.3">
      <c r="AW278" s="6"/>
    </row>
    <row r="279" spans="49:49" ht="13" x14ac:dyDescent="0.3">
      <c r="AW279" s="6"/>
    </row>
    <row r="280" spans="49:49" ht="13" x14ac:dyDescent="0.3">
      <c r="AW280" s="6"/>
    </row>
    <row r="281" spans="49:49" ht="13" x14ac:dyDescent="0.3">
      <c r="AW281" s="6"/>
    </row>
    <row r="282" spans="49:49" ht="13" x14ac:dyDescent="0.3">
      <c r="AW282" s="6"/>
    </row>
    <row r="283" spans="49:49" ht="13" x14ac:dyDescent="0.3">
      <c r="AW283" s="6"/>
    </row>
    <row r="284" spans="49:49" ht="13" x14ac:dyDescent="0.3">
      <c r="AW284" s="6"/>
    </row>
    <row r="285" spans="49:49" ht="13" x14ac:dyDescent="0.3">
      <c r="AW285" s="6"/>
    </row>
    <row r="286" spans="49:49" ht="13" x14ac:dyDescent="0.3">
      <c r="AW286" s="6"/>
    </row>
    <row r="287" spans="49:49" ht="13" x14ac:dyDescent="0.3">
      <c r="AW287" s="6"/>
    </row>
    <row r="288" spans="49:49" ht="13" x14ac:dyDescent="0.3">
      <c r="AW288" s="6"/>
    </row>
    <row r="289" spans="49:49" ht="13" x14ac:dyDescent="0.3">
      <c r="AW289" s="6"/>
    </row>
    <row r="290" spans="49:49" ht="13" x14ac:dyDescent="0.3">
      <c r="AW290" s="6"/>
    </row>
    <row r="291" spans="49:49" ht="13" x14ac:dyDescent="0.3">
      <c r="AW291" s="6"/>
    </row>
    <row r="292" spans="49:49" ht="13" x14ac:dyDescent="0.3">
      <c r="AW292" s="6"/>
    </row>
    <row r="293" spans="49:49" ht="13" x14ac:dyDescent="0.3">
      <c r="AW293" s="6"/>
    </row>
    <row r="294" spans="49:49" ht="13" x14ac:dyDescent="0.3">
      <c r="AW294" s="6"/>
    </row>
    <row r="295" spans="49:49" ht="13" x14ac:dyDescent="0.3">
      <c r="AW295" s="6"/>
    </row>
    <row r="296" spans="49:49" ht="13" x14ac:dyDescent="0.3">
      <c r="AW296" s="6"/>
    </row>
    <row r="297" spans="49:49" ht="13" x14ac:dyDescent="0.3">
      <c r="AW297" s="6"/>
    </row>
    <row r="298" spans="49:49" ht="13" x14ac:dyDescent="0.3">
      <c r="AW298" s="6"/>
    </row>
    <row r="299" spans="49:49" ht="13" x14ac:dyDescent="0.3">
      <c r="AW299" s="6"/>
    </row>
    <row r="300" spans="49:49" ht="13" x14ac:dyDescent="0.3">
      <c r="AW300" s="6"/>
    </row>
    <row r="301" spans="49:49" ht="13" x14ac:dyDescent="0.3">
      <c r="AW301" s="6"/>
    </row>
    <row r="302" spans="49:49" ht="13" x14ac:dyDescent="0.3">
      <c r="AW302" s="6"/>
    </row>
    <row r="303" spans="49:49" ht="13" x14ac:dyDescent="0.3">
      <c r="AW303" s="6"/>
    </row>
    <row r="304" spans="49:49" ht="13" x14ac:dyDescent="0.3">
      <c r="AW304" s="6"/>
    </row>
    <row r="305" spans="49:49" ht="13" x14ac:dyDescent="0.3">
      <c r="AW305" s="6"/>
    </row>
    <row r="306" spans="49:49" ht="13" x14ac:dyDescent="0.3">
      <c r="AW306" s="6"/>
    </row>
    <row r="307" spans="49:49" ht="13" x14ac:dyDescent="0.3">
      <c r="AW307" s="6"/>
    </row>
    <row r="308" spans="49:49" ht="13" x14ac:dyDescent="0.3">
      <c r="AW308" s="6"/>
    </row>
    <row r="309" spans="49:49" ht="13" x14ac:dyDescent="0.3">
      <c r="AW309" s="6"/>
    </row>
    <row r="310" spans="49:49" ht="13" x14ac:dyDescent="0.3">
      <c r="AW310" s="6"/>
    </row>
    <row r="311" spans="49:49" ht="13" x14ac:dyDescent="0.3">
      <c r="AW311" s="6"/>
    </row>
    <row r="312" spans="49:49" ht="13" x14ac:dyDescent="0.3">
      <c r="AW312" s="6"/>
    </row>
    <row r="313" spans="49:49" ht="13" x14ac:dyDescent="0.3">
      <c r="AW313" s="6"/>
    </row>
    <row r="314" spans="49:49" ht="13" x14ac:dyDescent="0.3">
      <c r="AW314" s="6"/>
    </row>
    <row r="315" spans="49:49" ht="13" x14ac:dyDescent="0.3">
      <c r="AW315" s="6"/>
    </row>
    <row r="316" spans="49:49" ht="13" x14ac:dyDescent="0.3">
      <c r="AW316" s="6"/>
    </row>
    <row r="317" spans="49:49" ht="13" x14ac:dyDescent="0.3">
      <c r="AW317" s="6"/>
    </row>
    <row r="318" spans="49:49" ht="13" x14ac:dyDescent="0.3">
      <c r="AW318" s="6"/>
    </row>
    <row r="319" spans="49:49" ht="13" x14ac:dyDescent="0.3">
      <c r="AW319" s="6"/>
    </row>
    <row r="320" spans="49:49" ht="13" x14ac:dyDescent="0.3">
      <c r="AW320" s="6"/>
    </row>
    <row r="321" spans="49:49" ht="13" x14ac:dyDescent="0.3">
      <c r="AW321" s="6"/>
    </row>
    <row r="322" spans="49:49" ht="13" x14ac:dyDescent="0.3">
      <c r="AW322" s="6"/>
    </row>
    <row r="323" spans="49:49" ht="13" x14ac:dyDescent="0.3">
      <c r="AW323" s="6"/>
    </row>
    <row r="324" spans="49:49" ht="13" x14ac:dyDescent="0.3">
      <c r="AW324" s="6"/>
    </row>
    <row r="325" spans="49:49" ht="13" x14ac:dyDescent="0.3">
      <c r="AW325" s="6"/>
    </row>
    <row r="326" spans="49:49" ht="13" x14ac:dyDescent="0.3">
      <c r="AW326" s="6"/>
    </row>
    <row r="327" spans="49:49" ht="13" x14ac:dyDescent="0.3">
      <c r="AW327" s="6"/>
    </row>
    <row r="328" spans="49:49" ht="13" x14ac:dyDescent="0.3">
      <c r="AW328" s="6"/>
    </row>
    <row r="329" spans="49:49" ht="13" x14ac:dyDescent="0.3">
      <c r="AW329" s="6"/>
    </row>
    <row r="330" spans="49:49" ht="13" x14ac:dyDescent="0.3">
      <c r="AW330" s="6"/>
    </row>
    <row r="331" spans="49:49" ht="13" x14ac:dyDescent="0.3">
      <c r="AW331" s="6"/>
    </row>
    <row r="332" spans="49:49" ht="13" x14ac:dyDescent="0.3">
      <c r="AW332" s="6"/>
    </row>
    <row r="333" spans="49:49" ht="13" x14ac:dyDescent="0.3">
      <c r="AW333" s="6"/>
    </row>
    <row r="334" spans="49:49" ht="13" x14ac:dyDescent="0.3">
      <c r="AW334" s="6"/>
    </row>
    <row r="335" spans="49:49" ht="13" x14ac:dyDescent="0.3">
      <c r="AW335" s="6"/>
    </row>
    <row r="336" spans="49:49" ht="13" x14ac:dyDescent="0.3">
      <c r="AW336" s="6"/>
    </row>
    <row r="337" spans="49:49" ht="13" x14ac:dyDescent="0.3">
      <c r="AW337" s="6"/>
    </row>
    <row r="338" spans="49:49" ht="13" x14ac:dyDescent="0.3">
      <c r="AW338" s="6"/>
    </row>
    <row r="339" spans="49:49" ht="13" x14ac:dyDescent="0.3">
      <c r="AW339" s="6"/>
    </row>
    <row r="340" spans="49:49" ht="13" x14ac:dyDescent="0.3">
      <c r="AW340" s="6"/>
    </row>
    <row r="341" spans="49:49" ht="13" x14ac:dyDescent="0.3">
      <c r="AW341" s="6"/>
    </row>
    <row r="342" spans="49:49" ht="13" x14ac:dyDescent="0.3">
      <c r="AW342" s="6"/>
    </row>
    <row r="343" spans="49:49" ht="13" x14ac:dyDescent="0.3">
      <c r="AW343" s="6"/>
    </row>
    <row r="344" spans="49:49" ht="13" x14ac:dyDescent="0.3">
      <c r="AW344" s="6"/>
    </row>
    <row r="345" spans="49:49" ht="13" x14ac:dyDescent="0.3">
      <c r="AW345" s="6"/>
    </row>
    <row r="346" spans="49:49" ht="13" x14ac:dyDescent="0.3">
      <c r="AW346" s="6"/>
    </row>
    <row r="347" spans="49:49" ht="13" x14ac:dyDescent="0.3">
      <c r="AW347" s="6"/>
    </row>
    <row r="348" spans="49:49" ht="13" x14ac:dyDescent="0.3">
      <c r="AW348" s="6"/>
    </row>
    <row r="349" spans="49:49" ht="13" x14ac:dyDescent="0.3">
      <c r="AW349" s="6"/>
    </row>
    <row r="350" spans="49:49" ht="13" x14ac:dyDescent="0.3">
      <c r="AW350" s="6"/>
    </row>
    <row r="351" spans="49:49" ht="13" x14ac:dyDescent="0.3">
      <c r="AW351" s="6"/>
    </row>
    <row r="352" spans="49:49" ht="13" x14ac:dyDescent="0.3">
      <c r="AW352" s="6"/>
    </row>
    <row r="353" spans="49:49" ht="13" x14ac:dyDescent="0.3">
      <c r="AW353" s="6"/>
    </row>
    <row r="354" spans="49:49" ht="13" x14ac:dyDescent="0.3">
      <c r="AW354" s="6"/>
    </row>
    <row r="355" spans="49:49" ht="13" x14ac:dyDescent="0.3">
      <c r="AW355" s="6"/>
    </row>
    <row r="356" spans="49:49" ht="13" x14ac:dyDescent="0.3">
      <c r="AW356" s="6"/>
    </row>
    <row r="357" spans="49:49" ht="13" x14ac:dyDescent="0.3">
      <c r="AW357" s="6"/>
    </row>
    <row r="358" spans="49:49" ht="13" x14ac:dyDescent="0.3">
      <c r="AW358" s="6"/>
    </row>
    <row r="359" spans="49:49" ht="13" x14ac:dyDescent="0.3">
      <c r="AW359" s="6"/>
    </row>
    <row r="360" spans="49:49" ht="13" x14ac:dyDescent="0.3">
      <c r="AW360" s="6"/>
    </row>
    <row r="361" spans="49:49" ht="13" x14ac:dyDescent="0.3">
      <c r="AW361" s="6"/>
    </row>
    <row r="362" spans="49:49" ht="13" x14ac:dyDescent="0.3">
      <c r="AW362" s="6"/>
    </row>
    <row r="363" spans="49:49" ht="13" x14ac:dyDescent="0.3">
      <c r="AW363" s="6"/>
    </row>
    <row r="364" spans="49:49" ht="13" x14ac:dyDescent="0.3">
      <c r="AW364" s="6"/>
    </row>
    <row r="365" spans="49:49" ht="13" x14ac:dyDescent="0.3">
      <c r="AW365" s="6"/>
    </row>
    <row r="366" spans="49:49" ht="13" x14ac:dyDescent="0.3">
      <c r="AW366" s="6"/>
    </row>
    <row r="367" spans="49:49" ht="13" x14ac:dyDescent="0.3">
      <c r="AW367" s="6"/>
    </row>
    <row r="368" spans="49:49" ht="13" x14ac:dyDescent="0.3">
      <c r="AW368" s="6"/>
    </row>
    <row r="369" spans="49:49" ht="13" x14ac:dyDescent="0.3">
      <c r="AW369" s="6"/>
    </row>
    <row r="370" spans="49:49" ht="13" x14ac:dyDescent="0.3">
      <c r="AW370" s="6"/>
    </row>
    <row r="371" spans="49:49" ht="13" x14ac:dyDescent="0.3">
      <c r="AW371" s="6"/>
    </row>
    <row r="372" spans="49:49" ht="13" x14ac:dyDescent="0.3">
      <c r="AW372" s="6"/>
    </row>
    <row r="373" spans="49:49" ht="13" x14ac:dyDescent="0.3">
      <c r="AW373" s="6"/>
    </row>
    <row r="374" spans="49:49" ht="13" x14ac:dyDescent="0.3">
      <c r="AW374" s="6"/>
    </row>
    <row r="375" spans="49:49" ht="13" x14ac:dyDescent="0.3">
      <c r="AW375" s="6"/>
    </row>
    <row r="376" spans="49:49" ht="13" x14ac:dyDescent="0.3">
      <c r="AW376" s="6"/>
    </row>
    <row r="377" spans="49:49" ht="13" x14ac:dyDescent="0.3">
      <c r="AW377" s="6"/>
    </row>
    <row r="378" spans="49:49" ht="13" x14ac:dyDescent="0.3">
      <c r="AW378" s="6"/>
    </row>
    <row r="379" spans="49:49" ht="13" x14ac:dyDescent="0.3">
      <c r="AW379" s="6"/>
    </row>
    <row r="380" spans="49:49" ht="13" x14ac:dyDescent="0.3">
      <c r="AW380" s="6"/>
    </row>
    <row r="381" spans="49:49" ht="13" x14ac:dyDescent="0.3">
      <c r="AW381" s="6"/>
    </row>
    <row r="382" spans="49:49" ht="13" x14ac:dyDescent="0.3">
      <c r="AW382" s="6"/>
    </row>
    <row r="383" spans="49:49" ht="13" x14ac:dyDescent="0.3">
      <c r="AW383" s="6"/>
    </row>
    <row r="384" spans="49:49" ht="13" x14ac:dyDescent="0.3">
      <c r="AW384" s="6"/>
    </row>
  </sheetData>
  <phoneticPr fontId="7" type="noConversion"/>
  <conditionalFormatting sqref="B3:J5 U6:W6 U50:W53 O107:O112 J3:J7 N3:N8 O7:W8 N56:W56 N50:N55 P55:W55 N120:O120 N57:N119 O116:O119 O3:W5 L3:L56 B7:J56 N121:N135 N38:V39 U54:V54 N40:W49 N9:W37">
    <cfRule type="expression" dxfId="417" priority="87">
      <formula>$AB3=1</formula>
    </cfRule>
  </conditionalFormatting>
  <conditionalFormatting sqref="O50:T54">
    <cfRule type="expression" dxfId="416" priority="14">
      <formula>$AB50=1</formula>
    </cfRule>
  </conditionalFormatting>
  <conditionalFormatting sqref="L3:L120 N3:N224">
    <cfRule type="cellIs" dxfId="415" priority="10" operator="greaterThan">
      <formula>2</formula>
    </cfRule>
    <cfRule type="cellIs" dxfId="414" priority="11" operator="lessThan">
      <formula>0</formula>
    </cfRule>
  </conditionalFormatting>
  <conditionalFormatting sqref="O6:T6 B6:J6">
    <cfRule type="expression" dxfId="413" priority="274">
      <formula>#REF!=1</formula>
    </cfRule>
  </conditionalFormatting>
  <dataValidations count="7">
    <dataValidation type="list" allowBlank="1" showInputMessage="1" showErrorMessage="1" sqref="C3:C224" xr:uid="{00000000-0002-0000-0200-000000000000}">
      <formula1>Materias</formula1>
    </dataValidation>
    <dataValidation type="list" allowBlank="1" showInputMessage="1" showErrorMessage="1" sqref="B3:B224" xr:uid="{00000000-0002-0000-0200-000003000000}">
      <formula1>Nombre</formula1>
    </dataValidation>
    <dataValidation type="list" allowBlank="1" showInputMessage="1" showErrorMessage="1" sqref="E3:E224" xr:uid="{00000000-0002-0000-0200-000001000000}">
      <formula1>Hora_de_inicio</formula1>
    </dataValidation>
    <dataValidation type="list" allowBlank="1" showInputMessage="1" showErrorMessage="1" sqref="F3:F224" xr:uid="{00000000-0002-0000-0200-000002000000}">
      <formula1>Hora_de_fin</formula1>
    </dataValidation>
    <dataValidation type="list" allowBlank="1" showInputMessage="1" showErrorMessage="1" sqref="G3:G224" xr:uid="{DDF96C4B-EC40-4C67-9088-68D9CAFEAB1C}">
      <formula1>"si, no"</formula1>
    </dataValidation>
    <dataValidation type="list" allowBlank="1" showInputMessage="1" showErrorMessage="1" sqref="P3:V224" xr:uid="{00000000-0002-0000-0200-000005000000}">
      <formula1>"x"</formula1>
    </dataValidation>
    <dataValidation type="list" allowBlank="1" showInputMessage="1" showErrorMessage="1" sqref="H3:H224" xr:uid="{D74DA713-C8A4-402E-86ED-EDBCA37C25D4}">
      <formula1>Aulas</formula1>
    </dataValidation>
  </dataValidations>
  <pageMargins left="0.25" right="0.25" top="0.75" bottom="0.75" header="0.3" footer="0.3"/>
  <pageSetup scale="48" fitToHeight="0" orientation="landscape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AX145"/>
  <sheetViews>
    <sheetView workbookViewId="0">
      <selection activeCell="F124" sqref="F124"/>
    </sheetView>
  </sheetViews>
  <sheetFormatPr baseColWidth="10" defaultColWidth="10.6328125" defaultRowHeight="12" customHeight="1" x14ac:dyDescent="0.3"/>
  <cols>
    <col min="1" max="1" width="4.453125" style="6" customWidth="1"/>
    <col min="2" max="2" width="6.6328125" style="6" customWidth="1"/>
    <col min="3" max="3" width="3.81640625" style="6" customWidth="1"/>
    <col min="4" max="4" width="5.6328125" style="4" customWidth="1"/>
    <col min="5" max="5" width="10.6328125" style="6" customWidth="1"/>
    <col min="6" max="6" width="36.1796875" style="6" customWidth="1"/>
    <col min="7" max="7" width="17.453125" style="32" customWidth="1"/>
    <col min="8" max="10" width="13.1796875" style="32" customWidth="1"/>
    <col min="11" max="11" width="6.1796875" style="32" customWidth="1"/>
    <col min="12" max="12" width="7.6328125" style="4" customWidth="1"/>
    <col min="13" max="13" width="12.81640625" style="6" customWidth="1"/>
    <col min="14" max="14" width="34.1796875" style="6" customWidth="1"/>
    <col min="15" max="15" width="20.81640625" style="32" customWidth="1"/>
    <col min="16" max="16" width="13.6328125" style="4" customWidth="1"/>
    <col min="17" max="17" width="13.6328125" style="6" customWidth="1"/>
    <col min="18" max="18" width="9.36328125" style="6" customWidth="1"/>
    <col min="19" max="19" width="13.6328125" style="6" customWidth="1"/>
    <col min="20" max="20" width="12.36328125" style="6" customWidth="1"/>
    <col min="21" max="21" width="9" style="2" customWidth="1"/>
    <col min="22" max="22" width="7.453125" style="2" customWidth="1"/>
    <col min="23" max="23" width="6.6328125" style="4" customWidth="1"/>
    <col min="24" max="24" width="8.36328125" style="4" customWidth="1"/>
    <col min="25" max="25" width="8.81640625" style="4" customWidth="1"/>
    <col min="26" max="27" width="6.6328125" style="4" customWidth="1"/>
    <col min="28" max="28" width="8.453125" style="6" customWidth="1"/>
    <col min="29" max="30" width="7" style="6" customWidth="1"/>
    <col min="31" max="33" width="6.6328125" style="6" customWidth="1"/>
    <col min="34" max="34" width="10.6328125" style="6" bestFit="1" customWidth="1"/>
    <col min="35" max="37" width="10.6328125" style="6"/>
    <col min="38" max="38" width="8.6328125" style="6" customWidth="1"/>
    <col min="39" max="42" width="10.6328125" style="6"/>
    <col min="43" max="43" width="22.36328125" style="6" customWidth="1"/>
    <col min="44" max="45" width="10.6328125" style="6"/>
    <col min="46" max="47" width="5.81640625" style="6" customWidth="1"/>
    <col min="48" max="16384" width="10.6328125" style="6"/>
  </cols>
  <sheetData>
    <row r="1" spans="1:50" s="1" customFormat="1" ht="12" customHeight="1" x14ac:dyDescent="0.3">
      <c r="K1" s="33"/>
      <c r="L1" s="2"/>
      <c r="O1" s="33"/>
      <c r="P1" s="2"/>
      <c r="AI1" s="3"/>
      <c r="AJ1" s="3"/>
      <c r="AK1" s="3"/>
      <c r="AL1" s="1" t="s">
        <v>472</v>
      </c>
      <c r="AM1" s="1" t="s">
        <v>473</v>
      </c>
      <c r="AO1" s="1" t="s">
        <v>23</v>
      </c>
      <c r="AQ1" s="1" t="s">
        <v>474</v>
      </c>
      <c r="AR1" s="1" t="s">
        <v>56</v>
      </c>
      <c r="AS1" s="1" t="s">
        <v>475</v>
      </c>
      <c r="AT1" s="1" t="s">
        <v>476</v>
      </c>
      <c r="AU1" s="1" t="s">
        <v>477</v>
      </c>
      <c r="AW1" s="65" t="s">
        <v>191</v>
      </c>
      <c r="AX1" s="20">
        <v>8</v>
      </c>
    </row>
    <row r="2" spans="1:50" ht="12" customHeight="1" x14ac:dyDescent="0.3">
      <c r="B2" s="3" t="s">
        <v>478</v>
      </c>
      <c r="C2" s="7" t="s">
        <v>472</v>
      </c>
      <c r="D2" s="7" t="s">
        <v>74</v>
      </c>
      <c r="E2" s="3" t="s">
        <v>479</v>
      </c>
      <c r="F2" s="3" t="s">
        <v>480</v>
      </c>
      <c r="G2" s="3" t="s">
        <v>481</v>
      </c>
      <c r="H2" s="3" t="s">
        <v>482</v>
      </c>
      <c r="I2" s="3" t="s">
        <v>483</v>
      </c>
      <c r="J2" s="3" t="s">
        <v>484</v>
      </c>
      <c r="K2" s="53" t="s">
        <v>485</v>
      </c>
      <c r="L2" s="3" t="s">
        <v>486</v>
      </c>
      <c r="M2" s="53" t="s">
        <v>487</v>
      </c>
      <c r="N2" s="3" t="s">
        <v>488</v>
      </c>
      <c r="O2" s="53" t="s">
        <v>489</v>
      </c>
      <c r="P2" s="3" t="s">
        <v>490</v>
      </c>
      <c r="Q2" s="3" t="s">
        <v>491</v>
      </c>
      <c r="R2" s="3" t="s">
        <v>492</v>
      </c>
      <c r="S2" s="3" t="s">
        <v>493</v>
      </c>
      <c r="T2" s="3" t="s">
        <v>494</v>
      </c>
      <c r="U2" s="3" t="s">
        <v>495</v>
      </c>
      <c r="V2" s="3" t="s">
        <v>49</v>
      </c>
      <c r="W2" s="3" t="s">
        <v>29</v>
      </c>
      <c r="X2" s="3" t="s">
        <v>34</v>
      </c>
      <c r="Y2" s="3" t="s">
        <v>32</v>
      </c>
      <c r="Z2" s="3" t="s">
        <v>43</v>
      </c>
      <c r="AA2" s="3" t="s">
        <v>48</v>
      </c>
      <c r="AB2" s="3" t="s">
        <v>37</v>
      </c>
      <c r="AC2" s="3" t="s">
        <v>496</v>
      </c>
      <c r="AD2" s="3" t="s">
        <v>40</v>
      </c>
      <c r="AE2" s="3" t="s">
        <v>45</v>
      </c>
      <c r="AF2" s="3" t="s">
        <v>46</v>
      </c>
      <c r="AG2" s="3" t="s">
        <v>26</v>
      </c>
      <c r="AH2" s="3" t="s">
        <v>497</v>
      </c>
      <c r="AI2" s="3" t="s">
        <v>498</v>
      </c>
      <c r="AJ2" s="3" t="s">
        <v>499</v>
      </c>
      <c r="AK2" s="3"/>
      <c r="AL2" s="6" t="s">
        <v>500</v>
      </c>
      <c r="AM2" s="6" t="s">
        <v>501</v>
      </c>
      <c r="AO2" s="6" t="s">
        <v>28</v>
      </c>
      <c r="AQ2" s="8" t="s">
        <v>238</v>
      </c>
      <c r="AR2" s="9">
        <v>20</v>
      </c>
      <c r="AS2" s="9"/>
      <c r="AT2" s="9">
        <v>8</v>
      </c>
      <c r="AU2" s="9">
        <v>10</v>
      </c>
      <c r="AV2" s="9"/>
      <c r="AW2" s="8" t="s">
        <v>125</v>
      </c>
      <c r="AX2" s="21">
        <v>8</v>
      </c>
    </row>
    <row r="3" spans="1:50" s="146" customFormat="1" ht="12" hidden="1" customHeight="1" x14ac:dyDescent="0.3">
      <c r="B3" s="146">
        <v>2</v>
      </c>
      <c r="C3" s="153" t="s">
        <v>502</v>
      </c>
      <c r="D3" s="154" t="s">
        <v>33</v>
      </c>
      <c r="E3" s="155">
        <v>144666</v>
      </c>
      <c r="F3" s="153" t="s">
        <v>225</v>
      </c>
      <c r="G3" s="156" t="s">
        <v>503</v>
      </c>
      <c r="H3" s="156" t="s">
        <v>504</v>
      </c>
      <c r="I3" s="156" t="s">
        <v>505</v>
      </c>
      <c r="J3" s="157">
        <v>33465</v>
      </c>
      <c r="K3" s="202" t="s">
        <v>506</v>
      </c>
      <c r="L3" s="147" t="s">
        <v>507</v>
      </c>
      <c r="M3" s="151">
        <v>4492058689</v>
      </c>
      <c r="N3" s="171" t="s">
        <v>508</v>
      </c>
      <c r="O3" s="151" t="s">
        <v>509</v>
      </c>
      <c r="P3" s="147">
        <v>615</v>
      </c>
      <c r="Q3" s="146" t="s">
        <v>510</v>
      </c>
      <c r="R3" s="146" t="s">
        <v>511</v>
      </c>
      <c r="S3" s="146" t="s">
        <v>511</v>
      </c>
      <c r="T3" s="146">
        <v>20278</v>
      </c>
      <c r="U3" s="147">
        <v>1</v>
      </c>
      <c r="V3" s="147" t="str">
        <f>IF((_xlfn.XLOOKUP(Profesores[[#This Row],[Nombre]],base_de_datos[Profesor],base_de_datos[Academia],1))=Profesores[[#Headers],[MEC]],"x","")</f>
        <v/>
      </c>
      <c r="W3" s="147" t="str">
        <f>IF((_xlfn.XLOOKUP(Profesores[[#This Row],[Nombre]],base_de_datos[Profesor],base_de_datos[Academia],1))=Profesores[[#Headers],[COM]],"x","")</f>
        <v/>
      </c>
      <c r="X3" s="147"/>
      <c r="Y3" s="147" t="str">
        <f>IF((_xlfn.XLOOKUP(Profesores[[#This Row],[Nombre]],base_de_datos[Profesor],base_de_datos[Academia],1))=Profesores[[#Headers],[DOP]],"x","")</f>
        <v/>
      </c>
      <c r="Z3" s="147" t="str">
        <f>IF((_xlfn.XLOOKUP(Profesores[[#This Row],[Nombre]],base_de_datos[Profesor],base_de_datos[Academia],1))=Profesores[[#Headers],[ETF]],"x","")</f>
        <v/>
      </c>
      <c r="AA3" s="147" t="str">
        <f>IF((_xlfn.XLOOKUP(Profesores[[#This Row],[Nombre]],base_de_datos[Profesor],base_de_datos[Academia],1))=Profesores[[#Headers],[MAT]],"x","")</f>
        <v/>
      </c>
      <c r="AB3" s="147" t="str">
        <f>IF((_xlfn.XLOOKUP(Profesores[[#This Row],[Nombre]],base_de_datos[Profesor],base_de_datos[Academia],1))=Profesores[[#Headers],[EMP]],"x","")</f>
        <v>x</v>
      </c>
      <c r="AC3" s="146" t="str">
        <f>IF((_xlfn.XLOOKUP(Profesores[[#This Row],[Nombre]],base_de_datos[Profesor],base_de_datos[Academia],1))=Profesores[[#Headers],[AIC]],"x","")</f>
        <v/>
      </c>
      <c r="AD3" s="146" t="str">
        <f>IF((_xlfn.XLOOKUP(Profesores[[#This Row],[Nombre]],base_de_datos[Profesor],base_de_datos[Academia],1))=Profesores[[#Headers],[ESC]],"x","")</f>
        <v/>
      </c>
      <c r="AE3" s="146" t="str">
        <f>IF((_xlfn.XLOOKUP(Profesores[[#This Row],[Nombre]],base_de_datos[Profesor],base_de_datos[Academia],1))=Profesores[[#Headers],[HUM]],"x","")</f>
        <v/>
      </c>
      <c r="AF3" s="146" t="str">
        <f>IF((_xlfn.XLOOKUP(Profesores[[#This Row],[Nombre]],base_de_datos[Profesor],base_de_datos[Academia],1))=Profesores[[#Headers],[IID]],"x","")</f>
        <v/>
      </c>
      <c r="AG3" s="146" t="str">
        <f>IF((_xlfn.XLOOKUP(Profesores[[#This Row],[Nombre]],base_de_datos[Profesor],base_de_datos[Academia],1))=Profesores[[#Headers],[BIO]],"x","")</f>
        <v/>
      </c>
      <c r="AH3" s="146" t="s">
        <v>512</v>
      </c>
      <c r="AI3" s="146" t="s">
        <v>513</v>
      </c>
      <c r="AJ3" s="146">
        <f>TRUNC(IFERROR(Profesores[[#This Row],[Ex Inglés]]*677/100,0),0)</f>
        <v>0</v>
      </c>
      <c r="AL3" s="146" t="s">
        <v>514</v>
      </c>
      <c r="AM3" s="146" t="s">
        <v>515</v>
      </c>
      <c r="AO3" s="146" t="s">
        <v>36</v>
      </c>
      <c r="AQ3" s="168" t="s">
        <v>191</v>
      </c>
      <c r="AR3" s="165">
        <v>20</v>
      </c>
      <c r="AS3" s="165"/>
      <c r="AT3" s="165">
        <v>7</v>
      </c>
      <c r="AU3" s="165">
        <v>8</v>
      </c>
      <c r="AV3" s="165"/>
      <c r="AW3" s="177" t="s">
        <v>323</v>
      </c>
      <c r="AX3" s="178">
        <v>8</v>
      </c>
    </row>
    <row r="4" spans="1:50" s="146" customFormat="1" ht="12" hidden="1" customHeight="1" x14ac:dyDescent="0.3">
      <c r="B4" s="209">
        <v>9</v>
      </c>
      <c r="C4" s="209" t="s">
        <v>515</v>
      </c>
      <c r="D4" s="210" t="s">
        <v>33</v>
      </c>
      <c r="E4" s="211">
        <v>144657</v>
      </c>
      <c r="F4" s="209" t="s">
        <v>516</v>
      </c>
      <c r="G4" s="212" t="s">
        <v>517</v>
      </c>
      <c r="H4" s="212" t="s">
        <v>518</v>
      </c>
      <c r="I4" s="212" t="s">
        <v>519</v>
      </c>
      <c r="J4" s="220">
        <v>33188</v>
      </c>
      <c r="K4" s="212" t="s">
        <v>506</v>
      </c>
      <c r="L4" s="210" t="s">
        <v>507</v>
      </c>
      <c r="M4" s="213">
        <v>4499118023</v>
      </c>
      <c r="N4" s="214" t="s">
        <v>520</v>
      </c>
      <c r="O4" s="213" t="s">
        <v>521</v>
      </c>
      <c r="P4" s="210" t="s">
        <v>522</v>
      </c>
      <c r="Q4" s="209" t="s">
        <v>523</v>
      </c>
      <c r="R4" s="209" t="s">
        <v>511</v>
      </c>
      <c r="S4" s="209" t="s">
        <v>511</v>
      </c>
      <c r="T4" s="209"/>
      <c r="U4" s="210">
        <v>1</v>
      </c>
      <c r="V4" s="210" t="str">
        <f>IF((_xlfn.XLOOKUP(Profesores[[#This Row],[Nombre]],base_de_datos[Profesor],base_de_datos[Academia],1))=Profesores[[#Headers],[MEC]],"x","")</f>
        <v/>
      </c>
      <c r="W4" s="210" t="str">
        <f>IF((_xlfn.XLOOKUP(Profesores[[#This Row],[Nombre]],base_de_datos[Profesor],base_de_datos[Academia],1))=Profesores[[#Headers],[COM]],"x","")</f>
        <v/>
      </c>
      <c r="X4" s="210"/>
      <c r="Y4" s="210" t="str">
        <f>IF((_xlfn.XLOOKUP(Profesores[[#This Row],[Nombre]],base_de_datos[Profesor],base_de_datos[Academia],1))=Profesores[[#Headers],[DOP]],"x","")</f>
        <v/>
      </c>
      <c r="Z4" s="210" t="str">
        <f>IF((_xlfn.XLOOKUP(Profesores[[#This Row],[Nombre]],base_de_datos[Profesor],base_de_datos[Academia],1))=Profesores[[#Headers],[ETF]],"x","")</f>
        <v/>
      </c>
      <c r="AA4" s="210" t="str">
        <f>IF((_xlfn.XLOOKUP(Profesores[[#This Row],[Nombre]],base_de_datos[Profesor],base_de_datos[Academia],1))=Profesores[[#Headers],[MAT]],"x","")</f>
        <v/>
      </c>
      <c r="AB4" s="210" t="str">
        <f>IF((_xlfn.XLOOKUP(Profesores[[#This Row],[Nombre]],base_de_datos[Profesor],base_de_datos[Academia],1))=Profesores[[#Headers],[EMP]],"x","")</f>
        <v/>
      </c>
      <c r="AC4" s="209" t="str">
        <f>IF((_xlfn.XLOOKUP(Profesores[[#This Row],[Nombre]],base_de_datos[Profesor],base_de_datos[Academia],1))=Profesores[[#Headers],[AIC]],"x","")</f>
        <v/>
      </c>
      <c r="AD4" s="209" t="str">
        <f>IF((_xlfn.XLOOKUP(Profesores[[#This Row],[Nombre]],base_de_datos[Profesor],base_de_datos[Academia],1))=Profesores[[#Headers],[ESC]],"x","")</f>
        <v/>
      </c>
      <c r="AE4" s="209" t="str">
        <f>IF((_xlfn.XLOOKUP(Profesores[[#This Row],[Nombre]],base_de_datos[Profesor],base_de_datos[Academia],1))=Profesores[[#Headers],[HUM]],"x","")</f>
        <v/>
      </c>
      <c r="AF4" s="209" t="str">
        <f>IF((_xlfn.XLOOKUP(Profesores[[#This Row],[Nombre]],base_de_datos[Profesor],base_de_datos[Academia],1))=Profesores[[#Headers],[IID]],"x","")</f>
        <v/>
      </c>
      <c r="AG4" s="209" t="str">
        <f>IF((_xlfn.XLOOKUP(Profesores[[#This Row],[Nombre]],base_de_datos[Profesor],base_de_datos[Academia],1))=Profesores[[#Headers],[BIO]],"x","")</f>
        <v/>
      </c>
      <c r="AH4" s="209" t="s">
        <v>524</v>
      </c>
      <c r="AI4" s="209" t="s">
        <v>513</v>
      </c>
      <c r="AJ4" s="209">
        <f>TRUNC(IFERROR(Profesores[[#This Row],[Ex Inglés]]*677/100,0),0)</f>
        <v>0</v>
      </c>
      <c r="AL4" s="146" t="s">
        <v>525</v>
      </c>
      <c r="AM4" s="146" t="s">
        <v>502</v>
      </c>
      <c r="AO4" s="146" t="s">
        <v>33</v>
      </c>
      <c r="AQ4" s="168" t="s">
        <v>125</v>
      </c>
      <c r="AR4" s="165">
        <v>20</v>
      </c>
      <c r="AS4" s="165"/>
      <c r="AT4" s="165">
        <v>8</v>
      </c>
      <c r="AU4" s="165">
        <v>10</v>
      </c>
      <c r="AV4" s="165"/>
      <c r="AW4" s="168" t="s">
        <v>132</v>
      </c>
      <c r="AX4" s="169">
        <v>8</v>
      </c>
    </row>
    <row r="5" spans="1:50" s="146" customFormat="1" ht="12" hidden="1" customHeight="1" x14ac:dyDescent="0.3">
      <c r="B5" s="146">
        <v>32</v>
      </c>
      <c r="C5" s="146" t="s">
        <v>526</v>
      </c>
      <c r="D5" s="147" t="s">
        <v>33</v>
      </c>
      <c r="E5" s="148">
        <v>173225</v>
      </c>
      <c r="F5" s="146" t="s">
        <v>219</v>
      </c>
      <c r="G5" s="149" t="s">
        <v>527</v>
      </c>
      <c r="H5" s="149" t="s">
        <v>528</v>
      </c>
      <c r="I5" s="149" t="s">
        <v>529</v>
      </c>
      <c r="J5" s="150">
        <v>28518</v>
      </c>
      <c r="K5" s="149" t="s">
        <v>506</v>
      </c>
      <c r="L5" s="147" t="s">
        <v>507</v>
      </c>
      <c r="M5" s="151">
        <v>4491902825</v>
      </c>
      <c r="N5" s="158" t="s">
        <v>530</v>
      </c>
      <c r="O5" s="151" t="s">
        <v>531</v>
      </c>
      <c r="P5" s="147">
        <v>209</v>
      </c>
      <c r="Q5" s="146" t="s">
        <v>532</v>
      </c>
      <c r="R5" s="146" t="s">
        <v>511</v>
      </c>
      <c r="S5" s="146" t="s">
        <v>511</v>
      </c>
      <c r="T5" s="146">
        <v>20169</v>
      </c>
      <c r="U5" s="147">
        <v>1</v>
      </c>
      <c r="V5" s="147" t="str">
        <f>IF((_xlfn.XLOOKUP(Profesores[[#This Row],[Nombre]],base_de_datos[Profesor],base_de_datos[Academia],1))=Profesores[[#Headers],[MEC]],"x","")</f>
        <v/>
      </c>
      <c r="W5" s="147" t="str">
        <f>IF((_xlfn.XLOOKUP(Profesores[[#This Row],[Nombre]],base_de_datos[Profesor],base_de_datos[Academia],1))=Profesores[[#Headers],[COM]],"x","")</f>
        <v/>
      </c>
      <c r="X5" s="147"/>
      <c r="Y5" s="147" t="str">
        <f>IF((_xlfn.XLOOKUP(Profesores[[#This Row],[Nombre]],base_de_datos[Profesor],base_de_datos[Academia],1))=Profesores[[#Headers],[DOP]],"x","")</f>
        <v/>
      </c>
      <c r="Z5" s="147" t="str">
        <f>IF((_xlfn.XLOOKUP(Profesores[[#This Row],[Nombre]],base_de_datos[Profesor],base_de_datos[Academia],1))=Profesores[[#Headers],[ETF]],"x","")</f>
        <v/>
      </c>
      <c r="AA5" s="147" t="str">
        <f>IF((_xlfn.XLOOKUP(Profesores[[#This Row],[Nombre]],base_de_datos[Profesor],base_de_datos[Academia],1))=Profesores[[#Headers],[MAT]],"x","")</f>
        <v/>
      </c>
      <c r="AB5" s="147" t="str">
        <f>IF((_xlfn.XLOOKUP(Profesores[[#This Row],[Nombre]],base_de_datos[Profesor],base_de_datos[Academia],1))=Profesores[[#Headers],[EMP]],"x","")</f>
        <v>x</v>
      </c>
      <c r="AC5" s="146" t="str">
        <f>IF((_xlfn.XLOOKUP(Profesores[[#This Row],[Nombre]],base_de_datos[Profesor],base_de_datos[Academia],1))=Profesores[[#Headers],[AIC]],"x","")</f>
        <v/>
      </c>
      <c r="AD5" s="146" t="str">
        <f>IF((_xlfn.XLOOKUP(Profesores[[#This Row],[Nombre]],base_de_datos[Profesor],base_de_datos[Academia],1))=Profesores[[#Headers],[ESC]],"x","")</f>
        <v/>
      </c>
      <c r="AE5" s="146" t="str">
        <f>IF((_xlfn.XLOOKUP(Profesores[[#This Row],[Nombre]],base_de_datos[Profesor],base_de_datos[Academia],1))=Profesores[[#Headers],[HUM]],"x","")</f>
        <v/>
      </c>
      <c r="AF5" s="146" t="str">
        <f>IF((_xlfn.XLOOKUP(Profesores[[#This Row],[Nombre]],base_de_datos[Profesor],base_de_datos[Academia],1))=Profesores[[#Headers],[IID]],"x","")</f>
        <v/>
      </c>
      <c r="AG5" s="146" t="str">
        <f>IF((_xlfn.XLOOKUP(Profesores[[#This Row],[Nombre]],base_de_datos[Profesor],base_de_datos[Academia],1))=Profesores[[#Headers],[BIO]],"x","")</f>
        <v/>
      </c>
      <c r="AH5" s="146" t="s">
        <v>524</v>
      </c>
      <c r="AI5" s="146" t="s">
        <v>513</v>
      </c>
      <c r="AJ5" s="146">
        <f>TRUNC(IFERROR(Profesores[[#This Row],[Ex Inglés]]*677/100,0),0)</f>
        <v>0</v>
      </c>
      <c r="AL5" s="146" t="s">
        <v>533</v>
      </c>
      <c r="AM5" s="146" t="s">
        <v>526</v>
      </c>
      <c r="AO5" s="146" t="s">
        <v>39</v>
      </c>
      <c r="AQ5" s="168" t="s">
        <v>157</v>
      </c>
      <c r="AR5" s="165">
        <v>20</v>
      </c>
      <c r="AS5" s="165"/>
      <c r="AT5" s="165">
        <v>8</v>
      </c>
      <c r="AU5" s="165">
        <v>10</v>
      </c>
      <c r="AV5" s="165"/>
      <c r="AW5" s="177" t="s">
        <v>385</v>
      </c>
      <c r="AX5" s="178">
        <v>12</v>
      </c>
    </row>
    <row r="6" spans="1:50" s="146" customFormat="1" ht="12" hidden="1" customHeight="1" x14ac:dyDescent="0.3">
      <c r="A6" s="167"/>
      <c r="B6" s="146">
        <v>35</v>
      </c>
      <c r="C6" s="146" t="s">
        <v>501</v>
      </c>
      <c r="D6" s="147" t="s">
        <v>33</v>
      </c>
      <c r="E6" s="148">
        <v>240690</v>
      </c>
      <c r="F6" s="146" t="s">
        <v>136</v>
      </c>
      <c r="G6" s="149" t="s">
        <v>534</v>
      </c>
      <c r="H6" s="149" t="s">
        <v>535</v>
      </c>
      <c r="I6" s="149" t="s">
        <v>536</v>
      </c>
      <c r="J6" s="150">
        <v>34125</v>
      </c>
      <c r="K6" s="149" t="s">
        <v>506</v>
      </c>
      <c r="L6" s="147" t="s">
        <v>507</v>
      </c>
      <c r="M6" s="151">
        <v>4495501350</v>
      </c>
      <c r="N6" s="158" t="s">
        <v>537</v>
      </c>
      <c r="O6" s="151" t="s">
        <v>538</v>
      </c>
      <c r="P6" s="147">
        <v>153</v>
      </c>
      <c r="Q6" s="146" t="s">
        <v>539</v>
      </c>
      <c r="R6" s="146" t="s">
        <v>511</v>
      </c>
      <c r="S6" s="146" t="s">
        <v>511</v>
      </c>
      <c r="T6" s="146">
        <v>20196</v>
      </c>
      <c r="U6" s="147">
        <v>1</v>
      </c>
      <c r="V6" s="147" t="str">
        <f>IF((_xlfn.XLOOKUP(Profesores[[#This Row],[Nombre]],base_de_datos[Profesor],base_de_datos[Academia],1))=Profesores[[#Headers],[MEC]],"x","")</f>
        <v/>
      </c>
      <c r="W6" s="147" t="str">
        <f>IF((_xlfn.XLOOKUP(Profesores[[#This Row],[Nombre]],base_de_datos[Profesor],base_de_datos[Academia],1))=Profesores[[#Headers],[COM]],"x","")</f>
        <v>x</v>
      </c>
      <c r="X6" s="147"/>
      <c r="Y6" s="147" t="str">
        <f>IF((_xlfn.XLOOKUP(Profesores[[#This Row],[Nombre]],base_de_datos[Profesor],base_de_datos[Academia],1))=Profesores[[#Headers],[DOP]],"x","")</f>
        <v/>
      </c>
      <c r="Z6" s="147" t="str">
        <f>IF((_xlfn.XLOOKUP(Profesores[[#This Row],[Nombre]],base_de_datos[Profesor],base_de_datos[Academia],1))=Profesores[[#Headers],[ETF]],"x","")</f>
        <v/>
      </c>
      <c r="AA6" s="147" t="str">
        <f>IF((_xlfn.XLOOKUP(Profesores[[#This Row],[Nombre]],base_de_datos[Profesor],base_de_datos[Academia],1))=Profesores[[#Headers],[MAT]],"x","")</f>
        <v/>
      </c>
      <c r="AB6" s="147" t="str">
        <f>IF((_xlfn.XLOOKUP(Profesores[[#This Row],[Nombre]],base_de_datos[Profesor],base_de_datos[Academia],1))=Profesores[[#Headers],[EMP]],"x","")</f>
        <v/>
      </c>
      <c r="AC6" s="146" t="str">
        <f>IF((_xlfn.XLOOKUP(Profesores[[#This Row],[Nombre]],base_de_datos[Profesor],base_de_datos[Academia],1))=Profesores[[#Headers],[AIC]],"x","")</f>
        <v/>
      </c>
      <c r="AD6" s="146" t="str">
        <f>IF((_xlfn.XLOOKUP(Profesores[[#This Row],[Nombre]],base_de_datos[Profesor],base_de_datos[Academia],1))=Profesores[[#Headers],[ESC]],"x","")</f>
        <v/>
      </c>
      <c r="AE6" s="146" t="str">
        <f>IF((_xlfn.XLOOKUP(Profesores[[#This Row],[Nombre]],base_de_datos[Profesor],base_de_datos[Academia],1))=Profesores[[#Headers],[HUM]],"x","")</f>
        <v/>
      </c>
      <c r="AF6" s="146" t="str">
        <f>IF((_xlfn.XLOOKUP(Profesores[[#This Row],[Nombre]],base_de_datos[Profesor],base_de_datos[Academia],1))=Profesores[[#Headers],[IID]],"x","")</f>
        <v/>
      </c>
      <c r="AG6" s="146" t="str">
        <f>IF((_xlfn.XLOOKUP(Profesores[[#This Row],[Nombre]],base_de_datos[Profesor],base_de_datos[Academia],1))=Profesores[[#Headers],[BIO]],"x","")</f>
        <v/>
      </c>
      <c r="AH6" s="146">
        <v>76.66</v>
      </c>
      <c r="AI6" s="146" t="s">
        <v>513</v>
      </c>
      <c r="AJ6" s="146">
        <f>TRUNC(IFERROR(Profesores[[#This Row],[Ex Inglés]]*677/100,0),0)</f>
        <v>518</v>
      </c>
      <c r="AL6" s="146" t="s">
        <v>540</v>
      </c>
      <c r="AM6" s="146" t="s">
        <v>540</v>
      </c>
      <c r="AO6" s="146" t="s">
        <v>31</v>
      </c>
      <c r="AQ6" s="168" t="s">
        <v>133</v>
      </c>
      <c r="AR6" s="165">
        <v>20</v>
      </c>
      <c r="AS6" s="165"/>
      <c r="AT6" s="165">
        <v>8</v>
      </c>
      <c r="AU6" s="165">
        <v>10</v>
      </c>
      <c r="AV6" s="165"/>
      <c r="AW6" s="168" t="s">
        <v>340</v>
      </c>
      <c r="AX6" s="169">
        <v>12</v>
      </c>
    </row>
    <row r="7" spans="1:50" s="203" customFormat="1" ht="12" hidden="1" customHeight="1" x14ac:dyDescent="0.3">
      <c r="B7" s="146">
        <v>36</v>
      </c>
      <c r="C7" s="146" t="s">
        <v>502</v>
      </c>
      <c r="D7" s="147" t="s">
        <v>33</v>
      </c>
      <c r="E7" s="148">
        <v>211285</v>
      </c>
      <c r="F7" s="146" t="s">
        <v>407</v>
      </c>
      <c r="G7" s="149" t="s">
        <v>541</v>
      </c>
      <c r="H7" s="149" t="s">
        <v>528</v>
      </c>
      <c r="I7" s="149" t="s">
        <v>542</v>
      </c>
      <c r="J7" s="150">
        <v>27563</v>
      </c>
      <c r="K7" s="149" t="s">
        <v>506</v>
      </c>
      <c r="L7" s="147" t="s">
        <v>507</v>
      </c>
      <c r="M7" s="151">
        <v>4499286177</v>
      </c>
      <c r="N7" s="158" t="s">
        <v>543</v>
      </c>
      <c r="O7" s="151" t="s">
        <v>544</v>
      </c>
      <c r="P7" s="147">
        <v>226</v>
      </c>
      <c r="Q7" s="146" t="s">
        <v>545</v>
      </c>
      <c r="R7" s="146" t="s">
        <v>511</v>
      </c>
      <c r="S7" s="146" t="s">
        <v>511</v>
      </c>
      <c r="T7" s="146">
        <v>20200</v>
      </c>
      <c r="U7" s="147">
        <v>1</v>
      </c>
      <c r="V7" s="147" t="str">
        <f>IF((_xlfn.XLOOKUP(Profesores[[#This Row],[Nombre]],base_de_datos[Profesor],base_de_datos[Academia],1))=Profesores[[#Headers],[MEC]],"x","")</f>
        <v/>
      </c>
      <c r="W7" s="147" t="str">
        <f>IF((_xlfn.XLOOKUP(Profesores[[#This Row],[Nombre]],base_de_datos[Profesor],base_de_datos[Academia],1))=Profesores[[#Headers],[COM]],"x","")</f>
        <v>x</v>
      </c>
      <c r="X7" s="147"/>
      <c r="Y7" s="147" t="str">
        <f>IF((_xlfn.XLOOKUP(Profesores[[#This Row],[Nombre]],base_de_datos[Profesor],base_de_datos[Academia],1))=Profesores[[#Headers],[DOP]],"x","")</f>
        <v/>
      </c>
      <c r="Z7" s="147" t="str">
        <f>IF((_xlfn.XLOOKUP(Profesores[[#This Row],[Nombre]],base_de_datos[Profesor],base_de_datos[Academia],1))=Profesores[[#Headers],[ETF]],"x","")</f>
        <v/>
      </c>
      <c r="AA7" s="147" t="str">
        <f>IF((_xlfn.XLOOKUP(Profesores[[#This Row],[Nombre]],base_de_datos[Profesor],base_de_datos[Academia],1))=Profesores[[#Headers],[MAT]],"x","")</f>
        <v/>
      </c>
      <c r="AB7" s="147" t="str">
        <f>IF((_xlfn.XLOOKUP(Profesores[[#This Row],[Nombre]],base_de_datos[Profesor],base_de_datos[Academia],1))=Profesores[[#Headers],[EMP]],"x","")</f>
        <v/>
      </c>
      <c r="AC7" s="146" t="str">
        <f>IF((_xlfn.XLOOKUP(Profesores[[#This Row],[Nombre]],base_de_datos[Profesor],base_de_datos[Academia],1))=Profesores[[#Headers],[AIC]],"x","")</f>
        <v/>
      </c>
      <c r="AD7" s="146" t="str">
        <f>IF((_xlfn.XLOOKUP(Profesores[[#This Row],[Nombre]],base_de_datos[Profesor],base_de_datos[Academia],1))=Profesores[[#Headers],[ESC]],"x","")</f>
        <v/>
      </c>
      <c r="AE7" s="146" t="str">
        <f>IF((_xlfn.XLOOKUP(Profesores[[#This Row],[Nombre]],base_de_datos[Profesor],base_de_datos[Academia],1))=Profesores[[#Headers],[HUM]],"x","")</f>
        <v/>
      </c>
      <c r="AF7" s="146" t="str">
        <f>IF((_xlfn.XLOOKUP(Profesores[[#This Row],[Nombre]],base_de_datos[Profesor],base_de_datos[Academia],1))=Profesores[[#Headers],[IID]],"x","")</f>
        <v/>
      </c>
      <c r="AG7" s="146" t="str">
        <f>IF((_xlfn.XLOOKUP(Profesores[[#This Row],[Nombre]],base_de_datos[Profesor],base_de_datos[Academia],1))=Profesores[[#Headers],[BIO]],"x","")</f>
        <v/>
      </c>
      <c r="AH7" s="146">
        <v>81.760000000000005</v>
      </c>
      <c r="AI7" s="146" t="s">
        <v>546</v>
      </c>
      <c r="AJ7" s="146">
        <f>TRUNC(IFERROR(Profesores[[#This Row],[Ex Inglés]]*677/100,0),0)</f>
        <v>553</v>
      </c>
      <c r="AL7" s="203" t="s">
        <v>547</v>
      </c>
      <c r="AM7" s="203" t="s">
        <v>33</v>
      </c>
      <c r="AQ7" s="204" t="s">
        <v>323</v>
      </c>
      <c r="AR7" s="203">
        <v>20</v>
      </c>
      <c r="AT7" s="203">
        <v>8</v>
      </c>
      <c r="AU7" s="203">
        <v>10</v>
      </c>
      <c r="AW7" s="205" t="s">
        <v>88</v>
      </c>
      <c r="AX7" s="206">
        <v>12</v>
      </c>
    </row>
    <row r="8" spans="1:50" s="146" customFormat="1" ht="12" hidden="1" customHeight="1" x14ac:dyDescent="0.3">
      <c r="B8" s="146">
        <v>37</v>
      </c>
      <c r="C8" s="146" t="s">
        <v>502</v>
      </c>
      <c r="D8" s="147" t="s">
        <v>33</v>
      </c>
      <c r="E8" s="148">
        <v>176192</v>
      </c>
      <c r="F8" s="146" t="s">
        <v>341</v>
      </c>
      <c r="G8" s="149" t="s">
        <v>548</v>
      </c>
      <c r="H8" s="149" t="s">
        <v>549</v>
      </c>
      <c r="I8" s="149" t="s">
        <v>550</v>
      </c>
      <c r="J8" s="150">
        <v>31730</v>
      </c>
      <c r="K8" s="149" t="s">
        <v>506</v>
      </c>
      <c r="L8" s="147" t="s">
        <v>507</v>
      </c>
      <c r="M8" s="151">
        <v>4491824495</v>
      </c>
      <c r="N8" s="158" t="s">
        <v>551</v>
      </c>
      <c r="O8" s="151" t="s">
        <v>552</v>
      </c>
      <c r="P8" s="147">
        <v>222</v>
      </c>
      <c r="Q8" s="146" t="s">
        <v>553</v>
      </c>
      <c r="R8" s="146" t="s">
        <v>248</v>
      </c>
      <c r="S8" s="146" t="s">
        <v>511</v>
      </c>
      <c r="T8" s="146">
        <v>20908</v>
      </c>
      <c r="U8" s="147">
        <v>2</v>
      </c>
      <c r="V8" s="147" t="str">
        <f>IF((_xlfn.XLOOKUP(Profesores[[#This Row],[Nombre]],base_de_datos[Profesor],base_de_datos[Academia],1))=Profesores[[#Headers],[MEC]],"x","")</f>
        <v/>
      </c>
      <c r="W8" s="147" t="str">
        <f>IF((_xlfn.XLOOKUP(Profesores[[#This Row],[Nombre]],base_de_datos[Profesor],base_de_datos[Academia],1))=Profesores[[#Headers],[COM]],"x","")</f>
        <v>x</v>
      </c>
      <c r="X8" s="147"/>
      <c r="Y8" s="147" t="str">
        <f>IF((_xlfn.XLOOKUP(Profesores[[#This Row],[Nombre]],base_de_datos[Profesor],base_de_datos[Academia],1))=Profesores[[#Headers],[DOP]],"x","")</f>
        <v/>
      </c>
      <c r="Z8" s="147" t="str">
        <f>IF((_xlfn.XLOOKUP(Profesores[[#This Row],[Nombre]],base_de_datos[Profesor],base_de_datos[Academia],1))=Profesores[[#Headers],[ETF]],"x","")</f>
        <v/>
      </c>
      <c r="AA8" s="147" t="str">
        <f>IF((_xlfn.XLOOKUP(Profesores[[#This Row],[Nombre]],base_de_datos[Profesor],base_de_datos[Academia],1))=Profesores[[#Headers],[MAT]],"x","")</f>
        <v/>
      </c>
      <c r="AB8" s="147" t="str">
        <f>IF((_xlfn.XLOOKUP(Profesores[[#This Row],[Nombre]],base_de_datos[Profesor],base_de_datos[Academia],1))=Profesores[[#Headers],[EMP]],"x","")</f>
        <v/>
      </c>
      <c r="AC8" s="146" t="str">
        <f>IF((_xlfn.XLOOKUP(Profesores[[#This Row],[Nombre]],base_de_datos[Profesor],base_de_datos[Academia],1))=Profesores[[#Headers],[AIC]],"x","")</f>
        <v/>
      </c>
      <c r="AD8" s="146" t="str">
        <f>IF((_xlfn.XLOOKUP(Profesores[[#This Row],[Nombre]],base_de_datos[Profesor],base_de_datos[Academia],1))=Profesores[[#Headers],[ESC]],"x","")</f>
        <v/>
      </c>
      <c r="AE8" s="146" t="str">
        <f>IF((_xlfn.XLOOKUP(Profesores[[#This Row],[Nombre]],base_de_datos[Profesor],base_de_datos[Academia],1))=Profesores[[#Headers],[HUM]],"x","")</f>
        <v/>
      </c>
      <c r="AF8" s="146" t="str">
        <f>IF((_xlfn.XLOOKUP(Profesores[[#This Row],[Nombre]],base_de_datos[Profesor],base_de_datos[Academia],1))=Profesores[[#Headers],[IID]],"x","")</f>
        <v/>
      </c>
      <c r="AG8" s="146" t="str">
        <f>IF((_xlfn.XLOOKUP(Profesores[[#This Row],[Nombre]],base_de_datos[Profesor],base_de_datos[Academia],1))=Profesores[[#Headers],[BIO]],"x","")</f>
        <v/>
      </c>
      <c r="AH8" s="146">
        <v>75.209999999999994</v>
      </c>
      <c r="AI8" s="146" t="s">
        <v>513</v>
      </c>
      <c r="AJ8" s="146">
        <f>TRUNC(IFERROR(Profesores[[#This Row],[Ex Inglés]]*677/100,0),0)</f>
        <v>509</v>
      </c>
      <c r="AQ8" s="168" t="s">
        <v>132</v>
      </c>
      <c r="AR8" s="165">
        <v>20</v>
      </c>
      <c r="AS8" s="165"/>
      <c r="AT8" s="165">
        <v>8</v>
      </c>
      <c r="AU8" s="165">
        <v>10</v>
      </c>
      <c r="AV8" s="165"/>
      <c r="AW8" s="168" t="s">
        <v>178</v>
      </c>
      <c r="AX8" s="169">
        <v>16</v>
      </c>
    </row>
    <row r="9" spans="1:50" s="203" customFormat="1" ht="12" hidden="1" customHeight="1" x14ac:dyDescent="0.3">
      <c r="B9" s="146">
        <v>38</v>
      </c>
      <c r="C9" s="146" t="s">
        <v>515</v>
      </c>
      <c r="D9" s="147" t="s">
        <v>33</v>
      </c>
      <c r="E9" s="148">
        <v>209781</v>
      </c>
      <c r="F9" s="146" t="s">
        <v>350</v>
      </c>
      <c r="G9" s="149" t="s">
        <v>554</v>
      </c>
      <c r="H9" s="149" t="s">
        <v>555</v>
      </c>
      <c r="I9" s="149" t="s">
        <v>556</v>
      </c>
      <c r="J9" s="150">
        <v>31490</v>
      </c>
      <c r="K9" s="149" t="s">
        <v>506</v>
      </c>
      <c r="L9" s="147" t="s">
        <v>507</v>
      </c>
      <c r="M9" s="151" t="s">
        <v>557</v>
      </c>
      <c r="N9" s="162" t="s">
        <v>558</v>
      </c>
      <c r="O9" s="151" t="s">
        <v>559</v>
      </c>
      <c r="P9" s="147" t="s">
        <v>560</v>
      </c>
      <c r="Q9" s="146" t="s">
        <v>561</v>
      </c>
      <c r="R9" s="146" t="s">
        <v>511</v>
      </c>
      <c r="S9" s="146" t="s">
        <v>511</v>
      </c>
      <c r="T9" s="146">
        <v>20100</v>
      </c>
      <c r="U9" s="147">
        <v>3</v>
      </c>
      <c r="V9" s="147" t="str">
        <f>IF((_xlfn.XLOOKUP(Profesores[[#This Row],[Nombre]],base_de_datos[Profesor],base_de_datos[Academia],1))=Profesores[[#Headers],[MEC]],"x","")</f>
        <v/>
      </c>
      <c r="W9" s="147" t="str">
        <f>IF((_xlfn.XLOOKUP(Profesores[[#This Row],[Nombre]],base_de_datos[Profesor],base_de_datos[Academia],1))=Profesores[[#Headers],[COM]],"x","")</f>
        <v/>
      </c>
      <c r="X9" s="147"/>
      <c r="Y9" s="147" t="str">
        <f>IF((_xlfn.XLOOKUP(Profesores[[#This Row],[Nombre]],base_de_datos[Profesor],base_de_datos[Academia],1))=Profesores[[#Headers],[DOP]],"x","")</f>
        <v/>
      </c>
      <c r="Z9" s="147" t="str">
        <f>IF((_xlfn.XLOOKUP(Profesores[[#This Row],[Nombre]],base_de_datos[Profesor],base_de_datos[Academia],1))=Profesores[[#Headers],[ETF]],"x","")</f>
        <v/>
      </c>
      <c r="AA9" s="147" t="str">
        <f>IF((_xlfn.XLOOKUP(Profesores[[#This Row],[Nombre]],base_de_datos[Profesor],base_de_datos[Academia],1))=Profesores[[#Headers],[MAT]],"x","")</f>
        <v/>
      </c>
      <c r="AB9" s="147" t="str">
        <f>IF((_xlfn.XLOOKUP(Profesores[[#This Row],[Nombre]],base_de_datos[Profesor],base_de_datos[Academia],1))=Profesores[[#Headers],[EMP]],"x","")</f>
        <v/>
      </c>
      <c r="AC9" s="146" t="str">
        <f>IF((_xlfn.XLOOKUP(Profesores[[#This Row],[Nombre]],base_de_datos[Profesor],base_de_datos[Academia],1))=Profesores[[#Headers],[AIC]],"x","")</f>
        <v/>
      </c>
      <c r="AD9" s="146" t="str">
        <f>IF((_xlfn.XLOOKUP(Profesores[[#This Row],[Nombre]],base_de_datos[Profesor],base_de_datos[Academia],1))=Profesores[[#Headers],[ESC]],"x","")</f>
        <v/>
      </c>
      <c r="AE9" s="146" t="str">
        <f>IF((_xlfn.XLOOKUP(Profesores[[#This Row],[Nombre]],base_de_datos[Profesor],base_de_datos[Academia],1))=Profesores[[#Headers],[HUM]],"x","")</f>
        <v/>
      </c>
      <c r="AF9" s="146" t="str">
        <f>IF((_xlfn.XLOOKUP(Profesores[[#This Row],[Nombre]],base_de_datos[Profesor],base_de_datos[Academia],1))=Profesores[[#Headers],[IID]],"x","")</f>
        <v>x</v>
      </c>
      <c r="AG9" s="146" t="str">
        <f>IF((_xlfn.XLOOKUP(Profesores[[#This Row],[Nombre]],base_de_datos[Profesor],base_de_datos[Academia],1))=Profesores[[#Headers],[BIO]],"x","")</f>
        <v/>
      </c>
      <c r="AH9" s="146" t="s">
        <v>524</v>
      </c>
      <c r="AI9" s="146" t="s">
        <v>513</v>
      </c>
      <c r="AJ9" s="146">
        <f>TRUNC(IFERROR(Profesores[[#This Row],[Ex Inglés]]*677/100,0),0)</f>
        <v>0</v>
      </c>
      <c r="AQ9" s="204" t="s">
        <v>235</v>
      </c>
      <c r="AR9" s="203">
        <v>20</v>
      </c>
      <c r="AT9" s="203">
        <v>8</v>
      </c>
      <c r="AU9" s="203">
        <v>10</v>
      </c>
      <c r="AW9" s="205" t="s">
        <v>116</v>
      </c>
      <c r="AX9" s="206">
        <v>16</v>
      </c>
    </row>
    <row r="10" spans="1:50" s="146" customFormat="1" ht="12" hidden="1" customHeight="1" x14ac:dyDescent="0.3">
      <c r="B10" s="146">
        <v>41</v>
      </c>
      <c r="C10" s="146" t="s">
        <v>502</v>
      </c>
      <c r="D10" s="147" t="s">
        <v>33</v>
      </c>
      <c r="E10" s="148">
        <v>155459</v>
      </c>
      <c r="F10" s="146" t="s">
        <v>128</v>
      </c>
      <c r="G10" s="149" t="s">
        <v>562</v>
      </c>
      <c r="H10" s="149" t="s">
        <v>563</v>
      </c>
      <c r="I10" s="149" t="s">
        <v>564</v>
      </c>
      <c r="J10" s="150">
        <v>18778</v>
      </c>
      <c r="K10" s="149" t="s">
        <v>506</v>
      </c>
      <c r="L10" s="147" t="s">
        <v>507</v>
      </c>
      <c r="M10" s="151">
        <v>4491963400</v>
      </c>
      <c r="N10" s="158" t="s">
        <v>565</v>
      </c>
      <c r="O10" s="151" t="s">
        <v>566</v>
      </c>
      <c r="P10" s="147">
        <v>408</v>
      </c>
      <c r="Q10" s="146" t="s">
        <v>567</v>
      </c>
      <c r="R10" s="146" t="s">
        <v>511</v>
      </c>
      <c r="S10" s="146" t="s">
        <v>511</v>
      </c>
      <c r="T10" s="146">
        <v>20100</v>
      </c>
      <c r="U10" s="147">
        <v>1</v>
      </c>
      <c r="V10" s="147" t="str">
        <f>IF((_xlfn.XLOOKUP(Profesores[[#This Row],[Nombre]],base_de_datos[Profesor],base_de_datos[Academia],1))=Profesores[[#Headers],[MEC]],"x","")</f>
        <v/>
      </c>
      <c r="W10" s="147" t="str">
        <f>IF((_xlfn.XLOOKUP(Profesores[[#This Row],[Nombre]],base_de_datos[Profesor],base_de_datos[Academia],1))=Profesores[[#Headers],[COM]],"x","")</f>
        <v/>
      </c>
      <c r="X10" s="147"/>
      <c r="Y10" s="147" t="str">
        <f>IF((_xlfn.XLOOKUP(Profesores[[#This Row],[Nombre]],base_de_datos[Profesor],base_de_datos[Academia],1))=Profesores[[#Headers],[DOP]],"x","")</f>
        <v/>
      </c>
      <c r="Z10" s="147" t="str">
        <f>IF((_xlfn.XLOOKUP(Profesores[[#This Row],[Nombre]],base_de_datos[Profesor],base_de_datos[Academia],1))=Profesores[[#Headers],[ETF]],"x","")</f>
        <v/>
      </c>
      <c r="AA10" s="147" t="str">
        <f>IF((_xlfn.XLOOKUP(Profesores[[#This Row],[Nombre]],base_de_datos[Profesor],base_de_datos[Academia],1))=Profesores[[#Headers],[MAT]],"x","")</f>
        <v/>
      </c>
      <c r="AB10" s="147" t="str">
        <f>IF((_xlfn.XLOOKUP(Profesores[[#This Row],[Nombre]],base_de_datos[Profesor],base_de_datos[Academia],1))=Profesores[[#Headers],[EMP]],"x","")</f>
        <v>x</v>
      </c>
      <c r="AC10" s="146" t="str">
        <f>IF((_xlfn.XLOOKUP(Profesores[[#This Row],[Nombre]],base_de_datos[Profesor],base_de_datos[Academia],1))=Profesores[[#Headers],[AIC]],"x","")</f>
        <v/>
      </c>
      <c r="AD10" s="146" t="str">
        <f>IF((_xlfn.XLOOKUP(Profesores[[#This Row],[Nombre]],base_de_datos[Profesor],base_de_datos[Academia],1))=Profesores[[#Headers],[ESC]],"x","")</f>
        <v/>
      </c>
      <c r="AE10" s="146" t="str">
        <f>IF((_xlfn.XLOOKUP(Profesores[[#This Row],[Nombre]],base_de_datos[Profesor],base_de_datos[Academia],1))=Profesores[[#Headers],[HUM]],"x","")</f>
        <v/>
      </c>
      <c r="AF10" s="146" t="str">
        <f>IF((_xlfn.XLOOKUP(Profesores[[#This Row],[Nombre]],base_de_datos[Profesor],base_de_datos[Academia],1))=Profesores[[#Headers],[IID]],"x","")</f>
        <v/>
      </c>
      <c r="AG10" s="146" t="str">
        <f>IF((_xlfn.XLOOKUP(Profesores[[#This Row],[Nombre]],base_de_datos[Profesor],base_de_datos[Academia],1))=Profesores[[#Headers],[BIO]],"x","")</f>
        <v/>
      </c>
      <c r="AH10" s="146" t="s">
        <v>512</v>
      </c>
      <c r="AI10" s="146" t="s">
        <v>513</v>
      </c>
      <c r="AJ10" s="146">
        <f>TRUNC(IFERROR(Profesores[[#This Row],[Ex Inglés]]*677/100,0),0)</f>
        <v>0</v>
      </c>
      <c r="AQ10" s="168" t="s">
        <v>210</v>
      </c>
      <c r="AR10" s="165">
        <v>30</v>
      </c>
      <c r="AS10" s="165"/>
      <c r="AT10" s="165">
        <v>12</v>
      </c>
      <c r="AU10" s="165">
        <v>15</v>
      </c>
      <c r="AV10" s="165"/>
      <c r="AW10" s="168" t="s">
        <v>113</v>
      </c>
      <c r="AX10" s="169">
        <v>16</v>
      </c>
    </row>
    <row r="11" spans="1:50" s="209" customFormat="1" ht="12" hidden="1" customHeight="1" x14ac:dyDescent="0.3">
      <c r="B11" s="217">
        <v>42</v>
      </c>
      <c r="C11" s="217" t="s">
        <v>502</v>
      </c>
      <c r="D11" s="238" t="s">
        <v>33</v>
      </c>
      <c r="E11" s="239">
        <v>232256</v>
      </c>
      <c r="F11" s="253" t="s">
        <v>568</v>
      </c>
      <c r="G11" s="240" t="s">
        <v>569</v>
      </c>
      <c r="H11" s="240" t="s">
        <v>570</v>
      </c>
      <c r="I11" s="240" t="s">
        <v>571</v>
      </c>
      <c r="J11" s="241">
        <v>28717</v>
      </c>
      <c r="K11" s="240" t="s">
        <v>506</v>
      </c>
      <c r="L11" s="238" t="s">
        <v>507</v>
      </c>
      <c r="M11" s="242">
        <v>4499308647</v>
      </c>
      <c r="N11" s="243" t="s">
        <v>572</v>
      </c>
      <c r="O11" s="242" t="s">
        <v>573</v>
      </c>
      <c r="P11" s="238">
        <v>118</v>
      </c>
      <c r="Q11" s="217" t="s">
        <v>574</v>
      </c>
      <c r="R11" s="217" t="s">
        <v>511</v>
      </c>
      <c r="S11" s="217" t="s">
        <v>511</v>
      </c>
      <c r="T11" s="217">
        <v>20264</v>
      </c>
      <c r="U11" s="238">
        <v>1</v>
      </c>
      <c r="V11" s="238" t="str">
        <f>IF((_xlfn.XLOOKUP(Profesores[[#This Row],[Nombre]],base_de_datos[Profesor],base_de_datos[Academia],1))=Profesores[[#Headers],[MEC]],"x","")</f>
        <v/>
      </c>
      <c r="W11" s="238" t="str">
        <f>IF((_xlfn.XLOOKUP(Profesores[[#This Row],[Nombre]],base_de_datos[Profesor],base_de_datos[Academia],1))=Profesores[[#Headers],[COM]],"x","")</f>
        <v/>
      </c>
      <c r="X11" s="238"/>
      <c r="Y11" s="238" t="str">
        <f>IF((_xlfn.XLOOKUP(Profesores[[#This Row],[Nombre]],base_de_datos[Profesor],base_de_datos[Academia],1))=Profesores[[#Headers],[DOP]],"x","")</f>
        <v/>
      </c>
      <c r="Z11" s="238" t="str">
        <f>IF((_xlfn.XLOOKUP(Profesores[[#This Row],[Nombre]],base_de_datos[Profesor],base_de_datos[Academia],1))=Profesores[[#Headers],[ETF]],"x","")</f>
        <v/>
      </c>
      <c r="AA11" s="238" t="str">
        <f>IF((_xlfn.XLOOKUP(Profesores[[#This Row],[Nombre]],base_de_datos[Profesor],base_de_datos[Academia],1))=Profesores[[#Headers],[MAT]],"x","")</f>
        <v/>
      </c>
      <c r="AB11" s="238" t="str">
        <f>IF((_xlfn.XLOOKUP(Profesores[[#This Row],[Nombre]],base_de_datos[Profesor],base_de_datos[Academia],1))=Profesores[[#Headers],[EMP]],"x","")</f>
        <v/>
      </c>
      <c r="AC11" s="217" t="str">
        <f>IF((_xlfn.XLOOKUP(Profesores[[#This Row],[Nombre]],base_de_datos[Profesor],base_de_datos[Academia],1))=Profesores[[#Headers],[AIC]],"x","")</f>
        <v/>
      </c>
      <c r="AD11" s="217" t="str">
        <f>IF((_xlfn.XLOOKUP(Profesores[[#This Row],[Nombre]],base_de_datos[Profesor],base_de_datos[Academia],1))=Profesores[[#Headers],[ESC]],"x","")</f>
        <v/>
      </c>
      <c r="AE11" s="217" t="str">
        <f>IF((_xlfn.XLOOKUP(Profesores[[#This Row],[Nombre]],base_de_datos[Profesor],base_de_datos[Academia],1))=Profesores[[#Headers],[HUM]],"x","")</f>
        <v/>
      </c>
      <c r="AF11" s="217" t="str">
        <f>IF((_xlfn.XLOOKUP(Profesores[[#This Row],[Nombre]],base_de_datos[Profesor],base_de_datos[Academia],1))=Profesores[[#Headers],[IID]],"x","")</f>
        <v/>
      </c>
      <c r="AG11" s="217" t="str">
        <f>IF((_xlfn.XLOOKUP(Profesores[[#This Row],[Nombre]],base_de_datos[Profesor],base_de_datos[Academia],1))=Profesores[[#Headers],[BIO]],"x","")</f>
        <v/>
      </c>
      <c r="AH11" s="217" t="s">
        <v>524</v>
      </c>
      <c r="AI11" s="217" t="s">
        <v>513</v>
      </c>
      <c r="AJ11" s="217">
        <f>TRUNC(IFERROR(Profesores[[#This Row],[Ex Inglés]]*677/100,0),0)</f>
        <v>0</v>
      </c>
      <c r="AQ11" s="216" t="s">
        <v>385</v>
      </c>
      <c r="AR11" s="217">
        <v>30</v>
      </c>
      <c r="AS11" s="217"/>
      <c r="AT11" s="217">
        <v>12</v>
      </c>
      <c r="AU11" s="217">
        <v>15</v>
      </c>
      <c r="AV11" s="217"/>
      <c r="AW11" s="218" t="s">
        <v>242</v>
      </c>
      <c r="AX11" s="219">
        <v>12</v>
      </c>
    </row>
    <row r="12" spans="1:50" s="146" customFormat="1" ht="12" hidden="1" customHeight="1" x14ac:dyDescent="0.3">
      <c r="B12" s="6">
        <v>44</v>
      </c>
      <c r="C12" s="146" t="s">
        <v>515</v>
      </c>
      <c r="D12" s="147" t="s">
        <v>33</v>
      </c>
      <c r="E12" s="148">
        <v>202808</v>
      </c>
      <c r="F12" s="146" t="s">
        <v>575</v>
      </c>
      <c r="G12" s="149" t="s">
        <v>576</v>
      </c>
      <c r="H12" s="149" t="s">
        <v>555</v>
      </c>
      <c r="I12" s="149" t="s">
        <v>577</v>
      </c>
      <c r="J12" s="150">
        <v>28942</v>
      </c>
      <c r="K12" s="149" t="s">
        <v>506</v>
      </c>
      <c r="L12" s="147" t="s">
        <v>507</v>
      </c>
      <c r="M12" s="151">
        <v>4491951883</v>
      </c>
      <c r="N12" s="158" t="s">
        <v>578</v>
      </c>
      <c r="O12" s="151" t="s">
        <v>579</v>
      </c>
      <c r="P12" s="147">
        <v>117</v>
      </c>
      <c r="Q12" s="146" t="s">
        <v>580</v>
      </c>
      <c r="R12" s="146" t="s">
        <v>511</v>
      </c>
      <c r="S12" s="146" t="s">
        <v>511</v>
      </c>
      <c r="T12" s="146">
        <v>20157</v>
      </c>
      <c r="U12" s="147">
        <v>1</v>
      </c>
      <c r="V12" s="147" t="str">
        <f>IF((_xlfn.XLOOKUP(Profesores[[#This Row],[Nombre]],base_de_datos[Profesor],base_de_datos[Academia],1))=Profesores[[#Headers],[MEC]],"x","")</f>
        <v/>
      </c>
      <c r="W12" s="147" t="str">
        <f>IF((_xlfn.XLOOKUP(Profesores[[#This Row],[Nombre]],base_de_datos[Profesor],base_de_datos[Academia],1))=Profesores[[#Headers],[COM]],"x","")</f>
        <v/>
      </c>
      <c r="X12" s="147"/>
      <c r="Y12" s="147" t="str">
        <f>IF((_xlfn.XLOOKUP(Profesores[[#This Row],[Nombre]],base_de_datos[Profesor],base_de_datos[Academia],1))=Profesores[[#Headers],[DOP]],"x","")</f>
        <v/>
      </c>
      <c r="Z12" s="147" t="str">
        <f>IF((_xlfn.XLOOKUP(Profesores[[#This Row],[Nombre]],base_de_datos[Profesor],base_de_datos[Academia],1))=Profesores[[#Headers],[ETF]],"x","")</f>
        <v/>
      </c>
      <c r="AA12" s="147" t="str">
        <f>IF((_xlfn.XLOOKUP(Profesores[[#This Row],[Nombre]],base_de_datos[Profesor],base_de_datos[Academia],1))=Profesores[[#Headers],[MAT]],"x","")</f>
        <v/>
      </c>
      <c r="AB12" s="147" t="str">
        <f>IF((_xlfn.XLOOKUP(Profesores[[#This Row],[Nombre]],base_de_datos[Profesor],base_de_datos[Academia],1))=Profesores[[#Headers],[EMP]],"x","")</f>
        <v/>
      </c>
      <c r="AC12" s="146" t="str">
        <f>IF((_xlfn.XLOOKUP(Profesores[[#This Row],[Nombre]],base_de_datos[Profesor],base_de_datos[Academia],1))=Profesores[[#Headers],[AIC]],"x","")</f>
        <v/>
      </c>
      <c r="AD12" s="146" t="str">
        <f>IF((_xlfn.XLOOKUP(Profesores[[#This Row],[Nombre]],base_de_datos[Profesor],base_de_datos[Academia],1))=Profesores[[#Headers],[ESC]],"x","")</f>
        <v/>
      </c>
      <c r="AE12" s="146" t="str">
        <f>IF((_xlfn.XLOOKUP(Profesores[[#This Row],[Nombre]],base_de_datos[Profesor],base_de_datos[Academia],1))=Profesores[[#Headers],[HUM]],"x","")</f>
        <v/>
      </c>
      <c r="AF12" s="146" t="str">
        <f>IF((_xlfn.XLOOKUP(Profesores[[#This Row],[Nombre]],base_de_datos[Profesor],base_de_datos[Academia],1))=Profesores[[#Headers],[IID]],"x","")</f>
        <v/>
      </c>
      <c r="AG12" s="146" t="str">
        <f>IF((_xlfn.XLOOKUP(Profesores[[#This Row],[Nombre]],base_de_datos[Profesor],base_de_datos[Academia],1))=Profesores[[#Headers],[BIO]],"x","")</f>
        <v/>
      </c>
      <c r="AH12" s="146" t="s">
        <v>581</v>
      </c>
      <c r="AI12" s="146" t="s">
        <v>513</v>
      </c>
      <c r="AJ12" s="146">
        <f>TRUNC(IFERROR(Profesores[[#This Row],[Ex Inglés]]*677/100,0),0)</f>
        <v>499</v>
      </c>
      <c r="AL12" s="146" t="s">
        <v>582</v>
      </c>
      <c r="AQ12" s="168" t="s">
        <v>340</v>
      </c>
      <c r="AR12" s="165">
        <v>30</v>
      </c>
      <c r="AS12" s="165"/>
      <c r="AT12" s="165">
        <v>12</v>
      </c>
      <c r="AU12" s="165">
        <v>15</v>
      </c>
      <c r="AV12" s="165"/>
      <c r="AW12" s="168" t="s">
        <v>98</v>
      </c>
      <c r="AX12" s="169">
        <v>12</v>
      </c>
    </row>
    <row r="13" spans="1:50" s="203" customFormat="1" ht="12" hidden="1" customHeight="1" x14ac:dyDescent="0.3">
      <c r="B13" s="146">
        <v>45</v>
      </c>
      <c r="C13" s="146" t="s">
        <v>501</v>
      </c>
      <c r="D13" s="147" t="s">
        <v>33</v>
      </c>
      <c r="E13" s="148">
        <v>203580</v>
      </c>
      <c r="F13" s="146" t="s">
        <v>161</v>
      </c>
      <c r="G13" s="149" t="s">
        <v>583</v>
      </c>
      <c r="H13" s="149" t="s">
        <v>584</v>
      </c>
      <c r="I13" s="149" t="s">
        <v>585</v>
      </c>
      <c r="J13" s="150">
        <v>31459</v>
      </c>
      <c r="K13" s="149" t="s">
        <v>506</v>
      </c>
      <c r="L13" s="147" t="s">
        <v>507</v>
      </c>
      <c r="M13" s="151">
        <v>4491571809</v>
      </c>
      <c r="N13" s="158" t="s">
        <v>586</v>
      </c>
      <c r="O13" s="151" t="s">
        <v>587</v>
      </c>
      <c r="P13" s="147">
        <v>316</v>
      </c>
      <c r="Q13" s="146" t="s">
        <v>588</v>
      </c>
      <c r="R13" s="146" t="s">
        <v>511</v>
      </c>
      <c r="S13" s="146" t="s">
        <v>511</v>
      </c>
      <c r="T13" s="146">
        <v>20180</v>
      </c>
      <c r="U13" s="147">
        <v>2</v>
      </c>
      <c r="V13" s="147" t="str">
        <f>IF((_xlfn.XLOOKUP(Profesores[[#This Row],[Nombre]],base_de_datos[Profesor],base_de_datos[Academia],1))=Profesores[[#Headers],[MEC]],"x","")</f>
        <v/>
      </c>
      <c r="W13" s="147" t="str">
        <f>IF((_xlfn.XLOOKUP(Profesores[[#This Row],[Nombre]],base_de_datos[Profesor],base_de_datos[Academia],1))=Profesores[[#Headers],[COM]],"x","")</f>
        <v/>
      </c>
      <c r="X13" s="147"/>
      <c r="Y13" s="147" t="str">
        <f>IF((_xlfn.XLOOKUP(Profesores[[#This Row],[Nombre]],base_de_datos[Profesor],base_de_datos[Academia],1))=Profesores[[#Headers],[DOP]],"x","")</f>
        <v/>
      </c>
      <c r="Z13" s="147" t="str">
        <f>IF((_xlfn.XLOOKUP(Profesores[[#This Row],[Nombre]],base_de_datos[Profesor],base_de_datos[Academia],1))=Profesores[[#Headers],[ETF]],"x","")</f>
        <v/>
      </c>
      <c r="AA13" s="147" t="str">
        <f>IF((_xlfn.XLOOKUP(Profesores[[#This Row],[Nombre]],base_de_datos[Profesor],base_de_datos[Academia],1))=Profesores[[#Headers],[MAT]],"x","")</f>
        <v/>
      </c>
      <c r="AB13" s="147" t="str">
        <f>IF((_xlfn.XLOOKUP(Profesores[[#This Row],[Nombre]],base_de_datos[Profesor],base_de_datos[Academia],1))=Profesores[[#Headers],[EMP]],"x","")</f>
        <v/>
      </c>
      <c r="AC13" s="146" t="str">
        <f>IF((_xlfn.XLOOKUP(Profesores[[#This Row],[Nombre]],base_de_datos[Profesor],base_de_datos[Academia],1))=Profesores[[#Headers],[AIC]],"x","")</f>
        <v/>
      </c>
      <c r="AD13" s="146" t="str">
        <f>IF((_xlfn.XLOOKUP(Profesores[[#This Row],[Nombre]],base_de_datos[Profesor],base_de_datos[Academia],1))=Profesores[[#Headers],[ESC]],"x","")</f>
        <v/>
      </c>
      <c r="AE13" s="146" t="str">
        <f>IF((_xlfn.XLOOKUP(Profesores[[#This Row],[Nombre]],base_de_datos[Profesor],base_de_datos[Academia],1))=Profesores[[#Headers],[HUM]],"x","")</f>
        <v/>
      </c>
      <c r="AF13" s="146" t="str">
        <f>IF((_xlfn.XLOOKUP(Profesores[[#This Row],[Nombre]],base_de_datos[Profesor],base_de_datos[Academia],1))=Profesores[[#Headers],[IID]],"x","")</f>
        <v/>
      </c>
      <c r="AG13" s="146" t="str">
        <f>IF((_xlfn.XLOOKUP(Profesores[[#This Row],[Nombre]],base_de_datos[Profesor],base_de_datos[Academia],1))=Profesores[[#Headers],[BIO]],"x","")</f>
        <v>x</v>
      </c>
      <c r="AH13" s="146" t="s">
        <v>524</v>
      </c>
      <c r="AI13" s="146" t="s">
        <v>513</v>
      </c>
      <c r="AJ13" s="146">
        <f>TRUNC(IFERROR(Profesores[[#This Row],[Ex Inglés]]*677/100,0),0)</f>
        <v>0</v>
      </c>
      <c r="AL13" s="208" t="s">
        <v>589</v>
      </c>
      <c r="AM13" s="208" t="s">
        <v>590</v>
      </c>
      <c r="AN13" s="208">
        <v>25</v>
      </c>
      <c r="AQ13" s="204" t="s">
        <v>88</v>
      </c>
      <c r="AR13" s="203">
        <v>30</v>
      </c>
      <c r="AT13" s="203">
        <v>12</v>
      </c>
      <c r="AU13" s="203">
        <v>15</v>
      </c>
      <c r="AW13" s="205" t="s">
        <v>144</v>
      </c>
      <c r="AX13" s="206">
        <v>12</v>
      </c>
    </row>
    <row r="14" spans="1:50" s="247" customFormat="1" ht="12" hidden="1" customHeight="1" x14ac:dyDescent="0.3">
      <c r="B14" s="209">
        <v>46</v>
      </c>
      <c r="C14" s="209" t="s">
        <v>502</v>
      </c>
      <c r="D14" s="210" t="s">
        <v>33</v>
      </c>
      <c r="E14" s="211">
        <v>194480</v>
      </c>
      <c r="F14" s="209" t="s">
        <v>591</v>
      </c>
      <c r="G14" s="212" t="s">
        <v>592</v>
      </c>
      <c r="H14" s="212" t="s">
        <v>593</v>
      </c>
      <c r="I14" s="212" t="s">
        <v>594</v>
      </c>
      <c r="J14" s="220">
        <v>29299</v>
      </c>
      <c r="K14" s="212" t="s">
        <v>506</v>
      </c>
      <c r="L14" s="210" t="s">
        <v>507</v>
      </c>
      <c r="M14" s="213">
        <v>4498907348</v>
      </c>
      <c r="N14" s="214" t="s">
        <v>595</v>
      </c>
      <c r="O14" s="213" t="s">
        <v>596</v>
      </c>
      <c r="P14" s="210" t="s">
        <v>597</v>
      </c>
      <c r="Q14" s="209" t="s">
        <v>598</v>
      </c>
      <c r="R14" s="209" t="s">
        <v>511</v>
      </c>
      <c r="S14" s="209" t="s">
        <v>511</v>
      </c>
      <c r="T14" s="209">
        <v>20060</v>
      </c>
      <c r="U14" s="210">
        <v>2</v>
      </c>
      <c r="V14" s="210" t="str">
        <f>IF((_xlfn.XLOOKUP(Profesores[[#This Row],[Nombre]],base_de_datos[Profesor],base_de_datos[Academia],1))=Profesores[[#Headers],[MEC]],"x","")</f>
        <v/>
      </c>
      <c r="W14" s="210" t="str">
        <f>IF((_xlfn.XLOOKUP(Profesores[[#This Row],[Nombre]],base_de_datos[Profesor],base_de_datos[Academia],1))=Profesores[[#Headers],[COM]],"x","")</f>
        <v/>
      </c>
      <c r="X14" s="210"/>
      <c r="Y14" s="210" t="str">
        <f>IF((_xlfn.XLOOKUP(Profesores[[#This Row],[Nombre]],base_de_datos[Profesor],base_de_datos[Academia],1))=Profesores[[#Headers],[DOP]],"x","")</f>
        <v/>
      </c>
      <c r="Z14" s="210" t="str">
        <f>IF((_xlfn.XLOOKUP(Profesores[[#This Row],[Nombre]],base_de_datos[Profesor],base_de_datos[Academia],1))=Profesores[[#Headers],[ETF]],"x","")</f>
        <v/>
      </c>
      <c r="AA14" s="210" t="str">
        <f>IF((_xlfn.XLOOKUP(Profesores[[#This Row],[Nombre]],base_de_datos[Profesor],base_de_datos[Academia],1))=Profesores[[#Headers],[MAT]],"x","")</f>
        <v/>
      </c>
      <c r="AB14" s="210" t="str">
        <f>IF((_xlfn.XLOOKUP(Profesores[[#This Row],[Nombre]],base_de_datos[Profesor],base_de_datos[Academia],1))=Profesores[[#Headers],[EMP]],"x","")</f>
        <v/>
      </c>
      <c r="AC14" s="209" t="str">
        <f>IF((_xlfn.XLOOKUP(Profesores[[#This Row],[Nombre]],base_de_datos[Profesor],base_de_datos[Academia],1))=Profesores[[#Headers],[AIC]],"x","")</f>
        <v/>
      </c>
      <c r="AD14" s="209" t="str">
        <f>IF((_xlfn.XLOOKUP(Profesores[[#This Row],[Nombre]],base_de_datos[Profesor],base_de_datos[Academia],1))=Profesores[[#Headers],[ESC]],"x","")</f>
        <v/>
      </c>
      <c r="AE14" s="209" t="str">
        <f>IF((_xlfn.XLOOKUP(Profesores[[#This Row],[Nombre]],base_de_datos[Profesor],base_de_datos[Academia],1))=Profesores[[#Headers],[HUM]],"x","")</f>
        <v/>
      </c>
      <c r="AF14" s="209" t="str">
        <f>IF((_xlfn.XLOOKUP(Profesores[[#This Row],[Nombre]],base_de_datos[Profesor],base_de_datos[Academia],1))=Profesores[[#Headers],[IID]],"x","")</f>
        <v/>
      </c>
      <c r="AG14" s="209" t="str">
        <f>IF((_xlfn.XLOOKUP(Profesores[[#This Row],[Nombre]],base_de_datos[Profesor],base_de_datos[Academia],1))=Profesores[[#Headers],[BIO]],"x","")</f>
        <v/>
      </c>
      <c r="AH14" s="209" t="s">
        <v>524</v>
      </c>
      <c r="AI14" s="209" t="s">
        <v>513</v>
      </c>
      <c r="AJ14" s="209">
        <f>TRUNC(IFERROR(Profesores[[#This Row],[Ex Inglés]]*677/100,0),0)</f>
        <v>0</v>
      </c>
      <c r="AL14" s="254" t="s">
        <v>589</v>
      </c>
      <c r="AM14" s="254" t="s">
        <v>599</v>
      </c>
      <c r="AN14" s="254">
        <v>20</v>
      </c>
      <c r="AQ14" s="255" t="s">
        <v>109</v>
      </c>
      <c r="AR14" s="247">
        <v>40</v>
      </c>
      <c r="AT14" s="247">
        <v>12</v>
      </c>
      <c r="AU14" s="247">
        <v>16</v>
      </c>
      <c r="AW14" s="255" t="s">
        <v>256</v>
      </c>
      <c r="AX14" s="256">
        <v>12</v>
      </c>
    </row>
    <row r="15" spans="1:50" s="209" customFormat="1" ht="12" hidden="1" customHeight="1" x14ac:dyDescent="0.3">
      <c r="B15" s="146">
        <v>47</v>
      </c>
      <c r="C15" s="146" t="s">
        <v>502</v>
      </c>
      <c r="D15" s="147" t="s">
        <v>33</v>
      </c>
      <c r="E15" s="148">
        <v>148722</v>
      </c>
      <c r="F15" s="146" t="s">
        <v>243</v>
      </c>
      <c r="G15" s="149" t="s">
        <v>600</v>
      </c>
      <c r="H15" s="149" t="s">
        <v>528</v>
      </c>
      <c r="I15" s="149" t="s">
        <v>601</v>
      </c>
      <c r="J15" s="150">
        <v>21430</v>
      </c>
      <c r="K15" s="149" t="s">
        <v>506</v>
      </c>
      <c r="L15" s="147" t="s">
        <v>507</v>
      </c>
      <c r="M15" s="151">
        <v>4491123225</v>
      </c>
      <c r="N15" s="158" t="s">
        <v>602</v>
      </c>
      <c r="O15" s="151" t="s">
        <v>603</v>
      </c>
      <c r="P15" s="147">
        <v>212</v>
      </c>
      <c r="Q15" s="146" t="s">
        <v>604</v>
      </c>
      <c r="R15" s="146" t="s">
        <v>511</v>
      </c>
      <c r="S15" s="146" t="s">
        <v>511</v>
      </c>
      <c r="T15" s="146">
        <v>20000</v>
      </c>
      <c r="U15" s="147">
        <v>3</v>
      </c>
      <c r="V15" s="147" t="str">
        <f>IF((_xlfn.XLOOKUP(Profesores[[#This Row],[Nombre]],base_de_datos[Profesor],base_de_datos[Academia],1))=Profesores[[#Headers],[MEC]],"x","")</f>
        <v>x</v>
      </c>
      <c r="W15" s="147" t="str">
        <f>IF((_xlfn.XLOOKUP(Profesores[[#This Row],[Nombre]],base_de_datos[Profesor],base_de_datos[Academia],1))=Profesores[[#Headers],[COM]],"x","")</f>
        <v/>
      </c>
      <c r="X15" s="147"/>
      <c r="Y15" s="147" t="str">
        <f>IF((_xlfn.XLOOKUP(Profesores[[#This Row],[Nombre]],base_de_datos[Profesor],base_de_datos[Academia],1))=Profesores[[#Headers],[DOP]],"x","")</f>
        <v/>
      </c>
      <c r="Z15" s="147" t="str">
        <f>IF((_xlfn.XLOOKUP(Profesores[[#This Row],[Nombre]],base_de_datos[Profesor],base_de_datos[Academia],1))=Profesores[[#Headers],[ETF]],"x","")</f>
        <v/>
      </c>
      <c r="AA15" s="147" t="str">
        <f>IF((_xlfn.XLOOKUP(Profesores[[#This Row],[Nombre]],base_de_datos[Profesor],base_de_datos[Academia],1))=Profesores[[#Headers],[MAT]],"x","")</f>
        <v/>
      </c>
      <c r="AB15" s="147" t="str">
        <f>IF((_xlfn.XLOOKUP(Profesores[[#This Row],[Nombre]],base_de_datos[Profesor],base_de_datos[Academia],1))=Profesores[[#Headers],[EMP]],"x","")</f>
        <v/>
      </c>
      <c r="AC15" s="146" t="str">
        <f>IF((_xlfn.XLOOKUP(Profesores[[#This Row],[Nombre]],base_de_datos[Profesor],base_de_datos[Academia],1))=Profesores[[#Headers],[AIC]],"x","")</f>
        <v/>
      </c>
      <c r="AD15" s="146" t="str">
        <f>IF((_xlfn.XLOOKUP(Profesores[[#This Row],[Nombre]],base_de_datos[Profesor],base_de_datos[Academia],1))=Profesores[[#Headers],[ESC]],"x","")</f>
        <v/>
      </c>
      <c r="AE15" s="146" t="str">
        <f>IF((_xlfn.XLOOKUP(Profesores[[#This Row],[Nombre]],base_de_datos[Profesor],base_de_datos[Academia],1))=Profesores[[#Headers],[HUM]],"x","")</f>
        <v/>
      </c>
      <c r="AF15" s="146" t="str">
        <f>IF((_xlfn.XLOOKUP(Profesores[[#This Row],[Nombre]],base_de_datos[Profesor],base_de_datos[Academia],1))=Profesores[[#Headers],[IID]],"x","")</f>
        <v/>
      </c>
      <c r="AG15" s="146" t="str">
        <f>IF((_xlfn.XLOOKUP(Profesores[[#This Row],[Nombre]],base_de_datos[Profesor],base_de_datos[Academia],1))=Profesores[[#Headers],[BIO]],"x","")</f>
        <v/>
      </c>
      <c r="AH15" s="146" t="s">
        <v>524</v>
      </c>
      <c r="AI15" s="146" t="s">
        <v>513</v>
      </c>
      <c r="AJ15" s="146">
        <f>TRUNC(IFERROR(Profesores[[#This Row],[Ex Inglés]]*677/100,0),0)</f>
        <v>0</v>
      </c>
      <c r="AL15" s="215" t="s">
        <v>589</v>
      </c>
      <c r="AM15" s="215" t="s">
        <v>605</v>
      </c>
      <c r="AN15" s="215">
        <v>18</v>
      </c>
      <c r="AQ15" s="216" t="s">
        <v>606</v>
      </c>
      <c r="AR15" s="209">
        <v>7</v>
      </c>
      <c r="AS15" s="217"/>
      <c r="AT15" s="217">
        <v>7</v>
      </c>
      <c r="AU15" s="217">
        <v>9</v>
      </c>
      <c r="AV15" s="217"/>
      <c r="AW15" s="218" t="s">
        <v>258</v>
      </c>
      <c r="AX15" s="219">
        <v>12</v>
      </c>
    </row>
    <row r="16" spans="1:50" s="209" customFormat="1" ht="12" hidden="1" customHeight="1" x14ac:dyDescent="0.3">
      <c r="B16" s="6">
        <v>48</v>
      </c>
      <c r="C16" s="146" t="s">
        <v>526</v>
      </c>
      <c r="D16" s="147" t="s">
        <v>33</v>
      </c>
      <c r="E16" s="148">
        <v>239904</v>
      </c>
      <c r="F16" s="146" t="s">
        <v>295</v>
      </c>
      <c r="G16" s="149" t="s">
        <v>607</v>
      </c>
      <c r="H16" s="149" t="s">
        <v>608</v>
      </c>
      <c r="I16" s="149" t="s">
        <v>609</v>
      </c>
      <c r="J16" s="150">
        <v>28538</v>
      </c>
      <c r="K16" s="149" t="s">
        <v>506</v>
      </c>
      <c r="L16" s="147" t="s">
        <v>507</v>
      </c>
      <c r="M16" s="151">
        <v>4491960887</v>
      </c>
      <c r="N16" s="158" t="s">
        <v>610</v>
      </c>
      <c r="O16" s="190" t="s">
        <v>611</v>
      </c>
      <c r="P16" s="164">
        <v>130</v>
      </c>
      <c r="Q16" s="165" t="s">
        <v>612</v>
      </c>
      <c r="R16" s="146" t="s">
        <v>511</v>
      </c>
      <c r="S16" s="146" t="s">
        <v>511</v>
      </c>
      <c r="T16" s="146">
        <v>20296</v>
      </c>
      <c r="U16" s="147">
        <v>1</v>
      </c>
      <c r="V16" s="147" t="str">
        <f>IF((_xlfn.XLOOKUP(Profesores[[#This Row],[Nombre]],base_de_datos[Profesor],base_de_datos[Academia],1))=Profesores[[#Headers],[MEC]],"x","")</f>
        <v/>
      </c>
      <c r="W16" s="147" t="str">
        <f>IF((_xlfn.XLOOKUP(Profesores[[#This Row],[Nombre]],base_de_datos[Profesor],base_de_datos[Academia],1))=Profesores[[#Headers],[COM]],"x","")</f>
        <v/>
      </c>
      <c r="X16" s="147"/>
      <c r="Y16" s="147" t="str">
        <f>IF((_xlfn.XLOOKUP(Profesores[[#This Row],[Nombre]],base_de_datos[Profesor],base_de_datos[Academia],1))=Profesores[[#Headers],[DOP]],"x","")</f>
        <v/>
      </c>
      <c r="Z16" s="147" t="str">
        <f>IF((_xlfn.XLOOKUP(Profesores[[#This Row],[Nombre]],base_de_datos[Profesor],base_de_datos[Academia],1))=Profesores[[#Headers],[ETF]],"x","")</f>
        <v/>
      </c>
      <c r="AA16" s="147" t="str">
        <f>IF((_xlfn.XLOOKUP(Profesores[[#This Row],[Nombre]],base_de_datos[Profesor],base_de_datos[Academia],1))=Profesores[[#Headers],[MAT]],"x","")</f>
        <v/>
      </c>
      <c r="AB16" s="147" t="str">
        <f>IF((_xlfn.XLOOKUP(Profesores[[#This Row],[Nombre]],base_de_datos[Profesor],base_de_datos[Academia],1))=Profesores[[#Headers],[EMP]],"x","")</f>
        <v/>
      </c>
      <c r="AC16" s="146" t="str">
        <f>IF((_xlfn.XLOOKUP(Profesores[[#This Row],[Nombre]],base_de_datos[Profesor],base_de_datos[Academia],1))=Profesores[[#Headers],[AIC]],"x","")</f>
        <v/>
      </c>
      <c r="AD16" s="146" t="str">
        <f>IF((_xlfn.XLOOKUP(Profesores[[#This Row],[Nombre]],base_de_datos[Profesor],base_de_datos[Academia],1))=Profesores[[#Headers],[ESC]],"x","")</f>
        <v/>
      </c>
      <c r="AE16" s="146" t="str">
        <f>IF((_xlfn.XLOOKUP(Profesores[[#This Row],[Nombre]],base_de_datos[Profesor],base_de_datos[Academia],1))=Profesores[[#Headers],[HUM]],"x","")</f>
        <v/>
      </c>
      <c r="AF16" s="146" t="str">
        <f>IF((_xlfn.XLOOKUP(Profesores[[#This Row],[Nombre]],base_de_datos[Profesor],base_de_datos[Academia],1))=Profesores[[#Headers],[IID]],"x","")</f>
        <v>x</v>
      </c>
      <c r="AG16" s="146" t="str">
        <f>IF((_xlfn.XLOOKUP(Profesores[[#This Row],[Nombre]],base_de_datos[Profesor],base_de_datos[Academia],1))=Profesores[[#Headers],[BIO]],"x","")</f>
        <v/>
      </c>
      <c r="AH16" s="146" t="s">
        <v>524</v>
      </c>
      <c r="AI16" s="146" t="s">
        <v>513</v>
      </c>
      <c r="AJ16" s="146">
        <f>TRUNC(IFERROR(Profesores[[#This Row],[Ex Inglés]]*677/100,0),0)</f>
        <v>0</v>
      </c>
      <c r="AL16" s="215" t="s">
        <v>589</v>
      </c>
      <c r="AM16" s="215" t="s">
        <v>613</v>
      </c>
      <c r="AN16" s="215">
        <v>16</v>
      </c>
      <c r="AQ16" s="216" t="s">
        <v>175</v>
      </c>
      <c r="AR16" s="217">
        <v>60</v>
      </c>
      <c r="AS16" s="217"/>
      <c r="AT16" s="217">
        <v>36</v>
      </c>
      <c r="AU16" s="217">
        <v>36</v>
      </c>
      <c r="AV16" s="217"/>
      <c r="AW16" s="216" t="s">
        <v>223</v>
      </c>
      <c r="AX16" s="237">
        <v>18</v>
      </c>
    </row>
    <row r="17" spans="2:50" s="183" customFormat="1" ht="12" hidden="1" customHeight="1" x14ac:dyDescent="0.3">
      <c r="B17" s="146">
        <v>49</v>
      </c>
      <c r="C17" s="146" t="s">
        <v>502</v>
      </c>
      <c r="D17" s="147" t="s">
        <v>33</v>
      </c>
      <c r="E17" s="148">
        <v>240670</v>
      </c>
      <c r="F17" s="146" t="s">
        <v>410</v>
      </c>
      <c r="G17" s="149" t="s">
        <v>614</v>
      </c>
      <c r="H17" s="149" t="s">
        <v>615</v>
      </c>
      <c r="I17" s="149" t="s">
        <v>536</v>
      </c>
      <c r="J17" s="150">
        <v>33283</v>
      </c>
      <c r="K17" s="149" t="s">
        <v>506</v>
      </c>
      <c r="L17" s="147" t="s">
        <v>507</v>
      </c>
      <c r="M17" s="151">
        <v>4491508058</v>
      </c>
      <c r="N17" s="158" t="s">
        <v>616</v>
      </c>
      <c r="O17" s="151" t="s">
        <v>617</v>
      </c>
      <c r="P17" s="147">
        <v>507</v>
      </c>
      <c r="Q17" s="146" t="s">
        <v>618</v>
      </c>
      <c r="R17" s="146" t="s">
        <v>511</v>
      </c>
      <c r="S17" s="146" t="s">
        <v>511</v>
      </c>
      <c r="T17" s="146">
        <v>20089</v>
      </c>
      <c r="U17" s="147">
        <v>1</v>
      </c>
      <c r="V17" s="147" t="str">
        <f>IF((_xlfn.XLOOKUP(Profesores[[#This Row],[Nombre]],base_de_datos[Profesor],base_de_datos[Academia],1))=Profesores[[#Headers],[MEC]],"x","")</f>
        <v/>
      </c>
      <c r="W17" s="147" t="str">
        <f>IF((_xlfn.XLOOKUP(Profesores[[#This Row],[Nombre]],base_de_datos[Profesor],base_de_datos[Academia],1))=Profesores[[#Headers],[COM]],"x","")</f>
        <v>x</v>
      </c>
      <c r="X17" s="147"/>
      <c r="Y17" s="147" t="str">
        <f>IF((_xlfn.XLOOKUP(Profesores[[#This Row],[Nombre]],base_de_datos[Profesor],base_de_datos[Academia],1))=Profesores[[#Headers],[DOP]],"x","")</f>
        <v/>
      </c>
      <c r="Z17" s="147" t="str">
        <f>IF((_xlfn.XLOOKUP(Profesores[[#This Row],[Nombre]],base_de_datos[Profesor],base_de_datos[Academia],1))=Profesores[[#Headers],[ETF]],"x","")</f>
        <v/>
      </c>
      <c r="AA17" s="147" t="str">
        <f>IF((_xlfn.XLOOKUP(Profesores[[#This Row],[Nombre]],base_de_datos[Profesor],base_de_datos[Academia],1))=Profesores[[#Headers],[MAT]],"x","")</f>
        <v/>
      </c>
      <c r="AB17" s="147" t="str">
        <f>IF((_xlfn.XLOOKUP(Profesores[[#This Row],[Nombre]],base_de_datos[Profesor],base_de_datos[Academia],1))=Profesores[[#Headers],[EMP]],"x","")</f>
        <v/>
      </c>
      <c r="AC17" s="146" t="str">
        <f>IF((_xlfn.XLOOKUP(Profesores[[#This Row],[Nombre]],base_de_datos[Profesor],base_de_datos[Academia],1))=Profesores[[#Headers],[AIC]],"x","")</f>
        <v/>
      </c>
      <c r="AD17" s="146" t="str">
        <f>IF((_xlfn.XLOOKUP(Profesores[[#This Row],[Nombre]],base_de_datos[Profesor],base_de_datos[Academia],1))=Profesores[[#Headers],[ESC]],"x","")</f>
        <v/>
      </c>
      <c r="AE17" s="146" t="str">
        <f>IF((_xlfn.XLOOKUP(Profesores[[#This Row],[Nombre]],base_de_datos[Profesor],base_de_datos[Academia],1))=Profesores[[#Headers],[HUM]],"x","")</f>
        <v/>
      </c>
      <c r="AF17" s="146" t="str">
        <f>IF((_xlfn.XLOOKUP(Profesores[[#This Row],[Nombre]],base_de_datos[Profesor],base_de_datos[Academia],1))=Profesores[[#Headers],[IID]],"x","")</f>
        <v/>
      </c>
      <c r="AG17" s="146" t="str">
        <f>IF((_xlfn.XLOOKUP(Profesores[[#This Row],[Nombre]],base_de_datos[Profesor],base_de_datos[Academia],1))=Profesores[[#Headers],[BIO]],"x","")</f>
        <v/>
      </c>
      <c r="AH17" s="146" t="s">
        <v>619</v>
      </c>
      <c r="AI17" s="146" t="s">
        <v>513</v>
      </c>
      <c r="AJ17" s="146">
        <f>TRUNC(IFERROR(Profesores[[#This Row],[Ex Inglés]]*677/100,0),0)</f>
        <v>267</v>
      </c>
      <c r="AL17" s="184" t="s">
        <v>589</v>
      </c>
      <c r="AM17" s="184" t="s">
        <v>620</v>
      </c>
      <c r="AN17" s="184">
        <v>16</v>
      </c>
      <c r="AQ17" s="186" t="s">
        <v>621</v>
      </c>
      <c r="AR17" s="185">
        <v>25</v>
      </c>
      <c r="AS17" s="185"/>
      <c r="AT17" s="185">
        <v>12</v>
      </c>
      <c r="AU17" s="185">
        <v>15</v>
      </c>
      <c r="AV17" s="185"/>
      <c r="AW17" s="187" t="s">
        <v>229</v>
      </c>
      <c r="AX17" s="188">
        <v>11</v>
      </c>
    </row>
    <row r="18" spans="2:50" s="146" customFormat="1" ht="12" hidden="1" customHeight="1" x14ac:dyDescent="0.3">
      <c r="B18" s="6">
        <v>50</v>
      </c>
      <c r="C18" s="146" t="s">
        <v>515</v>
      </c>
      <c r="D18" s="147" t="s">
        <v>33</v>
      </c>
      <c r="E18" s="148">
        <v>157312</v>
      </c>
      <c r="F18" s="146" t="s">
        <v>155</v>
      </c>
      <c r="G18" s="149" t="s">
        <v>622</v>
      </c>
      <c r="H18" s="149" t="s">
        <v>623</v>
      </c>
      <c r="I18" s="149" t="s">
        <v>624</v>
      </c>
      <c r="J18" s="150">
        <v>34101</v>
      </c>
      <c r="K18" s="149" t="s">
        <v>506</v>
      </c>
      <c r="L18" s="147" t="s">
        <v>507</v>
      </c>
      <c r="M18" s="151">
        <v>4493290726</v>
      </c>
      <c r="N18" s="158" t="s">
        <v>625</v>
      </c>
      <c r="O18" s="151" t="s">
        <v>626</v>
      </c>
      <c r="P18" s="147">
        <v>504</v>
      </c>
      <c r="Q18" s="146" t="s">
        <v>627</v>
      </c>
      <c r="R18" s="146" t="s">
        <v>511</v>
      </c>
      <c r="S18" s="146" t="s">
        <v>511</v>
      </c>
      <c r="T18" s="146">
        <v>20126</v>
      </c>
      <c r="U18" s="147">
        <v>1</v>
      </c>
      <c r="V18" s="147" t="str">
        <f>IF((_xlfn.XLOOKUP(Profesores[[#This Row],[Nombre]],base_de_datos[Profesor],base_de_datos[Academia],1))=Profesores[[#Headers],[MEC]],"x","")</f>
        <v/>
      </c>
      <c r="W18" s="147" t="str">
        <f>IF((_xlfn.XLOOKUP(Profesores[[#This Row],[Nombre]],base_de_datos[Profesor],base_de_datos[Academia],1))=Profesores[[#Headers],[COM]],"x","")</f>
        <v>x</v>
      </c>
      <c r="X18" s="147"/>
      <c r="Y18" s="147" t="str">
        <f>IF((_xlfn.XLOOKUP(Profesores[[#This Row],[Nombre]],base_de_datos[Profesor],base_de_datos[Academia],1))=Profesores[[#Headers],[DOP]],"x","")</f>
        <v/>
      </c>
      <c r="Z18" s="147" t="str">
        <f>IF((_xlfn.XLOOKUP(Profesores[[#This Row],[Nombre]],base_de_datos[Profesor],base_de_datos[Academia],1))=Profesores[[#Headers],[ETF]],"x","")</f>
        <v/>
      </c>
      <c r="AA18" s="147" t="str">
        <f>IF((_xlfn.XLOOKUP(Profesores[[#This Row],[Nombre]],base_de_datos[Profesor],base_de_datos[Academia],1))=Profesores[[#Headers],[MAT]],"x","")</f>
        <v/>
      </c>
      <c r="AB18" s="147" t="str">
        <f>IF((_xlfn.XLOOKUP(Profesores[[#This Row],[Nombre]],base_de_datos[Profesor],base_de_datos[Academia],1))=Profesores[[#Headers],[EMP]],"x","")</f>
        <v/>
      </c>
      <c r="AC18" s="146" t="str">
        <f>IF((_xlfn.XLOOKUP(Profesores[[#This Row],[Nombre]],base_de_datos[Profesor],base_de_datos[Academia],1))=Profesores[[#Headers],[AIC]],"x","")</f>
        <v/>
      </c>
      <c r="AD18" s="146" t="str">
        <f>IF((_xlfn.XLOOKUP(Profesores[[#This Row],[Nombre]],base_de_datos[Profesor],base_de_datos[Academia],1))=Profesores[[#Headers],[ESC]],"x","")</f>
        <v/>
      </c>
      <c r="AE18" s="146" t="str">
        <f>IF((_xlfn.XLOOKUP(Profesores[[#This Row],[Nombre]],base_de_datos[Profesor],base_de_datos[Academia],1))=Profesores[[#Headers],[HUM]],"x","")</f>
        <v/>
      </c>
      <c r="AF18" s="146" t="str">
        <f>IF((_xlfn.XLOOKUP(Profesores[[#This Row],[Nombre]],base_de_datos[Profesor],base_de_datos[Academia],1))=Profesores[[#Headers],[IID]],"x","")</f>
        <v/>
      </c>
      <c r="AG18" s="146" t="str">
        <f>IF((_xlfn.XLOOKUP(Profesores[[#This Row],[Nombre]],base_de_datos[Profesor],base_de_datos[Academia],1))=Profesores[[#Headers],[BIO]],"x","")</f>
        <v/>
      </c>
      <c r="AH18" s="146" t="s">
        <v>628</v>
      </c>
      <c r="AI18" s="146" t="s">
        <v>513</v>
      </c>
      <c r="AJ18" s="146">
        <f>TRUNC(IFERROR(Profesores[[#This Row],[Ex Inglés]]*677/100,0),0)</f>
        <v>540</v>
      </c>
      <c r="AL18" s="180" t="s">
        <v>589</v>
      </c>
      <c r="AM18" s="180" t="s">
        <v>629</v>
      </c>
      <c r="AN18" s="180">
        <v>16</v>
      </c>
      <c r="AQ18" s="181" t="s">
        <v>178</v>
      </c>
      <c r="AR18" s="165">
        <v>40</v>
      </c>
      <c r="AS18" s="165"/>
      <c r="AT18" s="165">
        <v>15</v>
      </c>
      <c r="AU18" s="165">
        <v>25</v>
      </c>
      <c r="AV18" s="165"/>
      <c r="AW18" s="168" t="s">
        <v>160</v>
      </c>
      <c r="AX18" s="168">
        <v>10</v>
      </c>
    </row>
    <row r="19" spans="2:50" s="174" customFormat="1" ht="12" hidden="1" customHeight="1" x14ac:dyDescent="0.3">
      <c r="B19" s="6">
        <v>51</v>
      </c>
      <c r="C19" s="146" t="s">
        <v>502</v>
      </c>
      <c r="D19" s="147" t="s">
        <v>33</v>
      </c>
      <c r="E19" s="166">
        <v>213123</v>
      </c>
      <c r="F19" s="146" t="s">
        <v>96</v>
      </c>
      <c r="G19" s="149" t="s">
        <v>630</v>
      </c>
      <c r="H19" s="149" t="s">
        <v>577</v>
      </c>
      <c r="I19" s="149" t="s">
        <v>631</v>
      </c>
      <c r="J19" s="150">
        <v>31889</v>
      </c>
      <c r="K19" s="149" t="s">
        <v>87</v>
      </c>
      <c r="L19" s="147" t="s">
        <v>507</v>
      </c>
      <c r="M19" s="151">
        <v>4492223768</v>
      </c>
      <c r="N19" s="162" t="s">
        <v>632</v>
      </c>
      <c r="O19" s="151" t="s">
        <v>633</v>
      </c>
      <c r="P19" s="147">
        <v>106</v>
      </c>
      <c r="Q19" s="146" t="s">
        <v>634</v>
      </c>
      <c r="R19" s="146" t="s">
        <v>511</v>
      </c>
      <c r="S19" s="146" t="s">
        <v>511</v>
      </c>
      <c r="T19" s="146">
        <v>20100</v>
      </c>
      <c r="U19" s="147">
        <v>3</v>
      </c>
      <c r="V19" s="147" t="str">
        <f>IF((_xlfn.XLOOKUP(Profesores[[#This Row],[Nombre]],base_de_datos[Profesor],base_de_datos[Academia],1))=Profesores[[#Headers],[MEC]],"x","")</f>
        <v/>
      </c>
      <c r="W19" s="147" t="str">
        <f>IF((_xlfn.XLOOKUP(Profesores[[#This Row],[Nombre]],base_de_datos[Profesor],base_de_datos[Academia],1))=Profesores[[#Headers],[COM]],"x","")</f>
        <v/>
      </c>
      <c r="X19" s="147"/>
      <c r="Y19" s="147" t="str">
        <f>IF((_xlfn.XLOOKUP(Profesores[[#This Row],[Nombre]],base_de_datos[Profesor],base_de_datos[Academia],1))=Profesores[[#Headers],[DOP]],"x","")</f>
        <v>x</v>
      </c>
      <c r="Z19" s="147" t="str">
        <f>IF((_xlfn.XLOOKUP(Profesores[[#This Row],[Nombre]],base_de_datos[Profesor],base_de_datos[Academia],1))=Profesores[[#Headers],[ETF]],"x","")</f>
        <v/>
      </c>
      <c r="AA19" s="147" t="str">
        <f>IF((_xlfn.XLOOKUP(Profesores[[#This Row],[Nombre]],base_de_datos[Profesor],base_de_datos[Academia],1))=Profesores[[#Headers],[MAT]],"x","")</f>
        <v/>
      </c>
      <c r="AB19" s="147" t="str">
        <f>IF((_xlfn.XLOOKUP(Profesores[[#This Row],[Nombre]],base_de_datos[Profesor],base_de_datos[Academia],1))=Profesores[[#Headers],[EMP]],"x","")</f>
        <v/>
      </c>
      <c r="AC19" s="146" t="str">
        <f>IF((_xlfn.XLOOKUP(Profesores[[#This Row],[Nombre]],base_de_datos[Profesor],base_de_datos[Academia],1))=Profesores[[#Headers],[AIC]],"x","")</f>
        <v/>
      </c>
      <c r="AD19" s="146" t="str">
        <f>IF((_xlfn.XLOOKUP(Profesores[[#This Row],[Nombre]],base_de_datos[Profesor],base_de_datos[Academia],1))=Profesores[[#Headers],[ESC]],"x","")</f>
        <v/>
      </c>
      <c r="AE19" s="146" t="str">
        <f>IF((_xlfn.XLOOKUP(Profesores[[#This Row],[Nombre]],base_de_datos[Profesor],base_de_datos[Academia],1))=Profesores[[#Headers],[HUM]],"x","")</f>
        <v/>
      </c>
      <c r="AF19" s="146" t="str">
        <f>IF((_xlfn.XLOOKUP(Profesores[[#This Row],[Nombre]],base_de_datos[Profesor],base_de_datos[Academia],1))=Profesores[[#Headers],[IID]],"x","")</f>
        <v/>
      </c>
      <c r="AG19" s="146" t="str">
        <f>IF((_xlfn.XLOOKUP(Profesores[[#This Row],[Nombre]],base_de_datos[Profesor],base_de_datos[Academia],1))=Profesores[[#Headers],[BIO]],"x","")</f>
        <v/>
      </c>
      <c r="AH19" s="146" t="s">
        <v>524</v>
      </c>
      <c r="AI19" s="146" t="s">
        <v>513</v>
      </c>
      <c r="AJ19" s="146">
        <f>TRUNC(IFERROR(Profesores[[#This Row],[Ex Inglés]]*677/100,0),0)</f>
        <v>0</v>
      </c>
      <c r="AL19" s="179" t="s">
        <v>589</v>
      </c>
      <c r="AM19" s="179" t="s">
        <v>635</v>
      </c>
      <c r="AN19" s="179">
        <v>14</v>
      </c>
      <c r="AQ19" s="182" t="s">
        <v>116</v>
      </c>
      <c r="AR19" s="182">
        <v>40</v>
      </c>
      <c r="AT19" s="174">
        <v>15</v>
      </c>
      <c r="AU19" s="174">
        <v>25</v>
      </c>
      <c r="AW19" s="175" t="s">
        <v>169</v>
      </c>
      <c r="AX19" s="175">
        <v>25</v>
      </c>
    </row>
    <row r="20" spans="2:50" s="165" customFormat="1" ht="12" hidden="1" customHeight="1" x14ac:dyDescent="0.3">
      <c r="B20" s="146">
        <v>52</v>
      </c>
      <c r="C20" s="146" t="s">
        <v>502</v>
      </c>
      <c r="D20" s="147" t="s">
        <v>33</v>
      </c>
      <c r="E20" s="148">
        <v>150730</v>
      </c>
      <c r="F20" s="146" t="s">
        <v>325</v>
      </c>
      <c r="G20" s="149" t="s">
        <v>636</v>
      </c>
      <c r="H20" s="149" t="s">
        <v>637</v>
      </c>
      <c r="I20" s="149" t="s">
        <v>638</v>
      </c>
      <c r="J20" s="150">
        <v>33850</v>
      </c>
      <c r="K20" s="149" t="s">
        <v>506</v>
      </c>
      <c r="L20" s="147" t="s">
        <v>507</v>
      </c>
      <c r="M20" s="151">
        <v>4491434228</v>
      </c>
      <c r="N20" s="158" t="s">
        <v>639</v>
      </c>
      <c r="O20" s="151" t="s">
        <v>640</v>
      </c>
      <c r="P20" s="147">
        <v>327</v>
      </c>
      <c r="Q20" s="146" t="s">
        <v>641</v>
      </c>
      <c r="R20" s="146" t="s">
        <v>511</v>
      </c>
      <c r="S20" s="146" t="s">
        <v>511</v>
      </c>
      <c r="T20" s="146">
        <v>20313</v>
      </c>
      <c r="U20" s="147">
        <v>2</v>
      </c>
      <c r="V20" s="147" t="str">
        <f>IF((_xlfn.XLOOKUP(Profesores[[#This Row],[Nombre]],base_de_datos[Profesor],base_de_datos[Academia],1))=Profesores[[#Headers],[MEC]],"x","")</f>
        <v/>
      </c>
      <c r="W20" s="147" t="str">
        <f>IF((_xlfn.XLOOKUP(Profesores[[#This Row],[Nombre]],base_de_datos[Profesor],base_de_datos[Academia],1))=Profesores[[#Headers],[COM]],"x","")</f>
        <v/>
      </c>
      <c r="X20" s="147"/>
      <c r="Y20" s="147" t="str">
        <f>IF((_xlfn.XLOOKUP(Profesores[[#This Row],[Nombre]],base_de_datos[Profesor],base_de_datos[Academia],1))=Profesores[[#Headers],[DOP]],"x","")</f>
        <v>x</v>
      </c>
      <c r="Z20" s="147" t="str">
        <f>IF((_xlfn.XLOOKUP(Profesores[[#This Row],[Nombre]],base_de_datos[Profesor],base_de_datos[Academia],1))=Profesores[[#Headers],[ETF]],"x","")</f>
        <v/>
      </c>
      <c r="AA20" s="147" t="str">
        <f>IF((_xlfn.XLOOKUP(Profesores[[#This Row],[Nombre]],base_de_datos[Profesor],base_de_datos[Academia],1))=Profesores[[#Headers],[MAT]],"x","")</f>
        <v/>
      </c>
      <c r="AB20" s="147" t="str">
        <f>IF((_xlfn.XLOOKUP(Profesores[[#This Row],[Nombre]],base_de_datos[Profesor],base_de_datos[Academia],1))=Profesores[[#Headers],[EMP]],"x","")</f>
        <v/>
      </c>
      <c r="AC20" s="146" t="str">
        <f>IF((_xlfn.XLOOKUP(Profesores[[#This Row],[Nombre]],base_de_datos[Profesor],base_de_datos[Academia],1))=Profesores[[#Headers],[AIC]],"x","")</f>
        <v/>
      </c>
      <c r="AD20" s="146" t="str">
        <f>IF((_xlfn.XLOOKUP(Profesores[[#This Row],[Nombre]],base_de_datos[Profesor],base_de_datos[Academia],1))=Profesores[[#Headers],[ESC]],"x","")</f>
        <v/>
      </c>
      <c r="AE20" s="146" t="str">
        <f>IF((_xlfn.XLOOKUP(Profesores[[#This Row],[Nombre]],base_de_datos[Profesor],base_de_datos[Academia],1))=Profesores[[#Headers],[HUM]],"x","")</f>
        <v/>
      </c>
      <c r="AF20" s="146" t="str">
        <f>IF((_xlfn.XLOOKUP(Profesores[[#This Row],[Nombre]],base_de_datos[Profesor],base_de_datos[Academia],1))=Profesores[[#Headers],[IID]],"x","")</f>
        <v/>
      </c>
      <c r="AG20" s="146" t="str">
        <f>IF((_xlfn.XLOOKUP(Profesores[[#This Row],[Nombre]],base_de_datos[Profesor],base_de_datos[Academia],1))=Profesores[[#Headers],[BIO]],"x","")</f>
        <v/>
      </c>
      <c r="AH20" s="146" t="s">
        <v>642</v>
      </c>
      <c r="AI20" s="146" t="s">
        <v>513</v>
      </c>
      <c r="AJ20" s="146">
        <f>TRUNC(IFERROR(Profesores[[#This Row],[Ex Inglés]]*677/100,0),0)</f>
        <v>494</v>
      </c>
      <c r="AL20" s="225" t="s">
        <v>589</v>
      </c>
      <c r="AM20" s="225" t="s">
        <v>643</v>
      </c>
      <c r="AN20" s="225">
        <v>12</v>
      </c>
      <c r="AQ20" s="181" t="s">
        <v>113</v>
      </c>
      <c r="AR20" s="181">
        <v>40</v>
      </c>
      <c r="AT20" s="165">
        <v>15</v>
      </c>
      <c r="AU20" s="165">
        <v>25</v>
      </c>
      <c r="AW20" s="168" t="s">
        <v>194</v>
      </c>
      <c r="AX20" s="168">
        <v>20</v>
      </c>
    </row>
    <row r="21" spans="2:50" s="209" customFormat="1" ht="12" hidden="1" customHeight="1" x14ac:dyDescent="0.3">
      <c r="B21" s="209">
        <v>53</v>
      </c>
      <c r="C21" s="209" t="s">
        <v>501</v>
      </c>
      <c r="D21" s="210" t="s">
        <v>33</v>
      </c>
      <c r="E21" s="211">
        <v>249477</v>
      </c>
      <c r="F21" s="209" t="s">
        <v>644</v>
      </c>
      <c r="G21" s="212" t="s">
        <v>645</v>
      </c>
      <c r="H21" s="212" t="s">
        <v>646</v>
      </c>
      <c r="I21" s="212" t="s">
        <v>647</v>
      </c>
      <c r="J21" s="220">
        <v>33729</v>
      </c>
      <c r="K21" s="212" t="s">
        <v>506</v>
      </c>
      <c r="L21" s="210" t="s">
        <v>92</v>
      </c>
      <c r="M21" s="252" t="s">
        <v>648</v>
      </c>
      <c r="N21" s="214" t="s">
        <v>649</v>
      </c>
      <c r="O21" s="213" t="s">
        <v>650</v>
      </c>
      <c r="P21" s="210">
        <v>405</v>
      </c>
      <c r="Q21" s="209" t="s">
        <v>651</v>
      </c>
      <c r="R21" s="209" t="s">
        <v>511</v>
      </c>
      <c r="S21" s="209" t="s">
        <v>511</v>
      </c>
      <c r="T21" s="209">
        <v>20130</v>
      </c>
      <c r="U21" s="210">
        <v>1</v>
      </c>
      <c r="V21" s="210" t="str">
        <f>IF((_xlfn.XLOOKUP(Profesores[[#This Row],[Nombre]],base_de_datos[Profesor],base_de_datos[Academia],1))=Profesores[[#Headers],[MEC]],"x","")</f>
        <v/>
      </c>
      <c r="W21" s="210" t="str">
        <f>IF((_xlfn.XLOOKUP(Profesores[[#This Row],[Nombre]],base_de_datos[Profesor],base_de_datos[Academia],1))=Profesores[[#Headers],[COM]],"x","")</f>
        <v/>
      </c>
      <c r="X21" s="210"/>
      <c r="Y21" s="210" t="str">
        <f>IF((_xlfn.XLOOKUP(Profesores[[#This Row],[Nombre]],base_de_datos[Profesor],base_de_datos[Academia],1))=Profesores[[#Headers],[DOP]],"x","")</f>
        <v/>
      </c>
      <c r="Z21" s="210" t="str">
        <f>IF((_xlfn.XLOOKUP(Profesores[[#This Row],[Nombre]],base_de_datos[Profesor],base_de_datos[Academia],1))=Profesores[[#Headers],[ETF]],"x","")</f>
        <v/>
      </c>
      <c r="AA21" s="210" t="str">
        <f>IF((_xlfn.XLOOKUP(Profesores[[#This Row],[Nombre]],base_de_datos[Profesor],base_de_datos[Academia],1))=Profesores[[#Headers],[MAT]],"x","")</f>
        <v/>
      </c>
      <c r="AB21" s="210" t="str">
        <f>IF((_xlfn.XLOOKUP(Profesores[[#This Row],[Nombre]],base_de_datos[Profesor],base_de_datos[Academia],1))=Profesores[[#Headers],[EMP]],"x","")</f>
        <v/>
      </c>
      <c r="AC21" s="209" t="str">
        <f>IF((_xlfn.XLOOKUP(Profesores[[#This Row],[Nombre]],base_de_datos[Profesor],base_de_datos[Academia],1))=Profesores[[#Headers],[AIC]],"x","")</f>
        <v/>
      </c>
      <c r="AD21" s="209" t="str">
        <f>IF((_xlfn.XLOOKUP(Profesores[[#This Row],[Nombre]],base_de_datos[Profesor],base_de_datos[Academia],1))=Profesores[[#Headers],[ESC]],"x","")</f>
        <v/>
      </c>
      <c r="AE21" s="209" t="str">
        <f>IF((_xlfn.XLOOKUP(Profesores[[#This Row],[Nombre]],base_de_datos[Profesor],base_de_datos[Academia],1))=Profesores[[#Headers],[HUM]],"x","")</f>
        <v/>
      </c>
      <c r="AF21" s="209" t="str">
        <f>IF((_xlfn.XLOOKUP(Profesores[[#This Row],[Nombre]],base_de_datos[Profesor],base_de_datos[Academia],1))=Profesores[[#Headers],[IID]],"x","")</f>
        <v/>
      </c>
      <c r="AG21" s="209" t="str">
        <f>IF((_xlfn.XLOOKUP(Profesores[[#This Row],[Nombre]],base_de_datos[Profesor],base_de_datos[Academia],1))=Profesores[[#Headers],[BIO]],"x","")</f>
        <v/>
      </c>
      <c r="AH21" s="209" t="s">
        <v>524</v>
      </c>
      <c r="AI21" s="209" t="s">
        <v>513</v>
      </c>
      <c r="AJ21" s="209">
        <f>TRUNC(IFERROR(Profesores[[#This Row],[Ex Inglés]]*677/100,0),0)</f>
        <v>0</v>
      </c>
      <c r="AL21" s="215" t="s">
        <v>589</v>
      </c>
      <c r="AM21" s="215" t="s">
        <v>652</v>
      </c>
      <c r="AN21" s="215">
        <v>12</v>
      </c>
      <c r="AQ21" s="221" t="s">
        <v>95</v>
      </c>
      <c r="AR21" s="221">
        <v>40</v>
      </c>
      <c r="AS21" s="217"/>
      <c r="AT21" s="217">
        <v>15</v>
      </c>
      <c r="AU21" s="217">
        <v>25</v>
      </c>
      <c r="AV21" s="217"/>
      <c r="AW21" s="218" t="s">
        <v>106</v>
      </c>
      <c r="AX21" s="218">
        <v>8</v>
      </c>
    </row>
    <row r="22" spans="2:50" ht="12" hidden="1" customHeight="1" x14ac:dyDescent="0.3">
      <c r="B22" s="6">
        <v>54</v>
      </c>
      <c r="C22" s="146" t="s">
        <v>502</v>
      </c>
      <c r="D22" s="147" t="s">
        <v>33</v>
      </c>
      <c r="E22" s="148">
        <v>245137</v>
      </c>
      <c r="F22" s="146" t="s">
        <v>252</v>
      </c>
      <c r="G22" s="149" t="s">
        <v>653</v>
      </c>
      <c r="H22" s="149" t="s">
        <v>654</v>
      </c>
      <c r="I22" s="149" t="s">
        <v>655</v>
      </c>
      <c r="J22" s="150">
        <v>29992</v>
      </c>
      <c r="K22" s="149" t="s">
        <v>506</v>
      </c>
      <c r="L22" s="147" t="s">
        <v>507</v>
      </c>
      <c r="M22" s="151">
        <v>4498041302</v>
      </c>
      <c r="N22" s="158" t="s">
        <v>656</v>
      </c>
      <c r="O22" s="151" t="s">
        <v>657</v>
      </c>
      <c r="P22" s="147" t="s">
        <v>658</v>
      </c>
      <c r="Q22" s="146" t="s">
        <v>659</v>
      </c>
      <c r="R22" s="146" t="s">
        <v>511</v>
      </c>
      <c r="S22" s="146" t="s">
        <v>511</v>
      </c>
      <c r="T22" s="146">
        <v>20137</v>
      </c>
      <c r="U22" s="147">
        <v>1</v>
      </c>
      <c r="V22" s="147" t="str">
        <f>IF((_xlfn.XLOOKUP(Profesores[[#This Row],[Nombre]],base_de_datos[Profesor],base_de_datos[Academia],1))=Profesores[[#Headers],[MEC]],"x","")</f>
        <v/>
      </c>
      <c r="W22" s="147" t="str">
        <f>IF((_xlfn.XLOOKUP(Profesores[[#This Row],[Nombre]],base_de_datos[Profesor],base_de_datos[Academia],1))=Profesores[[#Headers],[COM]],"x","")</f>
        <v/>
      </c>
      <c r="X22" s="147"/>
      <c r="Y22" s="147" t="str">
        <f>IF((_xlfn.XLOOKUP(Profesores[[#This Row],[Nombre]],base_de_datos[Profesor],base_de_datos[Academia],1))=Profesores[[#Headers],[DOP]],"x","")</f>
        <v/>
      </c>
      <c r="Z22" s="147" t="str">
        <f>IF((_xlfn.XLOOKUP(Profesores[[#This Row],[Nombre]],base_de_datos[Profesor],base_de_datos[Academia],1))=Profesores[[#Headers],[ETF]],"x","")</f>
        <v/>
      </c>
      <c r="AA22" s="147" t="str">
        <f>IF((_xlfn.XLOOKUP(Profesores[[#This Row],[Nombre]],base_de_datos[Profesor],base_de_datos[Academia],1))=Profesores[[#Headers],[MAT]],"x","")</f>
        <v/>
      </c>
      <c r="AB22" s="147" t="str">
        <f>IF((_xlfn.XLOOKUP(Profesores[[#This Row],[Nombre]],base_de_datos[Profesor],base_de_datos[Academia],1))=Profesores[[#Headers],[EMP]],"x","")</f>
        <v/>
      </c>
      <c r="AC22" s="146" t="str">
        <f>IF((_xlfn.XLOOKUP(Profesores[[#This Row],[Nombre]],base_de_datos[Profesor],base_de_datos[Academia],1))=Profesores[[#Headers],[AIC]],"x","")</f>
        <v/>
      </c>
      <c r="AD22" s="146" t="str">
        <f>IF((_xlfn.XLOOKUP(Profesores[[#This Row],[Nombre]],base_de_datos[Profesor],base_de_datos[Academia],1))=Profesores[[#Headers],[ESC]],"x","")</f>
        <v>x</v>
      </c>
      <c r="AE22" s="146" t="str">
        <f>IF((_xlfn.XLOOKUP(Profesores[[#This Row],[Nombre]],base_de_datos[Profesor],base_de_datos[Academia],1))=Profesores[[#Headers],[HUM]],"x","")</f>
        <v/>
      </c>
      <c r="AF22" s="146" t="str">
        <f>IF((_xlfn.XLOOKUP(Profesores[[#This Row],[Nombre]],base_de_datos[Profesor],base_de_datos[Academia],1))=Profesores[[#Headers],[IID]],"x","")</f>
        <v/>
      </c>
      <c r="AG22" s="146" t="str">
        <f>IF((_xlfn.XLOOKUP(Profesores[[#This Row],[Nombre]],base_de_datos[Profesor],base_de_datos[Academia],1))=Profesores[[#Headers],[BIO]],"x","")</f>
        <v/>
      </c>
      <c r="AH22" s="146" t="s">
        <v>524</v>
      </c>
      <c r="AI22" s="146" t="s">
        <v>513</v>
      </c>
      <c r="AJ22" s="146">
        <f>TRUNC(IFERROR(Profesores[[#This Row],[Ex Inglés]]*677/100,0),0)</f>
        <v>0</v>
      </c>
      <c r="AL22" s="63" t="s">
        <v>589</v>
      </c>
      <c r="AM22" s="63" t="s">
        <v>660</v>
      </c>
      <c r="AN22" s="63">
        <v>12</v>
      </c>
      <c r="AQ22" s="10" t="s">
        <v>242</v>
      </c>
      <c r="AR22" s="10">
        <v>30</v>
      </c>
      <c r="AS22" s="9"/>
      <c r="AT22" s="9">
        <v>12</v>
      </c>
      <c r="AU22" s="9">
        <v>18</v>
      </c>
      <c r="AV22" s="9"/>
      <c r="AW22" s="8" t="s">
        <v>297</v>
      </c>
      <c r="AX22" s="8">
        <v>14</v>
      </c>
    </row>
    <row r="23" spans="2:50" ht="12" hidden="1" customHeight="1" x14ac:dyDescent="0.3">
      <c r="B23" s="6">
        <v>55</v>
      </c>
      <c r="C23" s="146" t="s">
        <v>501</v>
      </c>
      <c r="D23" s="147" t="s">
        <v>33</v>
      </c>
      <c r="E23" s="148">
        <v>233289</v>
      </c>
      <c r="F23" s="146" t="s">
        <v>414</v>
      </c>
      <c r="G23" s="149" t="s">
        <v>661</v>
      </c>
      <c r="H23" s="149" t="s">
        <v>662</v>
      </c>
      <c r="I23" s="149" t="s">
        <v>663</v>
      </c>
      <c r="J23" s="150">
        <v>21803</v>
      </c>
      <c r="K23" s="149" t="s">
        <v>506</v>
      </c>
      <c r="L23" s="147" t="s">
        <v>507</v>
      </c>
      <c r="M23" s="151">
        <v>4491117660</v>
      </c>
      <c r="N23" s="158" t="s">
        <v>664</v>
      </c>
      <c r="O23" s="151" t="s">
        <v>665</v>
      </c>
      <c r="P23" s="147">
        <v>240</v>
      </c>
      <c r="Q23" s="146" t="s">
        <v>666</v>
      </c>
      <c r="R23" s="146" t="s">
        <v>511</v>
      </c>
      <c r="S23" s="146" t="s">
        <v>511</v>
      </c>
      <c r="T23" s="146">
        <v>20250</v>
      </c>
      <c r="U23" s="147">
        <v>1</v>
      </c>
      <c r="V23" s="147" t="str">
        <f>IF((_xlfn.XLOOKUP(Profesores[[#This Row],[Nombre]],base_de_datos[Profesor],base_de_datos[Academia],1))=Profesores[[#Headers],[MEC]],"x","")</f>
        <v/>
      </c>
      <c r="W23" s="147" t="str">
        <f>IF((_xlfn.XLOOKUP(Profesores[[#This Row],[Nombre]],base_de_datos[Profesor],base_de_datos[Academia],1))=Profesores[[#Headers],[COM]],"x","")</f>
        <v/>
      </c>
      <c r="X23" s="147"/>
      <c r="Y23" s="147" t="str">
        <f>IF((_xlfn.XLOOKUP(Profesores[[#This Row],[Nombre]],base_de_datos[Profesor],base_de_datos[Academia],1))=Profesores[[#Headers],[DOP]],"x","")</f>
        <v/>
      </c>
      <c r="Z23" s="147" t="str">
        <f>IF((_xlfn.XLOOKUP(Profesores[[#This Row],[Nombre]],base_de_datos[Profesor],base_de_datos[Academia],1))=Profesores[[#Headers],[ETF]],"x","")</f>
        <v/>
      </c>
      <c r="AA23" s="147" t="str">
        <f>IF((_xlfn.XLOOKUP(Profesores[[#This Row],[Nombre]],base_de_datos[Profesor],base_de_datos[Academia],1))=Profesores[[#Headers],[MAT]],"x","")</f>
        <v/>
      </c>
      <c r="AB23" s="147" t="str">
        <f>IF((_xlfn.XLOOKUP(Profesores[[#This Row],[Nombre]],base_de_datos[Profesor],base_de_datos[Academia],1))=Profesores[[#Headers],[EMP]],"x","")</f>
        <v/>
      </c>
      <c r="AC23" s="146" t="str">
        <f>IF((_xlfn.XLOOKUP(Profesores[[#This Row],[Nombre]],base_de_datos[Profesor],base_de_datos[Academia],1))=Profesores[[#Headers],[AIC]],"x","")</f>
        <v/>
      </c>
      <c r="AD23" s="146" t="str">
        <f>IF((_xlfn.XLOOKUP(Profesores[[#This Row],[Nombre]],base_de_datos[Profesor],base_de_datos[Academia],1))=Profesores[[#Headers],[ESC]],"x","")</f>
        <v>x</v>
      </c>
      <c r="AE23" s="146" t="str">
        <f>IF((_xlfn.XLOOKUP(Profesores[[#This Row],[Nombre]],base_de_datos[Profesor],base_de_datos[Academia],1))=Profesores[[#Headers],[HUM]],"x","")</f>
        <v/>
      </c>
      <c r="AF23" s="146" t="str">
        <f>IF((_xlfn.XLOOKUP(Profesores[[#This Row],[Nombre]],base_de_datos[Profesor],base_de_datos[Academia],1))=Profesores[[#Headers],[IID]],"x","")</f>
        <v/>
      </c>
      <c r="AG23" s="146" t="str">
        <f>IF((_xlfn.XLOOKUP(Profesores[[#This Row],[Nombre]],base_de_datos[Profesor],base_de_datos[Academia],1))=Profesores[[#Headers],[BIO]],"x","")</f>
        <v/>
      </c>
      <c r="AH23" s="146" t="s">
        <v>524</v>
      </c>
      <c r="AI23" s="146" t="s">
        <v>513</v>
      </c>
      <c r="AJ23" s="146">
        <f>TRUNC(IFERROR(Profesores[[#This Row],[Ex Inglés]]*677/100,0),0)</f>
        <v>0</v>
      </c>
      <c r="AL23" s="63" t="s">
        <v>589</v>
      </c>
      <c r="AM23" s="63" t="s">
        <v>667</v>
      </c>
      <c r="AN23" s="63">
        <v>12</v>
      </c>
      <c r="AQ23" s="10" t="s">
        <v>355</v>
      </c>
      <c r="AR23" s="10">
        <v>30</v>
      </c>
      <c r="AS23" s="9"/>
      <c r="AT23" s="9">
        <v>12</v>
      </c>
      <c r="AU23" s="9">
        <v>18</v>
      </c>
      <c r="AV23" s="9"/>
      <c r="AW23" s="65" t="s">
        <v>127</v>
      </c>
      <c r="AX23" s="65">
        <v>10</v>
      </c>
    </row>
    <row r="24" spans="2:50" ht="12" hidden="1" customHeight="1" x14ac:dyDescent="0.3">
      <c r="B24" s="6">
        <v>56</v>
      </c>
      <c r="C24" s="146" t="s">
        <v>502</v>
      </c>
      <c r="D24" s="147" t="s">
        <v>33</v>
      </c>
      <c r="E24" s="148">
        <v>149042</v>
      </c>
      <c r="F24" s="146" t="s">
        <v>130</v>
      </c>
      <c r="G24" s="149" t="s">
        <v>668</v>
      </c>
      <c r="H24" s="149" t="s">
        <v>669</v>
      </c>
      <c r="I24" s="149" t="s">
        <v>577</v>
      </c>
      <c r="J24" s="150">
        <v>26274</v>
      </c>
      <c r="K24" s="149" t="s">
        <v>506</v>
      </c>
      <c r="L24" s="147" t="s">
        <v>507</v>
      </c>
      <c r="M24" s="151">
        <v>4491115065</v>
      </c>
      <c r="N24" s="192" t="s">
        <v>670</v>
      </c>
      <c r="O24" s="151" t="s">
        <v>671</v>
      </c>
      <c r="P24" s="147">
        <v>130</v>
      </c>
      <c r="Q24" s="146" t="s">
        <v>672</v>
      </c>
      <c r="R24" s="146" t="s">
        <v>511</v>
      </c>
      <c r="S24" s="146" t="s">
        <v>511</v>
      </c>
      <c r="T24" s="146">
        <v>20237</v>
      </c>
      <c r="U24" s="147">
        <v>2</v>
      </c>
      <c r="V24" s="147" t="str">
        <f>IF((_xlfn.XLOOKUP(Profesores[[#This Row],[Nombre]],base_de_datos[Profesor],base_de_datos[Academia],1))=Profesores[[#Headers],[MEC]],"x","")</f>
        <v/>
      </c>
      <c r="W24" s="147" t="str">
        <f>IF((_xlfn.XLOOKUP(Profesores[[#This Row],[Nombre]],base_de_datos[Profesor],base_de_datos[Academia],1))=Profesores[[#Headers],[COM]],"x","")</f>
        <v/>
      </c>
      <c r="X24" s="147"/>
      <c r="Y24" s="147" t="str">
        <f>IF((_xlfn.XLOOKUP(Profesores[[#This Row],[Nombre]],base_de_datos[Profesor],base_de_datos[Academia],1))=Profesores[[#Headers],[DOP]],"x","")</f>
        <v/>
      </c>
      <c r="Z24" s="147" t="str">
        <f>IF((_xlfn.XLOOKUP(Profesores[[#This Row],[Nombre]],base_de_datos[Profesor],base_de_datos[Academia],1))=Profesores[[#Headers],[ETF]],"x","")</f>
        <v/>
      </c>
      <c r="AA24" s="147" t="str">
        <f>IF((_xlfn.XLOOKUP(Profesores[[#This Row],[Nombre]],base_de_datos[Profesor],base_de_datos[Academia],1))=Profesores[[#Headers],[MAT]],"x","")</f>
        <v/>
      </c>
      <c r="AB24" s="147" t="str">
        <f>IF((_xlfn.XLOOKUP(Profesores[[#This Row],[Nombre]],base_de_datos[Profesor],base_de_datos[Academia],1))=Profesores[[#Headers],[EMP]],"x","")</f>
        <v/>
      </c>
      <c r="AC24" s="146" t="str">
        <f>IF((_xlfn.XLOOKUP(Profesores[[#This Row],[Nombre]],base_de_datos[Profesor],base_de_datos[Academia],1))=Profesores[[#Headers],[AIC]],"x","")</f>
        <v/>
      </c>
      <c r="AD24" s="146" t="str">
        <f>IF((_xlfn.XLOOKUP(Profesores[[#This Row],[Nombre]],base_de_datos[Profesor],base_de_datos[Academia],1))=Profesores[[#Headers],[ESC]],"x","")</f>
        <v>x</v>
      </c>
      <c r="AE24" s="146" t="str">
        <f>IF((_xlfn.XLOOKUP(Profesores[[#This Row],[Nombre]],base_de_datos[Profesor],base_de_datos[Academia],1))=Profesores[[#Headers],[HUM]],"x","")</f>
        <v/>
      </c>
      <c r="AF24" s="146" t="str">
        <f>IF((_xlfn.XLOOKUP(Profesores[[#This Row],[Nombre]],base_de_datos[Profesor],base_de_datos[Academia],1))=Profesores[[#Headers],[IID]],"x","")</f>
        <v/>
      </c>
      <c r="AG24" s="146" t="str">
        <f>IF((_xlfn.XLOOKUP(Profesores[[#This Row],[Nombre]],base_de_datos[Profesor],base_de_datos[Academia],1))=Profesores[[#Headers],[BIO]],"x","")</f>
        <v/>
      </c>
      <c r="AH24" s="146" t="s">
        <v>524</v>
      </c>
      <c r="AI24" s="146" t="s">
        <v>513</v>
      </c>
      <c r="AJ24" s="146">
        <f>TRUNC(IFERROR(Profesores[[#This Row],[Ex Inglés]]*677/100,0),0)</f>
        <v>0</v>
      </c>
      <c r="AL24" s="63" t="s">
        <v>589</v>
      </c>
      <c r="AM24" s="63" t="s">
        <v>673</v>
      </c>
      <c r="AN24" s="63">
        <v>11</v>
      </c>
      <c r="AQ24" s="10" t="s">
        <v>215</v>
      </c>
      <c r="AR24" s="10">
        <v>30</v>
      </c>
      <c r="AS24" s="9"/>
      <c r="AT24" s="9">
        <v>12</v>
      </c>
      <c r="AU24" s="9">
        <v>18</v>
      </c>
      <c r="AV24" s="9"/>
      <c r="AW24" s="8" t="s">
        <v>674</v>
      </c>
      <c r="AX24" s="8">
        <v>16</v>
      </c>
    </row>
    <row r="25" spans="2:50" s="146" customFormat="1" ht="12" hidden="1" customHeight="1" x14ac:dyDescent="0.3">
      <c r="B25" s="6">
        <v>57</v>
      </c>
      <c r="C25" s="146" t="s">
        <v>515</v>
      </c>
      <c r="D25" s="147" t="s">
        <v>33</v>
      </c>
      <c r="E25" s="148">
        <v>230859</v>
      </c>
      <c r="F25" s="146" t="s">
        <v>675</v>
      </c>
      <c r="G25" s="149" t="s">
        <v>676</v>
      </c>
      <c r="H25" s="149" t="s">
        <v>677</v>
      </c>
      <c r="I25" s="149" t="s">
        <v>678</v>
      </c>
      <c r="J25" s="147"/>
      <c r="K25" s="149" t="s">
        <v>506</v>
      </c>
      <c r="L25" s="147" t="s">
        <v>507</v>
      </c>
      <c r="M25" s="151">
        <v>4491118427</v>
      </c>
      <c r="N25" s="162" t="s">
        <v>679</v>
      </c>
      <c r="O25" s="151" t="s">
        <v>680</v>
      </c>
      <c r="P25" s="147">
        <v>216</v>
      </c>
      <c r="Q25" s="146" t="s">
        <v>681</v>
      </c>
      <c r="R25" s="146" t="s">
        <v>511</v>
      </c>
      <c r="S25" s="146" t="s">
        <v>511</v>
      </c>
      <c r="T25" s="146">
        <v>20029</v>
      </c>
      <c r="U25" s="147">
        <v>1</v>
      </c>
      <c r="V25" s="147" t="str">
        <f>IF((_xlfn.XLOOKUP(Profesores[[#This Row],[Nombre]],base_de_datos[Profesor],base_de_datos[Academia],1))=Profesores[[#Headers],[MEC]],"x","")</f>
        <v/>
      </c>
      <c r="W25" s="147" t="str">
        <f>IF((_xlfn.XLOOKUP(Profesores[[#This Row],[Nombre]],base_de_datos[Profesor],base_de_datos[Academia],1))=Profesores[[#Headers],[COM]],"x","")</f>
        <v/>
      </c>
      <c r="X25" s="147"/>
      <c r="Y25" s="147" t="str">
        <f>IF((_xlfn.XLOOKUP(Profesores[[#This Row],[Nombre]],base_de_datos[Profesor],base_de_datos[Academia],1))=Profesores[[#Headers],[DOP]],"x","")</f>
        <v/>
      </c>
      <c r="Z25" s="147" t="str">
        <f>IF((_xlfn.XLOOKUP(Profesores[[#This Row],[Nombre]],base_de_datos[Profesor],base_de_datos[Academia],1))=Profesores[[#Headers],[ETF]],"x","")</f>
        <v/>
      </c>
      <c r="AA25" s="147" t="str">
        <f>IF((_xlfn.XLOOKUP(Profesores[[#This Row],[Nombre]],base_de_datos[Profesor],base_de_datos[Academia],1))=Profesores[[#Headers],[MAT]],"x","")</f>
        <v/>
      </c>
      <c r="AB25" s="147" t="str">
        <f>IF((_xlfn.XLOOKUP(Profesores[[#This Row],[Nombre]],base_de_datos[Profesor],base_de_datos[Academia],1))=Profesores[[#Headers],[EMP]],"x","")</f>
        <v/>
      </c>
      <c r="AC25" s="146" t="str">
        <f>IF((_xlfn.XLOOKUP(Profesores[[#This Row],[Nombre]],base_de_datos[Profesor],base_de_datos[Academia],1))=Profesores[[#Headers],[AIC]],"x","")</f>
        <v/>
      </c>
      <c r="AD25" s="146" t="str">
        <f>IF((_xlfn.XLOOKUP(Profesores[[#This Row],[Nombre]],base_de_datos[Profesor],base_de_datos[Academia],1))=Profesores[[#Headers],[ESC]],"x","")</f>
        <v/>
      </c>
      <c r="AE25" s="146" t="str">
        <f>IF((_xlfn.XLOOKUP(Profesores[[#This Row],[Nombre]],base_de_datos[Profesor],base_de_datos[Academia],1))=Profesores[[#Headers],[HUM]],"x","")</f>
        <v/>
      </c>
      <c r="AF25" s="146" t="str">
        <f>IF((_xlfn.XLOOKUP(Profesores[[#This Row],[Nombre]],base_de_datos[Profesor],base_de_datos[Academia],1))=Profesores[[#Headers],[IID]],"x","")</f>
        <v/>
      </c>
      <c r="AG25" s="146" t="str">
        <f>IF((_xlfn.XLOOKUP(Profesores[[#This Row],[Nombre]],base_de_datos[Profesor],base_de_datos[Academia],1))=Profesores[[#Headers],[BIO]],"x","")</f>
        <v/>
      </c>
      <c r="AH25" s="146" t="s">
        <v>524</v>
      </c>
      <c r="AI25" s="146" t="s">
        <v>513</v>
      </c>
      <c r="AJ25" s="146">
        <f>TRUNC(IFERROR(Profesores[[#This Row],[Ex Inglés]]*677/100,0),0)</f>
        <v>0</v>
      </c>
      <c r="AL25" s="180" t="s">
        <v>589</v>
      </c>
      <c r="AM25" s="180" t="s">
        <v>682</v>
      </c>
      <c r="AN25" s="180">
        <v>10</v>
      </c>
      <c r="AQ25" s="181" t="s">
        <v>98</v>
      </c>
      <c r="AR25" s="181">
        <v>30</v>
      </c>
      <c r="AS25" s="165"/>
      <c r="AT25" s="165">
        <v>12</v>
      </c>
      <c r="AU25" s="165">
        <v>18</v>
      </c>
      <c r="AV25" s="165"/>
      <c r="AW25" s="177" t="s">
        <v>683</v>
      </c>
      <c r="AX25" s="177">
        <v>10</v>
      </c>
    </row>
    <row r="26" spans="2:50" ht="12" hidden="1" customHeight="1" x14ac:dyDescent="0.3">
      <c r="B26" s="6">
        <v>59</v>
      </c>
      <c r="C26" s="146" t="s">
        <v>502</v>
      </c>
      <c r="D26" s="147" t="s">
        <v>33</v>
      </c>
      <c r="E26" s="148">
        <v>245150</v>
      </c>
      <c r="F26" s="146" t="s">
        <v>233</v>
      </c>
      <c r="G26" s="149" t="s">
        <v>684</v>
      </c>
      <c r="H26" s="149" t="s">
        <v>685</v>
      </c>
      <c r="I26" s="149" t="s">
        <v>519</v>
      </c>
      <c r="J26" s="150">
        <v>33876</v>
      </c>
      <c r="K26" s="149" t="s">
        <v>506</v>
      </c>
      <c r="L26" s="147" t="s">
        <v>507</v>
      </c>
      <c r="M26" s="151">
        <v>4494605379</v>
      </c>
      <c r="N26" s="162" t="s">
        <v>686</v>
      </c>
      <c r="O26" s="151" t="s">
        <v>687</v>
      </c>
      <c r="P26" s="147">
        <v>207</v>
      </c>
      <c r="Q26" s="146" t="s">
        <v>688</v>
      </c>
      <c r="R26" s="146" t="s">
        <v>511</v>
      </c>
      <c r="S26" s="146" t="s">
        <v>511</v>
      </c>
      <c r="T26" s="146">
        <v>20235</v>
      </c>
      <c r="U26" s="147">
        <v>1</v>
      </c>
      <c r="V26" s="147" t="str">
        <f>IF((_xlfn.XLOOKUP(Profesores[[#This Row],[Nombre]],base_de_datos[Profesor],base_de_datos[Academia],1))=Profesores[[#Headers],[MEC]],"x","")</f>
        <v/>
      </c>
      <c r="W26" s="147" t="str">
        <f>IF((_xlfn.XLOOKUP(Profesores[[#This Row],[Nombre]],base_de_datos[Profesor],base_de_datos[Academia],1))=Profesores[[#Headers],[COM]],"x","")</f>
        <v/>
      </c>
      <c r="X26" s="147"/>
      <c r="Y26" s="147" t="str">
        <f>IF((_xlfn.XLOOKUP(Profesores[[#This Row],[Nombre]],base_de_datos[Profesor],base_de_datos[Academia],1))=Profesores[[#Headers],[DOP]],"x","")</f>
        <v/>
      </c>
      <c r="Z26" s="147" t="str">
        <f>IF((_xlfn.XLOOKUP(Profesores[[#This Row],[Nombre]],base_de_datos[Profesor],base_de_datos[Academia],1))=Profesores[[#Headers],[ETF]],"x","")</f>
        <v/>
      </c>
      <c r="AA26" s="147" t="str">
        <f>IF((_xlfn.XLOOKUP(Profesores[[#This Row],[Nombre]],base_de_datos[Profesor],base_de_datos[Academia],1))=Profesores[[#Headers],[MAT]],"x","")</f>
        <v/>
      </c>
      <c r="AB26" s="147" t="str">
        <f>IF((_xlfn.XLOOKUP(Profesores[[#This Row],[Nombre]],base_de_datos[Profesor],base_de_datos[Academia],1))=Profesores[[#Headers],[EMP]],"x","")</f>
        <v/>
      </c>
      <c r="AC26" s="146" t="str">
        <f>IF((_xlfn.XLOOKUP(Profesores[[#This Row],[Nombre]],base_de_datos[Profesor],base_de_datos[Academia],1))=Profesores[[#Headers],[AIC]],"x","")</f>
        <v/>
      </c>
      <c r="AD26" s="146" t="str">
        <f>IF((_xlfn.XLOOKUP(Profesores[[#This Row],[Nombre]],base_de_datos[Profesor],base_de_datos[Academia],1))=Profesores[[#Headers],[ESC]],"x","")</f>
        <v>x</v>
      </c>
      <c r="AE26" s="146" t="str">
        <f>IF((_xlfn.XLOOKUP(Profesores[[#This Row],[Nombre]],base_de_datos[Profesor],base_de_datos[Academia],1))=Profesores[[#Headers],[HUM]],"x","")</f>
        <v/>
      </c>
      <c r="AF26" s="146" t="str">
        <f>IF((_xlfn.XLOOKUP(Profesores[[#This Row],[Nombre]],base_de_datos[Profesor],base_de_datos[Academia],1))=Profesores[[#Headers],[IID]],"x","")</f>
        <v/>
      </c>
      <c r="AG26" s="146" t="str">
        <f>IF((_xlfn.XLOOKUP(Profesores[[#This Row],[Nombre]],base_de_datos[Profesor],base_de_datos[Academia],1))=Profesores[[#Headers],[BIO]],"x","")</f>
        <v/>
      </c>
      <c r="AH26" s="146" t="s">
        <v>524</v>
      </c>
      <c r="AI26" s="146" t="s">
        <v>513</v>
      </c>
      <c r="AJ26" s="146">
        <f>TRUNC(IFERROR(Profesores[[#This Row],[Ex Inglés]]*677/100,0),0)</f>
        <v>0</v>
      </c>
      <c r="AL26" s="64" t="s">
        <v>589</v>
      </c>
      <c r="AM26" s="64" t="s">
        <v>689</v>
      </c>
      <c r="AN26" s="63">
        <v>8</v>
      </c>
      <c r="AQ26" s="10" t="s">
        <v>119</v>
      </c>
      <c r="AR26" s="10">
        <v>60</v>
      </c>
      <c r="AS26" s="9"/>
      <c r="AT26" s="9">
        <v>18</v>
      </c>
      <c r="AU26" s="9">
        <v>26</v>
      </c>
      <c r="AV26" s="9"/>
      <c r="AW26" s="8" t="s">
        <v>690</v>
      </c>
      <c r="AX26" s="8">
        <v>10</v>
      </c>
    </row>
    <row r="27" spans="2:50" ht="12" hidden="1" customHeight="1" x14ac:dyDescent="0.3">
      <c r="B27" s="6">
        <v>60</v>
      </c>
      <c r="C27" s="146" t="s">
        <v>502</v>
      </c>
      <c r="D27" s="147" t="s">
        <v>33</v>
      </c>
      <c r="E27" s="148">
        <v>236049</v>
      </c>
      <c r="F27" s="146" t="s">
        <v>394</v>
      </c>
      <c r="G27" s="149" t="s">
        <v>691</v>
      </c>
      <c r="H27" s="149" t="s">
        <v>692</v>
      </c>
      <c r="I27" s="149" t="s">
        <v>693</v>
      </c>
      <c r="J27" s="150">
        <v>22929</v>
      </c>
      <c r="K27" s="149" t="s">
        <v>506</v>
      </c>
      <c r="L27" s="147" t="s">
        <v>507</v>
      </c>
      <c r="M27" s="151" t="s">
        <v>694</v>
      </c>
      <c r="N27" s="162" t="s">
        <v>695</v>
      </c>
      <c r="O27" s="151" t="s">
        <v>696</v>
      </c>
      <c r="P27" s="147">
        <v>2602</v>
      </c>
      <c r="Q27" s="146" t="s">
        <v>697</v>
      </c>
      <c r="R27" s="146" t="s">
        <v>511</v>
      </c>
      <c r="S27" s="146" t="s">
        <v>511</v>
      </c>
      <c r="T27" s="146">
        <v>20118</v>
      </c>
      <c r="U27" s="147">
        <v>1</v>
      </c>
      <c r="V27" s="147" t="str">
        <f>IF((_xlfn.XLOOKUP(Profesores[[#This Row],[Nombre]],base_de_datos[Profesor],base_de_datos[Academia],1))=Profesores[[#Headers],[MEC]],"x","")</f>
        <v/>
      </c>
      <c r="W27" s="147" t="str">
        <f>IF((_xlfn.XLOOKUP(Profesores[[#This Row],[Nombre]],base_de_datos[Profesor],base_de_datos[Academia],1))=Profesores[[#Headers],[COM]],"x","")</f>
        <v/>
      </c>
      <c r="X27" s="147"/>
      <c r="Y27" s="147" t="str">
        <f>IF((_xlfn.XLOOKUP(Profesores[[#This Row],[Nombre]],base_de_datos[Profesor],base_de_datos[Academia],1))=Profesores[[#Headers],[DOP]],"x","")</f>
        <v/>
      </c>
      <c r="Z27" s="147" t="str">
        <f>IF((_xlfn.XLOOKUP(Profesores[[#This Row],[Nombre]],base_de_datos[Profesor],base_de_datos[Academia],1))=Profesores[[#Headers],[ETF]],"x","")</f>
        <v/>
      </c>
      <c r="AA27" s="147" t="str">
        <f>IF((_xlfn.XLOOKUP(Profesores[[#This Row],[Nombre]],base_de_datos[Profesor],base_de_datos[Academia],1))=Profesores[[#Headers],[MAT]],"x","")</f>
        <v/>
      </c>
      <c r="AB27" s="147" t="str">
        <f>IF((_xlfn.XLOOKUP(Profesores[[#This Row],[Nombre]],base_de_datos[Profesor],base_de_datos[Academia],1))=Profesores[[#Headers],[EMP]],"x","")</f>
        <v/>
      </c>
      <c r="AC27" s="146" t="str">
        <f>IF((_xlfn.XLOOKUP(Profesores[[#This Row],[Nombre]],base_de_datos[Profesor],base_de_datos[Academia],1))=Profesores[[#Headers],[AIC]],"x","")</f>
        <v/>
      </c>
      <c r="AD27" s="146" t="str">
        <f>IF((_xlfn.XLOOKUP(Profesores[[#This Row],[Nombre]],base_de_datos[Profesor],base_de_datos[Academia],1))=Profesores[[#Headers],[ESC]],"x","")</f>
        <v>x</v>
      </c>
      <c r="AE27" s="146" t="str">
        <f>IF((_xlfn.XLOOKUP(Profesores[[#This Row],[Nombre]],base_de_datos[Profesor],base_de_datos[Academia],1))=Profesores[[#Headers],[HUM]],"x","")</f>
        <v/>
      </c>
      <c r="AF27" s="146" t="str">
        <f>IF((_xlfn.XLOOKUP(Profesores[[#This Row],[Nombre]],base_de_datos[Profesor],base_de_datos[Academia],1))=Profesores[[#Headers],[IID]],"x","")</f>
        <v/>
      </c>
      <c r="AG27" s="146" t="str">
        <f>IF((_xlfn.XLOOKUP(Profesores[[#This Row],[Nombre]],base_de_datos[Profesor],base_de_datos[Academia],1))=Profesores[[#Headers],[BIO]],"x","")</f>
        <v/>
      </c>
      <c r="AH27" s="146" t="s">
        <v>524</v>
      </c>
      <c r="AI27" s="146" t="s">
        <v>513</v>
      </c>
      <c r="AJ27" s="146">
        <f>TRUNC(IFERROR(Profesores[[#This Row],[Ex Inglés]]*677/100,0),0)</f>
        <v>0</v>
      </c>
      <c r="AQ27" s="10" t="s">
        <v>144</v>
      </c>
      <c r="AR27" s="10">
        <v>30</v>
      </c>
      <c r="AS27" s="9"/>
      <c r="AT27" s="9">
        <v>12</v>
      </c>
      <c r="AU27" s="9">
        <v>18</v>
      </c>
      <c r="AV27" s="9"/>
      <c r="AW27"/>
      <c r="AX27"/>
    </row>
    <row r="28" spans="2:50" s="146" customFormat="1" ht="12" hidden="1" customHeight="1" x14ac:dyDescent="0.3">
      <c r="B28" s="146">
        <v>61</v>
      </c>
      <c r="C28" s="146" t="s">
        <v>526</v>
      </c>
      <c r="D28" s="147" t="s">
        <v>33</v>
      </c>
      <c r="E28" s="148">
        <v>160343</v>
      </c>
      <c r="F28" s="146" t="s">
        <v>196</v>
      </c>
      <c r="G28" s="149" t="s">
        <v>698</v>
      </c>
      <c r="H28" s="149" t="s">
        <v>699</v>
      </c>
      <c r="I28" s="149" t="s">
        <v>700</v>
      </c>
      <c r="J28" s="150">
        <v>29967</v>
      </c>
      <c r="K28" s="149" t="s">
        <v>506</v>
      </c>
      <c r="L28" s="147" t="s">
        <v>507</v>
      </c>
      <c r="M28" s="151">
        <v>4491797249</v>
      </c>
      <c r="N28" s="158" t="s">
        <v>701</v>
      </c>
      <c r="O28" s="151" t="s">
        <v>702</v>
      </c>
      <c r="P28" s="147">
        <v>113</v>
      </c>
      <c r="Q28" s="146" t="s">
        <v>703</v>
      </c>
      <c r="R28" s="146" t="s">
        <v>511</v>
      </c>
      <c r="S28" s="146" t="s">
        <v>511</v>
      </c>
      <c r="T28" s="146">
        <v>20124</v>
      </c>
      <c r="U28" s="147">
        <v>3</v>
      </c>
      <c r="V28" s="147" t="str">
        <f>IF((_xlfn.XLOOKUP(Profesores[[#This Row],[Nombre]],base_de_datos[Profesor],base_de_datos[Academia],1))=Profesores[[#Headers],[MEC]],"x","")</f>
        <v/>
      </c>
      <c r="W28" s="147" t="str">
        <f>IF((_xlfn.XLOOKUP(Profesores[[#This Row],[Nombre]],base_de_datos[Profesor],base_de_datos[Academia],1))=Profesores[[#Headers],[COM]],"x","")</f>
        <v/>
      </c>
      <c r="X28" s="147"/>
      <c r="Y28" s="147" t="str">
        <f>IF((_xlfn.XLOOKUP(Profesores[[#This Row],[Nombre]],base_de_datos[Profesor],base_de_datos[Academia],1))=Profesores[[#Headers],[DOP]],"x","")</f>
        <v/>
      </c>
      <c r="Z28" s="147" t="str">
        <f>IF((_xlfn.XLOOKUP(Profesores[[#This Row],[Nombre]],base_de_datos[Profesor],base_de_datos[Academia],1))=Profesores[[#Headers],[ETF]],"x","")</f>
        <v/>
      </c>
      <c r="AA28" s="147" t="str">
        <f>IF((_xlfn.XLOOKUP(Profesores[[#This Row],[Nombre]],base_de_datos[Profesor],base_de_datos[Academia],1))=Profesores[[#Headers],[MAT]],"x","")</f>
        <v/>
      </c>
      <c r="AB28" s="147" t="str">
        <f>IF((_xlfn.XLOOKUP(Profesores[[#This Row],[Nombre]],base_de_datos[Profesor],base_de_datos[Academia],1))=Profesores[[#Headers],[EMP]],"x","")</f>
        <v/>
      </c>
      <c r="AC28" s="146" t="str">
        <f>IF((_xlfn.XLOOKUP(Profesores[[#This Row],[Nombre]],base_de_datos[Profesor],base_de_datos[Academia],1))=Profesores[[#Headers],[AIC]],"x","")</f>
        <v/>
      </c>
      <c r="AD28" s="146" t="str">
        <f>IF((_xlfn.XLOOKUP(Profesores[[#This Row],[Nombre]],base_de_datos[Profesor],base_de_datos[Academia],1))=Profesores[[#Headers],[ESC]],"x","")</f>
        <v/>
      </c>
      <c r="AE28" s="146" t="str">
        <f>IF((_xlfn.XLOOKUP(Profesores[[#This Row],[Nombre]],base_de_datos[Profesor],base_de_datos[Academia],1))=Profesores[[#Headers],[HUM]],"x","")</f>
        <v/>
      </c>
      <c r="AF28" s="146" t="str">
        <f>IF((_xlfn.XLOOKUP(Profesores[[#This Row],[Nombre]],base_de_datos[Profesor],base_de_datos[Academia],1))=Profesores[[#Headers],[IID]],"x","")</f>
        <v/>
      </c>
      <c r="AG28" s="146" t="str">
        <f>IF((_xlfn.XLOOKUP(Profesores[[#This Row],[Nombre]],base_de_datos[Profesor],base_de_datos[Academia],1))=Profesores[[#Headers],[BIO]],"x","")</f>
        <v/>
      </c>
      <c r="AH28" s="146" t="s">
        <v>524</v>
      </c>
      <c r="AI28" s="146" t="s">
        <v>513</v>
      </c>
      <c r="AJ28" s="146">
        <f>TRUNC(IFERROR(Profesores[[#This Row],[Ex Inglés]]*677/100,0),0)</f>
        <v>0</v>
      </c>
      <c r="AL28" s="146" t="s">
        <v>704</v>
      </c>
      <c r="AQ28" s="181" t="s">
        <v>164</v>
      </c>
      <c r="AR28" s="181">
        <v>30</v>
      </c>
      <c r="AS28" s="165"/>
      <c r="AT28" s="165">
        <v>12</v>
      </c>
      <c r="AU28" s="165">
        <v>18</v>
      </c>
      <c r="AV28" s="165"/>
      <c r="AW28" s="191"/>
      <c r="AX28" s="191"/>
    </row>
    <row r="29" spans="2:50" s="146" customFormat="1" ht="12" hidden="1" customHeight="1" x14ac:dyDescent="0.3">
      <c r="B29" s="6">
        <v>62</v>
      </c>
      <c r="C29" s="146" t="s">
        <v>502</v>
      </c>
      <c r="D29" s="147" t="s">
        <v>33</v>
      </c>
      <c r="E29" s="148">
        <v>202618</v>
      </c>
      <c r="F29" s="146" t="s">
        <v>123</v>
      </c>
      <c r="G29" s="149" t="s">
        <v>705</v>
      </c>
      <c r="H29" s="149" t="s">
        <v>706</v>
      </c>
      <c r="I29" s="149" t="s">
        <v>707</v>
      </c>
      <c r="J29" s="150">
        <v>29869</v>
      </c>
      <c r="K29" s="149" t="s">
        <v>506</v>
      </c>
      <c r="L29" s="147" t="s">
        <v>507</v>
      </c>
      <c r="M29" s="151">
        <v>4491892167</v>
      </c>
      <c r="N29" s="162" t="s">
        <v>708</v>
      </c>
      <c r="O29" s="151" t="s">
        <v>709</v>
      </c>
      <c r="P29" s="147">
        <v>115</v>
      </c>
      <c r="Q29" s="146" t="s">
        <v>710</v>
      </c>
      <c r="R29" s="146" t="s">
        <v>511</v>
      </c>
      <c r="S29" s="146" t="s">
        <v>511</v>
      </c>
      <c r="T29" s="146">
        <v>20280</v>
      </c>
      <c r="U29" s="147">
        <v>3</v>
      </c>
      <c r="V29" s="147" t="str">
        <f>IF((_xlfn.XLOOKUP(Profesores[[#This Row],[Nombre]],base_de_datos[Profesor],base_de_datos[Academia],1))=Profesores[[#Headers],[MEC]],"x","")</f>
        <v/>
      </c>
      <c r="W29" s="147" t="str">
        <f>IF((_xlfn.XLOOKUP(Profesores[[#This Row],[Nombre]],base_de_datos[Profesor],base_de_datos[Academia],1))=Profesores[[#Headers],[COM]],"x","")</f>
        <v/>
      </c>
      <c r="X29" s="147"/>
      <c r="Y29" s="147" t="str">
        <f>IF((_xlfn.XLOOKUP(Profesores[[#This Row],[Nombre]],base_de_datos[Profesor],base_de_datos[Academia],1))=Profesores[[#Headers],[DOP]],"x","")</f>
        <v/>
      </c>
      <c r="Z29" s="147" t="str">
        <f>IF((_xlfn.XLOOKUP(Profesores[[#This Row],[Nombre]],base_de_datos[Profesor],base_de_datos[Academia],1))=Profesores[[#Headers],[ETF]],"x","")</f>
        <v>x</v>
      </c>
      <c r="AA29" s="147" t="str">
        <f>IF((_xlfn.XLOOKUP(Profesores[[#This Row],[Nombre]],base_de_datos[Profesor],base_de_datos[Academia],1))=Profesores[[#Headers],[MAT]],"x","")</f>
        <v/>
      </c>
      <c r="AB29" s="147" t="str">
        <f>IF((_xlfn.XLOOKUP(Profesores[[#This Row],[Nombre]],base_de_datos[Profesor],base_de_datos[Academia],1))=Profesores[[#Headers],[EMP]],"x","")</f>
        <v/>
      </c>
      <c r="AC29" s="146" t="str">
        <f>IF((_xlfn.XLOOKUP(Profesores[[#This Row],[Nombre]],base_de_datos[Profesor],base_de_datos[Academia],1))=Profesores[[#Headers],[AIC]],"x","")</f>
        <v/>
      </c>
      <c r="AD29" s="146" t="str">
        <f>IF((_xlfn.XLOOKUP(Profesores[[#This Row],[Nombre]],base_de_datos[Profesor],base_de_datos[Academia],1))=Profesores[[#Headers],[ESC]],"x","")</f>
        <v/>
      </c>
      <c r="AE29" s="146" t="str">
        <f>IF((_xlfn.XLOOKUP(Profesores[[#This Row],[Nombre]],base_de_datos[Profesor],base_de_datos[Academia],1))=Profesores[[#Headers],[HUM]],"x","")</f>
        <v/>
      </c>
      <c r="AF29" s="146" t="str">
        <f>IF((_xlfn.XLOOKUP(Profesores[[#This Row],[Nombre]],base_de_datos[Profesor],base_de_datos[Academia],1))=Profesores[[#Headers],[IID]],"x","")</f>
        <v/>
      </c>
      <c r="AG29" s="146" t="str">
        <f>IF((_xlfn.XLOOKUP(Profesores[[#This Row],[Nombre]],base_de_datos[Profesor],base_de_datos[Academia],1))=Profesores[[#Headers],[BIO]],"x","")</f>
        <v/>
      </c>
      <c r="AH29" s="146" t="s">
        <v>524</v>
      </c>
      <c r="AI29" s="146" t="s">
        <v>513</v>
      </c>
      <c r="AJ29" s="146">
        <f>TRUNC(IFERROR(Profesores[[#This Row],[Ex Inglés]]*677/100,0),0)</f>
        <v>0</v>
      </c>
      <c r="AL29" s="180" t="s">
        <v>589</v>
      </c>
      <c r="AM29" s="180" t="s">
        <v>599</v>
      </c>
      <c r="AN29" s="180">
        <v>20</v>
      </c>
      <c r="AQ29" s="181" t="s">
        <v>256</v>
      </c>
      <c r="AR29" s="181">
        <v>30</v>
      </c>
      <c r="AS29" s="165"/>
      <c r="AT29" s="165">
        <v>12</v>
      </c>
      <c r="AU29" s="165">
        <v>18</v>
      </c>
      <c r="AV29" s="165"/>
      <c r="AW29" s="191"/>
      <c r="AX29" s="191"/>
    </row>
    <row r="30" spans="2:50" ht="12" hidden="1" customHeight="1" x14ac:dyDescent="0.3">
      <c r="B30" s="6">
        <v>63</v>
      </c>
      <c r="C30" s="146" t="s">
        <v>515</v>
      </c>
      <c r="D30" s="147" t="s">
        <v>33</v>
      </c>
      <c r="E30" s="148">
        <v>185696</v>
      </c>
      <c r="F30" s="146" t="s">
        <v>227</v>
      </c>
      <c r="G30" s="149" t="s">
        <v>711</v>
      </c>
      <c r="H30" s="149" t="s">
        <v>706</v>
      </c>
      <c r="I30" s="149" t="s">
        <v>712</v>
      </c>
      <c r="J30" s="150">
        <v>27158</v>
      </c>
      <c r="K30" s="149" t="s">
        <v>506</v>
      </c>
      <c r="L30" s="147" t="s">
        <v>507</v>
      </c>
      <c r="M30" s="151">
        <v>4491560033</v>
      </c>
      <c r="N30" s="176" t="s">
        <v>713</v>
      </c>
      <c r="O30" s="151" t="s">
        <v>714</v>
      </c>
      <c r="P30" s="147" t="s">
        <v>715</v>
      </c>
      <c r="Q30" s="146" t="s">
        <v>716</v>
      </c>
      <c r="R30" s="146" t="s">
        <v>511</v>
      </c>
      <c r="S30" s="146" t="s">
        <v>511</v>
      </c>
      <c r="T30" s="146">
        <v>20342</v>
      </c>
      <c r="U30" s="147">
        <v>1</v>
      </c>
      <c r="V30" s="147" t="str">
        <f>IF((_xlfn.XLOOKUP(Profesores[[#This Row],[Nombre]],base_de_datos[Profesor],base_de_datos[Academia],1))=Profesores[[#Headers],[MEC]],"x","")</f>
        <v>x</v>
      </c>
      <c r="W30" s="147" t="str">
        <f>IF((_xlfn.XLOOKUP(Profesores[[#This Row],[Nombre]],base_de_datos[Profesor],base_de_datos[Academia],1))=Profesores[[#Headers],[COM]],"x","")</f>
        <v/>
      </c>
      <c r="X30" s="147"/>
      <c r="Y30" s="147" t="str">
        <f>IF((_xlfn.XLOOKUP(Profesores[[#This Row],[Nombre]],base_de_datos[Profesor],base_de_datos[Academia],1))=Profesores[[#Headers],[DOP]],"x","")</f>
        <v/>
      </c>
      <c r="Z30" s="147" t="str">
        <f>IF((_xlfn.XLOOKUP(Profesores[[#This Row],[Nombre]],base_de_datos[Profesor],base_de_datos[Academia],1))=Profesores[[#Headers],[ETF]],"x","")</f>
        <v/>
      </c>
      <c r="AA30" s="147" t="str">
        <f>IF((_xlfn.XLOOKUP(Profesores[[#This Row],[Nombre]],base_de_datos[Profesor],base_de_datos[Academia],1))=Profesores[[#Headers],[MAT]],"x","")</f>
        <v/>
      </c>
      <c r="AB30" s="147" t="str">
        <f>IF((_xlfn.XLOOKUP(Profesores[[#This Row],[Nombre]],base_de_datos[Profesor],base_de_datos[Academia],1))=Profesores[[#Headers],[EMP]],"x","")</f>
        <v/>
      </c>
      <c r="AC30" s="146" t="str">
        <f>IF((_xlfn.XLOOKUP(Profesores[[#This Row],[Nombre]],base_de_datos[Profesor],base_de_datos[Academia],1))=Profesores[[#Headers],[AIC]],"x","")</f>
        <v/>
      </c>
      <c r="AD30" s="146" t="str">
        <f>IF((_xlfn.XLOOKUP(Profesores[[#This Row],[Nombre]],base_de_datos[Profesor],base_de_datos[Academia],1))=Profesores[[#Headers],[ESC]],"x","")</f>
        <v/>
      </c>
      <c r="AE30" s="146" t="str">
        <f>IF((_xlfn.XLOOKUP(Profesores[[#This Row],[Nombre]],base_de_datos[Profesor],base_de_datos[Academia],1))=Profesores[[#Headers],[HUM]],"x","")</f>
        <v/>
      </c>
      <c r="AF30" s="146" t="str">
        <f>IF((_xlfn.XLOOKUP(Profesores[[#This Row],[Nombre]],base_de_datos[Profesor],base_de_datos[Academia],1))=Profesores[[#Headers],[IID]],"x","")</f>
        <v/>
      </c>
      <c r="AG30" s="146" t="str">
        <f>IF((_xlfn.XLOOKUP(Profesores[[#This Row],[Nombre]],base_de_datos[Profesor],base_de_datos[Academia],1))=Profesores[[#Headers],[BIO]],"x","")</f>
        <v/>
      </c>
      <c r="AH30" s="146" t="s">
        <v>524</v>
      </c>
      <c r="AI30" s="146" t="s">
        <v>513</v>
      </c>
      <c r="AJ30" s="146">
        <f>TRUNC(IFERROR(Profesores[[#This Row],[Ex Inglés]]*677/100,0),0)</f>
        <v>0</v>
      </c>
      <c r="AL30" s="63" t="s">
        <v>589</v>
      </c>
      <c r="AM30" s="63" t="s">
        <v>717</v>
      </c>
      <c r="AN30" s="63">
        <v>8</v>
      </c>
      <c r="AQ30" s="10" t="s">
        <v>258</v>
      </c>
      <c r="AR30" s="10">
        <v>30</v>
      </c>
      <c r="AS30" s="9"/>
      <c r="AT30" s="9">
        <v>12</v>
      </c>
      <c r="AU30" s="9">
        <v>18</v>
      </c>
      <c r="AV30" s="9"/>
      <c r="AW30"/>
      <c r="AX30"/>
    </row>
    <row r="31" spans="2:50" s="209" customFormat="1" ht="12" hidden="1" customHeight="1" x14ac:dyDescent="0.3">
      <c r="B31" s="209">
        <v>64</v>
      </c>
      <c r="C31" s="209" t="s">
        <v>515</v>
      </c>
      <c r="D31" s="210" t="s">
        <v>33</v>
      </c>
      <c r="E31" s="211">
        <v>184194</v>
      </c>
      <c r="F31" s="209" t="s">
        <v>718</v>
      </c>
      <c r="G31" s="212" t="s">
        <v>719</v>
      </c>
      <c r="H31" s="212" t="s">
        <v>720</v>
      </c>
      <c r="I31" s="212" t="s">
        <v>721</v>
      </c>
      <c r="J31" s="220">
        <v>35152</v>
      </c>
      <c r="K31" s="212" t="s">
        <v>506</v>
      </c>
      <c r="L31" s="210" t="s">
        <v>507</v>
      </c>
      <c r="M31" s="213">
        <v>4492241881</v>
      </c>
      <c r="N31" s="214" t="s">
        <v>722</v>
      </c>
      <c r="O31" s="213" t="s">
        <v>723</v>
      </c>
      <c r="P31" s="210" t="s">
        <v>724</v>
      </c>
      <c r="Q31" s="209" t="s">
        <v>725</v>
      </c>
      <c r="R31" s="209" t="s">
        <v>511</v>
      </c>
      <c r="S31" s="209" t="s">
        <v>511</v>
      </c>
      <c r="T31" s="209">
        <v>20199</v>
      </c>
      <c r="U31" s="210">
        <v>2</v>
      </c>
      <c r="V31" s="210" t="str">
        <f>IF((_xlfn.XLOOKUP(Profesores[[#This Row],[Nombre]],base_de_datos[Profesor],base_de_datos[Academia],1))=Profesores[[#Headers],[MEC]],"x","")</f>
        <v/>
      </c>
      <c r="W31" s="210" t="str">
        <f>IF((_xlfn.XLOOKUP(Profesores[[#This Row],[Nombre]],base_de_datos[Profesor],base_de_datos[Academia],1))=Profesores[[#Headers],[COM]],"x","")</f>
        <v/>
      </c>
      <c r="X31" s="210"/>
      <c r="Y31" s="210" t="str">
        <f>IF((_xlfn.XLOOKUP(Profesores[[#This Row],[Nombre]],base_de_datos[Profesor],base_de_datos[Academia],1))=Profesores[[#Headers],[DOP]],"x","")</f>
        <v/>
      </c>
      <c r="Z31" s="210" t="str">
        <f>IF((_xlfn.XLOOKUP(Profesores[[#This Row],[Nombre]],base_de_datos[Profesor],base_de_datos[Academia],1))=Profesores[[#Headers],[ETF]],"x","")</f>
        <v/>
      </c>
      <c r="AA31" s="210" t="str">
        <f>IF((_xlfn.XLOOKUP(Profesores[[#This Row],[Nombre]],base_de_datos[Profesor],base_de_datos[Academia],1))=Profesores[[#Headers],[MAT]],"x","")</f>
        <v/>
      </c>
      <c r="AB31" s="210" t="str">
        <f>IF((_xlfn.XLOOKUP(Profesores[[#This Row],[Nombre]],base_de_datos[Profesor],base_de_datos[Academia],1))=Profesores[[#Headers],[EMP]],"x","")</f>
        <v/>
      </c>
      <c r="AC31" s="209" t="str">
        <f>IF((_xlfn.XLOOKUP(Profesores[[#This Row],[Nombre]],base_de_datos[Profesor],base_de_datos[Academia],1))=Profesores[[#Headers],[AIC]],"x","")</f>
        <v/>
      </c>
      <c r="AD31" s="209" t="str">
        <f>IF((_xlfn.XLOOKUP(Profesores[[#This Row],[Nombre]],base_de_datos[Profesor],base_de_datos[Academia],1))=Profesores[[#Headers],[ESC]],"x","")</f>
        <v/>
      </c>
      <c r="AE31" s="209" t="str">
        <f>IF((_xlfn.XLOOKUP(Profesores[[#This Row],[Nombre]],base_de_datos[Profesor],base_de_datos[Academia],1))=Profesores[[#Headers],[HUM]],"x","")</f>
        <v/>
      </c>
      <c r="AF31" s="209" t="str">
        <f>IF((_xlfn.XLOOKUP(Profesores[[#This Row],[Nombre]],base_de_datos[Profesor],base_de_datos[Academia],1))=Profesores[[#Headers],[IID]],"x","")</f>
        <v/>
      </c>
      <c r="AG31" s="209" t="str">
        <f>IF((_xlfn.XLOOKUP(Profesores[[#This Row],[Nombre]],base_de_datos[Profesor],base_de_datos[Academia],1))=Profesores[[#Headers],[BIO]],"x","")</f>
        <v/>
      </c>
      <c r="AH31" s="209" t="s">
        <v>726</v>
      </c>
      <c r="AI31" s="209" t="s">
        <v>513</v>
      </c>
      <c r="AJ31" s="209">
        <f>TRUNC(IFERROR(Profesores[[#This Row],[Ex Inglés]]*677/100,0),0)</f>
        <v>478</v>
      </c>
      <c r="AL31" s="215" t="s">
        <v>589</v>
      </c>
      <c r="AM31" s="215" t="s">
        <v>727</v>
      </c>
      <c r="AN31" s="215">
        <v>8</v>
      </c>
      <c r="AQ31" s="221" t="s">
        <v>223</v>
      </c>
      <c r="AR31" s="221">
        <v>60</v>
      </c>
      <c r="AS31" s="217"/>
      <c r="AT31" s="217">
        <v>18</v>
      </c>
      <c r="AU31" s="217">
        <v>26</v>
      </c>
      <c r="AV31" s="217"/>
      <c r="AW31" s="222"/>
      <c r="AX31" s="222"/>
    </row>
    <row r="32" spans="2:50" s="146" customFormat="1" ht="12" hidden="1" customHeight="1" x14ac:dyDescent="0.3">
      <c r="B32" s="146">
        <v>65</v>
      </c>
      <c r="C32" s="153" t="s">
        <v>540</v>
      </c>
      <c r="D32" s="154" t="s">
        <v>33</v>
      </c>
      <c r="E32" s="155">
        <v>175186</v>
      </c>
      <c r="F32" s="153" t="s">
        <v>466</v>
      </c>
      <c r="G32" s="156" t="s">
        <v>728</v>
      </c>
      <c r="H32" s="156" t="s">
        <v>729</v>
      </c>
      <c r="I32" s="156" t="s">
        <v>730</v>
      </c>
      <c r="J32" s="150">
        <v>22541</v>
      </c>
      <c r="K32" s="149" t="s">
        <v>506</v>
      </c>
      <c r="L32" s="147" t="s">
        <v>507</v>
      </c>
      <c r="M32" s="151">
        <v>4495540662</v>
      </c>
      <c r="N32" s="158" t="s">
        <v>731</v>
      </c>
      <c r="O32" s="151" t="s">
        <v>732</v>
      </c>
      <c r="P32" s="147">
        <v>205</v>
      </c>
      <c r="Q32" s="146" t="s">
        <v>733</v>
      </c>
      <c r="R32" s="146" t="s">
        <v>248</v>
      </c>
      <c r="S32" s="146" t="s">
        <v>511</v>
      </c>
      <c r="T32" s="146">
        <v>20908</v>
      </c>
      <c r="U32" s="147">
        <v>1</v>
      </c>
      <c r="V32" s="147" t="str">
        <f>IF((_xlfn.XLOOKUP(Profesores[[#This Row],[Nombre]],base_de_datos[Profesor],base_de_datos[Academia],1))=Profesores[[#Headers],[MEC]],"x","")</f>
        <v/>
      </c>
      <c r="W32" s="147" t="str">
        <f>IF((_xlfn.XLOOKUP(Profesores[[#This Row],[Nombre]],base_de_datos[Profesor],base_de_datos[Academia],1))=Profesores[[#Headers],[COM]],"x","")</f>
        <v/>
      </c>
      <c r="X32" s="147"/>
      <c r="Y32" s="147" t="str">
        <f>IF((_xlfn.XLOOKUP(Profesores[[#This Row],[Nombre]],base_de_datos[Profesor],base_de_datos[Academia],1))=Profesores[[#Headers],[DOP]],"x","")</f>
        <v/>
      </c>
      <c r="Z32" s="147" t="str">
        <f>IF((_xlfn.XLOOKUP(Profesores[[#This Row],[Nombre]],base_de_datos[Profesor],base_de_datos[Academia],1))=Profesores[[#Headers],[ETF]],"x","")</f>
        <v>x</v>
      </c>
      <c r="AA32" s="147" t="str">
        <f>IF((_xlfn.XLOOKUP(Profesores[[#This Row],[Nombre]],base_de_datos[Profesor],base_de_datos[Academia],1))=Profesores[[#Headers],[MAT]],"x","")</f>
        <v/>
      </c>
      <c r="AB32" s="147" t="str">
        <f>IF((_xlfn.XLOOKUP(Profesores[[#This Row],[Nombre]],base_de_datos[Profesor],base_de_datos[Academia],1))=Profesores[[#Headers],[EMP]],"x","")</f>
        <v/>
      </c>
      <c r="AC32" s="146" t="str">
        <f>IF((_xlfn.XLOOKUP(Profesores[[#This Row],[Nombre]],base_de_datos[Profesor],base_de_datos[Academia],1))=Profesores[[#Headers],[AIC]],"x","")</f>
        <v/>
      </c>
      <c r="AD32" s="146" t="str">
        <f>IF((_xlfn.XLOOKUP(Profesores[[#This Row],[Nombre]],base_de_datos[Profesor],base_de_datos[Academia],1))=Profesores[[#Headers],[ESC]],"x","")</f>
        <v/>
      </c>
      <c r="AE32" s="146" t="str">
        <f>IF((_xlfn.XLOOKUP(Profesores[[#This Row],[Nombre]],base_de_datos[Profesor],base_de_datos[Academia],1))=Profesores[[#Headers],[HUM]],"x","")</f>
        <v/>
      </c>
      <c r="AF32" s="146" t="str">
        <f>IF((_xlfn.XLOOKUP(Profesores[[#This Row],[Nombre]],base_de_datos[Profesor],base_de_datos[Academia],1))=Profesores[[#Headers],[IID]],"x","")</f>
        <v/>
      </c>
      <c r="AG32" s="146" t="str">
        <f>IF((_xlfn.XLOOKUP(Profesores[[#This Row],[Nombre]],base_de_datos[Profesor],base_de_datos[Academia],1))=Profesores[[#Headers],[BIO]],"x","")</f>
        <v/>
      </c>
      <c r="AH32" s="146" t="s">
        <v>524</v>
      </c>
      <c r="AI32" s="146" t="s">
        <v>513</v>
      </c>
      <c r="AJ32" s="146">
        <f>TRUNC(IFERROR(Profesores[[#This Row],[Ex Inglés]]*677/100,0),0)</f>
        <v>0</v>
      </c>
      <c r="AL32" s="180" t="s">
        <v>589</v>
      </c>
      <c r="AM32" s="180" t="s">
        <v>734</v>
      </c>
      <c r="AN32" s="180">
        <v>8</v>
      </c>
      <c r="AQ32" s="181" t="s">
        <v>735</v>
      </c>
      <c r="AR32" s="181">
        <v>60</v>
      </c>
      <c r="AS32" s="165"/>
      <c r="AT32" s="165">
        <v>16</v>
      </c>
      <c r="AU32" s="165">
        <v>36</v>
      </c>
      <c r="AV32" s="165"/>
      <c r="AW32" s="191"/>
      <c r="AX32" s="191"/>
    </row>
    <row r="33" spans="2:48" s="209" customFormat="1" ht="12" hidden="1" customHeight="1" x14ac:dyDescent="0.3">
      <c r="B33" s="6">
        <v>66</v>
      </c>
      <c r="C33" s="146" t="s">
        <v>526</v>
      </c>
      <c r="D33" s="147" t="s">
        <v>33</v>
      </c>
      <c r="E33" s="148">
        <v>248124</v>
      </c>
      <c r="F33" s="146" t="s">
        <v>134</v>
      </c>
      <c r="G33" s="149" t="s">
        <v>736</v>
      </c>
      <c r="H33" s="149" t="s">
        <v>737</v>
      </c>
      <c r="I33" s="149" t="s">
        <v>738</v>
      </c>
      <c r="J33" s="195">
        <v>27830</v>
      </c>
      <c r="K33" s="196" t="s">
        <v>506</v>
      </c>
      <c r="L33" s="147" t="s">
        <v>507</v>
      </c>
      <c r="M33" s="190">
        <v>4491960069</v>
      </c>
      <c r="N33" s="158" t="s">
        <v>739</v>
      </c>
      <c r="O33" s="190" t="s">
        <v>740</v>
      </c>
      <c r="P33" s="164">
        <v>107</v>
      </c>
      <c r="Q33" s="165" t="s">
        <v>741</v>
      </c>
      <c r="R33" s="165" t="s">
        <v>742</v>
      </c>
      <c r="S33" s="165" t="s">
        <v>511</v>
      </c>
      <c r="T33" s="165">
        <v>20925</v>
      </c>
      <c r="U33" s="147">
        <v>2</v>
      </c>
      <c r="V33" s="147" t="str">
        <f>IF((_xlfn.XLOOKUP(Profesores[[#This Row],[Nombre]],base_de_datos[Profesor],base_de_datos[Academia],1))=Profesores[[#Headers],[MEC]],"x","")</f>
        <v/>
      </c>
      <c r="W33" s="147" t="str">
        <f>IF((_xlfn.XLOOKUP(Profesores[[#This Row],[Nombre]],base_de_datos[Profesor],base_de_datos[Academia],1))=Profesores[[#Headers],[COM]],"x","")</f>
        <v/>
      </c>
      <c r="X33" s="147"/>
      <c r="Y33" s="147" t="str">
        <f>IF((_xlfn.XLOOKUP(Profesores[[#This Row],[Nombre]],base_de_datos[Profesor],base_de_datos[Academia],1))=Profesores[[#Headers],[DOP]],"x","")</f>
        <v/>
      </c>
      <c r="Z33" s="147" t="str">
        <f>IF((_xlfn.XLOOKUP(Profesores[[#This Row],[Nombre]],base_de_datos[Profesor],base_de_datos[Academia],1))=Profesores[[#Headers],[ETF]],"x","")</f>
        <v>x</v>
      </c>
      <c r="AA33" s="147" t="str">
        <f>IF((_xlfn.XLOOKUP(Profesores[[#This Row],[Nombre]],base_de_datos[Profesor],base_de_datos[Academia],1))=Profesores[[#Headers],[MAT]],"x","")</f>
        <v/>
      </c>
      <c r="AB33" s="147" t="str">
        <f>IF((_xlfn.XLOOKUP(Profesores[[#This Row],[Nombre]],base_de_datos[Profesor],base_de_datos[Academia],1))=Profesores[[#Headers],[EMP]],"x","")</f>
        <v/>
      </c>
      <c r="AC33" s="146" t="str">
        <f>IF((_xlfn.XLOOKUP(Profesores[[#This Row],[Nombre]],base_de_datos[Profesor],base_de_datos[Academia],1))=Profesores[[#Headers],[AIC]],"x","")</f>
        <v/>
      </c>
      <c r="AD33" s="146" t="str">
        <f>IF((_xlfn.XLOOKUP(Profesores[[#This Row],[Nombre]],base_de_datos[Profesor],base_de_datos[Academia],1))=Profesores[[#Headers],[ESC]],"x","")</f>
        <v/>
      </c>
      <c r="AE33" s="146" t="str">
        <f>IF((_xlfn.XLOOKUP(Profesores[[#This Row],[Nombre]],base_de_datos[Profesor],base_de_datos[Academia],1))=Profesores[[#Headers],[HUM]],"x","")</f>
        <v/>
      </c>
      <c r="AF33" s="146" t="str">
        <f>IF((_xlfn.XLOOKUP(Profesores[[#This Row],[Nombre]],base_de_datos[Profesor],base_de_datos[Academia],1))=Profesores[[#Headers],[IID]],"x","")</f>
        <v/>
      </c>
      <c r="AG33" s="146" t="str">
        <f>IF((_xlfn.XLOOKUP(Profesores[[#This Row],[Nombre]],base_de_datos[Profesor],base_de_datos[Academia],1))=Profesores[[#Headers],[BIO]],"x","")</f>
        <v/>
      </c>
      <c r="AH33" s="146">
        <v>37.020000000000003</v>
      </c>
      <c r="AI33" s="146" t="s">
        <v>513</v>
      </c>
      <c r="AJ33" s="146">
        <f>TRUNC(IFERROR(Profesores[[#This Row],[Ex Inglés]]*677/100,0),0)</f>
        <v>250</v>
      </c>
      <c r="AL33" s="215" t="s">
        <v>589</v>
      </c>
      <c r="AM33" s="215" t="s">
        <v>743</v>
      </c>
      <c r="AN33" s="215">
        <v>8</v>
      </c>
      <c r="AQ33" s="223" t="s">
        <v>138</v>
      </c>
      <c r="AR33" s="221">
        <v>30</v>
      </c>
      <c r="AS33" s="217" t="s">
        <v>744</v>
      </c>
      <c r="AT33" s="217">
        <v>10</v>
      </c>
      <c r="AU33" s="217">
        <v>15</v>
      </c>
      <c r="AV33" s="217"/>
    </row>
    <row r="34" spans="2:48" s="146" customFormat="1" ht="12" hidden="1" customHeight="1" x14ac:dyDescent="0.3">
      <c r="B34" s="6">
        <v>67</v>
      </c>
      <c r="C34" s="146" t="s">
        <v>502</v>
      </c>
      <c r="D34" s="147" t="s">
        <v>33</v>
      </c>
      <c r="E34" s="148">
        <v>209763</v>
      </c>
      <c r="F34" s="146" t="s">
        <v>100</v>
      </c>
      <c r="G34" s="149" t="s">
        <v>745</v>
      </c>
      <c r="H34" s="149" t="s">
        <v>706</v>
      </c>
      <c r="I34" s="149" t="s">
        <v>746</v>
      </c>
      <c r="J34" s="150">
        <v>31393</v>
      </c>
      <c r="K34" s="149" t="s">
        <v>506</v>
      </c>
      <c r="L34" s="147" t="s">
        <v>507</v>
      </c>
      <c r="M34" s="151">
        <v>4491980904</v>
      </c>
      <c r="N34" s="158" t="s">
        <v>747</v>
      </c>
      <c r="O34" s="151" t="s">
        <v>748</v>
      </c>
      <c r="P34" s="147">
        <v>209</v>
      </c>
      <c r="Q34" s="146" t="s">
        <v>598</v>
      </c>
      <c r="R34" s="146" t="s">
        <v>511</v>
      </c>
      <c r="S34" s="146" t="s">
        <v>511</v>
      </c>
      <c r="T34" s="146">
        <v>20050</v>
      </c>
      <c r="U34" s="147">
        <v>1</v>
      </c>
      <c r="V34" s="147" t="str">
        <f>IF((_xlfn.XLOOKUP(Profesores[[#This Row],[Nombre]],base_de_datos[Profesor],base_de_datos[Academia],1))=Profesores[[#Headers],[MEC]],"x","")</f>
        <v/>
      </c>
      <c r="W34" s="147" t="str">
        <f>IF((_xlfn.XLOOKUP(Profesores[[#This Row],[Nombre]],base_de_datos[Profesor],base_de_datos[Academia],1))=Profesores[[#Headers],[COM]],"x","")</f>
        <v/>
      </c>
      <c r="X34" s="147"/>
      <c r="Y34" s="147" t="str">
        <f>IF((_xlfn.XLOOKUP(Profesores[[#This Row],[Nombre]],base_de_datos[Profesor],base_de_datos[Academia],1))=Profesores[[#Headers],[DOP]],"x","")</f>
        <v/>
      </c>
      <c r="Z34" s="147" t="str">
        <f>IF((_xlfn.XLOOKUP(Profesores[[#This Row],[Nombre]],base_de_datos[Profesor],base_de_datos[Academia],1))=Profesores[[#Headers],[ETF]],"x","")</f>
        <v>x</v>
      </c>
      <c r="AA34" s="147" t="str">
        <f>IF((_xlfn.XLOOKUP(Profesores[[#This Row],[Nombre]],base_de_datos[Profesor],base_de_datos[Academia],1))=Profesores[[#Headers],[MAT]],"x","")</f>
        <v/>
      </c>
      <c r="AB34" s="147" t="str">
        <f>IF((_xlfn.XLOOKUP(Profesores[[#This Row],[Nombre]],base_de_datos[Profesor],base_de_datos[Academia],1))=Profesores[[#Headers],[EMP]],"x","")</f>
        <v/>
      </c>
      <c r="AC34" s="146" t="str">
        <f>IF((_xlfn.XLOOKUP(Profesores[[#This Row],[Nombre]],base_de_datos[Profesor],base_de_datos[Academia],1))=Profesores[[#Headers],[AIC]],"x","")</f>
        <v/>
      </c>
      <c r="AD34" s="146" t="str">
        <f>IF((_xlfn.XLOOKUP(Profesores[[#This Row],[Nombre]],base_de_datos[Profesor],base_de_datos[Academia],1))=Profesores[[#Headers],[ESC]],"x","")</f>
        <v/>
      </c>
      <c r="AE34" s="146" t="str">
        <f>IF((_xlfn.XLOOKUP(Profesores[[#This Row],[Nombre]],base_de_datos[Profesor],base_de_datos[Academia],1))=Profesores[[#Headers],[HUM]],"x","")</f>
        <v/>
      </c>
      <c r="AF34" s="146" t="str">
        <f>IF((_xlfn.XLOOKUP(Profesores[[#This Row],[Nombre]],base_de_datos[Profesor],base_de_datos[Academia],1))=Profesores[[#Headers],[IID]],"x","")</f>
        <v/>
      </c>
      <c r="AG34" s="146" t="str">
        <f>IF((_xlfn.XLOOKUP(Profesores[[#This Row],[Nombre]],base_de_datos[Profesor],base_de_datos[Academia],1))=Profesores[[#Headers],[BIO]],"x","")</f>
        <v/>
      </c>
      <c r="AH34" s="146">
        <v>90.76</v>
      </c>
      <c r="AI34" s="146" t="s">
        <v>507</v>
      </c>
      <c r="AJ34" s="146">
        <f>TRUNC(IFERROR(Profesores[[#This Row],[Ex Inglés]]*677/100,0),0)</f>
        <v>614</v>
      </c>
      <c r="AL34" s="180" t="s">
        <v>589</v>
      </c>
      <c r="AM34" s="180" t="s">
        <v>749</v>
      </c>
      <c r="AN34" s="180">
        <v>12</v>
      </c>
      <c r="AQ34" s="181" t="s">
        <v>229</v>
      </c>
      <c r="AR34" s="181">
        <v>40</v>
      </c>
      <c r="AS34" s="165" t="s">
        <v>750</v>
      </c>
      <c r="AT34" s="169">
        <v>11</v>
      </c>
      <c r="AU34" s="165">
        <v>19</v>
      </c>
      <c r="AV34" s="165"/>
    </row>
    <row r="35" spans="2:48" ht="12" hidden="1" customHeight="1" x14ac:dyDescent="0.3">
      <c r="B35" s="6">
        <v>68</v>
      </c>
      <c r="C35" s="146" t="s">
        <v>501</v>
      </c>
      <c r="D35" s="147" t="s">
        <v>33</v>
      </c>
      <c r="E35" s="148">
        <v>203575</v>
      </c>
      <c r="F35" s="146" t="s">
        <v>249</v>
      </c>
      <c r="G35" s="149" t="s">
        <v>751</v>
      </c>
      <c r="H35" s="149" t="s">
        <v>752</v>
      </c>
      <c r="I35" s="149" t="s">
        <v>753</v>
      </c>
      <c r="J35" s="150">
        <v>32970</v>
      </c>
      <c r="K35" s="149" t="s">
        <v>506</v>
      </c>
      <c r="L35" s="147" t="s">
        <v>507</v>
      </c>
      <c r="M35" s="151">
        <v>4499118956</v>
      </c>
      <c r="N35" s="158" t="s">
        <v>754</v>
      </c>
      <c r="O35" s="151" t="s">
        <v>755</v>
      </c>
      <c r="P35" s="147">
        <v>311</v>
      </c>
      <c r="Q35" s="146" t="s">
        <v>634</v>
      </c>
      <c r="R35" s="146" t="s">
        <v>511</v>
      </c>
      <c r="S35" s="146" t="s">
        <v>511</v>
      </c>
      <c r="T35" s="146">
        <v>20100</v>
      </c>
      <c r="U35" s="147">
        <v>1</v>
      </c>
      <c r="V35" s="147" t="str">
        <f>IF((_xlfn.XLOOKUP(Profesores[[#This Row],[Nombre]],base_de_datos[Profesor],base_de_datos[Academia],1))=Profesores[[#Headers],[MEC]],"x","")</f>
        <v/>
      </c>
      <c r="W35" s="147" t="str">
        <f>IF((_xlfn.XLOOKUP(Profesores[[#This Row],[Nombre]],base_de_datos[Profesor],base_de_datos[Academia],1))=Profesores[[#Headers],[COM]],"x","")</f>
        <v/>
      </c>
      <c r="X35" s="147"/>
      <c r="Y35" s="147" t="str">
        <f>IF((_xlfn.XLOOKUP(Profesores[[#This Row],[Nombre]],base_de_datos[Profesor],base_de_datos[Academia],1))=Profesores[[#Headers],[DOP]],"x","")</f>
        <v/>
      </c>
      <c r="Z35" s="147" t="str">
        <f>IF((_xlfn.XLOOKUP(Profesores[[#This Row],[Nombre]],base_de_datos[Profesor],base_de_datos[Academia],1))=Profesores[[#Headers],[ETF]],"x","")</f>
        <v>x</v>
      </c>
      <c r="AA35" s="147" t="str">
        <f>IF((_xlfn.XLOOKUP(Profesores[[#This Row],[Nombre]],base_de_datos[Profesor],base_de_datos[Academia],1))=Profesores[[#Headers],[MAT]],"x","")</f>
        <v/>
      </c>
      <c r="AB35" s="147" t="str">
        <f>IF((_xlfn.XLOOKUP(Profesores[[#This Row],[Nombre]],base_de_datos[Profesor],base_de_datos[Academia],1))=Profesores[[#Headers],[EMP]],"x","")</f>
        <v/>
      </c>
      <c r="AC35" s="146" t="str">
        <f>IF((_xlfn.XLOOKUP(Profesores[[#This Row],[Nombre]],base_de_datos[Profesor],base_de_datos[Academia],1))=Profesores[[#Headers],[AIC]],"x","")</f>
        <v/>
      </c>
      <c r="AD35" s="146" t="str">
        <f>IF((_xlfn.XLOOKUP(Profesores[[#This Row],[Nombre]],base_de_datos[Profesor],base_de_datos[Academia],1))=Profesores[[#Headers],[ESC]],"x","")</f>
        <v/>
      </c>
      <c r="AE35" s="146" t="str">
        <f>IF((_xlfn.XLOOKUP(Profesores[[#This Row],[Nombre]],base_de_datos[Profesor],base_de_datos[Academia],1))=Profesores[[#Headers],[HUM]],"x","")</f>
        <v/>
      </c>
      <c r="AF35" s="146" t="str">
        <f>IF((_xlfn.XLOOKUP(Profesores[[#This Row],[Nombre]],base_de_datos[Profesor],base_de_datos[Academia],1))=Profesores[[#Headers],[IID]],"x","")</f>
        <v/>
      </c>
      <c r="AG35" s="146" t="str">
        <f>IF((_xlfn.XLOOKUP(Profesores[[#This Row],[Nombre]],base_de_datos[Profesor],base_de_datos[Academia],1))=Profesores[[#Headers],[BIO]],"x","")</f>
        <v/>
      </c>
      <c r="AH35" s="146" t="s">
        <v>524</v>
      </c>
      <c r="AI35" s="146" t="s">
        <v>513</v>
      </c>
      <c r="AJ35" s="146">
        <f>TRUNC(IFERROR(Profesores[[#This Row],[Ex Inglés]]*677/100,0),0)</f>
        <v>0</v>
      </c>
      <c r="AL35" s="63" t="s">
        <v>589</v>
      </c>
      <c r="AM35" s="63" t="s">
        <v>756</v>
      </c>
      <c r="AN35" s="63">
        <v>12</v>
      </c>
      <c r="AQ35" s="10" t="s">
        <v>160</v>
      </c>
      <c r="AR35" s="10">
        <v>40</v>
      </c>
      <c r="AS35" s="9" t="s">
        <v>757</v>
      </c>
      <c r="AT35" s="8">
        <v>10</v>
      </c>
      <c r="AU35" s="9">
        <v>15</v>
      </c>
      <c r="AV35" s="9"/>
    </row>
    <row r="36" spans="2:48" s="209" customFormat="1" ht="12" hidden="1" customHeight="1" x14ac:dyDescent="0.3">
      <c r="B36" s="209">
        <v>69</v>
      </c>
      <c r="C36" s="209" t="s">
        <v>501</v>
      </c>
      <c r="D36" s="210" t="s">
        <v>33</v>
      </c>
      <c r="E36" s="211">
        <v>181844</v>
      </c>
      <c r="F36" s="209" t="s">
        <v>758</v>
      </c>
      <c r="G36" s="212" t="s">
        <v>759</v>
      </c>
      <c r="H36" s="212" t="s">
        <v>760</v>
      </c>
      <c r="I36" s="212" t="s">
        <v>761</v>
      </c>
      <c r="J36" s="220">
        <v>34813</v>
      </c>
      <c r="K36" s="212" t="s">
        <v>506</v>
      </c>
      <c r="L36" s="210" t="s">
        <v>507</v>
      </c>
      <c r="M36" s="213">
        <v>4492583663</v>
      </c>
      <c r="N36" s="214" t="s">
        <v>762</v>
      </c>
      <c r="O36" s="213" t="s">
        <v>763</v>
      </c>
      <c r="P36" s="210">
        <v>221</v>
      </c>
      <c r="Q36" s="209" t="s">
        <v>764</v>
      </c>
      <c r="R36" s="209" t="s">
        <v>511</v>
      </c>
      <c r="S36" s="209" t="s">
        <v>511</v>
      </c>
      <c r="T36" s="209">
        <v>20240</v>
      </c>
      <c r="U36" s="210">
        <v>1</v>
      </c>
      <c r="V36" s="210" t="str">
        <f>IF((_xlfn.XLOOKUP(Profesores[[#This Row],[Nombre]],base_de_datos[Profesor],base_de_datos[Academia],1))=Profesores[[#Headers],[MEC]],"x","")</f>
        <v/>
      </c>
      <c r="W36" s="210" t="str">
        <f>IF((_xlfn.XLOOKUP(Profesores[[#This Row],[Nombre]],base_de_datos[Profesor],base_de_datos[Academia],1))=Profesores[[#Headers],[COM]],"x","")</f>
        <v/>
      </c>
      <c r="X36" s="210"/>
      <c r="Y36" s="210" t="str">
        <f>IF((_xlfn.XLOOKUP(Profesores[[#This Row],[Nombre]],base_de_datos[Profesor],base_de_datos[Academia],1))=Profesores[[#Headers],[DOP]],"x","")</f>
        <v/>
      </c>
      <c r="Z36" s="210" t="str">
        <f>IF((_xlfn.XLOOKUP(Profesores[[#This Row],[Nombre]],base_de_datos[Profesor],base_de_datos[Academia],1))=Profesores[[#Headers],[ETF]],"x","")</f>
        <v/>
      </c>
      <c r="AA36" s="210" t="str">
        <f>IF((_xlfn.XLOOKUP(Profesores[[#This Row],[Nombre]],base_de_datos[Profesor],base_de_datos[Academia],1))=Profesores[[#Headers],[MAT]],"x","")</f>
        <v/>
      </c>
      <c r="AB36" s="210" t="str">
        <f>IF((_xlfn.XLOOKUP(Profesores[[#This Row],[Nombre]],base_de_datos[Profesor],base_de_datos[Academia],1))=Profesores[[#Headers],[EMP]],"x","")</f>
        <v/>
      </c>
      <c r="AC36" s="209" t="str">
        <f>IF((_xlfn.XLOOKUP(Profesores[[#This Row],[Nombre]],base_de_datos[Profesor],base_de_datos[Academia],1))=Profesores[[#Headers],[AIC]],"x","")</f>
        <v/>
      </c>
      <c r="AD36" s="209" t="str">
        <f>IF((_xlfn.XLOOKUP(Profesores[[#This Row],[Nombre]],base_de_datos[Profesor],base_de_datos[Academia],1))=Profesores[[#Headers],[ESC]],"x","")</f>
        <v/>
      </c>
      <c r="AE36" s="209" t="str">
        <f>IF((_xlfn.XLOOKUP(Profesores[[#This Row],[Nombre]],base_de_datos[Profesor],base_de_datos[Academia],1))=Profesores[[#Headers],[HUM]],"x","")</f>
        <v/>
      </c>
      <c r="AF36" s="209" t="str">
        <f>IF((_xlfn.XLOOKUP(Profesores[[#This Row],[Nombre]],base_de_datos[Profesor],base_de_datos[Academia],1))=Profesores[[#Headers],[IID]],"x","")</f>
        <v/>
      </c>
      <c r="AG36" s="209" t="str">
        <f>IF((_xlfn.XLOOKUP(Profesores[[#This Row],[Nombre]],base_de_datos[Profesor],base_de_datos[Academia],1))=Profesores[[#Headers],[BIO]],"x","")</f>
        <v/>
      </c>
      <c r="AH36" s="209" t="s">
        <v>524</v>
      </c>
      <c r="AJ36" s="209">
        <f>TRUNC(IFERROR(Profesores[[#This Row],[Ex Inglés]]*677/100,0),0)</f>
        <v>0</v>
      </c>
      <c r="AL36" s="215" t="s">
        <v>589</v>
      </c>
      <c r="AM36" s="215" t="s">
        <v>765</v>
      </c>
      <c r="AN36" s="215">
        <v>16</v>
      </c>
      <c r="AQ36" s="221" t="s">
        <v>766</v>
      </c>
      <c r="AR36" s="224">
        <v>20</v>
      </c>
      <c r="AS36" s="217"/>
      <c r="AT36" s="217">
        <v>20</v>
      </c>
      <c r="AU36" s="217">
        <v>18</v>
      </c>
      <c r="AV36" s="217"/>
    </row>
    <row r="37" spans="2:48" s="146" customFormat="1" ht="12" hidden="1" customHeight="1" x14ac:dyDescent="0.3">
      <c r="B37" s="217">
        <v>70</v>
      </c>
      <c r="C37" s="217" t="s">
        <v>502</v>
      </c>
      <c r="D37" s="238" t="s">
        <v>33</v>
      </c>
      <c r="E37" s="239">
        <v>236071</v>
      </c>
      <c r="F37" s="217" t="s">
        <v>767</v>
      </c>
      <c r="G37" s="240" t="s">
        <v>768</v>
      </c>
      <c r="H37" s="240" t="s">
        <v>769</v>
      </c>
      <c r="I37" s="240" t="s">
        <v>770</v>
      </c>
      <c r="J37" s="241">
        <v>31629</v>
      </c>
      <c r="K37" s="240" t="s">
        <v>506</v>
      </c>
      <c r="L37" s="238" t="s">
        <v>507</v>
      </c>
      <c r="M37" s="242">
        <v>4442930099</v>
      </c>
      <c r="N37" s="243" t="s">
        <v>771</v>
      </c>
      <c r="O37" s="242" t="s">
        <v>772</v>
      </c>
      <c r="P37" s="238" t="s">
        <v>773</v>
      </c>
      <c r="Q37" s="217" t="s">
        <v>774</v>
      </c>
      <c r="R37" s="217" t="s">
        <v>511</v>
      </c>
      <c r="S37" s="217" t="s">
        <v>511</v>
      </c>
      <c r="T37" s="217">
        <v>20286</v>
      </c>
      <c r="U37" s="238">
        <v>1</v>
      </c>
      <c r="V37" s="238" t="str">
        <f>IF((_xlfn.XLOOKUP(Profesores[[#This Row],[Nombre]],base_de_datos[Profesor],base_de_datos[Academia],1))=Profesores[[#Headers],[MEC]],"x","")</f>
        <v/>
      </c>
      <c r="W37" s="238" t="str">
        <f>IF((_xlfn.XLOOKUP(Profesores[[#This Row],[Nombre]],base_de_datos[Profesor],base_de_datos[Academia],1))=Profesores[[#Headers],[COM]],"x","")</f>
        <v/>
      </c>
      <c r="X37" s="238"/>
      <c r="Y37" s="238" t="str">
        <f>IF((_xlfn.XLOOKUP(Profesores[[#This Row],[Nombre]],base_de_datos[Profesor],base_de_datos[Academia],1))=Profesores[[#Headers],[DOP]],"x","")</f>
        <v/>
      </c>
      <c r="Z37" s="238" t="str">
        <f>IF((_xlfn.XLOOKUP(Profesores[[#This Row],[Nombre]],base_de_datos[Profesor],base_de_datos[Academia],1))=Profesores[[#Headers],[ETF]],"x","")</f>
        <v/>
      </c>
      <c r="AA37" s="238" t="str">
        <f>IF((_xlfn.XLOOKUP(Profesores[[#This Row],[Nombre]],base_de_datos[Profesor],base_de_datos[Academia],1))=Profesores[[#Headers],[MAT]],"x","")</f>
        <v/>
      </c>
      <c r="AB37" s="238" t="str">
        <f>IF((_xlfn.XLOOKUP(Profesores[[#This Row],[Nombre]],base_de_datos[Profesor],base_de_datos[Academia],1))=Profesores[[#Headers],[EMP]],"x","")</f>
        <v/>
      </c>
      <c r="AC37" s="217" t="str">
        <f>IF((_xlfn.XLOOKUP(Profesores[[#This Row],[Nombre]],base_de_datos[Profesor],base_de_datos[Academia],1))=Profesores[[#Headers],[AIC]],"x","")</f>
        <v/>
      </c>
      <c r="AD37" s="217" t="str">
        <f>IF((_xlfn.XLOOKUP(Profesores[[#This Row],[Nombre]],base_de_datos[Profesor],base_de_datos[Academia],1))=Profesores[[#Headers],[ESC]],"x","")</f>
        <v/>
      </c>
      <c r="AE37" s="217" t="str">
        <f>IF((_xlfn.XLOOKUP(Profesores[[#This Row],[Nombre]],base_de_datos[Profesor],base_de_datos[Academia],1))=Profesores[[#Headers],[HUM]],"x","")</f>
        <v/>
      </c>
      <c r="AF37" s="217" t="str">
        <f>IF((_xlfn.XLOOKUP(Profesores[[#This Row],[Nombre]],base_de_datos[Profesor],base_de_datos[Academia],1))=Profesores[[#Headers],[IID]],"x","")</f>
        <v/>
      </c>
      <c r="AG37" s="217" t="str">
        <f>IF((_xlfn.XLOOKUP(Profesores[[#This Row],[Nombre]],base_de_datos[Profesor],base_de_datos[Academia],1))=Profesores[[#Headers],[BIO]],"x","")</f>
        <v/>
      </c>
      <c r="AH37" s="217" t="s">
        <v>512</v>
      </c>
      <c r="AI37" s="217" t="s">
        <v>513</v>
      </c>
      <c r="AJ37" s="217">
        <f>TRUNC(IFERROR(Profesores[[#This Row],[Ex Inglés]]*677/100,0),0)</f>
        <v>0</v>
      </c>
      <c r="AL37" s="180" t="s">
        <v>589</v>
      </c>
      <c r="AM37" s="180" t="s">
        <v>775</v>
      </c>
      <c r="AN37" s="180">
        <v>12</v>
      </c>
      <c r="AQ37" s="181" t="s">
        <v>776</v>
      </c>
      <c r="AR37" s="181">
        <v>20</v>
      </c>
      <c r="AS37" s="165"/>
      <c r="AT37" s="165">
        <v>7</v>
      </c>
      <c r="AU37" s="165">
        <v>10</v>
      </c>
      <c r="AV37" s="165"/>
    </row>
    <row r="38" spans="2:48" s="146" customFormat="1" ht="12" hidden="1" customHeight="1" x14ac:dyDescent="0.3">
      <c r="B38" s="146">
        <v>71</v>
      </c>
      <c r="C38" s="146" t="s">
        <v>540</v>
      </c>
      <c r="D38" s="147" t="s">
        <v>33</v>
      </c>
      <c r="E38" s="148">
        <v>248314</v>
      </c>
      <c r="F38" s="146" t="s">
        <v>115</v>
      </c>
      <c r="G38" s="149" t="s">
        <v>777</v>
      </c>
      <c r="H38" s="149" t="s">
        <v>778</v>
      </c>
      <c r="I38" s="149" t="s">
        <v>535</v>
      </c>
      <c r="J38" s="150">
        <v>32131</v>
      </c>
      <c r="K38" s="149" t="s">
        <v>506</v>
      </c>
      <c r="L38" s="147" t="s">
        <v>507</v>
      </c>
      <c r="M38" s="151">
        <v>5572173994</v>
      </c>
      <c r="N38" s="158" t="s">
        <v>779</v>
      </c>
      <c r="O38" s="151" t="s">
        <v>780</v>
      </c>
      <c r="P38" s="147">
        <v>213</v>
      </c>
      <c r="Q38" s="146" t="s">
        <v>781</v>
      </c>
      <c r="R38" s="146" t="s">
        <v>511</v>
      </c>
      <c r="S38" s="146" t="s">
        <v>511</v>
      </c>
      <c r="T38" s="146">
        <v>20326</v>
      </c>
      <c r="U38" s="147">
        <v>2</v>
      </c>
      <c r="V38" s="147" t="str">
        <f>IF((_xlfn.XLOOKUP(Profesores[[#This Row],[Nombre]],base_de_datos[Profesor],base_de_datos[Academia],1))=Profesores[[#Headers],[MEC]],"x","")</f>
        <v/>
      </c>
      <c r="W38" s="147" t="str">
        <f>IF((_xlfn.XLOOKUP(Profesores[[#This Row],[Nombre]],base_de_datos[Profesor],base_de_datos[Academia],1))=Profesores[[#Headers],[COM]],"x","")</f>
        <v/>
      </c>
      <c r="X38" s="147"/>
      <c r="Y38" s="147" t="str">
        <f>IF((_xlfn.XLOOKUP(Profesores[[#This Row],[Nombre]],base_de_datos[Profesor],base_de_datos[Academia],1))=Profesores[[#Headers],[DOP]],"x","")</f>
        <v/>
      </c>
      <c r="Z38" s="147" t="str">
        <f>IF((_xlfn.XLOOKUP(Profesores[[#This Row],[Nombre]],base_de_datos[Profesor],base_de_datos[Academia],1))=Profesores[[#Headers],[ETF]],"x","")</f>
        <v/>
      </c>
      <c r="AA38" s="147" t="str">
        <f>IF((_xlfn.XLOOKUP(Profesores[[#This Row],[Nombre]],base_de_datos[Profesor],base_de_datos[Academia],1))=Profesores[[#Headers],[MAT]],"x","")</f>
        <v>x</v>
      </c>
      <c r="AB38" s="147" t="str">
        <f>IF((_xlfn.XLOOKUP(Profesores[[#This Row],[Nombre]],base_de_datos[Profesor],base_de_datos[Academia],1))=Profesores[[#Headers],[EMP]],"x","")</f>
        <v/>
      </c>
      <c r="AC38" s="146" t="str">
        <f>IF((_xlfn.XLOOKUP(Profesores[[#This Row],[Nombre]],base_de_datos[Profesor],base_de_datos[Academia],1))=Profesores[[#Headers],[AIC]],"x","")</f>
        <v/>
      </c>
      <c r="AD38" s="146" t="str">
        <f>IF((_xlfn.XLOOKUP(Profesores[[#This Row],[Nombre]],base_de_datos[Profesor],base_de_datos[Academia],1))=Profesores[[#Headers],[ESC]],"x","")</f>
        <v/>
      </c>
      <c r="AE38" s="146" t="str">
        <f>IF((_xlfn.XLOOKUP(Profesores[[#This Row],[Nombre]],base_de_datos[Profesor],base_de_datos[Academia],1))=Profesores[[#Headers],[HUM]],"x","")</f>
        <v/>
      </c>
      <c r="AF38" s="146" t="str">
        <f>IF((_xlfn.XLOOKUP(Profesores[[#This Row],[Nombre]],base_de_datos[Profesor],base_de_datos[Academia],1))=Profesores[[#Headers],[IID]],"x","")</f>
        <v/>
      </c>
      <c r="AG38" s="146" t="str">
        <f>IF((_xlfn.XLOOKUP(Profesores[[#This Row],[Nombre]],base_de_datos[Profesor],base_de_datos[Academia],1))=Profesores[[#Headers],[BIO]],"x","")</f>
        <v/>
      </c>
      <c r="AH38" s="146">
        <v>67.36</v>
      </c>
      <c r="AI38" s="146" t="s">
        <v>513</v>
      </c>
      <c r="AJ38" s="146">
        <f>TRUNC(IFERROR(Profesores[[#This Row],[Ex Inglés]]*677/100,0),0)</f>
        <v>456</v>
      </c>
      <c r="AL38" s="180" t="s">
        <v>589</v>
      </c>
      <c r="AM38" s="180" t="s">
        <v>782</v>
      </c>
      <c r="AN38" s="180">
        <v>12</v>
      </c>
      <c r="AQ38" s="181" t="s">
        <v>93</v>
      </c>
      <c r="AR38" s="181">
        <v>40</v>
      </c>
      <c r="AS38" s="165"/>
      <c r="AT38" s="165">
        <v>10</v>
      </c>
      <c r="AU38" s="165">
        <v>25</v>
      </c>
      <c r="AV38" s="165"/>
    </row>
    <row r="39" spans="2:48" s="146" customFormat="1" ht="12" hidden="1" customHeight="1" x14ac:dyDescent="0.3">
      <c r="B39" s="6">
        <v>72</v>
      </c>
      <c r="C39" s="146" t="s">
        <v>526</v>
      </c>
      <c r="D39" s="147" t="s">
        <v>33</v>
      </c>
      <c r="E39" s="148">
        <v>193782</v>
      </c>
      <c r="F39" s="146" t="s">
        <v>118</v>
      </c>
      <c r="G39" s="149" t="s">
        <v>783</v>
      </c>
      <c r="H39" s="149" t="s">
        <v>784</v>
      </c>
      <c r="I39" s="149" t="s">
        <v>785</v>
      </c>
      <c r="J39" s="150">
        <v>31884</v>
      </c>
      <c r="K39" s="149" t="s">
        <v>506</v>
      </c>
      <c r="L39" s="147" t="s">
        <v>507</v>
      </c>
      <c r="M39" s="151">
        <v>4492129414</v>
      </c>
      <c r="N39" s="158" t="s">
        <v>786</v>
      </c>
      <c r="O39" s="151" t="s">
        <v>787</v>
      </c>
      <c r="P39" s="147" t="s">
        <v>788</v>
      </c>
      <c r="Q39" s="146" t="s">
        <v>545</v>
      </c>
      <c r="R39" s="146" t="s">
        <v>511</v>
      </c>
      <c r="S39" s="146" t="s">
        <v>511</v>
      </c>
      <c r="T39" s="146">
        <v>20200</v>
      </c>
      <c r="U39" s="147">
        <v>2</v>
      </c>
      <c r="V39" s="147" t="str">
        <f>IF((_xlfn.XLOOKUP(Profesores[[#This Row],[Nombre]],base_de_datos[Profesor],base_de_datos[Academia],1))=Profesores[[#Headers],[MEC]],"x","")</f>
        <v/>
      </c>
      <c r="W39" s="147" t="str">
        <f>IF((_xlfn.XLOOKUP(Profesores[[#This Row],[Nombre]],base_de_datos[Profesor],base_de_datos[Academia],1))=Profesores[[#Headers],[COM]],"x","")</f>
        <v/>
      </c>
      <c r="X39" s="147"/>
      <c r="Y39" s="147" t="str">
        <f>IF((_xlfn.XLOOKUP(Profesores[[#This Row],[Nombre]],base_de_datos[Profesor],base_de_datos[Academia],1))=Profesores[[#Headers],[DOP]],"x","")</f>
        <v/>
      </c>
      <c r="Z39" s="147" t="str">
        <f>IF((_xlfn.XLOOKUP(Profesores[[#This Row],[Nombre]],base_de_datos[Profesor],base_de_datos[Academia],1))=Profesores[[#Headers],[ETF]],"x","")</f>
        <v/>
      </c>
      <c r="AA39" s="147" t="str">
        <f>IF((_xlfn.XLOOKUP(Profesores[[#This Row],[Nombre]],base_de_datos[Profesor],base_de_datos[Academia],1))=Profesores[[#Headers],[MAT]],"x","")</f>
        <v>x</v>
      </c>
      <c r="AB39" s="147" t="str">
        <f>IF((_xlfn.XLOOKUP(Profesores[[#This Row],[Nombre]],base_de_datos[Profesor],base_de_datos[Academia],1))=Profesores[[#Headers],[EMP]],"x","")</f>
        <v/>
      </c>
      <c r="AC39" s="146" t="str">
        <f>IF((_xlfn.XLOOKUP(Profesores[[#This Row],[Nombre]],base_de_datos[Profesor],base_de_datos[Academia],1))=Profesores[[#Headers],[AIC]],"x","")</f>
        <v/>
      </c>
      <c r="AD39" s="146" t="str">
        <f>IF((_xlfn.XLOOKUP(Profesores[[#This Row],[Nombre]],base_de_datos[Profesor],base_de_datos[Academia],1))=Profesores[[#Headers],[ESC]],"x","")</f>
        <v/>
      </c>
      <c r="AE39" s="146" t="str">
        <f>IF((_xlfn.XLOOKUP(Profesores[[#This Row],[Nombre]],base_de_datos[Profesor],base_de_datos[Academia],1))=Profesores[[#Headers],[HUM]],"x","")</f>
        <v/>
      </c>
      <c r="AF39" s="146" t="str">
        <f>IF((_xlfn.XLOOKUP(Profesores[[#This Row],[Nombre]],base_de_datos[Profesor],base_de_datos[Academia],1))=Profesores[[#Headers],[IID]],"x","")</f>
        <v/>
      </c>
      <c r="AG39" s="146" t="str">
        <f>IF((_xlfn.XLOOKUP(Profesores[[#This Row],[Nombre]],base_de_datos[Profesor],base_de_datos[Academia],1))=Profesores[[#Headers],[BIO]],"x","")</f>
        <v/>
      </c>
      <c r="AH39" s="146">
        <v>58.84</v>
      </c>
      <c r="AI39" s="146" t="s">
        <v>513</v>
      </c>
      <c r="AJ39" s="146">
        <f>TRUNC(IFERROR(Profesores[[#This Row],[Ex Inglés]]*677/100,0),0)</f>
        <v>398</v>
      </c>
      <c r="AL39" s="180" t="s">
        <v>589</v>
      </c>
      <c r="AM39" s="180" t="s">
        <v>690</v>
      </c>
      <c r="AN39" s="180">
        <v>10</v>
      </c>
      <c r="AQ39" s="181" t="s">
        <v>169</v>
      </c>
      <c r="AR39" s="181">
        <v>40</v>
      </c>
      <c r="AS39" s="165"/>
      <c r="AT39" s="165">
        <v>25</v>
      </c>
      <c r="AU39" s="165">
        <v>31</v>
      </c>
      <c r="AV39" s="165"/>
    </row>
    <row r="40" spans="2:48" s="146" customFormat="1" ht="12" hidden="1" customHeight="1" x14ac:dyDescent="0.3">
      <c r="B40" s="6">
        <v>74</v>
      </c>
      <c r="C40" s="146" t="s">
        <v>502</v>
      </c>
      <c r="D40" s="147" t="s">
        <v>33</v>
      </c>
      <c r="E40" s="148">
        <v>197438</v>
      </c>
      <c r="F40" s="146" t="s">
        <v>111</v>
      </c>
      <c r="G40" s="149" t="s">
        <v>789</v>
      </c>
      <c r="H40" s="149" t="s">
        <v>790</v>
      </c>
      <c r="I40" s="149" t="s">
        <v>791</v>
      </c>
      <c r="J40" s="150">
        <v>29805</v>
      </c>
      <c r="K40" s="149" t="s">
        <v>506</v>
      </c>
      <c r="L40" s="147" t="s">
        <v>507</v>
      </c>
      <c r="M40" s="151">
        <v>4491561933</v>
      </c>
      <c r="N40" s="158" t="s">
        <v>792</v>
      </c>
      <c r="O40" s="151" t="s">
        <v>793</v>
      </c>
      <c r="P40" s="147">
        <v>615</v>
      </c>
      <c r="Q40" s="146" t="s">
        <v>598</v>
      </c>
      <c r="R40" s="146" t="s">
        <v>511</v>
      </c>
      <c r="S40" s="146" t="s">
        <v>511</v>
      </c>
      <c r="T40" s="146">
        <v>20060</v>
      </c>
      <c r="U40" s="147">
        <v>3</v>
      </c>
      <c r="V40" s="147" t="str">
        <f>IF((_xlfn.XLOOKUP(Profesores[[#This Row],[Nombre]],base_de_datos[Profesor],base_de_datos[Academia],1))=Profesores[[#Headers],[MEC]],"x","")</f>
        <v/>
      </c>
      <c r="W40" s="147" t="str">
        <f>IF((_xlfn.XLOOKUP(Profesores[[#This Row],[Nombre]],base_de_datos[Profesor],base_de_datos[Academia],1))=Profesores[[#Headers],[COM]],"x","")</f>
        <v/>
      </c>
      <c r="X40" s="147"/>
      <c r="Y40" s="147" t="str">
        <f>IF((_xlfn.XLOOKUP(Profesores[[#This Row],[Nombre]],base_de_datos[Profesor],base_de_datos[Academia],1))=Profesores[[#Headers],[DOP]],"x","")</f>
        <v/>
      </c>
      <c r="Z40" s="147" t="str">
        <f>IF((_xlfn.XLOOKUP(Profesores[[#This Row],[Nombre]],base_de_datos[Profesor],base_de_datos[Academia],1))=Profesores[[#Headers],[ETF]],"x","")</f>
        <v/>
      </c>
      <c r="AA40" s="147" t="str">
        <f>IF((_xlfn.XLOOKUP(Profesores[[#This Row],[Nombre]],base_de_datos[Profesor],base_de_datos[Academia],1))=Profesores[[#Headers],[MAT]],"x","")</f>
        <v>x</v>
      </c>
      <c r="AB40" s="147" t="str">
        <f>IF((_xlfn.XLOOKUP(Profesores[[#This Row],[Nombre]],base_de_datos[Profesor],base_de_datos[Academia],1))=Profesores[[#Headers],[EMP]],"x","")</f>
        <v/>
      </c>
      <c r="AC40" s="146" t="str">
        <f>IF((_xlfn.XLOOKUP(Profesores[[#This Row],[Nombre]],base_de_datos[Profesor],base_de_datos[Academia],1))=Profesores[[#Headers],[AIC]],"x","")</f>
        <v/>
      </c>
      <c r="AD40" s="146" t="str">
        <f>IF((_xlfn.XLOOKUP(Profesores[[#This Row],[Nombre]],base_de_datos[Profesor],base_de_datos[Academia],1))=Profesores[[#Headers],[ESC]],"x","")</f>
        <v/>
      </c>
      <c r="AE40" s="146" t="str">
        <f>IF((_xlfn.XLOOKUP(Profesores[[#This Row],[Nombre]],base_de_datos[Profesor],base_de_datos[Academia],1))=Profesores[[#Headers],[HUM]],"x","")</f>
        <v/>
      </c>
      <c r="AF40" s="146" t="str">
        <f>IF((_xlfn.XLOOKUP(Profesores[[#This Row],[Nombre]],base_de_datos[Profesor],base_de_datos[Academia],1))=Profesores[[#Headers],[IID]],"x","")</f>
        <v/>
      </c>
      <c r="AG40" s="146" t="str">
        <f>IF((_xlfn.XLOOKUP(Profesores[[#This Row],[Nombre]],base_de_datos[Profesor],base_de_datos[Academia],1))=Profesores[[#Headers],[BIO]],"x","")</f>
        <v/>
      </c>
      <c r="AH40" s="146">
        <v>36.369999999999997</v>
      </c>
      <c r="AI40" s="146" t="s">
        <v>513</v>
      </c>
      <c r="AJ40" s="146">
        <f>TRUNC(IFERROR(Profesores[[#This Row],[Ex Inglés]]*677/100,0),0)</f>
        <v>246</v>
      </c>
      <c r="AL40" s="180" t="s">
        <v>589</v>
      </c>
      <c r="AM40" s="180" t="s">
        <v>590</v>
      </c>
      <c r="AN40" s="180">
        <v>25</v>
      </c>
      <c r="AQ40" s="181" t="s">
        <v>302</v>
      </c>
      <c r="AR40" s="181">
        <v>60</v>
      </c>
      <c r="AS40" s="165"/>
      <c r="AT40" s="165">
        <v>25</v>
      </c>
      <c r="AU40" s="165">
        <v>34</v>
      </c>
      <c r="AV40" s="165"/>
    </row>
    <row r="41" spans="2:48" s="146" customFormat="1" ht="12" hidden="1" customHeight="1" x14ac:dyDescent="0.3">
      <c r="B41" s="6">
        <v>76</v>
      </c>
      <c r="C41" s="146" t="s">
        <v>501</v>
      </c>
      <c r="D41" s="147" t="s">
        <v>33</v>
      </c>
      <c r="E41" s="148">
        <v>240108</v>
      </c>
      <c r="F41" s="146" t="s">
        <v>121</v>
      </c>
      <c r="G41" s="149" t="s">
        <v>794</v>
      </c>
      <c r="H41" s="149" t="s">
        <v>570</v>
      </c>
      <c r="I41" s="149" t="s">
        <v>795</v>
      </c>
      <c r="J41" s="150">
        <v>33171</v>
      </c>
      <c r="K41" s="149" t="s">
        <v>506</v>
      </c>
      <c r="L41" s="147" t="s">
        <v>507</v>
      </c>
      <c r="M41" s="151">
        <v>4493868704</v>
      </c>
      <c r="N41" s="158" t="s">
        <v>796</v>
      </c>
      <c r="O41" s="151" t="s">
        <v>797</v>
      </c>
      <c r="P41" s="147">
        <v>109</v>
      </c>
      <c r="Q41" s="146" t="s">
        <v>798</v>
      </c>
      <c r="R41" s="146" t="s">
        <v>511</v>
      </c>
      <c r="S41" s="146" t="s">
        <v>511</v>
      </c>
      <c r="T41" s="146">
        <v>20256</v>
      </c>
      <c r="U41" s="147">
        <v>3</v>
      </c>
      <c r="V41" s="147" t="str">
        <f>IF((_xlfn.XLOOKUP(Profesores[[#This Row],[Nombre]],base_de_datos[Profesor],base_de_datos[Academia],1))=Profesores[[#Headers],[MEC]],"x","")</f>
        <v/>
      </c>
      <c r="W41" s="147" t="str">
        <f>IF((_xlfn.XLOOKUP(Profesores[[#This Row],[Nombre]],base_de_datos[Profesor],base_de_datos[Academia],1))=Profesores[[#Headers],[COM]],"x","")</f>
        <v/>
      </c>
      <c r="X41" s="147"/>
      <c r="Y41" s="147" t="str">
        <f>IF((_xlfn.XLOOKUP(Profesores[[#This Row],[Nombre]],base_de_datos[Profesor],base_de_datos[Academia],1))=Profesores[[#Headers],[DOP]],"x","")</f>
        <v/>
      </c>
      <c r="Z41" s="147" t="str">
        <f>IF((_xlfn.XLOOKUP(Profesores[[#This Row],[Nombre]],base_de_datos[Profesor],base_de_datos[Academia],1))=Profesores[[#Headers],[ETF]],"x","")</f>
        <v/>
      </c>
      <c r="AA41" s="147" t="str">
        <f>IF((_xlfn.XLOOKUP(Profesores[[#This Row],[Nombre]],base_de_datos[Profesor],base_de_datos[Academia],1))=Profesores[[#Headers],[MAT]],"x","")</f>
        <v>x</v>
      </c>
      <c r="AB41" s="147" t="str">
        <f>IF((_xlfn.XLOOKUP(Profesores[[#This Row],[Nombre]],base_de_datos[Profesor],base_de_datos[Academia],1))=Profesores[[#Headers],[EMP]],"x","")</f>
        <v/>
      </c>
      <c r="AC41" s="146" t="str">
        <f>IF((_xlfn.XLOOKUP(Profesores[[#This Row],[Nombre]],base_de_datos[Profesor],base_de_datos[Academia],1))=Profesores[[#Headers],[AIC]],"x","")</f>
        <v/>
      </c>
      <c r="AD41" s="146" t="str">
        <f>IF((_xlfn.XLOOKUP(Profesores[[#This Row],[Nombre]],base_de_datos[Profesor],base_de_datos[Academia],1))=Profesores[[#Headers],[ESC]],"x","")</f>
        <v/>
      </c>
      <c r="AE41" s="146" t="str">
        <f>IF((_xlfn.XLOOKUP(Profesores[[#This Row],[Nombre]],base_de_datos[Profesor],base_de_datos[Academia],1))=Profesores[[#Headers],[HUM]],"x","")</f>
        <v/>
      </c>
      <c r="AF41" s="146" t="str">
        <f>IF((_xlfn.XLOOKUP(Profesores[[#This Row],[Nombre]],base_de_datos[Profesor],base_de_datos[Academia],1))=Profesores[[#Headers],[IID]],"x","")</f>
        <v/>
      </c>
      <c r="AG41" s="146" t="str">
        <f>IF((_xlfn.XLOOKUP(Profesores[[#This Row],[Nombre]],base_de_datos[Profesor],base_de_datos[Academia],1))=Profesores[[#Headers],[BIO]],"x","")</f>
        <v/>
      </c>
      <c r="AH41" s="146">
        <v>77.22</v>
      </c>
      <c r="AI41" s="146" t="s">
        <v>513</v>
      </c>
      <c r="AJ41" s="146">
        <f>TRUNC(IFERROR(Profesores[[#This Row],[Ex Inglés]]*677/100,0),0)</f>
        <v>522</v>
      </c>
      <c r="AL41" s="180" t="s">
        <v>589</v>
      </c>
      <c r="AM41" s="180" t="s">
        <v>635</v>
      </c>
      <c r="AN41" s="180">
        <v>14</v>
      </c>
      <c r="AQ41" s="181" t="s">
        <v>799</v>
      </c>
      <c r="AR41" s="189">
        <v>15</v>
      </c>
      <c r="AS41" s="165"/>
      <c r="AT41" s="165">
        <v>15</v>
      </c>
      <c r="AU41" s="165">
        <v>15</v>
      </c>
      <c r="AV41" s="165"/>
    </row>
    <row r="42" spans="2:48" s="209" customFormat="1" ht="12" hidden="1" customHeight="1" x14ac:dyDescent="0.3">
      <c r="B42" s="6">
        <v>77</v>
      </c>
      <c r="C42" s="146" t="s">
        <v>502</v>
      </c>
      <c r="D42" s="147" t="s">
        <v>33</v>
      </c>
      <c r="E42" s="160">
        <v>248790</v>
      </c>
      <c r="F42" s="146" t="s">
        <v>171</v>
      </c>
      <c r="G42" s="149" t="s">
        <v>800</v>
      </c>
      <c r="H42" s="149" t="s">
        <v>801</v>
      </c>
      <c r="I42" s="149" t="s">
        <v>518</v>
      </c>
      <c r="J42" s="150">
        <v>34223</v>
      </c>
      <c r="K42" s="149" t="s">
        <v>506</v>
      </c>
      <c r="L42" s="147" t="s">
        <v>507</v>
      </c>
      <c r="M42" s="151">
        <v>4495371715</v>
      </c>
      <c r="N42" s="158" t="s">
        <v>802</v>
      </c>
      <c r="O42" s="151" t="s">
        <v>803</v>
      </c>
      <c r="P42" s="147" t="s">
        <v>804</v>
      </c>
      <c r="Q42" s="146" t="s">
        <v>805</v>
      </c>
      <c r="R42" s="146" t="s">
        <v>511</v>
      </c>
      <c r="S42" s="146" t="s">
        <v>511</v>
      </c>
      <c r="T42" s="146">
        <v>20267</v>
      </c>
      <c r="U42" s="147">
        <v>2</v>
      </c>
      <c r="V42" s="147" t="str">
        <f>IF((_xlfn.XLOOKUP(Profesores[[#This Row],[Nombre]],base_de_datos[Profesor],base_de_datos[Academia],1))=Profesores[[#Headers],[MEC]],"x","")</f>
        <v/>
      </c>
      <c r="W42" s="147" t="str">
        <f>IF((_xlfn.XLOOKUP(Profesores[[#This Row],[Nombre]],base_de_datos[Profesor],base_de_datos[Academia],1))=Profesores[[#Headers],[COM]],"x","")</f>
        <v/>
      </c>
      <c r="X42" s="147"/>
      <c r="Y42" s="147" t="str">
        <f>IF((_xlfn.XLOOKUP(Profesores[[#This Row],[Nombre]],base_de_datos[Profesor],base_de_datos[Academia],1))=Profesores[[#Headers],[DOP]],"x","")</f>
        <v/>
      </c>
      <c r="Z42" s="147" t="str">
        <f>IF((_xlfn.XLOOKUP(Profesores[[#This Row],[Nombre]],base_de_datos[Profesor],base_de_datos[Academia],1))=Profesores[[#Headers],[ETF]],"x","")</f>
        <v/>
      </c>
      <c r="AA42" s="147" t="str">
        <f>IF((_xlfn.XLOOKUP(Profesores[[#This Row],[Nombre]],base_de_datos[Profesor],base_de_datos[Academia],1))=Profesores[[#Headers],[MAT]],"x","")</f>
        <v>x</v>
      </c>
      <c r="AB42" s="147" t="str">
        <f>IF((_xlfn.XLOOKUP(Profesores[[#This Row],[Nombre]],base_de_datos[Profesor],base_de_datos[Academia],1))=Profesores[[#Headers],[EMP]],"x","")</f>
        <v/>
      </c>
      <c r="AC42" s="146" t="str">
        <f>IF((_xlfn.XLOOKUP(Profesores[[#This Row],[Nombre]],base_de_datos[Profesor],base_de_datos[Academia],1))=Profesores[[#Headers],[AIC]],"x","")</f>
        <v/>
      </c>
      <c r="AD42" s="146" t="str">
        <f>IF((_xlfn.XLOOKUP(Profesores[[#This Row],[Nombre]],base_de_datos[Profesor],base_de_datos[Academia],1))=Profesores[[#Headers],[ESC]],"x","")</f>
        <v/>
      </c>
      <c r="AE42" s="146" t="str">
        <f>IF((_xlfn.XLOOKUP(Profesores[[#This Row],[Nombre]],base_de_datos[Profesor],base_de_datos[Academia],1))=Profesores[[#Headers],[HUM]],"x","")</f>
        <v/>
      </c>
      <c r="AF42" s="146" t="str">
        <f>IF((_xlfn.XLOOKUP(Profesores[[#This Row],[Nombre]],base_de_datos[Profesor],base_de_datos[Academia],1))=Profesores[[#Headers],[IID]],"x","")</f>
        <v/>
      </c>
      <c r="AG42" s="146" t="str">
        <f>IF((_xlfn.XLOOKUP(Profesores[[#This Row],[Nombre]],base_de_datos[Profesor],base_de_datos[Academia],1))=Profesores[[#Headers],[BIO]],"x","")</f>
        <v/>
      </c>
      <c r="AH42" s="146">
        <v>69.86</v>
      </c>
      <c r="AI42" s="146" t="s">
        <v>513</v>
      </c>
      <c r="AJ42" s="146">
        <f>TRUNC(IFERROR(Profesores[[#This Row],[Ex Inglés]]*677/100,0),0)</f>
        <v>472</v>
      </c>
      <c r="AL42" s="215" t="s">
        <v>589</v>
      </c>
      <c r="AM42" s="215" t="s">
        <v>643</v>
      </c>
      <c r="AN42" s="215">
        <v>12</v>
      </c>
      <c r="AQ42" s="221" t="s">
        <v>194</v>
      </c>
      <c r="AR42" s="224">
        <v>20</v>
      </c>
      <c r="AS42" s="217"/>
      <c r="AT42" s="217">
        <v>24</v>
      </c>
      <c r="AU42" s="217">
        <v>24</v>
      </c>
      <c r="AV42" s="217"/>
    </row>
    <row r="43" spans="2:48" s="146" customFormat="1" ht="12" hidden="1" customHeight="1" x14ac:dyDescent="0.3">
      <c r="B43" s="146">
        <v>78</v>
      </c>
      <c r="C43" s="146" t="s">
        <v>526</v>
      </c>
      <c r="D43" s="147" t="s">
        <v>33</v>
      </c>
      <c r="E43" s="148">
        <v>221187</v>
      </c>
      <c r="F43" s="146" t="s">
        <v>203</v>
      </c>
      <c r="G43" s="149" t="s">
        <v>806</v>
      </c>
      <c r="H43" s="149" t="s">
        <v>807</v>
      </c>
      <c r="I43" s="149" t="s">
        <v>808</v>
      </c>
      <c r="J43" s="150">
        <v>30987</v>
      </c>
      <c r="K43" s="149" t="s">
        <v>506</v>
      </c>
      <c r="L43" s="147" t="s">
        <v>507</v>
      </c>
      <c r="M43" s="151">
        <v>4493526063</v>
      </c>
      <c r="N43" s="158" t="s">
        <v>809</v>
      </c>
      <c r="O43" s="151" t="s">
        <v>772</v>
      </c>
      <c r="P43" s="147" t="s">
        <v>810</v>
      </c>
      <c r="Q43" s="146" t="s">
        <v>774</v>
      </c>
      <c r="R43" s="146" t="s">
        <v>511</v>
      </c>
      <c r="S43" s="146" t="s">
        <v>511</v>
      </c>
      <c r="T43" s="146">
        <v>20286</v>
      </c>
      <c r="U43" s="147">
        <v>2</v>
      </c>
      <c r="V43" s="147" t="str">
        <f>IF((_xlfn.XLOOKUP(Profesores[[#This Row],[Nombre]],base_de_datos[Profesor],base_de_datos[Academia],1))=Profesores[[#Headers],[MEC]],"x","")</f>
        <v/>
      </c>
      <c r="W43" s="147" t="str">
        <f>IF((_xlfn.XLOOKUP(Profesores[[#This Row],[Nombre]],base_de_datos[Profesor],base_de_datos[Academia],1))=Profesores[[#Headers],[COM]],"x","")</f>
        <v/>
      </c>
      <c r="X43" s="147"/>
      <c r="Y43" s="147" t="str">
        <f>IF((_xlfn.XLOOKUP(Profesores[[#This Row],[Nombre]],base_de_datos[Profesor],base_de_datos[Academia],1))=Profesores[[#Headers],[DOP]],"x","")</f>
        <v/>
      </c>
      <c r="Z43" s="147" t="str">
        <f>IF((_xlfn.XLOOKUP(Profesores[[#This Row],[Nombre]],base_de_datos[Profesor],base_de_datos[Academia],1))=Profesores[[#Headers],[ETF]],"x","")</f>
        <v/>
      </c>
      <c r="AA43" s="147" t="str">
        <f>IF((_xlfn.XLOOKUP(Profesores[[#This Row],[Nombre]],base_de_datos[Profesor],base_de_datos[Academia],1))=Profesores[[#Headers],[MAT]],"x","")</f>
        <v/>
      </c>
      <c r="AB43" s="147" t="str">
        <f>IF((_xlfn.XLOOKUP(Profesores[[#This Row],[Nombre]],base_de_datos[Profesor],base_de_datos[Academia],1))=Profesores[[#Headers],[EMP]],"x","")</f>
        <v/>
      </c>
      <c r="AC43" s="146" t="str">
        <f>IF((_xlfn.XLOOKUP(Profesores[[#This Row],[Nombre]],base_de_datos[Profesor],base_de_datos[Academia],1))=Profesores[[#Headers],[AIC]],"x","")</f>
        <v/>
      </c>
      <c r="AD43" s="146" t="str">
        <f>IF((_xlfn.XLOOKUP(Profesores[[#This Row],[Nombre]],base_de_datos[Profesor],base_de_datos[Academia],1))=Profesores[[#Headers],[ESC]],"x","")</f>
        <v/>
      </c>
      <c r="AE43" s="146" t="str">
        <f>IF((_xlfn.XLOOKUP(Profesores[[#This Row],[Nombre]],base_de_datos[Profesor],base_de_datos[Academia],1))=Profesores[[#Headers],[HUM]],"x","")</f>
        <v/>
      </c>
      <c r="AF43" s="146" t="str">
        <f>IF((_xlfn.XLOOKUP(Profesores[[#This Row],[Nombre]],base_de_datos[Profesor],base_de_datos[Academia],1))=Profesores[[#Headers],[IID]],"x","")</f>
        <v/>
      </c>
      <c r="AG43" s="146" t="str">
        <f>IF((_xlfn.XLOOKUP(Profesores[[#This Row],[Nombre]],base_de_datos[Profesor],base_de_datos[Academia],1))=Profesores[[#Headers],[BIO]],"x","")</f>
        <v/>
      </c>
      <c r="AH43" s="146">
        <v>69.53</v>
      </c>
      <c r="AI43" s="146" t="s">
        <v>513</v>
      </c>
      <c r="AJ43" s="146">
        <f>TRUNC(IFERROR(Profesores[[#This Row],[Ex Inglés]]*677/100,0),0)</f>
        <v>470</v>
      </c>
      <c r="AL43" s="180" t="s">
        <v>589</v>
      </c>
      <c r="AM43" s="180" t="s">
        <v>652</v>
      </c>
      <c r="AN43" s="180">
        <v>12</v>
      </c>
      <c r="AQ43" s="181" t="s">
        <v>106</v>
      </c>
      <c r="AR43" s="189">
        <v>15</v>
      </c>
      <c r="AS43" s="165"/>
      <c r="AT43" s="165">
        <v>10</v>
      </c>
      <c r="AU43" s="165">
        <v>12</v>
      </c>
      <c r="AV43" s="165"/>
    </row>
    <row r="44" spans="2:48" s="165" customFormat="1" ht="12" hidden="1" customHeight="1" x14ac:dyDescent="0.3">
      <c r="B44" s="146">
        <v>80</v>
      </c>
      <c r="C44" s="146" t="s">
        <v>515</v>
      </c>
      <c r="D44" s="147" t="s">
        <v>33</v>
      </c>
      <c r="E44" s="148">
        <v>200308</v>
      </c>
      <c r="F44" s="146" t="s">
        <v>412</v>
      </c>
      <c r="G44" s="149" t="s">
        <v>811</v>
      </c>
      <c r="H44" s="149" t="s">
        <v>812</v>
      </c>
      <c r="I44" s="149" t="s">
        <v>813</v>
      </c>
      <c r="J44" s="150">
        <v>35886</v>
      </c>
      <c r="K44" s="149" t="s">
        <v>506</v>
      </c>
      <c r="L44" s="147" t="s">
        <v>507</v>
      </c>
      <c r="M44" s="151">
        <v>4497699316</v>
      </c>
      <c r="N44" s="158" t="s">
        <v>814</v>
      </c>
      <c r="O44" s="151" t="s">
        <v>815</v>
      </c>
      <c r="P44" s="147">
        <v>207</v>
      </c>
      <c r="Q44" s="146" t="s">
        <v>816</v>
      </c>
      <c r="R44" s="146" t="s">
        <v>248</v>
      </c>
      <c r="S44" s="146" t="s">
        <v>511</v>
      </c>
      <c r="T44" s="146">
        <v>20909</v>
      </c>
      <c r="U44" s="147">
        <v>1</v>
      </c>
      <c r="V44" s="147" t="str">
        <f>IF((_xlfn.XLOOKUP(Profesores[[#This Row],[Nombre]],base_de_datos[Profesor],base_de_datos[Academia],1))=Profesores[[#Headers],[MEC]],"x","")</f>
        <v/>
      </c>
      <c r="W44" s="147" t="str">
        <f>IF((_xlfn.XLOOKUP(Profesores[[#This Row],[Nombre]],base_de_datos[Profesor],base_de_datos[Academia],1))=Profesores[[#Headers],[COM]],"x","")</f>
        <v>x</v>
      </c>
      <c r="X44" s="147"/>
      <c r="Y44" s="147" t="str">
        <f>IF((_xlfn.XLOOKUP(Profesores[[#This Row],[Nombre]],base_de_datos[Profesor],base_de_datos[Academia],1))=Profesores[[#Headers],[DOP]],"x","")</f>
        <v/>
      </c>
      <c r="Z44" s="147" t="str">
        <f>IF((_xlfn.XLOOKUP(Profesores[[#This Row],[Nombre]],base_de_datos[Profesor],base_de_datos[Academia],1))=Profesores[[#Headers],[ETF]],"x","")</f>
        <v/>
      </c>
      <c r="AA44" s="147" t="str">
        <f>IF((_xlfn.XLOOKUP(Profesores[[#This Row],[Nombre]],base_de_datos[Profesor],base_de_datos[Academia],1))=Profesores[[#Headers],[MAT]],"x","")</f>
        <v/>
      </c>
      <c r="AB44" s="147" t="str">
        <f>IF((_xlfn.XLOOKUP(Profesores[[#This Row],[Nombre]],base_de_datos[Profesor],base_de_datos[Academia],1))=Profesores[[#Headers],[EMP]],"x","")</f>
        <v/>
      </c>
      <c r="AC44" s="146" t="str">
        <f>IF((_xlfn.XLOOKUP(Profesores[[#This Row],[Nombre]],base_de_datos[Profesor],base_de_datos[Academia],1))=Profesores[[#Headers],[AIC]],"x","")</f>
        <v/>
      </c>
      <c r="AD44" s="146" t="str">
        <f>IF((_xlfn.XLOOKUP(Profesores[[#This Row],[Nombre]],base_de_datos[Profesor],base_de_datos[Academia],1))=Profesores[[#Headers],[ESC]],"x","")</f>
        <v/>
      </c>
      <c r="AE44" s="146" t="str">
        <f>IF((_xlfn.XLOOKUP(Profesores[[#This Row],[Nombre]],base_de_datos[Profesor],base_de_datos[Academia],1))=Profesores[[#Headers],[HUM]],"x","")</f>
        <v/>
      </c>
      <c r="AF44" s="146" t="str">
        <f>IF((_xlfn.XLOOKUP(Profesores[[#This Row],[Nombre]],base_de_datos[Profesor],base_de_datos[Academia],1))=Profesores[[#Headers],[IID]],"x","")</f>
        <v/>
      </c>
      <c r="AG44" s="146" t="str">
        <f>IF((_xlfn.XLOOKUP(Profesores[[#This Row],[Nombre]],base_de_datos[Profesor],base_de_datos[Academia],1))=Profesores[[#Headers],[BIO]],"x","")</f>
        <v/>
      </c>
      <c r="AH44" s="146" t="s">
        <v>524</v>
      </c>
      <c r="AI44" s="146"/>
      <c r="AJ44" s="146">
        <f>TRUNC(IFERROR(Profesores[[#This Row],[Ex Inglés]]*677/100,0),0)</f>
        <v>0</v>
      </c>
      <c r="AL44" s="225" t="s">
        <v>589</v>
      </c>
      <c r="AM44" s="225" t="s">
        <v>667</v>
      </c>
      <c r="AN44" s="225">
        <v>12</v>
      </c>
      <c r="AQ44" s="181" t="s">
        <v>817</v>
      </c>
      <c r="AR44" s="181">
        <v>20</v>
      </c>
      <c r="AT44" s="165">
        <v>6</v>
      </c>
      <c r="AU44" s="165">
        <v>6</v>
      </c>
    </row>
    <row r="45" spans="2:48" s="209" customFormat="1" ht="12" hidden="1" customHeight="1" x14ac:dyDescent="0.3">
      <c r="B45" s="209">
        <v>81</v>
      </c>
      <c r="C45" s="209" t="s">
        <v>515</v>
      </c>
      <c r="D45" s="210" t="s">
        <v>33</v>
      </c>
      <c r="E45" s="211"/>
      <c r="F45" s="209" t="s">
        <v>818</v>
      </c>
      <c r="G45" s="212" t="s">
        <v>819</v>
      </c>
      <c r="H45" s="212" t="s">
        <v>820</v>
      </c>
      <c r="I45" s="212" t="s">
        <v>706</v>
      </c>
      <c r="J45" s="220">
        <v>35830</v>
      </c>
      <c r="K45" s="212" t="s">
        <v>506</v>
      </c>
      <c r="L45" s="210" t="s">
        <v>507</v>
      </c>
      <c r="M45" s="213">
        <v>4492805426</v>
      </c>
      <c r="N45" s="213"/>
      <c r="O45" s="213" t="s">
        <v>821</v>
      </c>
      <c r="P45" s="210">
        <v>605</v>
      </c>
      <c r="Q45" s="209" t="s">
        <v>822</v>
      </c>
      <c r="R45" s="209" t="s">
        <v>511</v>
      </c>
      <c r="S45" s="209" t="s">
        <v>511</v>
      </c>
      <c r="T45" s="209">
        <v>20179</v>
      </c>
      <c r="U45" s="210">
        <v>1</v>
      </c>
      <c r="V45" s="210" t="str">
        <f>IF((_xlfn.XLOOKUP(Profesores[[#This Row],[Nombre]],base_de_datos[Profesor],base_de_datos[Academia],1))=Profesores[[#Headers],[MEC]],"x","")</f>
        <v/>
      </c>
      <c r="W45" s="210" t="str">
        <f>IF((_xlfn.XLOOKUP(Profesores[[#This Row],[Nombre]],base_de_datos[Profesor],base_de_datos[Academia],1))=Profesores[[#Headers],[COM]],"x","")</f>
        <v/>
      </c>
      <c r="X45" s="210"/>
      <c r="Y45" s="210" t="str">
        <f>IF((_xlfn.XLOOKUP(Profesores[[#This Row],[Nombre]],base_de_datos[Profesor],base_de_datos[Academia],1))=Profesores[[#Headers],[DOP]],"x","")</f>
        <v/>
      </c>
      <c r="Z45" s="210" t="str">
        <f>IF((_xlfn.XLOOKUP(Profesores[[#This Row],[Nombre]],base_de_datos[Profesor],base_de_datos[Academia],1))=Profesores[[#Headers],[ETF]],"x","")</f>
        <v/>
      </c>
      <c r="AA45" s="210" t="str">
        <f>IF((_xlfn.XLOOKUP(Profesores[[#This Row],[Nombre]],base_de_datos[Profesor],base_de_datos[Academia],1))=Profesores[[#Headers],[MAT]],"x","")</f>
        <v/>
      </c>
      <c r="AB45" s="210" t="str">
        <f>IF((_xlfn.XLOOKUP(Profesores[[#This Row],[Nombre]],base_de_datos[Profesor],base_de_datos[Academia],1))=Profesores[[#Headers],[EMP]],"x","")</f>
        <v/>
      </c>
      <c r="AC45" s="209" t="str">
        <f>IF((_xlfn.XLOOKUP(Profesores[[#This Row],[Nombre]],base_de_datos[Profesor],base_de_datos[Academia],1))=Profesores[[#Headers],[AIC]],"x","")</f>
        <v/>
      </c>
      <c r="AD45" s="209" t="str">
        <f>IF((_xlfn.XLOOKUP(Profesores[[#This Row],[Nombre]],base_de_datos[Profesor],base_de_datos[Academia],1))=Profesores[[#Headers],[ESC]],"x","")</f>
        <v/>
      </c>
      <c r="AE45" s="209" t="str">
        <f>IF((_xlfn.XLOOKUP(Profesores[[#This Row],[Nombre]],base_de_datos[Profesor],base_de_datos[Academia],1))=Profesores[[#Headers],[HUM]],"x","")</f>
        <v/>
      </c>
      <c r="AF45" s="209" t="str">
        <f>IF((_xlfn.XLOOKUP(Profesores[[#This Row],[Nombre]],base_de_datos[Profesor],base_de_datos[Academia],1))=Profesores[[#Headers],[IID]],"x","")</f>
        <v/>
      </c>
      <c r="AG45" s="209" t="str">
        <f>IF((_xlfn.XLOOKUP(Profesores[[#This Row],[Nombre]],base_de_datos[Profesor],base_de_datos[Academia],1))=Profesores[[#Headers],[BIO]],"x","")</f>
        <v/>
      </c>
      <c r="AH45" s="209" t="s">
        <v>524</v>
      </c>
      <c r="AJ45" s="209">
        <f>TRUNC(IFERROR(Profesores[[#This Row],[Ex Inglés]]*677/100,0),0)</f>
        <v>0</v>
      </c>
      <c r="AL45" s="215" t="s">
        <v>589</v>
      </c>
      <c r="AM45" s="215" t="s">
        <v>682</v>
      </c>
      <c r="AN45" s="215">
        <v>10</v>
      </c>
      <c r="AQ45" s="221" t="s">
        <v>297</v>
      </c>
      <c r="AR45" s="224">
        <v>20</v>
      </c>
      <c r="AS45" s="217"/>
      <c r="AT45" s="217">
        <v>18</v>
      </c>
      <c r="AU45" s="217">
        <v>18</v>
      </c>
      <c r="AV45" s="217"/>
    </row>
    <row r="46" spans="2:48" ht="12" hidden="1" customHeight="1" x14ac:dyDescent="0.3">
      <c r="B46" s="6">
        <v>82</v>
      </c>
      <c r="C46" s="146" t="s">
        <v>502</v>
      </c>
      <c r="D46" s="147" t="s">
        <v>33</v>
      </c>
      <c r="E46" s="148">
        <v>245160</v>
      </c>
      <c r="F46" s="146" t="s">
        <v>823</v>
      </c>
      <c r="G46" s="149" t="s">
        <v>824</v>
      </c>
      <c r="H46" s="149" t="s">
        <v>825</v>
      </c>
      <c r="I46" s="149" t="s">
        <v>826</v>
      </c>
      <c r="J46" s="150">
        <v>28477</v>
      </c>
      <c r="K46" s="149" t="s">
        <v>506</v>
      </c>
      <c r="L46" s="147" t="s">
        <v>507</v>
      </c>
      <c r="M46" s="151">
        <v>4497697100</v>
      </c>
      <c r="N46" s="158" t="s">
        <v>827</v>
      </c>
      <c r="O46" s="151" t="s">
        <v>828</v>
      </c>
      <c r="P46" s="147">
        <v>515</v>
      </c>
      <c r="Q46" s="146" t="s">
        <v>829</v>
      </c>
      <c r="R46" s="146" t="s">
        <v>830</v>
      </c>
      <c r="S46" s="146"/>
      <c r="T46" s="146">
        <v>20921</v>
      </c>
      <c r="U46" s="147">
        <v>1</v>
      </c>
      <c r="V46" s="147" t="str">
        <f>IF((_xlfn.XLOOKUP(Profesores[[#This Row],[Nombre]],base_de_datos[Profesor],base_de_datos[Academia],1))=Profesores[[#Headers],[MEC]],"x","")</f>
        <v/>
      </c>
      <c r="W46" s="147" t="str">
        <f>IF((_xlfn.XLOOKUP(Profesores[[#This Row],[Nombre]],base_de_datos[Profesor],base_de_datos[Academia],1))=Profesores[[#Headers],[COM]],"x","")</f>
        <v/>
      </c>
      <c r="X46" s="147"/>
      <c r="Y46" s="147" t="str">
        <f>IF((_xlfn.XLOOKUP(Profesores[[#This Row],[Nombre]],base_de_datos[Profesor],base_de_datos[Academia],1))=Profesores[[#Headers],[DOP]],"x","")</f>
        <v/>
      </c>
      <c r="Z46" s="147" t="str">
        <f>IF((_xlfn.XLOOKUP(Profesores[[#This Row],[Nombre]],base_de_datos[Profesor],base_de_datos[Academia],1))=Profesores[[#Headers],[ETF]],"x","")</f>
        <v/>
      </c>
      <c r="AA46" s="147" t="str">
        <f>IF((_xlfn.XLOOKUP(Profesores[[#This Row],[Nombre]],base_de_datos[Profesor],base_de_datos[Academia],1))=Profesores[[#Headers],[MAT]],"x","")</f>
        <v/>
      </c>
      <c r="AB46" s="147" t="str">
        <f>IF((_xlfn.XLOOKUP(Profesores[[#This Row],[Nombre]],base_de_datos[Profesor],base_de_datos[Academia],1))=Profesores[[#Headers],[EMP]],"x","")</f>
        <v/>
      </c>
      <c r="AC46" s="146" t="str">
        <f>IF((_xlfn.XLOOKUP(Profesores[[#This Row],[Nombre]],base_de_datos[Profesor],base_de_datos[Academia],1))=Profesores[[#Headers],[AIC]],"x","")</f>
        <v/>
      </c>
      <c r="AD46" s="146" t="str">
        <f>IF((_xlfn.XLOOKUP(Profesores[[#This Row],[Nombre]],base_de_datos[Profesor],base_de_datos[Academia],1))=Profesores[[#Headers],[ESC]],"x","")</f>
        <v/>
      </c>
      <c r="AE46" s="146" t="str">
        <f>IF((_xlfn.XLOOKUP(Profesores[[#This Row],[Nombre]],base_de_datos[Profesor],base_de_datos[Academia],1))=Profesores[[#Headers],[HUM]],"x","")</f>
        <v/>
      </c>
      <c r="AF46" s="146" t="str">
        <f>IF((_xlfn.XLOOKUP(Profesores[[#This Row],[Nombre]],base_de_datos[Profesor],base_de_datos[Academia],1))=Profesores[[#Headers],[IID]],"x","")</f>
        <v/>
      </c>
      <c r="AG46" s="146" t="str">
        <f>IF((_xlfn.XLOOKUP(Profesores[[#This Row],[Nombre]],base_de_datos[Profesor],base_de_datos[Academia],1))=Profesores[[#Headers],[BIO]],"x","")</f>
        <v/>
      </c>
      <c r="AH46" s="146" t="s">
        <v>512</v>
      </c>
      <c r="AI46" s="146" t="s">
        <v>513</v>
      </c>
      <c r="AJ46" s="146">
        <f>TRUNC(IFERROR(Profesores[[#This Row],[Ex Inglés]]*677/100,0),0)</f>
        <v>0</v>
      </c>
      <c r="AL46" s="63" t="s">
        <v>589</v>
      </c>
      <c r="AM46" s="63" t="s">
        <v>831</v>
      </c>
      <c r="AN46" s="63">
        <v>10</v>
      </c>
      <c r="AQ46" s="10" t="s">
        <v>832</v>
      </c>
      <c r="AR46" s="10">
        <v>250</v>
      </c>
      <c r="AS46" s="9"/>
      <c r="AT46" s="9">
        <v>48</v>
      </c>
      <c r="AU46" s="9">
        <v>58</v>
      </c>
      <c r="AV46" s="9"/>
    </row>
    <row r="47" spans="2:48" s="146" customFormat="1" ht="12" hidden="1" customHeight="1" x14ac:dyDescent="0.3">
      <c r="B47" s="6">
        <v>84</v>
      </c>
      <c r="C47" s="146" t="s">
        <v>501</v>
      </c>
      <c r="D47" s="147" t="s">
        <v>33</v>
      </c>
      <c r="E47" s="166">
        <v>255315</v>
      </c>
      <c r="F47" s="146" t="s">
        <v>329</v>
      </c>
      <c r="G47" s="149" t="s">
        <v>833</v>
      </c>
      <c r="H47" s="149" t="s">
        <v>528</v>
      </c>
      <c r="I47" s="149" t="s">
        <v>834</v>
      </c>
      <c r="J47" s="150">
        <v>33951</v>
      </c>
      <c r="K47" s="149" t="s">
        <v>506</v>
      </c>
      <c r="L47" s="147" t="s">
        <v>507</v>
      </c>
      <c r="M47" s="151">
        <v>4491555190</v>
      </c>
      <c r="N47" s="158" t="s">
        <v>835</v>
      </c>
      <c r="O47" s="151" t="s">
        <v>836</v>
      </c>
      <c r="P47" s="147">
        <v>512</v>
      </c>
      <c r="Q47" s="146" t="s">
        <v>574</v>
      </c>
      <c r="R47" s="146" t="s">
        <v>511</v>
      </c>
      <c r="S47" s="146" t="s">
        <v>511</v>
      </c>
      <c r="T47" s="146">
        <v>20266</v>
      </c>
      <c r="U47" s="147">
        <v>1</v>
      </c>
      <c r="V47" s="147" t="str">
        <f>IF((_xlfn.XLOOKUP(Profesores[[#This Row],[Nombre]],base_de_datos[Profesor],base_de_datos[Academia],1))=Profesores[[#Headers],[MEC]],"x","")</f>
        <v/>
      </c>
      <c r="W47" s="147" t="str">
        <f>IF((_xlfn.XLOOKUP(Profesores[[#This Row],[Nombre]],base_de_datos[Profesor],base_de_datos[Academia],1))=Profesores[[#Headers],[COM]],"x","")</f>
        <v/>
      </c>
      <c r="X47" s="147"/>
      <c r="Y47" s="147" t="str">
        <f>IF((_xlfn.XLOOKUP(Profesores[[#This Row],[Nombre]],base_de_datos[Profesor],base_de_datos[Academia],1))=Profesores[[#Headers],[DOP]],"x","")</f>
        <v/>
      </c>
      <c r="Z47" s="147" t="str">
        <f>IF((_xlfn.XLOOKUP(Profesores[[#This Row],[Nombre]],base_de_datos[Profesor],base_de_datos[Academia],1))=Profesores[[#Headers],[ETF]],"x","")</f>
        <v/>
      </c>
      <c r="AA47" s="147" t="str">
        <f>IF((_xlfn.XLOOKUP(Profesores[[#This Row],[Nombre]],base_de_datos[Profesor],base_de_datos[Academia],1))=Profesores[[#Headers],[MAT]],"x","")</f>
        <v/>
      </c>
      <c r="AB47" s="147" t="str">
        <f>IF((_xlfn.XLOOKUP(Profesores[[#This Row],[Nombre]],base_de_datos[Profesor],base_de_datos[Academia],1))=Profesores[[#Headers],[EMP]],"x","")</f>
        <v/>
      </c>
      <c r="AC47" s="146" t="str">
        <f>IF((_xlfn.XLOOKUP(Profesores[[#This Row],[Nombre]],base_de_datos[Profesor],base_de_datos[Academia],1))=Profesores[[#Headers],[AIC]],"x","")</f>
        <v>x</v>
      </c>
      <c r="AD47" s="146" t="str">
        <f>IF((_xlfn.XLOOKUP(Profesores[[#This Row],[Nombre]],base_de_datos[Profesor],base_de_datos[Academia],1))=Profesores[[#Headers],[ESC]],"x","")</f>
        <v/>
      </c>
      <c r="AE47" s="146" t="str">
        <f>IF((_xlfn.XLOOKUP(Profesores[[#This Row],[Nombre]],base_de_datos[Profesor],base_de_datos[Academia],1))=Profesores[[#Headers],[HUM]],"x","")</f>
        <v/>
      </c>
      <c r="AF47" s="146" t="str">
        <f>IF((_xlfn.XLOOKUP(Profesores[[#This Row],[Nombre]],base_de_datos[Profesor],base_de_datos[Academia],1))=Profesores[[#Headers],[IID]],"x","")</f>
        <v/>
      </c>
      <c r="AG47" s="146" t="str">
        <f>IF((_xlfn.XLOOKUP(Profesores[[#This Row],[Nombre]],base_de_datos[Profesor],base_de_datos[Academia],1))=Profesores[[#Headers],[BIO]],"x","")</f>
        <v/>
      </c>
      <c r="AH47" s="146" t="s">
        <v>524</v>
      </c>
      <c r="AJ47" s="146">
        <f>TRUNC(IFERROR(Profesores[[#This Row],[Ex Inglés]]*677/100,0),0)</f>
        <v>0</v>
      </c>
      <c r="AL47" s="180" t="s">
        <v>589</v>
      </c>
      <c r="AM47" s="180" t="s">
        <v>683</v>
      </c>
      <c r="AN47" s="180">
        <v>10</v>
      </c>
      <c r="AQ47" s="181" t="s">
        <v>102</v>
      </c>
      <c r="AR47" s="189">
        <v>15</v>
      </c>
      <c r="AS47" s="165"/>
      <c r="AT47" s="165"/>
      <c r="AU47" s="165"/>
      <c r="AV47" s="165"/>
    </row>
    <row r="48" spans="2:48" ht="12" hidden="1" customHeight="1" x14ac:dyDescent="0.3">
      <c r="B48" s="6">
        <v>85</v>
      </c>
      <c r="C48" s="146" t="s">
        <v>502</v>
      </c>
      <c r="D48" s="147" t="s">
        <v>33</v>
      </c>
      <c r="E48" s="148">
        <v>254788</v>
      </c>
      <c r="F48" s="146" t="s">
        <v>361</v>
      </c>
      <c r="G48" s="149" t="s">
        <v>837</v>
      </c>
      <c r="H48" s="149" t="s">
        <v>838</v>
      </c>
      <c r="I48" s="149" t="s">
        <v>839</v>
      </c>
      <c r="J48" s="150">
        <v>33085</v>
      </c>
      <c r="K48" s="149" t="s">
        <v>506</v>
      </c>
      <c r="L48" s="147" t="s">
        <v>92</v>
      </c>
      <c r="M48" s="151">
        <v>4492045055</v>
      </c>
      <c r="N48" s="190"/>
      <c r="O48" s="151" t="s">
        <v>840</v>
      </c>
      <c r="P48" s="147">
        <v>609</v>
      </c>
      <c r="Q48" s="146" t="s">
        <v>841</v>
      </c>
      <c r="R48" s="146" t="s">
        <v>511</v>
      </c>
      <c r="S48" s="146" t="s">
        <v>511</v>
      </c>
      <c r="T48" s="146">
        <v>20210</v>
      </c>
      <c r="U48" s="147">
        <v>1</v>
      </c>
      <c r="V48" s="147" t="str">
        <f>IF((_xlfn.XLOOKUP(Profesores[[#This Row],[Nombre]],base_de_datos[Profesor],base_de_datos[Academia],1))=Profesores[[#Headers],[MEC]],"x","")</f>
        <v/>
      </c>
      <c r="W48" s="147" t="str">
        <f>IF((_xlfn.XLOOKUP(Profesores[[#This Row],[Nombre]],base_de_datos[Profesor],base_de_datos[Academia],1))=Profesores[[#Headers],[COM]],"x","")</f>
        <v/>
      </c>
      <c r="X48" s="147"/>
      <c r="Y48" s="147" t="str">
        <f>IF((_xlfn.XLOOKUP(Profesores[[#This Row],[Nombre]],base_de_datos[Profesor],base_de_datos[Academia],1))=Profesores[[#Headers],[DOP]],"x","")</f>
        <v/>
      </c>
      <c r="Z48" s="147" t="str">
        <f>IF((_xlfn.XLOOKUP(Profesores[[#This Row],[Nombre]],base_de_datos[Profesor],base_de_datos[Academia],1))=Profesores[[#Headers],[ETF]],"x","")</f>
        <v/>
      </c>
      <c r="AA48" s="147" t="str">
        <f>IF((_xlfn.XLOOKUP(Profesores[[#This Row],[Nombre]],base_de_datos[Profesor],base_de_datos[Academia],1))=Profesores[[#Headers],[MAT]],"x","")</f>
        <v/>
      </c>
      <c r="AB48" s="147" t="str">
        <f>IF((_xlfn.XLOOKUP(Profesores[[#This Row],[Nombre]],base_de_datos[Profesor],base_de_datos[Academia],1))=Profesores[[#Headers],[EMP]],"x","")</f>
        <v/>
      </c>
      <c r="AC48" s="146" t="str">
        <f>IF((_xlfn.XLOOKUP(Profesores[[#This Row],[Nombre]],base_de_datos[Profesor],base_de_datos[Academia],1))=Profesores[[#Headers],[AIC]],"x","")</f>
        <v/>
      </c>
      <c r="AD48" s="146" t="str">
        <f>IF((_xlfn.XLOOKUP(Profesores[[#This Row],[Nombre]],base_de_datos[Profesor],base_de_datos[Academia],1))=Profesores[[#Headers],[ESC]],"x","")</f>
        <v>x</v>
      </c>
      <c r="AE48" s="146" t="str">
        <f>IF((_xlfn.XLOOKUP(Profesores[[#This Row],[Nombre]],base_de_datos[Profesor],base_de_datos[Academia],1))=Profesores[[#Headers],[HUM]],"x","")</f>
        <v/>
      </c>
      <c r="AF48" s="146" t="str">
        <f>IF((_xlfn.XLOOKUP(Profesores[[#This Row],[Nombre]],base_de_datos[Profesor],base_de_datos[Academia],1))=Profesores[[#Headers],[IID]],"x","")</f>
        <v/>
      </c>
      <c r="AG48" s="146" t="str">
        <f>IF((_xlfn.XLOOKUP(Profesores[[#This Row],[Nombre]],base_de_datos[Profesor],base_de_datos[Academia],1))=Profesores[[#Headers],[BIO]],"x","")</f>
        <v/>
      </c>
      <c r="AH48" s="146" t="s">
        <v>524</v>
      </c>
      <c r="AI48" s="146"/>
      <c r="AJ48" s="146">
        <f>TRUNC(IFERROR(Profesores[[#This Row],[Ex Inglés]]*677/100,0),0)</f>
        <v>0</v>
      </c>
      <c r="AQ48" s="10" t="s">
        <v>248</v>
      </c>
      <c r="AR48" s="10">
        <v>40</v>
      </c>
      <c r="AS48" s="9"/>
      <c r="AT48" s="9">
        <v>14</v>
      </c>
      <c r="AU48" s="9">
        <v>24</v>
      </c>
      <c r="AV48" s="9"/>
    </row>
    <row r="49" spans="1:48" s="209" customFormat="1" ht="12" hidden="1" customHeight="1" x14ac:dyDescent="0.3">
      <c r="B49" s="209">
        <v>86</v>
      </c>
      <c r="C49" s="209" t="s">
        <v>502</v>
      </c>
      <c r="D49" s="210" t="s">
        <v>33</v>
      </c>
      <c r="E49" s="251">
        <v>149785</v>
      </c>
      <c r="F49" s="209" t="s">
        <v>842</v>
      </c>
      <c r="G49" s="212" t="s">
        <v>843</v>
      </c>
      <c r="H49" s="212" t="s">
        <v>844</v>
      </c>
      <c r="I49" s="212" t="s">
        <v>845</v>
      </c>
      <c r="J49" s="220">
        <v>33962</v>
      </c>
      <c r="K49" s="212" t="s">
        <v>506</v>
      </c>
      <c r="L49" s="210" t="s">
        <v>507</v>
      </c>
      <c r="M49" s="213">
        <v>4499113919</v>
      </c>
      <c r="N49" s="214" t="s">
        <v>846</v>
      </c>
      <c r="O49" s="213" t="s">
        <v>847</v>
      </c>
      <c r="P49" s="210">
        <v>129</v>
      </c>
      <c r="Q49" s="209" t="s">
        <v>848</v>
      </c>
      <c r="R49" s="209" t="s">
        <v>511</v>
      </c>
      <c r="S49" s="209" t="s">
        <v>511</v>
      </c>
      <c r="T49" s="209">
        <v>20288</v>
      </c>
      <c r="U49" s="210">
        <v>1</v>
      </c>
      <c r="V49" s="210" t="str">
        <f>IF((_xlfn.XLOOKUP(Profesores[[#This Row],[Nombre]],base_de_datos[Profesor],base_de_datos[Academia],1))=Profesores[[#Headers],[MEC]],"x","")</f>
        <v/>
      </c>
      <c r="W49" s="210" t="str">
        <f>IF((_xlfn.XLOOKUP(Profesores[[#This Row],[Nombre]],base_de_datos[Profesor],base_de_datos[Academia],1))=Profesores[[#Headers],[COM]],"x","")</f>
        <v/>
      </c>
      <c r="X49" s="210"/>
      <c r="Y49" s="210" t="str">
        <f>IF((_xlfn.XLOOKUP(Profesores[[#This Row],[Nombre]],base_de_datos[Profesor],base_de_datos[Academia],1))=Profesores[[#Headers],[DOP]],"x","")</f>
        <v/>
      </c>
      <c r="Z49" s="210" t="str">
        <f>IF((_xlfn.XLOOKUP(Profesores[[#This Row],[Nombre]],base_de_datos[Profesor],base_de_datos[Academia],1))=Profesores[[#Headers],[ETF]],"x","")</f>
        <v/>
      </c>
      <c r="AA49" s="210" t="str">
        <f>IF((_xlfn.XLOOKUP(Profesores[[#This Row],[Nombre]],base_de_datos[Profesor],base_de_datos[Academia],1))=Profesores[[#Headers],[MAT]],"x","")</f>
        <v/>
      </c>
      <c r="AB49" s="210" t="str">
        <f>IF((_xlfn.XLOOKUP(Profesores[[#This Row],[Nombre]],base_de_datos[Profesor],base_de_datos[Academia],1))=Profesores[[#Headers],[EMP]],"x","")</f>
        <v/>
      </c>
      <c r="AC49" s="209" t="str">
        <f>IF((_xlfn.XLOOKUP(Profesores[[#This Row],[Nombre]],base_de_datos[Profesor],base_de_datos[Academia],1))=Profesores[[#Headers],[AIC]],"x","")</f>
        <v/>
      </c>
      <c r="AD49" s="209" t="str">
        <f>IF((_xlfn.XLOOKUP(Profesores[[#This Row],[Nombre]],base_de_datos[Profesor],base_de_datos[Academia],1))=Profesores[[#Headers],[ESC]],"x","")</f>
        <v/>
      </c>
      <c r="AE49" s="209" t="str">
        <f>IF((_xlfn.XLOOKUP(Profesores[[#This Row],[Nombre]],base_de_datos[Profesor],base_de_datos[Academia],1))=Profesores[[#Headers],[HUM]],"x","")</f>
        <v/>
      </c>
      <c r="AF49" s="209" t="str">
        <f>IF((_xlfn.XLOOKUP(Profesores[[#This Row],[Nombre]],base_de_datos[Profesor],base_de_datos[Academia],1))=Profesores[[#Headers],[IID]],"x","")</f>
        <v/>
      </c>
      <c r="AG49" s="209" t="str">
        <f>IF((_xlfn.XLOOKUP(Profesores[[#This Row],[Nombre]],base_de_datos[Profesor],base_de_datos[Academia],1))=Profesores[[#Headers],[BIO]],"x","")</f>
        <v/>
      </c>
      <c r="AH49" s="209" t="s">
        <v>524</v>
      </c>
      <c r="AJ49" s="209">
        <f>TRUNC(IFERROR(Profesores[[#This Row],[Ex Inglés]]*677/100,0),0)</f>
        <v>0</v>
      </c>
      <c r="AQ49" s="221" t="s">
        <v>457</v>
      </c>
      <c r="AR49" s="224">
        <v>10</v>
      </c>
      <c r="AS49" s="217"/>
      <c r="AT49" s="217">
        <v>7</v>
      </c>
      <c r="AU49" s="217">
        <v>7</v>
      </c>
      <c r="AV49" s="217"/>
    </row>
    <row r="50" spans="1:48" s="209" customFormat="1" ht="12" hidden="1" customHeight="1" x14ac:dyDescent="0.3">
      <c r="B50" s="6">
        <v>87</v>
      </c>
      <c r="C50" s="146" t="s">
        <v>502</v>
      </c>
      <c r="D50" s="147" t="s">
        <v>33</v>
      </c>
      <c r="E50" s="166">
        <v>254810</v>
      </c>
      <c r="F50" s="146" t="s">
        <v>333</v>
      </c>
      <c r="G50" s="149" t="s">
        <v>849</v>
      </c>
      <c r="H50" s="149" t="s">
        <v>850</v>
      </c>
      <c r="I50" s="149" t="s">
        <v>851</v>
      </c>
      <c r="J50" s="150">
        <v>33812</v>
      </c>
      <c r="K50" s="149" t="s">
        <v>506</v>
      </c>
      <c r="L50" s="147" t="s">
        <v>507</v>
      </c>
      <c r="M50" s="151">
        <v>4747494871</v>
      </c>
      <c r="N50" s="158" t="s">
        <v>852</v>
      </c>
      <c r="O50" s="151" t="s">
        <v>853</v>
      </c>
      <c r="P50" s="147">
        <v>759</v>
      </c>
      <c r="Q50" s="146" t="s">
        <v>854</v>
      </c>
      <c r="R50" s="146" t="s">
        <v>855</v>
      </c>
      <c r="S50" s="146" t="s">
        <v>856</v>
      </c>
      <c r="T50" s="146">
        <v>47400</v>
      </c>
      <c r="U50" s="147">
        <v>1</v>
      </c>
      <c r="V50" s="147" t="str">
        <f>IF((_xlfn.XLOOKUP(Profesores[[#This Row],[Nombre]],base_de_datos[Profesor],base_de_datos[Academia],1))=Profesores[[#Headers],[MEC]],"x","")</f>
        <v/>
      </c>
      <c r="W50" s="147" t="str">
        <f>IF((_xlfn.XLOOKUP(Profesores[[#This Row],[Nombre]],base_de_datos[Profesor],base_de_datos[Academia],1))=Profesores[[#Headers],[COM]],"x","")</f>
        <v/>
      </c>
      <c r="X50" s="147"/>
      <c r="Y50" s="147" t="str">
        <f>IF((_xlfn.XLOOKUP(Profesores[[#This Row],[Nombre]],base_de_datos[Profesor],base_de_datos[Academia],1))=Profesores[[#Headers],[DOP]],"x","")</f>
        <v/>
      </c>
      <c r="Z50" s="147" t="str">
        <f>IF((_xlfn.XLOOKUP(Profesores[[#This Row],[Nombre]],base_de_datos[Profesor],base_de_datos[Academia],1))=Profesores[[#Headers],[ETF]],"x","")</f>
        <v/>
      </c>
      <c r="AA50" s="147" t="str">
        <f>IF((_xlfn.XLOOKUP(Profesores[[#This Row],[Nombre]],base_de_datos[Profesor],base_de_datos[Academia],1))=Profesores[[#Headers],[MAT]],"x","")</f>
        <v/>
      </c>
      <c r="AB50" s="147" t="str">
        <f>IF((_xlfn.XLOOKUP(Profesores[[#This Row],[Nombre]],base_de_datos[Profesor],base_de_datos[Academia],1))=Profesores[[#Headers],[EMP]],"x","")</f>
        <v/>
      </c>
      <c r="AC50" s="146" t="str">
        <f>IF((_xlfn.XLOOKUP(Profesores[[#This Row],[Nombre]],base_de_datos[Profesor],base_de_datos[Academia],1))=Profesores[[#Headers],[AIC]],"x","")</f>
        <v/>
      </c>
      <c r="AD50" s="146" t="str">
        <f>IF((_xlfn.XLOOKUP(Profesores[[#This Row],[Nombre]],base_de_datos[Profesor],base_de_datos[Academia],1))=Profesores[[#Headers],[ESC]],"x","")</f>
        <v>x</v>
      </c>
      <c r="AE50" s="146" t="str">
        <f>IF((_xlfn.XLOOKUP(Profesores[[#This Row],[Nombre]],base_de_datos[Profesor],base_de_datos[Academia],1))=Profesores[[#Headers],[HUM]],"x","")</f>
        <v/>
      </c>
      <c r="AF50" s="146" t="str">
        <f>IF((_xlfn.XLOOKUP(Profesores[[#This Row],[Nombre]],base_de_datos[Profesor],base_de_datos[Academia],1))=Profesores[[#Headers],[IID]],"x","")</f>
        <v/>
      </c>
      <c r="AG50" s="146" t="str">
        <f>IF((_xlfn.XLOOKUP(Profesores[[#This Row],[Nombre]],base_de_datos[Profesor],base_de_datos[Academia],1))=Profesores[[#Headers],[BIO]],"x","")</f>
        <v/>
      </c>
      <c r="AH50" s="146" t="s">
        <v>524</v>
      </c>
      <c r="AI50" s="146"/>
      <c r="AJ50" s="146">
        <f>TRUNC(IFERROR(Profesores[[#This Row],[Ex Inglés]]*677/100,0),0)</f>
        <v>0</v>
      </c>
      <c r="AQ50" s="221" t="s">
        <v>857</v>
      </c>
      <c r="AR50" s="224">
        <v>15</v>
      </c>
      <c r="AS50" s="217"/>
      <c r="AT50" s="217">
        <v>20</v>
      </c>
      <c r="AU50" s="217">
        <v>28</v>
      </c>
      <c r="AV50" s="217"/>
    </row>
    <row r="51" spans="1:48" s="146" customFormat="1" ht="12" hidden="1" customHeight="1" x14ac:dyDescent="0.3">
      <c r="A51" s="167"/>
      <c r="B51" s="6">
        <v>88</v>
      </c>
      <c r="C51" s="146" t="s">
        <v>502</v>
      </c>
      <c r="D51" s="147" t="s">
        <v>33</v>
      </c>
      <c r="E51" s="148">
        <v>245158</v>
      </c>
      <c r="F51" s="146" t="s">
        <v>284</v>
      </c>
      <c r="G51" s="149" t="s">
        <v>751</v>
      </c>
      <c r="H51" s="149" t="s">
        <v>519</v>
      </c>
      <c r="I51" s="149" t="s">
        <v>858</v>
      </c>
      <c r="J51" s="150">
        <v>22609</v>
      </c>
      <c r="K51" s="149" t="s">
        <v>506</v>
      </c>
      <c r="L51" s="147" t="s">
        <v>507</v>
      </c>
      <c r="M51" s="151">
        <v>4498952508</v>
      </c>
      <c r="N51" s="158" t="s">
        <v>859</v>
      </c>
      <c r="O51" s="151" t="s">
        <v>860</v>
      </c>
      <c r="P51" s="147">
        <v>634</v>
      </c>
      <c r="Q51" s="146" t="s">
        <v>861</v>
      </c>
      <c r="R51" s="146" t="s">
        <v>511</v>
      </c>
      <c r="S51" s="146" t="s">
        <v>511</v>
      </c>
      <c r="T51" s="146">
        <v>20298</v>
      </c>
      <c r="U51" s="147">
        <v>2</v>
      </c>
      <c r="V51" s="147" t="str">
        <f>IF((_xlfn.XLOOKUP(Profesores[[#This Row],[Nombre]],base_de_datos[Profesor],base_de_datos[Academia],1))=Profesores[[#Headers],[MEC]],"x","")</f>
        <v>x</v>
      </c>
      <c r="W51" s="147" t="str">
        <f>IF((_xlfn.XLOOKUP(Profesores[[#This Row],[Nombre]],base_de_datos[Profesor],base_de_datos[Academia],1))=Profesores[[#Headers],[COM]],"x","")</f>
        <v/>
      </c>
      <c r="X51" s="147"/>
      <c r="Y51" s="147" t="str">
        <f>IF((_xlfn.XLOOKUP(Profesores[[#This Row],[Nombre]],base_de_datos[Profesor],base_de_datos[Academia],1))=Profesores[[#Headers],[DOP]],"x","")</f>
        <v/>
      </c>
      <c r="Z51" s="147" t="str">
        <f>IF((_xlfn.XLOOKUP(Profesores[[#This Row],[Nombre]],base_de_datos[Profesor],base_de_datos[Academia],1))=Profesores[[#Headers],[ETF]],"x","")</f>
        <v/>
      </c>
      <c r="AA51" s="147" t="str">
        <f>IF((_xlfn.XLOOKUP(Profesores[[#This Row],[Nombre]],base_de_datos[Profesor],base_de_datos[Academia],1))=Profesores[[#Headers],[MAT]],"x","")</f>
        <v/>
      </c>
      <c r="AB51" s="147" t="str">
        <f>IF((_xlfn.XLOOKUP(Profesores[[#This Row],[Nombre]],base_de_datos[Profesor],base_de_datos[Academia],1))=Profesores[[#Headers],[EMP]],"x","")</f>
        <v/>
      </c>
      <c r="AC51" s="146" t="str">
        <f>IF((_xlfn.XLOOKUP(Profesores[[#This Row],[Nombre]],base_de_datos[Profesor],base_de_datos[Academia],1))=Profesores[[#Headers],[AIC]],"x","")</f>
        <v/>
      </c>
      <c r="AD51" s="146" t="str">
        <f>IF((_xlfn.XLOOKUP(Profesores[[#This Row],[Nombre]],base_de_datos[Profesor],base_de_datos[Academia],1))=Profesores[[#Headers],[ESC]],"x","")</f>
        <v/>
      </c>
      <c r="AE51" s="146" t="str">
        <f>IF((_xlfn.XLOOKUP(Profesores[[#This Row],[Nombre]],base_de_datos[Profesor],base_de_datos[Academia],1))=Profesores[[#Headers],[HUM]],"x","")</f>
        <v/>
      </c>
      <c r="AF51" s="146" t="str">
        <f>IF((_xlfn.XLOOKUP(Profesores[[#This Row],[Nombre]],base_de_datos[Profesor],base_de_datos[Academia],1))=Profesores[[#Headers],[IID]],"x","")</f>
        <v/>
      </c>
      <c r="AG51" s="146" t="str">
        <f>IF((_xlfn.XLOOKUP(Profesores[[#This Row],[Nombre]],base_de_datos[Profesor],base_de_datos[Academia],1))=Profesores[[#Headers],[BIO]],"x","")</f>
        <v/>
      </c>
      <c r="AH51" s="146" t="s">
        <v>524</v>
      </c>
      <c r="AJ51" s="146">
        <f>TRUNC(IFERROR(Profesores[[#This Row],[Ex Inglés]]*677/100,0),0)</f>
        <v>0</v>
      </c>
      <c r="AQ51" s="181" t="s">
        <v>862</v>
      </c>
      <c r="AR51" s="189">
        <v>15</v>
      </c>
      <c r="AS51" s="165"/>
      <c r="AT51" s="165">
        <v>15</v>
      </c>
      <c r="AU51" s="165">
        <v>15</v>
      </c>
      <c r="AV51" s="165"/>
    </row>
    <row r="52" spans="1:48" ht="12" hidden="1" customHeight="1" x14ac:dyDescent="0.3">
      <c r="B52" s="6">
        <v>89</v>
      </c>
      <c r="C52" s="146" t="s">
        <v>502</v>
      </c>
      <c r="D52" s="147" t="s">
        <v>33</v>
      </c>
      <c r="E52" s="148">
        <v>194549</v>
      </c>
      <c r="F52" s="146" t="s">
        <v>231</v>
      </c>
      <c r="G52" s="149" t="s">
        <v>607</v>
      </c>
      <c r="H52" s="149" t="s">
        <v>662</v>
      </c>
      <c r="I52" s="149" t="s">
        <v>863</v>
      </c>
      <c r="J52" s="150">
        <v>32300</v>
      </c>
      <c r="K52" s="149" t="s">
        <v>506</v>
      </c>
      <c r="L52" s="147" t="s">
        <v>507</v>
      </c>
      <c r="M52" s="151">
        <v>4491143754</v>
      </c>
      <c r="N52" s="158" t="s">
        <v>864</v>
      </c>
      <c r="O52" s="151" t="s">
        <v>865</v>
      </c>
      <c r="P52" s="147">
        <v>403</v>
      </c>
      <c r="Q52" s="146" t="s">
        <v>866</v>
      </c>
      <c r="R52" s="146" t="s">
        <v>511</v>
      </c>
      <c r="S52" s="146" t="s">
        <v>511</v>
      </c>
      <c r="T52" s="146">
        <v>20020</v>
      </c>
      <c r="U52" s="147">
        <v>1</v>
      </c>
      <c r="V52" s="147" t="str">
        <f>IF((_xlfn.XLOOKUP(Profesores[[#This Row],[Nombre]],base_de_datos[Profesor],base_de_datos[Academia],1))=Profesores[[#Headers],[MEC]],"x","")</f>
        <v>x</v>
      </c>
      <c r="W52" s="147" t="str">
        <f>IF((_xlfn.XLOOKUP(Profesores[[#This Row],[Nombre]],base_de_datos[Profesor],base_de_datos[Academia],1))=Profesores[[#Headers],[COM]],"x","")</f>
        <v/>
      </c>
      <c r="X52" s="147"/>
      <c r="Y52" s="147" t="str">
        <f>IF((_xlfn.XLOOKUP(Profesores[[#This Row],[Nombre]],base_de_datos[Profesor],base_de_datos[Academia],1))=Profesores[[#Headers],[DOP]],"x","")</f>
        <v/>
      </c>
      <c r="Z52" s="147" t="str">
        <f>IF((_xlfn.XLOOKUP(Profesores[[#This Row],[Nombre]],base_de_datos[Profesor],base_de_datos[Academia],1))=Profesores[[#Headers],[ETF]],"x","")</f>
        <v/>
      </c>
      <c r="AA52" s="147" t="str">
        <f>IF((_xlfn.XLOOKUP(Profesores[[#This Row],[Nombre]],base_de_datos[Profesor],base_de_datos[Academia],1))=Profesores[[#Headers],[MAT]],"x","")</f>
        <v/>
      </c>
      <c r="AB52" s="147" t="str">
        <f>IF((_xlfn.XLOOKUP(Profesores[[#This Row],[Nombre]],base_de_datos[Profesor],base_de_datos[Academia],1))=Profesores[[#Headers],[EMP]],"x","")</f>
        <v/>
      </c>
      <c r="AC52" s="146" t="str">
        <f>IF((_xlfn.XLOOKUP(Profesores[[#This Row],[Nombre]],base_de_datos[Profesor],base_de_datos[Academia],1))=Profesores[[#Headers],[AIC]],"x","")</f>
        <v/>
      </c>
      <c r="AD52" s="146" t="str">
        <f>IF((_xlfn.XLOOKUP(Profesores[[#This Row],[Nombre]],base_de_datos[Profesor],base_de_datos[Academia],1))=Profesores[[#Headers],[ESC]],"x","")</f>
        <v/>
      </c>
      <c r="AE52" s="146" t="str">
        <f>IF((_xlfn.XLOOKUP(Profesores[[#This Row],[Nombre]],base_de_datos[Profesor],base_de_datos[Academia],1))=Profesores[[#Headers],[HUM]],"x","")</f>
        <v/>
      </c>
      <c r="AF52" s="146" t="str">
        <f>IF((_xlfn.XLOOKUP(Profesores[[#This Row],[Nombre]],base_de_datos[Profesor],base_de_datos[Academia],1))=Profesores[[#Headers],[IID]],"x","")</f>
        <v/>
      </c>
      <c r="AG52" s="146" t="str">
        <f>IF((_xlfn.XLOOKUP(Profesores[[#This Row],[Nombre]],base_de_datos[Profesor],base_de_datos[Academia],1))=Profesores[[#Headers],[BIO]],"x","")</f>
        <v/>
      </c>
      <c r="AH52" s="146" t="s">
        <v>524</v>
      </c>
      <c r="AI52" s="146"/>
      <c r="AJ52" s="146">
        <f>TRUNC(IFERROR(Profesores[[#This Row],[Ex Inglés]]*677/100,0),0)</f>
        <v>0</v>
      </c>
      <c r="AQ52" s="10" t="s">
        <v>18</v>
      </c>
      <c r="AR52" s="66">
        <v>20</v>
      </c>
      <c r="AS52" s="9"/>
      <c r="AT52" s="9">
        <v>18</v>
      </c>
      <c r="AU52" s="9">
        <v>18</v>
      </c>
      <c r="AV52" s="9"/>
    </row>
    <row r="53" spans="1:48" s="209" customFormat="1" ht="12" hidden="1" customHeight="1" x14ac:dyDescent="0.3">
      <c r="B53" s="209">
        <v>90</v>
      </c>
      <c r="C53" s="209" t="s">
        <v>502</v>
      </c>
      <c r="D53" s="210" t="s">
        <v>33</v>
      </c>
      <c r="E53" s="211">
        <v>196340</v>
      </c>
      <c r="F53" s="209" t="s">
        <v>867</v>
      </c>
      <c r="G53" s="212" t="s">
        <v>868</v>
      </c>
      <c r="H53" s="212" t="s">
        <v>869</v>
      </c>
      <c r="I53" s="212" t="s">
        <v>870</v>
      </c>
      <c r="J53" s="220">
        <v>32661</v>
      </c>
      <c r="K53" s="212" t="s">
        <v>506</v>
      </c>
      <c r="L53" s="210" t="s">
        <v>507</v>
      </c>
      <c r="M53" s="213">
        <v>4492650542</v>
      </c>
      <c r="N53" s="214" t="s">
        <v>871</v>
      </c>
      <c r="O53" s="213" t="s">
        <v>872</v>
      </c>
      <c r="P53" s="210">
        <v>1004</v>
      </c>
      <c r="Q53" s="209" t="s">
        <v>873</v>
      </c>
      <c r="R53" s="209" t="s">
        <v>511</v>
      </c>
      <c r="S53" s="209" t="s">
        <v>511</v>
      </c>
      <c r="T53" s="209">
        <v>20298</v>
      </c>
      <c r="U53" s="210">
        <v>1</v>
      </c>
      <c r="V53" s="210" t="str">
        <f>IF((_xlfn.XLOOKUP(Profesores[[#This Row],[Nombre]],base_de_datos[Profesor],base_de_datos[Academia],1))=Profesores[[#Headers],[MEC]],"x","")</f>
        <v/>
      </c>
      <c r="W53" s="210" t="str">
        <f>IF((_xlfn.XLOOKUP(Profesores[[#This Row],[Nombre]],base_de_datos[Profesor],base_de_datos[Academia],1))=Profesores[[#Headers],[COM]],"x","")</f>
        <v/>
      </c>
      <c r="X53" s="210"/>
      <c r="Y53" s="210" t="str">
        <f>IF((_xlfn.XLOOKUP(Profesores[[#This Row],[Nombre]],base_de_datos[Profesor],base_de_datos[Academia],1))=Profesores[[#Headers],[DOP]],"x","")</f>
        <v/>
      </c>
      <c r="Z53" s="210" t="str">
        <f>IF((_xlfn.XLOOKUP(Profesores[[#This Row],[Nombre]],base_de_datos[Profesor],base_de_datos[Academia],1))=Profesores[[#Headers],[ETF]],"x","")</f>
        <v/>
      </c>
      <c r="AA53" s="210" t="str">
        <f>IF((_xlfn.XLOOKUP(Profesores[[#This Row],[Nombre]],base_de_datos[Profesor],base_de_datos[Academia],1))=Profesores[[#Headers],[MAT]],"x","")</f>
        <v/>
      </c>
      <c r="AB53" s="210" t="str">
        <f>IF((_xlfn.XLOOKUP(Profesores[[#This Row],[Nombre]],base_de_datos[Profesor],base_de_datos[Academia],1))=Profesores[[#Headers],[EMP]],"x","")</f>
        <v/>
      </c>
      <c r="AC53" s="209" t="str">
        <f>IF((_xlfn.XLOOKUP(Profesores[[#This Row],[Nombre]],base_de_datos[Profesor],base_de_datos[Academia],1))=Profesores[[#Headers],[AIC]],"x","")</f>
        <v/>
      </c>
      <c r="AD53" s="209" t="str">
        <f>IF((_xlfn.XLOOKUP(Profesores[[#This Row],[Nombre]],base_de_datos[Profesor],base_de_datos[Academia],1))=Profesores[[#Headers],[ESC]],"x","")</f>
        <v/>
      </c>
      <c r="AE53" s="209" t="str">
        <f>IF((_xlfn.XLOOKUP(Profesores[[#This Row],[Nombre]],base_de_datos[Profesor],base_de_datos[Academia],1))=Profesores[[#Headers],[HUM]],"x","")</f>
        <v/>
      </c>
      <c r="AF53" s="209" t="str">
        <f>IF((_xlfn.XLOOKUP(Profesores[[#This Row],[Nombre]],base_de_datos[Profesor],base_de_datos[Academia],1))=Profesores[[#Headers],[IID]],"x","")</f>
        <v/>
      </c>
      <c r="AG53" s="209" t="str">
        <f>IF((_xlfn.XLOOKUP(Profesores[[#This Row],[Nombre]],base_de_datos[Profesor],base_de_datos[Academia],1))=Profesores[[#Headers],[BIO]],"x","")</f>
        <v/>
      </c>
      <c r="AH53" s="209" t="s">
        <v>524</v>
      </c>
      <c r="AJ53" s="209">
        <f>TRUNC(IFERROR(Profesores[[#This Row],[Ex Inglés]]*677/100,0),0)</f>
        <v>0</v>
      </c>
      <c r="AQ53" s="221" t="s">
        <v>874</v>
      </c>
      <c r="AR53" s="221">
        <v>50</v>
      </c>
      <c r="AS53" s="217"/>
      <c r="AT53" s="217">
        <v>19</v>
      </c>
      <c r="AU53" s="217">
        <v>25</v>
      </c>
      <c r="AV53" s="217"/>
    </row>
    <row r="54" spans="1:48" s="146" customFormat="1" ht="12" hidden="1" customHeight="1" x14ac:dyDescent="0.3">
      <c r="B54" s="6">
        <v>91</v>
      </c>
      <c r="C54" s="146" t="s">
        <v>502</v>
      </c>
      <c r="D54" s="147" t="s">
        <v>33</v>
      </c>
      <c r="E54" s="148">
        <v>209840</v>
      </c>
      <c r="F54" s="146" t="s">
        <v>291</v>
      </c>
      <c r="G54" s="149" t="s">
        <v>676</v>
      </c>
      <c r="H54" s="149" t="s">
        <v>570</v>
      </c>
      <c r="I54" s="149" t="s">
        <v>577</v>
      </c>
      <c r="J54" s="150">
        <v>28379</v>
      </c>
      <c r="K54" s="149" t="s">
        <v>506</v>
      </c>
      <c r="L54" s="147" t="s">
        <v>507</v>
      </c>
      <c r="M54" s="151">
        <v>4491562329</v>
      </c>
      <c r="N54" s="158" t="s">
        <v>875</v>
      </c>
      <c r="O54" s="151" t="s">
        <v>876</v>
      </c>
      <c r="P54" s="147">
        <v>141</v>
      </c>
      <c r="Q54" s="146" t="s">
        <v>877</v>
      </c>
      <c r="R54" s="146" t="s">
        <v>511</v>
      </c>
      <c r="S54" s="146" t="s">
        <v>511</v>
      </c>
      <c r="T54" s="146">
        <v>20288</v>
      </c>
      <c r="U54" s="147">
        <v>1</v>
      </c>
      <c r="V54" s="147" t="str">
        <f>IF((_xlfn.XLOOKUP(Profesores[[#This Row],[Nombre]],base_de_datos[Profesor],base_de_datos[Academia],1))=Profesores[[#Headers],[MEC]],"x","")</f>
        <v/>
      </c>
      <c r="W54" s="147" t="str">
        <f>IF((_xlfn.XLOOKUP(Profesores[[#This Row],[Nombre]],base_de_datos[Profesor],base_de_datos[Academia],1))=Profesores[[#Headers],[COM]],"x","")</f>
        <v>x</v>
      </c>
      <c r="X54" s="147"/>
      <c r="Y54" s="147" t="str">
        <f>IF((_xlfn.XLOOKUP(Profesores[[#This Row],[Nombre]],base_de_datos[Profesor],base_de_datos[Academia],1))=Profesores[[#Headers],[DOP]],"x","")</f>
        <v/>
      </c>
      <c r="Z54" s="147" t="str">
        <f>IF((_xlfn.XLOOKUP(Profesores[[#This Row],[Nombre]],base_de_datos[Profesor],base_de_datos[Academia],1))=Profesores[[#Headers],[ETF]],"x","")</f>
        <v/>
      </c>
      <c r="AA54" s="147" t="str">
        <f>IF((_xlfn.XLOOKUP(Profesores[[#This Row],[Nombre]],base_de_datos[Profesor],base_de_datos[Academia],1))=Profesores[[#Headers],[MAT]],"x","")</f>
        <v/>
      </c>
      <c r="AB54" s="147" t="str">
        <f>IF((_xlfn.XLOOKUP(Profesores[[#This Row],[Nombre]],base_de_datos[Profesor],base_de_datos[Academia],1))=Profesores[[#Headers],[EMP]],"x","")</f>
        <v/>
      </c>
      <c r="AC54" s="146" t="str">
        <f>IF((_xlfn.XLOOKUP(Profesores[[#This Row],[Nombre]],base_de_datos[Profesor],base_de_datos[Academia],1))=Profesores[[#Headers],[AIC]],"x","")</f>
        <v/>
      </c>
      <c r="AD54" s="146" t="str">
        <f>IF((_xlfn.XLOOKUP(Profesores[[#This Row],[Nombre]],base_de_datos[Profesor],base_de_datos[Academia],1))=Profesores[[#Headers],[ESC]],"x","")</f>
        <v/>
      </c>
      <c r="AE54" s="146" t="str">
        <f>IF((_xlfn.XLOOKUP(Profesores[[#This Row],[Nombre]],base_de_datos[Profesor],base_de_datos[Academia],1))=Profesores[[#Headers],[HUM]],"x","")</f>
        <v/>
      </c>
      <c r="AF54" s="146" t="str">
        <f>IF((_xlfn.XLOOKUP(Profesores[[#This Row],[Nombre]],base_de_datos[Profesor],base_de_datos[Academia],1))=Profesores[[#Headers],[IID]],"x","")</f>
        <v/>
      </c>
      <c r="AG54" s="146" t="str">
        <f>IF((_xlfn.XLOOKUP(Profesores[[#This Row],[Nombre]],base_de_datos[Profesor],base_de_datos[Academia],1))=Profesores[[#Headers],[BIO]],"x","")</f>
        <v/>
      </c>
      <c r="AH54" s="146" t="s">
        <v>878</v>
      </c>
      <c r="AJ54" s="146">
        <f>TRUNC(IFERROR(Profesores[[#This Row],[Ex Inglés]]*677/100,0),0)</f>
        <v>402</v>
      </c>
      <c r="AQ54" s="181" t="s">
        <v>879</v>
      </c>
      <c r="AR54" s="189">
        <v>15</v>
      </c>
      <c r="AS54" s="165"/>
      <c r="AT54" s="165">
        <v>5</v>
      </c>
      <c r="AU54" s="165">
        <v>5</v>
      </c>
      <c r="AV54" s="165"/>
    </row>
    <row r="55" spans="1:48" ht="12" hidden="1" customHeight="1" x14ac:dyDescent="0.3">
      <c r="B55" s="6">
        <v>92</v>
      </c>
      <c r="C55" s="153" t="s">
        <v>515</v>
      </c>
      <c r="D55" s="154" t="s">
        <v>33</v>
      </c>
      <c r="E55" s="155">
        <v>163800</v>
      </c>
      <c r="F55" s="153" t="s">
        <v>188</v>
      </c>
      <c r="G55" s="156" t="s">
        <v>880</v>
      </c>
      <c r="H55" s="156" t="s">
        <v>881</v>
      </c>
      <c r="I55" s="156" t="s">
        <v>882</v>
      </c>
      <c r="J55" s="150">
        <v>34436</v>
      </c>
      <c r="K55" s="149" t="s">
        <v>506</v>
      </c>
      <c r="L55" s="147" t="s">
        <v>507</v>
      </c>
      <c r="M55" s="151">
        <v>4491573490</v>
      </c>
      <c r="N55" s="158" t="s">
        <v>883</v>
      </c>
      <c r="O55" s="151" t="s">
        <v>884</v>
      </c>
      <c r="P55" s="147" t="s">
        <v>885</v>
      </c>
      <c r="Q55" s="146" t="s">
        <v>886</v>
      </c>
      <c r="R55" s="146" t="s">
        <v>511</v>
      </c>
      <c r="S55" s="146" t="s">
        <v>511</v>
      </c>
      <c r="T55" s="146">
        <v>20030</v>
      </c>
      <c r="U55" s="147">
        <v>1</v>
      </c>
      <c r="V55" s="147" t="str">
        <f>IF((_xlfn.XLOOKUP(Profesores[[#This Row],[Nombre]],base_de_datos[Profesor],base_de_datos[Academia],1))=Profesores[[#Headers],[MEC]],"x","")</f>
        <v/>
      </c>
      <c r="W55" s="147" t="str">
        <f>IF((_xlfn.XLOOKUP(Profesores[[#This Row],[Nombre]],base_de_datos[Profesor],base_de_datos[Academia],1))=Profesores[[#Headers],[COM]],"x","")</f>
        <v/>
      </c>
      <c r="X55" s="147"/>
      <c r="Y55" s="147" t="str">
        <f>IF((_xlfn.XLOOKUP(Profesores[[#This Row],[Nombre]],base_de_datos[Profesor],base_de_datos[Academia],1))=Profesores[[#Headers],[DOP]],"x","")</f>
        <v/>
      </c>
      <c r="Z55" s="147" t="str">
        <f>IF((_xlfn.XLOOKUP(Profesores[[#This Row],[Nombre]],base_de_datos[Profesor],base_de_datos[Academia],1))=Profesores[[#Headers],[ETF]],"x","")</f>
        <v/>
      </c>
      <c r="AA55" s="147" t="str">
        <f>IF((_xlfn.XLOOKUP(Profesores[[#This Row],[Nombre]],base_de_datos[Profesor],base_de_datos[Academia],1))=Profesores[[#Headers],[MAT]],"x","")</f>
        <v/>
      </c>
      <c r="AB55" s="147" t="str">
        <f>IF((_xlfn.XLOOKUP(Profesores[[#This Row],[Nombre]],base_de_datos[Profesor],base_de_datos[Academia],1))=Profesores[[#Headers],[EMP]],"x","")</f>
        <v/>
      </c>
      <c r="AC55" s="146" t="str">
        <f>IF((_xlfn.XLOOKUP(Profesores[[#This Row],[Nombre]],base_de_datos[Profesor],base_de_datos[Academia],1))=Profesores[[#Headers],[AIC]],"x","")</f>
        <v/>
      </c>
      <c r="AD55" s="146" t="str">
        <f>IF((_xlfn.XLOOKUP(Profesores[[#This Row],[Nombre]],base_de_datos[Profesor],base_de_datos[Academia],1))=Profesores[[#Headers],[ESC]],"x","")</f>
        <v/>
      </c>
      <c r="AE55" s="146" t="str">
        <f>IF((_xlfn.XLOOKUP(Profesores[[#This Row],[Nombre]],base_de_datos[Profesor],base_de_datos[Academia],1))=Profesores[[#Headers],[HUM]],"x","")</f>
        <v/>
      </c>
      <c r="AF55" s="146" t="str">
        <f>IF((_xlfn.XLOOKUP(Profesores[[#This Row],[Nombre]],base_de_datos[Profesor],base_de_datos[Academia],1))=Profesores[[#Headers],[IID]],"x","")</f>
        <v/>
      </c>
      <c r="AG55" s="146" t="str">
        <f>IF((_xlfn.XLOOKUP(Profesores[[#This Row],[Nombre]],base_de_datos[Profesor],base_de_datos[Academia],1))=Profesores[[#Headers],[BIO]],"x","")</f>
        <v/>
      </c>
      <c r="AH55" s="146" t="s">
        <v>524</v>
      </c>
      <c r="AI55" s="146"/>
      <c r="AJ55" s="146">
        <f>TRUNC(IFERROR(Profesores[[#This Row],[Ex Inglés]]*677/100,0),0)</f>
        <v>0</v>
      </c>
      <c r="AQ55" s="10" t="s">
        <v>127</v>
      </c>
      <c r="AR55" s="66">
        <v>20</v>
      </c>
      <c r="AS55" s="9"/>
      <c r="AT55" s="9">
        <v>10</v>
      </c>
      <c r="AU55" s="9">
        <v>15</v>
      </c>
      <c r="AV55" s="9"/>
    </row>
    <row r="56" spans="1:48" s="146" customFormat="1" ht="12" hidden="1" customHeight="1" x14ac:dyDescent="0.3">
      <c r="B56" s="6">
        <v>93</v>
      </c>
      <c r="C56" s="146" t="s">
        <v>526</v>
      </c>
      <c r="D56" s="147" t="s">
        <v>33</v>
      </c>
      <c r="E56" s="148">
        <v>230726</v>
      </c>
      <c r="F56" s="146" t="s">
        <v>262</v>
      </c>
      <c r="G56" s="149" t="s">
        <v>887</v>
      </c>
      <c r="H56" s="149" t="s">
        <v>888</v>
      </c>
      <c r="I56" s="149" t="s">
        <v>889</v>
      </c>
      <c r="J56" s="147"/>
      <c r="K56" s="149" t="s">
        <v>506</v>
      </c>
      <c r="L56" s="147" t="s">
        <v>507</v>
      </c>
      <c r="M56" s="151">
        <v>5582327774</v>
      </c>
      <c r="N56" s="158" t="s">
        <v>890</v>
      </c>
      <c r="O56" s="151"/>
      <c r="P56" s="147"/>
      <c r="U56" s="147">
        <v>2</v>
      </c>
      <c r="V56" s="147" t="str">
        <f>IF((_xlfn.XLOOKUP(Profesores[[#This Row],[Nombre]],base_de_datos[Profesor],base_de_datos[Academia],1))=Profesores[[#Headers],[MEC]],"x","")</f>
        <v/>
      </c>
      <c r="W56" s="147" t="str">
        <f>IF((_xlfn.XLOOKUP(Profesores[[#This Row],[Nombre]],base_de_datos[Profesor],base_de_datos[Academia],1))=Profesores[[#Headers],[COM]],"x","")</f>
        <v/>
      </c>
      <c r="X56" s="147"/>
      <c r="Y56" s="147" t="str">
        <f>IF((_xlfn.XLOOKUP(Profesores[[#This Row],[Nombre]],base_de_datos[Profesor],base_de_datos[Academia],1))=Profesores[[#Headers],[DOP]],"x","")</f>
        <v/>
      </c>
      <c r="Z56" s="147" t="str">
        <f>IF((_xlfn.XLOOKUP(Profesores[[#This Row],[Nombre]],base_de_datos[Profesor],base_de_datos[Academia],1))=Profesores[[#Headers],[ETF]],"x","")</f>
        <v/>
      </c>
      <c r="AA56" s="147" t="str">
        <f>IF((_xlfn.XLOOKUP(Profesores[[#This Row],[Nombre]],base_de_datos[Profesor],base_de_datos[Academia],1))=Profesores[[#Headers],[MAT]],"x","")</f>
        <v/>
      </c>
      <c r="AB56" s="147" t="str">
        <f>IF((_xlfn.XLOOKUP(Profesores[[#This Row],[Nombre]],base_de_datos[Profesor],base_de_datos[Academia],1))=Profesores[[#Headers],[EMP]],"x","")</f>
        <v/>
      </c>
      <c r="AC56" s="146" t="str">
        <f>IF((_xlfn.XLOOKUP(Profesores[[#This Row],[Nombre]],base_de_datos[Profesor],base_de_datos[Academia],1))=Profesores[[#Headers],[AIC]],"x","")</f>
        <v/>
      </c>
      <c r="AD56" s="146" t="str">
        <f>IF((_xlfn.XLOOKUP(Profesores[[#This Row],[Nombre]],base_de_datos[Profesor],base_de_datos[Academia],1))=Profesores[[#Headers],[ESC]],"x","")</f>
        <v/>
      </c>
      <c r="AE56" s="146" t="str">
        <f>IF((_xlfn.XLOOKUP(Profesores[[#This Row],[Nombre]],base_de_datos[Profesor],base_de_datos[Academia],1))=Profesores[[#Headers],[HUM]],"x","")</f>
        <v/>
      </c>
      <c r="AF56" s="146" t="str">
        <f>IF((_xlfn.XLOOKUP(Profesores[[#This Row],[Nombre]],base_de_datos[Profesor],base_de_datos[Academia],1))=Profesores[[#Headers],[IID]],"x","")</f>
        <v/>
      </c>
      <c r="AG56" s="146" t="str">
        <f>IF((_xlfn.XLOOKUP(Profesores[[#This Row],[Nombre]],base_de_datos[Profesor],base_de_datos[Academia],1))=Profesores[[#Headers],[BIO]],"x","")</f>
        <v/>
      </c>
      <c r="AH56" s="146" t="s">
        <v>524</v>
      </c>
      <c r="AJ56" s="146">
        <f>TRUNC(IFERROR(Profesores[[#This Row],[Ex Inglés]]*677/100,0),0)</f>
        <v>0</v>
      </c>
      <c r="AQ56" s="181" t="s">
        <v>674</v>
      </c>
      <c r="AR56" s="181">
        <v>40</v>
      </c>
      <c r="AS56" s="165"/>
      <c r="AT56" s="165">
        <v>16</v>
      </c>
      <c r="AU56" s="165">
        <v>24</v>
      </c>
      <c r="AV56" s="165"/>
    </row>
    <row r="57" spans="1:48" s="146" customFormat="1" ht="12" hidden="1" customHeight="1" x14ac:dyDescent="0.3">
      <c r="B57" s="6">
        <v>94</v>
      </c>
      <c r="C57" s="146" t="s">
        <v>502</v>
      </c>
      <c r="D57" s="147" t="s">
        <v>33</v>
      </c>
      <c r="E57" s="148">
        <v>221881</v>
      </c>
      <c r="F57" s="146" t="s">
        <v>298</v>
      </c>
      <c r="G57" s="149" t="s">
        <v>891</v>
      </c>
      <c r="H57" s="149" t="s">
        <v>892</v>
      </c>
      <c r="I57" s="149" t="s">
        <v>893</v>
      </c>
      <c r="J57" s="150">
        <v>33164</v>
      </c>
      <c r="K57" s="149" t="s">
        <v>506</v>
      </c>
      <c r="L57" s="147" t="s">
        <v>507</v>
      </c>
      <c r="M57" s="151">
        <v>4499196811</v>
      </c>
      <c r="N57" s="162" t="s">
        <v>894</v>
      </c>
      <c r="O57" s="151" t="s">
        <v>895</v>
      </c>
      <c r="P57" s="147">
        <v>148</v>
      </c>
      <c r="Q57" s="146" t="s">
        <v>841</v>
      </c>
      <c r="R57" s="146" t="s">
        <v>511</v>
      </c>
      <c r="S57" s="146" t="s">
        <v>511</v>
      </c>
      <c r="T57" s="146">
        <v>20210</v>
      </c>
      <c r="U57" s="147">
        <v>1</v>
      </c>
      <c r="V57" s="147" t="str">
        <f>IF((_xlfn.XLOOKUP(Profesores[[#This Row],[Nombre]],base_de_datos[Profesor],base_de_datos[Academia],1))=Profesores[[#Headers],[MEC]],"x","")</f>
        <v>x</v>
      </c>
      <c r="W57" s="147" t="str">
        <f>IF((_xlfn.XLOOKUP(Profesores[[#This Row],[Nombre]],base_de_datos[Profesor],base_de_datos[Academia],1))=Profesores[[#Headers],[COM]],"x","")</f>
        <v/>
      </c>
      <c r="X57" s="147"/>
      <c r="Y57" s="147" t="str">
        <f>IF((_xlfn.XLOOKUP(Profesores[[#This Row],[Nombre]],base_de_datos[Profesor],base_de_datos[Academia],1))=Profesores[[#Headers],[DOP]],"x","")</f>
        <v/>
      </c>
      <c r="Z57" s="147" t="str">
        <f>IF((_xlfn.XLOOKUP(Profesores[[#This Row],[Nombre]],base_de_datos[Profesor],base_de_datos[Academia],1))=Profesores[[#Headers],[ETF]],"x","")</f>
        <v/>
      </c>
      <c r="AA57" s="147" t="str">
        <f>IF((_xlfn.XLOOKUP(Profesores[[#This Row],[Nombre]],base_de_datos[Profesor],base_de_datos[Academia],1))=Profesores[[#Headers],[MAT]],"x","")</f>
        <v/>
      </c>
      <c r="AB57" s="147" t="str">
        <f>IF((_xlfn.XLOOKUP(Profesores[[#This Row],[Nombre]],base_de_datos[Profesor],base_de_datos[Academia],1))=Profesores[[#Headers],[EMP]],"x","")</f>
        <v/>
      </c>
      <c r="AC57" s="146" t="str">
        <f>IF((_xlfn.XLOOKUP(Profesores[[#This Row],[Nombre]],base_de_datos[Profesor],base_de_datos[Academia],1))=Profesores[[#Headers],[AIC]],"x","")</f>
        <v/>
      </c>
      <c r="AD57" s="146" t="str">
        <f>IF((_xlfn.XLOOKUP(Profesores[[#This Row],[Nombre]],base_de_datos[Profesor],base_de_datos[Academia],1))=Profesores[[#Headers],[ESC]],"x","")</f>
        <v/>
      </c>
      <c r="AE57" s="146" t="str">
        <f>IF((_xlfn.XLOOKUP(Profesores[[#This Row],[Nombre]],base_de_datos[Profesor],base_de_datos[Academia],1))=Profesores[[#Headers],[HUM]],"x","")</f>
        <v/>
      </c>
      <c r="AF57" s="146" t="str">
        <f>IF((_xlfn.XLOOKUP(Profesores[[#This Row],[Nombre]],base_de_datos[Profesor],base_de_datos[Academia],1))=Profesores[[#Headers],[IID]],"x","")</f>
        <v/>
      </c>
      <c r="AG57" s="146" t="str">
        <f>IF((_xlfn.XLOOKUP(Profesores[[#This Row],[Nombre]],base_de_datos[Profesor],base_de_datos[Academia],1))=Profesores[[#Headers],[BIO]],"x","")</f>
        <v/>
      </c>
      <c r="AH57" s="146" t="s">
        <v>524</v>
      </c>
      <c r="AJ57" s="146">
        <f>TRUNC(IFERROR(Profesores[[#This Row],[Ex Inglés]]*677/100,0),0)</f>
        <v>0</v>
      </c>
      <c r="AQ57" s="181" t="s">
        <v>896</v>
      </c>
      <c r="AR57" s="189">
        <v>17</v>
      </c>
      <c r="AS57" s="165"/>
      <c r="AT57" s="165">
        <v>17</v>
      </c>
      <c r="AU57" s="165"/>
      <c r="AV57" s="165"/>
    </row>
    <row r="58" spans="1:48" s="217" customFormat="1" ht="12" hidden="1" customHeight="1" x14ac:dyDescent="0.3">
      <c r="B58" s="217">
        <v>95</v>
      </c>
      <c r="C58" s="217" t="s">
        <v>501</v>
      </c>
      <c r="D58" s="238" t="s">
        <v>33</v>
      </c>
      <c r="E58" s="239">
        <v>221087</v>
      </c>
      <c r="F58" s="249" t="s">
        <v>897</v>
      </c>
      <c r="G58" s="240" t="s">
        <v>898</v>
      </c>
      <c r="H58" s="240" t="s">
        <v>899</v>
      </c>
      <c r="I58" s="240" t="s">
        <v>900</v>
      </c>
      <c r="J58" s="241">
        <v>32921</v>
      </c>
      <c r="K58" s="240"/>
      <c r="L58" s="238" t="s">
        <v>507</v>
      </c>
      <c r="M58" s="242">
        <v>3313129368</v>
      </c>
      <c r="N58" s="243" t="s">
        <v>901</v>
      </c>
      <c r="O58" s="242" t="s">
        <v>902</v>
      </c>
      <c r="P58" s="238">
        <v>2248</v>
      </c>
      <c r="Q58" s="217" t="s">
        <v>903</v>
      </c>
      <c r="R58" s="217" t="s">
        <v>904</v>
      </c>
      <c r="S58" s="217" t="s">
        <v>856</v>
      </c>
      <c r="T58" s="217">
        <v>44760</v>
      </c>
      <c r="U58" s="238">
        <v>1</v>
      </c>
      <c r="V58" s="238" t="str">
        <f>IF((_xlfn.XLOOKUP(Profesores[[#This Row],[Nombre]],base_de_datos[Profesor],base_de_datos[Academia],1))=Profesores[[#Headers],[MEC]],"x","")</f>
        <v/>
      </c>
      <c r="W58" s="238" t="str">
        <f>IF((_xlfn.XLOOKUP(Profesores[[#This Row],[Nombre]],base_de_datos[Profesor],base_de_datos[Academia],1))=Profesores[[#Headers],[COM]],"x","")</f>
        <v/>
      </c>
      <c r="X58" s="238"/>
      <c r="Y58" s="238" t="str">
        <f>IF((_xlfn.XLOOKUP(Profesores[[#This Row],[Nombre]],base_de_datos[Profesor],base_de_datos[Academia],1))=Profesores[[#Headers],[DOP]],"x","")</f>
        <v/>
      </c>
      <c r="Z58" s="238" t="str">
        <f>IF((_xlfn.XLOOKUP(Profesores[[#This Row],[Nombre]],base_de_datos[Profesor],base_de_datos[Academia],1))=Profesores[[#Headers],[ETF]],"x","")</f>
        <v/>
      </c>
      <c r="AA58" s="238" t="str">
        <f>IF((_xlfn.XLOOKUP(Profesores[[#This Row],[Nombre]],base_de_datos[Profesor],base_de_datos[Academia],1))=Profesores[[#Headers],[MAT]],"x","")</f>
        <v/>
      </c>
      <c r="AB58" s="238" t="str">
        <f>IF((_xlfn.XLOOKUP(Profesores[[#This Row],[Nombre]],base_de_datos[Profesor],base_de_datos[Academia],1))=Profesores[[#Headers],[EMP]],"x","")</f>
        <v/>
      </c>
      <c r="AC58" s="217" t="str">
        <f>IF((_xlfn.XLOOKUP(Profesores[[#This Row],[Nombre]],base_de_datos[Profesor],base_de_datos[Academia],1))=Profesores[[#Headers],[AIC]],"x","")</f>
        <v/>
      </c>
      <c r="AD58" s="217" t="str">
        <f>IF((_xlfn.XLOOKUP(Profesores[[#This Row],[Nombre]],base_de_datos[Profesor],base_de_datos[Academia],1))=Profesores[[#Headers],[ESC]],"x","")</f>
        <v/>
      </c>
      <c r="AE58" s="217" t="str">
        <f>IF((_xlfn.XLOOKUP(Profesores[[#This Row],[Nombre]],base_de_datos[Profesor],base_de_datos[Academia],1))=Profesores[[#Headers],[HUM]],"x","")</f>
        <v/>
      </c>
      <c r="AF58" s="217" t="str">
        <f>IF((_xlfn.XLOOKUP(Profesores[[#This Row],[Nombre]],base_de_datos[Profesor],base_de_datos[Academia],1))=Profesores[[#Headers],[IID]],"x","")</f>
        <v/>
      </c>
      <c r="AG58" s="217" t="str">
        <f>IF((_xlfn.XLOOKUP(Profesores[[#This Row],[Nombre]],base_de_datos[Profesor],base_de_datos[Academia],1))=Profesores[[#Headers],[BIO]],"x","")</f>
        <v/>
      </c>
      <c r="AH58" s="217" t="s">
        <v>524</v>
      </c>
      <c r="AJ58" s="217">
        <f>TRUNC(IFERROR(Profesores[[#This Row],[Ex Inglés]]*677/100,0),0)</f>
        <v>0</v>
      </c>
      <c r="AQ58" s="217" t="s">
        <v>905</v>
      </c>
      <c r="AR58" s="221"/>
      <c r="AT58" s="217">
        <v>8</v>
      </c>
      <c r="AU58" s="217">
        <v>10</v>
      </c>
    </row>
    <row r="59" spans="1:48" s="209" customFormat="1" ht="12" hidden="1" customHeight="1" x14ac:dyDescent="0.3">
      <c r="B59" s="209">
        <v>96</v>
      </c>
      <c r="C59" s="209" t="s">
        <v>540</v>
      </c>
      <c r="D59" s="210" t="s">
        <v>33</v>
      </c>
      <c r="E59" s="211">
        <v>230702</v>
      </c>
      <c r="F59" s="209" t="s">
        <v>906</v>
      </c>
      <c r="G59" s="212" t="s">
        <v>907</v>
      </c>
      <c r="H59" s="212" t="s">
        <v>908</v>
      </c>
      <c r="I59" s="212" t="s">
        <v>909</v>
      </c>
      <c r="J59" s="220">
        <v>29473</v>
      </c>
      <c r="K59" s="212"/>
      <c r="L59" s="210" t="s">
        <v>507</v>
      </c>
      <c r="M59" s="213">
        <v>6623448680</v>
      </c>
      <c r="N59" s="250" t="s">
        <v>910</v>
      </c>
      <c r="O59" s="213" t="s">
        <v>544</v>
      </c>
      <c r="P59" s="210">
        <v>217</v>
      </c>
      <c r="Q59" s="209" t="s">
        <v>545</v>
      </c>
      <c r="R59" s="209" t="s">
        <v>511</v>
      </c>
      <c r="S59" s="209" t="s">
        <v>511</v>
      </c>
      <c r="T59" s="209">
        <v>20200</v>
      </c>
      <c r="U59" s="210">
        <v>1</v>
      </c>
      <c r="V59" s="210" t="str">
        <f>IF((_xlfn.XLOOKUP(Profesores[[#This Row],[Nombre]],base_de_datos[Profesor],base_de_datos[Academia],1))=Profesores[[#Headers],[MEC]],"x","")</f>
        <v/>
      </c>
      <c r="W59" s="210" t="str">
        <f>IF((_xlfn.XLOOKUP(Profesores[[#This Row],[Nombre]],base_de_datos[Profesor],base_de_datos[Academia],1))=Profesores[[#Headers],[COM]],"x","")</f>
        <v/>
      </c>
      <c r="X59" s="210"/>
      <c r="Y59" s="210" t="str">
        <f>IF((_xlfn.XLOOKUP(Profesores[[#This Row],[Nombre]],base_de_datos[Profesor],base_de_datos[Academia],1))=Profesores[[#Headers],[DOP]],"x","")</f>
        <v/>
      </c>
      <c r="Z59" s="210" t="str">
        <f>IF((_xlfn.XLOOKUP(Profesores[[#This Row],[Nombre]],base_de_datos[Profesor],base_de_datos[Academia],1))=Profesores[[#Headers],[ETF]],"x","")</f>
        <v/>
      </c>
      <c r="AA59" s="210" t="str">
        <f>IF((_xlfn.XLOOKUP(Profesores[[#This Row],[Nombre]],base_de_datos[Profesor],base_de_datos[Academia],1))=Profesores[[#Headers],[MAT]],"x","")</f>
        <v/>
      </c>
      <c r="AB59" s="210" t="str">
        <f>IF((_xlfn.XLOOKUP(Profesores[[#This Row],[Nombre]],base_de_datos[Profesor],base_de_datos[Academia],1))=Profesores[[#Headers],[EMP]],"x","")</f>
        <v/>
      </c>
      <c r="AC59" s="209" t="str">
        <f>IF((_xlfn.XLOOKUP(Profesores[[#This Row],[Nombre]],base_de_datos[Profesor],base_de_datos[Academia],1))=Profesores[[#Headers],[AIC]],"x","")</f>
        <v/>
      </c>
      <c r="AD59" s="209" t="str">
        <f>IF((_xlfn.XLOOKUP(Profesores[[#This Row],[Nombre]],base_de_datos[Profesor],base_de_datos[Academia],1))=Profesores[[#Headers],[ESC]],"x","")</f>
        <v/>
      </c>
      <c r="AE59" s="209" t="str">
        <f>IF((_xlfn.XLOOKUP(Profesores[[#This Row],[Nombre]],base_de_datos[Profesor],base_de_datos[Academia],1))=Profesores[[#Headers],[HUM]],"x","")</f>
        <v/>
      </c>
      <c r="AF59" s="209" t="str">
        <f>IF((_xlfn.XLOOKUP(Profesores[[#This Row],[Nombre]],base_de_datos[Profesor],base_de_datos[Academia],1))=Profesores[[#Headers],[IID]],"x","")</f>
        <v/>
      </c>
      <c r="AG59" s="209" t="str">
        <f>IF((_xlfn.XLOOKUP(Profesores[[#This Row],[Nombre]],base_de_datos[Profesor],base_de_datos[Academia],1))=Profesores[[#Headers],[BIO]],"x","")</f>
        <v/>
      </c>
      <c r="AH59" s="209" t="s">
        <v>524</v>
      </c>
      <c r="AJ59" s="209">
        <f>TRUNC(IFERROR(Profesores[[#This Row],[Ex Inglés]]*677/100,0),0)</f>
        <v>0</v>
      </c>
      <c r="AQ59" s="221" t="s">
        <v>207</v>
      </c>
      <c r="AR59" s="224">
        <v>10</v>
      </c>
      <c r="AS59" s="217"/>
      <c r="AT59" s="217">
        <v>12</v>
      </c>
      <c r="AU59" s="217">
        <v>12</v>
      </c>
      <c r="AV59" s="217"/>
    </row>
    <row r="60" spans="1:48" ht="12" hidden="1" customHeight="1" x14ac:dyDescent="0.3">
      <c r="B60" s="6">
        <v>102</v>
      </c>
      <c r="C60" s="146" t="s">
        <v>501</v>
      </c>
      <c r="D60" s="147" t="s">
        <v>33</v>
      </c>
      <c r="E60" s="148">
        <v>255675</v>
      </c>
      <c r="F60" s="146" t="s">
        <v>185</v>
      </c>
      <c r="G60" s="149" t="s">
        <v>911</v>
      </c>
      <c r="H60" s="149" t="s">
        <v>912</v>
      </c>
      <c r="I60" s="149" t="s">
        <v>913</v>
      </c>
      <c r="J60" s="150">
        <v>34445</v>
      </c>
      <c r="K60" s="149" t="s">
        <v>914</v>
      </c>
      <c r="L60" s="147" t="s">
        <v>507</v>
      </c>
      <c r="M60" s="151">
        <v>2221429235</v>
      </c>
      <c r="N60" s="194" t="s">
        <v>915</v>
      </c>
      <c r="O60" s="151" t="s">
        <v>916</v>
      </c>
      <c r="P60" s="147">
        <v>41</v>
      </c>
      <c r="Q60" s="146" t="s">
        <v>917</v>
      </c>
      <c r="R60" s="146" t="s">
        <v>918</v>
      </c>
      <c r="S60" s="146" t="s">
        <v>918</v>
      </c>
      <c r="T60" s="146">
        <v>72470</v>
      </c>
      <c r="U60" s="147">
        <v>1</v>
      </c>
      <c r="V60" s="147" t="str">
        <f>IF((_xlfn.XLOOKUP(Profesores[[#This Row],[Nombre]],base_de_datos[Profesor],base_de_datos[Academia],1))=Profesores[[#Headers],[MEC]],"x","")</f>
        <v/>
      </c>
      <c r="W60" s="147" t="str">
        <f>IF((_xlfn.XLOOKUP(Profesores[[#This Row],[Nombre]],base_de_datos[Profesor],base_de_datos[Academia],1))=Profesores[[#Headers],[COM]],"x","")</f>
        <v/>
      </c>
      <c r="X60" s="147"/>
      <c r="Y60" s="147" t="str">
        <f>IF((_xlfn.XLOOKUP(Profesores[[#This Row],[Nombre]],base_de_datos[Profesor],base_de_datos[Academia],1))=Profesores[[#Headers],[DOP]],"x","")</f>
        <v/>
      </c>
      <c r="Z60" s="147" t="str">
        <f>IF((_xlfn.XLOOKUP(Profesores[[#This Row],[Nombre]],base_de_datos[Profesor],base_de_datos[Academia],1))=Profesores[[#Headers],[ETF]],"x","")</f>
        <v/>
      </c>
      <c r="AA60" s="147" t="str">
        <f>IF((_xlfn.XLOOKUP(Profesores[[#This Row],[Nombre]],base_de_datos[Profesor],base_de_datos[Academia],1))=Profesores[[#Headers],[MAT]],"x","")</f>
        <v/>
      </c>
      <c r="AB60" s="147" t="str">
        <f>IF((_xlfn.XLOOKUP(Profesores[[#This Row],[Nombre]],base_de_datos[Profesor],base_de_datos[Academia],1))=Profesores[[#Headers],[EMP]],"x","")</f>
        <v/>
      </c>
      <c r="AC60" s="146" t="str">
        <f>IF((_xlfn.XLOOKUP(Profesores[[#This Row],[Nombre]],base_de_datos[Profesor],base_de_datos[Academia],1))=Profesores[[#Headers],[AIC]],"x","")</f>
        <v>x</v>
      </c>
      <c r="AD60" s="146" t="str">
        <f>IF((_xlfn.XLOOKUP(Profesores[[#This Row],[Nombre]],base_de_datos[Profesor],base_de_datos[Academia],1))=Profesores[[#Headers],[ESC]],"x","")</f>
        <v/>
      </c>
      <c r="AE60" s="146" t="str">
        <f>IF((_xlfn.XLOOKUP(Profesores[[#This Row],[Nombre]],base_de_datos[Profesor],base_de_datos[Academia],1))=Profesores[[#Headers],[HUM]],"x","")</f>
        <v/>
      </c>
      <c r="AF60" s="146" t="str">
        <f>IF((_xlfn.XLOOKUP(Profesores[[#This Row],[Nombre]],base_de_datos[Profesor],base_de_datos[Academia],1))=Profesores[[#Headers],[IID]],"x","")</f>
        <v/>
      </c>
      <c r="AG60" s="146" t="str">
        <f>IF((_xlfn.XLOOKUP(Profesores[[#This Row],[Nombre]],base_de_datos[Profesor],base_de_datos[Academia],1))=Profesores[[#Headers],[BIO]],"x","")</f>
        <v/>
      </c>
      <c r="AH60" s="146" t="s">
        <v>524</v>
      </c>
      <c r="AI60" s="146"/>
      <c r="AJ60" s="146">
        <f>TRUNC(IFERROR(Profesores[[#This Row],[Ex Inglés]]*677/100,0),0)</f>
        <v>0</v>
      </c>
      <c r="AQ60" s="10" t="s">
        <v>919</v>
      </c>
      <c r="AR60" s="10"/>
      <c r="AS60" s="9"/>
      <c r="AT60" s="9">
        <v>16</v>
      </c>
      <c r="AU60" s="9">
        <v>22</v>
      </c>
      <c r="AV60" s="9"/>
    </row>
    <row r="61" spans="1:48" ht="12" hidden="1" customHeight="1" x14ac:dyDescent="0.3">
      <c r="B61" s="6">
        <v>103</v>
      </c>
      <c r="C61" s="146" t="s">
        <v>502</v>
      </c>
      <c r="D61" s="147" t="s">
        <v>33</v>
      </c>
      <c r="E61" s="148">
        <v>255673</v>
      </c>
      <c r="F61" s="146" t="s">
        <v>469</v>
      </c>
      <c r="G61" s="149" t="s">
        <v>920</v>
      </c>
      <c r="H61" s="149" t="s">
        <v>921</v>
      </c>
      <c r="I61" s="149" t="s">
        <v>922</v>
      </c>
      <c r="J61" s="150">
        <v>33277</v>
      </c>
      <c r="K61" s="149" t="s">
        <v>506</v>
      </c>
      <c r="L61" s="147" t="s">
        <v>507</v>
      </c>
      <c r="M61" s="151">
        <v>4492039071</v>
      </c>
      <c r="N61" s="194" t="s">
        <v>923</v>
      </c>
      <c r="O61" s="151" t="s">
        <v>924</v>
      </c>
      <c r="P61" s="147" t="s">
        <v>925</v>
      </c>
      <c r="Q61" s="146" t="s">
        <v>926</v>
      </c>
      <c r="R61" s="146" t="s">
        <v>511</v>
      </c>
      <c r="S61" s="146" t="s">
        <v>511</v>
      </c>
      <c r="T61" s="146">
        <v>20240</v>
      </c>
      <c r="U61" s="147">
        <v>1</v>
      </c>
      <c r="V61" s="147" t="str">
        <f>IF((_xlfn.XLOOKUP(Profesores[[#This Row],[Nombre]],base_de_datos[Profesor],base_de_datos[Academia],1))=Profesores[[#Headers],[MEC]],"x","")</f>
        <v/>
      </c>
      <c r="W61" s="147" t="str">
        <f>IF((_xlfn.XLOOKUP(Profesores[[#This Row],[Nombre]],base_de_datos[Profesor],base_de_datos[Academia],1))=Profesores[[#Headers],[COM]],"x","")</f>
        <v/>
      </c>
      <c r="X61" s="147"/>
      <c r="Y61" s="147" t="str">
        <f>IF((_xlfn.XLOOKUP(Profesores[[#This Row],[Nombre]],base_de_datos[Profesor],base_de_datos[Academia],1))=Profesores[[#Headers],[DOP]],"x","")</f>
        <v/>
      </c>
      <c r="Z61" s="147" t="str">
        <f>IF((_xlfn.XLOOKUP(Profesores[[#This Row],[Nombre]],base_de_datos[Profesor],base_de_datos[Academia],1))=Profesores[[#Headers],[ETF]],"x","")</f>
        <v/>
      </c>
      <c r="AA61" s="147" t="str">
        <f>IF((_xlfn.XLOOKUP(Profesores[[#This Row],[Nombre]],base_de_datos[Profesor],base_de_datos[Academia],1))=Profesores[[#Headers],[MAT]],"x","")</f>
        <v/>
      </c>
      <c r="AB61" s="147" t="str">
        <f>IF((_xlfn.XLOOKUP(Profesores[[#This Row],[Nombre]],base_de_datos[Profesor],base_de_datos[Academia],1))=Profesores[[#Headers],[EMP]],"x","")</f>
        <v/>
      </c>
      <c r="AC61" s="146" t="str">
        <f>IF((_xlfn.XLOOKUP(Profesores[[#This Row],[Nombre]],base_de_datos[Profesor],base_de_datos[Academia],1))=Profesores[[#Headers],[AIC]],"x","")</f>
        <v>x</v>
      </c>
      <c r="AD61" s="146" t="str">
        <f>IF((_xlfn.XLOOKUP(Profesores[[#This Row],[Nombre]],base_de_datos[Profesor],base_de_datos[Academia],1))=Profesores[[#Headers],[ESC]],"x","")</f>
        <v/>
      </c>
      <c r="AE61" s="146" t="str">
        <f>IF((_xlfn.XLOOKUP(Profesores[[#This Row],[Nombre]],base_de_datos[Profesor],base_de_datos[Academia],1))=Profesores[[#Headers],[HUM]],"x","")</f>
        <v/>
      </c>
      <c r="AF61" s="146" t="str">
        <f>IF((_xlfn.XLOOKUP(Profesores[[#This Row],[Nombre]],base_de_datos[Profesor],base_de_datos[Academia],1))=Profesores[[#Headers],[IID]],"x","")</f>
        <v/>
      </c>
      <c r="AG61" s="146" t="str">
        <f>IF((_xlfn.XLOOKUP(Profesores[[#This Row],[Nombre]],base_de_datos[Profesor],base_de_datos[Academia],1))=Profesores[[#Headers],[BIO]],"x","")</f>
        <v/>
      </c>
      <c r="AH61" s="146" t="s">
        <v>524</v>
      </c>
      <c r="AI61" s="146"/>
      <c r="AJ61" s="146">
        <f>TRUNC(IFERROR(Profesores[[#This Row],[Ex Inglés]]*677/100,0),0)</f>
        <v>0</v>
      </c>
      <c r="AQ61" s="10" t="s">
        <v>683</v>
      </c>
      <c r="AR61" s="10"/>
      <c r="AS61" s="9"/>
      <c r="AT61" s="9">
        <v>15</v>
      </c>
      <c r="AU61" s="9">
        <v>21</v>
      </c>
      <c r="AV61" s="9"/>
    </row>
    <row r="62" spans="1:48" s="146" customFormat="1" ht="12" hidden="1" customHeight="1" x14ac:dyDescent="0.3">
      <c r="B62" s="6">
        <v>104</v>
      </c>
      <c r="C62" s="146" t="s">
        <v>540</v>
      </c>
      <c r="D62" s="147" t="s">
        <v>33</v>
      </c>
      <c r="E62" s="166" t="s">
        <v>927</v>
      </c>
      <c r="F62" s="146" t="s">
        <v>383</v>
      </c>
      <c r="G62" s="149" t="s">
        <v>928</v>
      </c>
      <c r="H62" s="149" t="s">
        <v>535</v>
      </c>
      <c r="I62" s="149" t="s">
        <v>929</v>
      </c>
      <c r="J62" s="150">
        <v>31544</v>
      </c>
      <c r="K62" s="149" t="s">
        <v>930</v>
      </c>
      <c r="L62" s="147" t="s">
        <v>507</v>
      </c>
      <c r="M62" s="151">
        <v>2223568433</v>
      </c>
      <c r="N62" s="158" t="s">
        <v>931</v>
      </c>
      <c r="O62" s="151" t="s">
        <v>932</v>
      </c>
      <c r="P62" s="147">
        <v>4</v>
      </c>
      <c r="Q62" s="146" t="s">
        <v>933</v>
      </c>
      <c r="R62" s="146" t="s">
        <v>934</v>
      </c>
      <c r="S62" s="146" t="s">
        <v>934</v>
      </c>
      <c r="T62" s="146">
        <v>36254</v>
      </c>
      <c r="U62" s="147">
        <v>1</v>
      </c>
      <c r="V62" s="147" t="str">
        <f>IF((_xlfn.XLOOKUP(Profesores[[#This Row],[Nombre]],base_de_datos[Profesor],base_de_datos[Academia],1))=Profesores[[#Headers],[MEC]],"x","")</f>
        <v/>
      </c>
      <c r="W62" s="147" t="str">
        <f>IF((_xlfn.XLOOKUP(Profesores[[#This Row],[Nombre]],base_de_datos[Profesor],base_de_datos[Academia],1))=Profesores[[#Headers],[COM]],"x","")</f>
        <v>x</v>
      </c>
      <c r="X62" s="147"/>
      <c r="Y62" s="147" t="str">
        <f>IF((_xlfn.XLOOKUP(Profesores[[#This Row],[Nombre]],base_de_datos[Profesor],base_de_datos[Academia],1))=Profesores[[#Headers],[DOP]],"x","")</f>
        <v/>
      </c>
      <c r="Z62" s="147" t="str">
        <f>IF((_xlfn.XLOOKUP(Profesores[[#This Row],[Nombre]],base_de_datos[Profesor],base_de_datos[Academia],1))=Profesores[[#Headers],[ETF]],"x","")</f>
        <v/>
      </c>
      <c r="AA62" s="147" t="str">
        <f>IF((_xlfn.XLOOKUP(Profesores[[#This Row],[Nombre]],base_de_datos[Profesor],base_de_datos[Academia],1))=Profesores[[#Headers],[MAT]],"x","")</f>
        <v/>
      </c>
      <c r="AB62" s="147" t="str">
        <f>IF((_xlfn.XLOOKUP(Profesores[[#This Row],[Nombre]],base_de_datos[Profesor],base_de_datos[Academia],1))=Profesores[[#Headers],[EMP]],"x","")</f>
        <v/>
      </c>
      <c r="AC62" s="146" t="str">
        <f>IF((_xlfn.XLOOKUP(Profesores[[#This Row],[Nombre]],base_de_datos[Profesor],base_de_datos[Academia],1))=Profesores[[#Headers],[AIC]],"x","")</f>
        <v/>
      </c>
      <c r="AD62" s="146" t="str">
        <f>IF((_xlfn.XLOOKUP(Profesores[[#This Row],[Nombre]],base_de_datos[Profesor],base_de_datos[Academia],1))=Profesores[[#Headers],[ESC]],"x","")</f>
        <v/>
      </c>
      <c r="AE62" s="146" t="str">
        <f>IF((_xlfn.XLOOKUP(Profesores[[#This Row],[Nombre]],base_de_datos[Profesor],base_de_datos[Academia],1))=Profesores[[#Headers],[HUM]],"x","")</f>
        <v/>
      </c>
      <c r="AF62" s="146" t="str">
        <f>IF((_xlfn.XLOOKUP(Profesores[[#This Row],[Nombre]],base_de_datos[Profesor],base_de_datos[Academia],1))=Profesores[[#Headers],[IID]],"x","")</f>
        <v/>
      </c>
      <c r="AG62" s="146" t="str">
        <f>IF((_xlfn.XLOOKUP(Profesores[[#This Row],[Nombre]],base_de_datos[Profesor],base_de_datos[Academia],1))=Profesores[[#Headers],[BIO]],"x","")</f>
        <v/>
      </c>
      <c r="AH62" s="146" t="s">
        <v>524</v>
      </c>
      <c r="AJ62" s="146">
        <f>TRUNC(IFERROR(Profesores[[#This Row],[Ex Inglés]]*677/100,0),0)</f>
        <v>0</v>
      </c>
      <c r="AQ62" s="181" t="s">
        <v>935</v>
      </c>
      <c r="AR62" s="181"/>
      <c r="AS62" s="165"/>
      <c r="AT62" s="165">
        <v>16</v>
      </c>
      <c r="AU62" s="165">
        <v>22</v>
      </c>
      <c r="AV62" s="165"/>
    </row>
    <row r="63" spans="1:48" ht="12" hidden="1" customHeight="1" x14ac:dyDescent="0.3">
      <c r="B63" s="6">
        <v>105</v>
      </c>
      <c r="C63" s="146" t="s">
        <v>502</v>
      </c>
      <c r="D63" s="147" t="s">
        <v>33</v>
      </c>
      <c r="E63" s="148">
        <v>163771</v>
      </c>
      <c r="F63" s="146" t="s">
        <v>448</v>
      </c>
      <c r="G63" s="149" t="s">
        <v>936</v>
      </c>
      <c r="H63" s="149" t="s">
        <v>888</v>
      </c>
      <c r="I63" s="149" t="s">
        <v>937</v>
      </c>
      <c r="J63" s="150">
        <v>29978</v>
      </c>
      <c r="K63" s="149" t="s">
        <v>506</v>
      </c>
      <c r="L63" s="147" t="s">
        <v>92</v>
      </c>
      <c r="M63" s="151" t="s">
        <v>938</v>
      </c>
      <c r="N63" s="158" t="s">
        <v>939</v>
      </c>
      <c r="O63" s="190" t="s">
        <v>940</v>
      </c>
      <c r="P63" s="164">
        <v>237</v>
      </c>
      <c r="Q63" s="165" t="s">
        <v>941</v>
      </c>
      <c r="R63" s="165" t="s">
        <v>511</v>
      </c>
      <c r="S63" s="165" t="s">
        <v>511</v>
      </c>
      <c r="T63" s="165">
        <v>20126</v>
      </c>
      <c r="U63" s="147">
        <v>1</v>
      </c>
      <c r="V63" s="147" t="str">
        <f>IF((_xlfn.XLOOKUP(Profesores[[#This Row],[Nombre]],base_de_datos[Profesor],base_de_datos[Academia],1))=Profesores[[#Headers],[MEC]],"x","")</f>
        <v/>
      </c>
      <c r="W63" s="147" t="str">
        <f>IF((_xlfn.XLOOKUP(Profesores[[#This Row],[Nombre]],base_de_datos[Profesor],base_de_datos[Academia],1))=Profesores[[#Headers],[COM]],"x","")</f>
        <v/>
      </c>
      <c r="X63" s="147"/>
      <c r="Y63" s="147" t="str">
        <f>IF((_xlfn.XLOOKUP(Profesores[[#This Row],[Nombre]],base_de_datos[Profesor],base_de_datos[Academia],1))=Profesores[[#Headers],[DOP]],"x","")</f>
        <v/>
      </c>
      <c r="Z63" s="147" t="str">
        <f>IF((_xlfn.XLOOKUP(Profesores[[#This Row],[Nombre]],base_de_datos[Profesor],base_de_datos[Academia],1))=Profesores[[#Headers],[ETF]],"x","")</f>
        <v/>
      </c>
      <c r="AA63" s="147" t="str">
        <f>IF((_xlfn.XLOOKUP(Profesores[[#This Row],[Nombre]],base_de_datos[Profesor],base_de_datos[Academia],1))=Profesores[[#Headers],[MAT]],"x","")</f>
        <v/>
      </c>
      <c r="AB63" s="147" t="str">
        <f>IF((_xlfn.XLOOKUP(Profesores[[#This Row],[Nombre]],base_de_datos[Profesor],base_de_datos[Academia],1))=Profesores[[#Headers],[EMP]],"x","")</f>
        <v/>
      </c>
      <c r="AC63" s="146" t="str">
        <f>IF((_xlfn.XLOOKUP(Profesores[[#This Row],[Nombre]],base_de_datos[Profesor],base_de_datos[Academia],1))=Profesores[[#Headers],[AIC]],"x","")</f>
        <v/>
      </c>
      <c r="AD63" s="146" t="str">
        <f>IF((_xlfn.XLOOKUP(Profesores[[#This Row],[Nombre]],base_de_datos[Profesor],base_de_datos[Academia],1))=Profesores[[#Headers],[ESC]],"x","")</f>
        <v/>
      </c>
      <c r="AE63" s="146" t="str">
        <f>IF((_xlfn.XLOOKUP(Profesores[[#This Row],[Nombre]],base_de_datos[Profesor],base_de_datos[Academia],1))=Profesores[[#Headers],[HUM]],"x","")</f>
        <v/>
      </c>
      <c r="AF63" s="146" t="str">
        <f>IF((_xlfn.XLOOKUP(Profesores[[#This Row],[Nombre]],base_de_datos[Profesor],base_de_datos[Academia],1))=Profesores[[#Headers],[IID]],"x","")</f>
        <v>x</v>
      </c>
      <c r="AG63" s="146" t="str">
        <f>IF((_xlfn.XLOOKUP(Profesores[[#This Row],[Nombre]],base_de_datos[Profesor],base_de_datos[Academia],1))=Profesores[[#Headers],[BIO]],"x","")</f>
        <v/>
      </c>
      <c r="AH63" s="146" t="s">
        <v>524</v>
      </c>
      <c r="AI63" s="146"/>
      <c r="AJ63" s="146">
        <f>TRUNC(IFERROR(Profesores[[#This Row],[Ex Inglés]]*677/100,0),0)</f>
        <v>0</v>
      </c>
      <c r="AQ63" s="10" t="s">
        <v>690</v>
      </c>
      <c r="AR63" s="10"/>
      <c r="AS63" s="9"/>
      <c r="AT63" s="9">
        <v>12</v>
      </c>
      <c r="AU63" s="9">
        <v>18</v>
      </c>
    </row>
    <row r="64" spans="1:48" s="209" customFormat="1" ht="12" hidden="1" customHeight="1" x14ac:dyDescent="0.3">
      <c r="B64" s="209">
        <v>106</v>
      </c>
      <c r="C64" s="209" t="s">
        <v>502</v>
      </c>
      <c r="D64" s="210" t="s">
        <v>33</v>
      </c>
      <c r="E64" s="211">
        <v>255250</v>
      </c>
      <c r="F64" s="209" t="s">
        <v>942</v>
      </c>
      <c r="G64" s="212" t="s">
        <v>943</v>
      </c>
      <c r="H64" s="212" t="s">
        <v>760</v>
      </c>
      <c r="I64" s="212"/>
      <c r="J64" s="220">
        <v>27537</v>
      </c>
      <c r="K64" s="212"/>
      <c r="L64" s="210" t="s">
        <v>92</v>
      </c>
      <c r="M64" s="213">
        <v>4494667735</v>
      </c>
      <c r="N64" s="213" t="s">
        <v>944</v>
      </c>
      <c r="O64" s="213" t="s">
        <v>945</v>
      </c>
      <c r="P64" s="210">
        <v>213</v>
      </c>
      <c r="Q64" s="209" t="s">
        <v>946</v>
      </c>
      <c r="R64" s="209" t="s">
        <v>511</v>
      </c>
      <c r="S64" s="209" t="s">
        <v>511</v>
      </c>
      <c r="T64" s="209">
        <v>20170</v>
      </c>
      <c r="U64" s="210">
        <v>1</v>
      </c>
      <c r="V64" s="210" t="str">
        <f>IF((_xlfn.XLOOKUP(Profesores[[#This Row],[Nombre]],base_de_datos[Profesor],base_de_datos[Academia],1))=Profesores[[#Headers],[MEC]],"x","")</f>
        <v/>
      </c>
      <c r="W64" s="210" t="str">
        <f>IF((_xlfn.XLOOKUP(Profesores[[#This Row],[Nombre]],base_de_datos[Profesor],base_de_datos[Academia],1))=Profesores[[#Headers],[COM]],"x","")</f>
        <v/>
      </c>
      <c r="X64" s="210"/>
      <c r="Y64" s="210" t="str">
        <f>IF((_xlfn.XLOOKUP(Profesores[[#This Row],[Nombre]],base_de_datos[Profesor],base_de_datos[Academia],1))=Profesores[[#Headers],[DOP]],"x","")</f>
        <v/>
      </c>
      <c r="Z64" s="210" t="str">
        <f>IF((_xlfn.XLOOKUP(Profesores[[#This Row],[Nombre]],base_de_datos[Profesor],base_de_datos[Academia],1))=Profesores[[#Headers],[ETF]],"x","")</f>
        <v/>
      </c>
      <c r="AA64" s="210" t="str">
        <f>IF((_xlfn.XLOOKUP(Profesores[[#This Row],[Nombre]],base_de_datos[Profesor],base_de_datos[Academia],1))=Profesores[[#Headers],[MAT]],"x","")</f>
        <v/>
      </c>
      <c r="AB64" s="210" t="str">
        <f>IF((_xlfn.XLOOKUP(Profesores[[#This Row],[Nombre]],base_de_datos[Profesor],base_de_datos[Academia],1))=Profesores[[#Headers],[EMP]],"x","")</f>
        <v/>
      </c>
      <c r="AC64" s="209" t="str">
        <f>IF((_xlfn.XLOOKUP(Profesores[[#This Row],[Nombre]],base_de_datos[Profesor],base_de_datos[Academia],1))=Profesores[[#Headers],[AIC]],"x","")</f>
        <v/>
      </c>
      <c r="AD64" s="209" t="str">
        <f>IF((_xlfn.XLOOKUP(Profesores[[#This Row],[Nombre]],base_de_datos[Profesor],base_de_datos[Academia],1))=Profesores[[#Headers],[ESC]],"x","")</f>
        <v/>
      </c>
      <c r="AE64" s="209" t="str">
        <f>IF((_xlfn.XLOOKUP(Profesores[[#This Row],[Nombre]],base_de_datos[Profesor],base_de_datos[Academia],1))=Profesores[[#Headers],[HUM]],"x","")</f>
        <v/>
      </c>
      <c r="AF64" s="209" t="str">
        <f>IF((_xlfn.XLOOKUP(Profesores[[#This Row],[Nombre]],base_de_datos[Profesor],base_de_datos[Academia],1))=Profesores[[#Headers],[IID]],"x","")</f>
        <v/>
      </c>
      <c r="AG64" s="209" t="str">
        <f>IF((_xlfn.XLOOKUP(Profesores[[#This Row],[Nombre]],base_de_datos[Profesor],base_de_datos[Academia],1))=Profesores[[#Headers],[BIO]],"x","")</f>
        <v/>
      </c>
      <c r="AH64" s="209" t="s">
        <v>524</v>
      </c>
      <c r="AJ64" s="209">
        <f>TRUNC(IFERROR(Profesores[[#This Row],[Ex Inglés]]*677/100,0),0)</f>
        <v>0</v>
      </c>
      <c r="AQ64" s="221" t="s">
        <v>947</v>
      </c>
      <c r="AR64" s="221"/>
      <c r="AS64" s="217"/>
      <c r="AT64" s="217">
        <v>12</v>
      </c>
      <c r="AU64" s="217">
        <v>18</v>
      </c>
    </row>
    <row r="65" spans="1:47" ht="12" hidden="1" customHeight="1" x14ac:dyDescent="0.3">
      <c r="B65" s="209">
        <v>117</v>
      </c>
      <c r="C65" s="209" t="s">
        <v>502</v>
      </c>
      <c r="D65" s="210" t="s">
        <v>33</v>
      </c>
      <c r="E65" s="211">
        <v>61721</v>
      </c>
      <c r="F65" s="209" t="s">
        <v>948</v>
      </c>
      <c r="G65" s="212" t="s">
        <v>949</v>
      </c>
      <c r="H65" s="212" t="s">
        <v>950</v>
      </c>
      <c r="I65" s="212" t="s">
        <v>951</v>
      </c>
      <c r="J65" s="210"/>
      <c r="K65" s="212" t="s">
        <v>930</v>
      </c>
      <c r="L65" s="210"/>
      <c r="M65" s="213"/>
      <c r="N65" s="214" t="s">
        <v>952</v>
      </c>
      <c r="O65" s="213"/>
      <c r="P65" s="210"/>
      <c r="Q65" s="209"/>
      <c r="R65" s="209"/>
      <c r="S65" s="209"/>
      <c r="T65" s="209"/>
      <c r="U65" s="210">
        <v>1</v>
      </c>
      <c r="V65" s="210" t="str">
        <f>IF((_xlfn.XLOOKUP(Profesores[[#This Row],[Nombre]],base_de_datos[Profesor],base_de_datos[Academia],1))=Profesores[[#Headers],[MEC]],"x","")</f>
        <v/>
      </c>
      <c r="W65" s="210" t="str">
        <f>IF((_xlfn.XLOOKUP(Profesores[[#This Row],[Nombre]],base_de_datos[Profesor],base_de_datos[Academia],1))=Profesores[[#Headers],[COM]],"x","")</f>
        <v/>
      </c>
      <c r="X65" s="210"/>
      <c r="Y65" s="210" t="str">
        <f>IF((_xlfn.XLOOKUP(Profesores[[#This Row],[Nombre]],base_de_datos[Profesor],base_de_datos[Academia],1))=Profesores[[#Headers],[DOP]],"x","")</f>
        <v/>
      </c>
      <c r="Z65" s="210" t="str">
        <f>IF((_xlfn.XLOOKUP(Profesores[[#This Row],[Nombre]],base_de_datos[Profesor],base_de_datos[Academia],1))=Profesores[[#Headers],[ETF]],"x","")</f>
        <v/>
      </c>
      <c r="AA65" s="210" t="str">
        <f>IF((_xlfn.XLOOKUP(Profesores[[#This Row],[Nombre]],base_de_datos[Profesor],base_de_datos[Academia],1))=Profesores[[#Headers],[MAT]],"x","")</f>
        <v/>
      </c>
      <c r="AB65" s="210" t="str">
        <f>IF((_xlfn.XLOOKUP(Profesores[[#This Row],[Nombre]],base_de_datos[Profesor],base_de_datos[Academia],1))=Profesores[[#Headers],[EMP]],"x","")</f>
        <v/>
      </c>
      <c r="AC65" s="209" t="str">
        <f>IF((_xlfn.XLOOKUP(Profesores[[#This Row],[Nombre]],base_de_datos[Profesor],base_de_datos[Academia],1))=Profesores[[#Headers],[AIC]],"x","")</f>
        <v/>
      </c>
      <c r="AD65" s="209" t="str">
        <f>IF((_xlfn.XLOOKUP(Profesores[[#This Row],[Nombre]],base_de_datos[Profesor],base_de_datos[Academia],1))=Profesores[[#Headers],[ESC]],"x","")</f>
        <v/>
      </c>
      <c r="AE65" s="209" t="str">
        <f>IF((_xlfn.XLOOKUP(Profesores[[#This Row],[Nombre]],base_de_datos[Profesor],base_de_datos[Academia],1))=Profesores[[#Headers],[HUM]],"x","")</f>
        <v/>
      </c>
      <c r="AF65" s="209" t="str">
        <f>IF((_xlfn.XLOOKUP(Profesores[[#This Row],[Nombre]],base_de_datos[Profesor],base_de_datos[Academia],1))=Profesores[[#Headers],[IID]],"x","")</f>
        <v/>
      </c>
      <c r="AG65" s="209" t="str">
        <f>IF((_xlfn.XLOOKUP(Profesores[[#This Row],[Nombre]],base_de_datos[Profesor],base_de_datos[Academia],1))=Profesores[[#Headers],[BIO]],"x","")</f>
        <v/>
      </c>
      <c r="AH65" s="209" t="s">
        <v>524</v>
      </c>
      <c r="AI65" s="209"/>
      <c r="AJ65" s="209">
        <f>TRUNC(IFERROR(Profesores[[#This Row],[Ex Inglés]]*677/100,0),0)</f>
        <v>0</v>
      </c>
      <c r="AQ65" s="10" t="s">
        <v>953</v>
      </c>
      <c r="AR65" s="10">
        <v>24</v>
      </c>
      <c r="AS65" s="9"/>
      <c r="AT65" s="9">
        <v>8</v>
      </c>
      <c r="AU65" s="9">
        <v>12</v>
      </c>
    </row>
    <row r="66" spans="1:47" ht="12" hidden="1" customHeight="1" x14ac:dyDescent="0.3">
      <c r="B66" s="146">
        <v>118</v>
      </c>
      <c r="C66" s="146" t="s">
        <v>501</v>
      </c>
      <c r="D66" s="147" t="s">
        <v>33</v>
      </c>
      <c r="E66" s="148">
        <v>177821</v>
      </c>
      <c r="F66" s="146" t="s">
        <v>353</v>
      </c>
      <c r="G66" s="149" t="s">
        <v>517</v>
      </c>
      <c r="H66" s="149" t="s">
        <v>790</v>
      </c>
      <c r="I66" s="149" t="s">
        <v>954</v>
      </c>
      <c r="J66" s="150">
        <v>33164</v>
      </c>
      <c r="K66" s="149"/>
      <c r="L66" s="147"/>
      <c r="M66" s="151">
        <v>4499786411</v>
      </c>
      <c r="N66" s="158" t="s">
        <v>955</v>
      </c>
      <c r="O66" s="151" t="s">
        <v>956</v>
      </c>
      <c r="P66" s="147">
        <v>511</v>
      </c>
      <c r="Q66" s="146" t="s">
        <v>510</v>
      </c>
      <c r="R66" s="146" t="s">
        <v>511</v>
      </c>
      <c r="S66" s="146" t="s">
        <v>511</v>
      </c>
      <c r="T66" s="146">
        <v>20290</v>
      </c>
      <c r="U66" s="147">
        <v>0</v>
      </c>
      <c r="V66" s="147" t="str">
        <f>IF((_xlfn.XLOOKUP(Profesores[[#This Row],[Nombre]],base_de_datos[Profesor],base_de_datos[Academia],1))=Profesores[[#Headers],[MEC]],"x","")</f>
        <v/>
      </c>
      <c r="W66" s="147" t="str">
        <f>IF((_xlfn.XLOOKUP(Profesores[[#This Row],[Nombre]],base_de_datos[Profesor],base_de_datos[Academia],1))=Profesores[[#Headers],[COM]],"x","")</f>
        <v/>
      </c>
      <c r="X66" s="147"/>
      <c r="Y66" s="147" t="str">
        <f>IF((_xlfn.XLOOKUP(Profesores[[#This Row],[Nombre]],base_de_datos[Profesor],base_de_datos[Academia],1))=Profesores[[#Headers],[DOP]],"x","")</f>
        <v/>
      </c>
      <c r="Z66" s="147" t="str">
        <f>IF((_xlfn.XLOOKUP(Profesores[[#This Row],[Nombre]],base_de_datos[Profesor],base_de_datos[Academia],1))=Profesores[[#Headers],[ETF]],"x","")</f>
        <v/>
      </c>
      <c r="AA66" s="147" t="str">
        <f>IF((_xlfn.XLOOKUP(Profesores[[#This Row],[Nombre]],base_de_datos[Profesor],base_de_datos[Academia],1))=Profesores[[#Headers],[MAT]],"x","")</f>
        <v/>
      </c>
      <c r="AB66" s="147" t="str">
        <f>IF((_xlfn.XLOOKUP(Profesores[[#This Row],[Nombre]],base_de_datos[Profesor],base_de_datos[Academia],1))=Profesores[[#Headers],[EMP]],"x","")</f>
        <v/>
      </c>
      <c r="AC66" s="146" t="str">
        <f>IF((_xlfn.XLOOKUP(Profesores[[#This Row],[Nombre]],base_de_datos[Profesor],base_de_datos[Academia],1))=Profesores[[#Headers],[AIC]],"x","")</f>
        <v/>
      </c>
      <c r="AD66" s="146" t="str">
        <f>IF((_xlfn.XLOOKUP(Profesores[[#This Row],[Nombre]],base_de_datos[Profesor],base_de_datos[Academia],1))=Profesores[[#Headers],[ESC]],"x","")</f>
        <v/>
      </c>
      <c r="AE66" s="146" t="str">
        <f>IF((_xlfn.XLOOKUP(Profesores[[#This Row],[Nombre]],base_de_datos[Profesor],base_de_datos[Academia],1))=Profesores[[#Headers],[HUM]],"x","")</f>
        <v/>
      </c>
      <c r="AF66" s="146" t="str">
        <f>IF((_xlfn.XLOOKUP(Profesores[[#This Row],[Nombre]],base_de_datos[Profesor],base_de_datos[Academia],1))=Profesores[[#Headers],[IID]],"x","")</f>
        <v>x</v>
      </c>
      <c r="AG66" s="146" t="str">
        <f>IF((_xlfn.XLOOKUP(Profesores[[#This Row],[Nombre]],base_de_datos[Profesor],base_de_datos[Academia],1))=Profesores[[#Headers],[BIO]],"x","")</f>
        <v/>
      </c>
      <c r="AH66" s="146" t="s">
        <v>524</v>
      </c>
      <c r="AI66" s="146"/>
      <c r="AJ66" s="146">
        <f>TRUNC(IFERROR(Profesores[[#This Row],[Ex Inglés]]*677/100,0),0)</f>
        <v>0</v>
      </c>
      <c r="AQ66" s="10" t="s">
        <v>152</v>
      </c>
      <c r="AR66" s="66">
        <v>7</v>
      </c>
      <c r="AS66" s="9"/>
      <c r="AT66" s="9">
        <v>10</v>
      </c>
      <c r="AU66" s="9">
        <v>10</v>
      </c>
    </row>
    <row r="67" spans="1:47" ht="12" hidden="1" customHeight="1" x14ac:dyDescent="0.3">
      <c r="B67" s="217">
        <v>119</v>
      </c>
      <c r="C67" s="217" t="s">
        <v>502</v>
      </c>
      <c r="D67" s="238" t="s">
        <v>33</v>
      </c>
      <c r="E67" s="239">
        <v>100620</v>
      </c>
      <c r="F67" s="217" t="s">
        <v>957</v>
      </c>
      <c r="G67" s="240" t="s">
        <v>958</v>
      </c>
      <c r="H67" s="240" t="s">
        <v>752</v>
      </c>
      <c r="I67" s="240" t="s">
        <v>959</v>
      </c>
      <c r="J67" s="241">
        <v>30479</v>
      </c>
      <c r="K67" s="240" t="s">
        <v>506</v>
      </c>
      <c r="L67" s="238" t="s">
        <v>507</v>
      </c>
      <c r="M67" s="242">
        <v>4493412012</v>
      </c>
      <c r="N67" s="243" t="s">
        <v>960</v>
      </c>
      <c r="O67" s="242" t="s">
        <v>961</v>
      </c>
      <c r="P67" s="238">
        <v>205</v>
      </c>
      <c r="Q67" s="238" t="s">
        <v>962</v>
      </c>
      <c r="R67" s="238" t="s">
        <v>511</v>
      </c>
      <c r="S67" s="238" t="s">
        <v>511</v>
      </c>
      <c r="T67" s="217">
        <v>20286</v>
      </c>
      <c r="U67" s="238"/>
      <c r="V67" s="238" t="str">
        <f>IF((_xlfn.XLOOKUP(Profesores[[#This Row],[Nombre]],base_de_datos[Profesor],base_de_datos[Academia],1))=Profesores[[#Headers],[MEC]],"x","")</f>
        <v/>
      </c>
      <c r="W67" s="238" t="str">
        <f>IF((_xlfn.XLOOKUP(Profesores[[#This Row],[Nombre]],base_de_datos[Profesor],base_de_datos[Academia],1))=Profesores[[#Headers],[COM]],"x","")</f>
        <v/>
      </c>
      <c r="X67" s="238"/>
      <c r="Y67" s="238" t="str">
        <f>IF((_xlfn.XLOOKUP(Profesores[[#This Row],[Nombre]],base_de_datos[Profesor],base_de_datos[Academia],1))=Profesores[[#Headers],[DOP]],"x","")</f>
        <v/>
      </c>
      <c r="Z67" s="238" t="str">
        <f>IF((_xlfn.XLOOKUP(Profesores[[#This Row],[Nombre]],base_de_datos[Profesor],base_de_datos[Academia],1))=Profesores[[#Headers],[ETF]],"x","")</f>
        <v/>
      </c>
      <c r="AA67" s="238" t="str">
        <f>IF((_xlfn.XLOOKUP(Profesores[[#This Row],[Nombre]],base_de_datos[Profesor],base_de_datos[Academia],1))=Profesores[[#Headers],[MAT]],"x","")</f>
        <v/>
      </c>
      <c r="AB67" s="238" t="str">
        <f>IF((_xlfn.XLOOKUP(Profesores[[#This Row],[Nombre]],base_de_datos[Profesor],base_de_datos[Academia],1))=Profesores[[#Headers],[EMP]],"x","")</f>
        <v/>
      </c>
      <c r="AC67" s="217" t="str">
        <f>IF((_xlfn.XLOOKUP(Profesores[[#This Row],[Nombre]],base_de_datos[Profesor],base_de_datos[Academia],1))=Profesores[[#Headers],[AIC]],"x","")</f>
        <v/>
      </c>
      <c r="AD67" s="217" t="str">
        <f>IF((_xlfn.XLOOKUP(Profesores[[#This Row],[Nombre]],base_de_datos[Profesor],base_de_datos[Academia],1))=Profesores[[#Headers],[ESC]],"x","")</f>
        <v/>
      </c>
      <c r="AE67" s="217" t="str">
        <f>IF((_xlfn.XLOOKUP(Profesores[[#This Row],[Nombre]],base_de_datos[Profesor],base_de_datos[Academia],1))=Profesores[[#Headers],[HUM]],"x","")</f>
        <v/>
      </c>
      <c r="AF67" s="217" t="str">
        <f>IF((_xlfn.XLOOKUP(Profesores[[#This Row],[Nombre]],base_de_datos[Profesor],base_de_datos[Academia],1))=Profesores[[#Headers],[IID]],"x","")</f>
        <v/>
      </c>
      <c r="AG67" s="217" t="str">
        <f>IF((_xlfn.XLOOKUP(Profesores[[#This Row],[Nombre]],base_de_datos[Profesor],base_de_datos[Academia],1))=Profesores[[#Headers],[BIO]],"x","")</f>
        <v/>
      </c>
      <c r="AH67" s="217" t="s">
        <v>512</v>
      </c>
      <c r="AI67" s="217"/>
      <c r="AJ67" s="217">
        <f>TRUNC(IFERROR(Profesores[[#This Row],[Ex Inglés]]*677/100,0),0)</f>
        <v>0</v>
      </c>
      <c r="AQ67" s="10" t="s">
        <v>963</v>
      </c>
      <c r="AR67" s="10">
        <v>30</v>
      </c>
      <c r="AS67" s="9"/>
      <c r="AT67" s="9">
        <v>21</v>
      </c>
      <c r="AU67" s="9">
        <v>21</v>
      </c>
    </row>
    <row r="68" spans="1:47" ht="12" hidden="1" customHeight="1" x14ac:dyDescent="0.3">
      <c r="B68" s="6">
        <v>120</v>
      </c>
      <c r="C68" s="146" t="s">
        <v>502</v>
      </c>
      <c r="D68" s="147" t="s">
        <v>33</v>
      </c>
      <c r="E68" s="148">
        <v>155436</v>
      </c>
      <c r="F68" s="146" t="s">
        <v>964</v>
      </c>
      <c r="G68" s="149" t="s">
        <v>965</v>
      </c>
      <c r="H68" s="149" t="s">
        <v>966</v>
      </c>
      <c r="I68" s="149" t="s">
        <v>967</v>
      </c>
      <c r="J68" s="150">
        <v>26133</v>
      </c>
      <c r="K68" s="149" t="s">
        <v>506</v>
      </c>
      <c r="L68" s="147" t="s">
        <v>507</v>
      </c>
      <c r="M68" s="151">
        <v>4491808198</v>
      </c>
      <c r="N68" s="158" t="s">
        <v>968</v>
      </c>
      <c r="O68" s="151" t="s">
        <v>969</v>
      </c>
      <c r="P68" s="147">
        <v>404</v>
      </c>
      <c r="Q68" s="147" t="s">
        <v>970</v>
      </c>
      <c r="R68" s="147" t="s">
        <v>511</v>
      </c>
      <c r="S68" s="147" t="s">
        <v>511</v>
      </c>
      <c r="T68" s="146">
        <v>20230</v>
      </c>
      <c r="U68" s="147"/>
      <c r="V68" s="147" t="str">
        <f>IF((_xlfn.XLOOKUP(Profesores[[#This Row],[Nombre]],base_de_datos[Profesor],base_de_datos[Academia],1))=Profesores[[#Headers],[MEC]],"x","")</f>
        <v/>
      </c>
      <c r="W68" s="147" t="str">
        <f>IF((_xlfn.XLOOKUP(Profesores[[#This Row],[Nombre]],base_de_datos[Profesor],base_de_datos[Academia],1))=Profesores[[#Headers],[COM]],"x","")</f>
        <v/>
      </c>
      <c r="X68" s="147"/>
      <c r="Y68" s="147" t="str">
        <f>IF((_xlfn.XLOOKUP(Profesores[[#This Row],[Nombre]],base_de_datos[Profesor],base_de_datos[Academia],1))=Profesores[[#Headers],[DOP]],"x","")</f>
        <v/>
      </c>
      <c r="Z68" s="147" t="str">
        <f>IF((_xlfn.XLOOKUP(Profesores[[#This Row],[Nombre]],base_de_datos[Profesor],base_de_datos[Academia],1))=Profesores[[#Headers],[ETF]],"x","")</f>
        <v/>
      </c>
      <c r="AA68" s="147" t="str">
        <f>IF((_xlfn.XLOOKUP(Profesores[[#This Row],[Nombre]],base_de_datos[Profesor],base_de_datos[Academia],1))=Profesores[[#Headers],[MAT]],"x","")</f>
        <v/>
      </c>
      <c r="AB68" s="147" t="str">
        <f>IF((_xlfn.XLOOKUP(Profesores[[#This Row],[Nombre]],base_de_datos[Profesor],base_de_datos[Academia],1))=Profesores[[#Headers],[EMP]],"x","")</f>
        <v/>
      </c>
      <c r="AC68" s="146" t="str">
        <f>IF((_xlfn.XLOOKUP(Profesores[[#This Row],[Nombre]],base_de_datos[Profesor],base_de_datos[Academia],1))=Profesores[[#Headers],[AIC]],"x","")</f>
        <v/>
      </c>
      <c r="AD68" s="146" t="str">
        <f>IF((_xlfn.XLOOKUP(Profesores[[#This Row],[Nombre]],base_de_datos[Profesor],base_de_datos[Academia],1))=Profesores[[#Headers],[ESC]],"x","")</f>
        <v/>
      </c>
      <c r="AE68" s="146" t="str">
        <f>IF((_xlfn.XLOOKUP(Profesores[[#This Row],[Nombre]],base_de_datos[Profesor],base_de_datos[Academia],1))=Profesores[[#Headers],[HUM]],"x","")</f>
        <v/>
      </c>
      <c r="AF68" s="146" t="str">
        <f>IF((_xlfn.XLOOKUP(Profesores[[#This Row],[Nombre]],base_de_datos[Profesor],base_de_datos[Academia],1))=Profesores[[#Headers],[IID]],"x","")</f>
        <v/>
      </c>
      <c r="AG68" s="146" t="str">
        <f>IF((_xlfn.XLOOKUP(Profesores[[#This Row],[Nombre]],base_de_datos[Profesor],base_de_datos[Academia],1))=Profesores[[#Headers],[BIO]],"x","")</f>
        <v/>
      </c>
      <c r="AH68" s="146"/>
      <c r="AI68" s="146"/>
      <c r="AJ68" s="146">
        <f>TRUNC(IFERROR(Profesores[[#This Row],[Ex Inglés]]*677/100,0),0)</f>
        <v>0</v>
      </c>
      <c r="AQ68" s="10" t="s">
        <v>971</v>
      </c>
      <c r="AR68" s="10">
        <v>30</v>
      </c>
      <c r="AS68" s="9"/>
      <c r="AT68" s="9">
        <v>30</v>
      </c>
      <c r="AU68" s="9">
        <v>30</v>
      </c>
    </row>
    <row r="69" spans="1:47" ht="12" hidden="1" customHeight="1" x14ac:dyDescent="0.3">
      <c r="B69" s="146">
        <v>124</v>
      </c>
      <c r="C69" s="146" t="s">
        <v>515</v>
      </c>
      <c r="D69" s="147" t="s">
        <v>33</v>
      </c>
      <c r="E69" s="148">
        <v>193285</v>
      </c>
      <c r="F69" s="146" t="s">
        <v>451</v>
      </c>
      <c r="G69" s="149" t="s">
        <v>972</v>
      </c>
      <c r="H69" s="149" t="s">
        <v>973</v>
      </c>
      <c r="I69" s="149" t="s">
        <v>813</v>
      </c>
      <c r="J69" s="150" t="s">
        <v>974</v>
      </c>
      <c r="K69" s="149"/>
      <c r="L69" s="147"/>
      <c r="M69" s="151">
        <v>4498942926</v>
      </c>
      <c r="N69" s="161" t="s">
        <v>975</v>
      </c>
      <c r="O69" s="151" t="s">
        <v>815</v>
      </c>
      <c r="P69" s="147">
        <v>207</v>
      </c>
      <c r="Q69" s="146" t="s">
        <v>816</v>
      </c>
      <c r="R69" s="146" t="s">
        <v>248</v>
      </c>
      <c r="S69" s="146" t="s">
        <v>511</v>
      </c>
      <c r="T69" s="146">
        <v>20909</v>
      </c>
      <c r="U69" s="147"/>
      <c r="V69" s="147" t="str">
        <f>IF((_xlfn.XLOOKUP(Profesores[[#This Row],[Nombre]],base_de_datos[Profesor],base_de_datos[Academia],1))=Profesores[[#Headers],[MEC]],"x","")</f>
        <v/>
      </c>
      <c r="W69" s="147" t="str">
        <f>IF((_xlfn.XLOOKUP(Profesores[[#This Row],[Nombre]],base_de_datos[Profesor],base_de_datos[Academia],1))=Profesores[[#Headers],[COM]],"x","")</f>
        <v/>
      </c>
      <c r="X69" s="147"/>
      <c r="Y69" s="147" t="str">
        <f>IF((_xlfn.XLOOKUP(Profesores[[#This Row],[Nombre]],base_de_datos[Profesor],base_de_datos[Academia],1))=Profesores[[#Headers],[DOP]],"x","")</f>
        <v/>
      </c>
      <c r="Z69" s="147" t="str">
        <f>IF((_xlfn.XLOOKUP(Profesores[[#This Row],[Nombre]],base_de_datos[Profesor],base_de_datos[Academia],1))=Profesores[[#Headers],[ETF]],"x","")</f>
        <v/>
      </c>
      <c r="AA69" s="147" t="str">
        <f>IF((_xlfn.XLOOKUP(Profesores[[#This Row],[Nombre]],base_de_datos[Profesor],base_de_datos[Academia],1))=Profesores[[#Headers],[MAT]],"x","")</f>
        <v/>
      </c>
      <c r="AB69" s="147" t="str">
        <f>IF((_xlfn.XLOOKUP(Profesores[[#This Row],[Nombre]],base_de_datos[Profesor],base_de_datos[Academia],1))=Profesores[[#Headers],[EMP]],"x","")</f>
        <v/>
      </c>
      <c r="AC69" s="146" t="str">
        <f>IF((_xlfn.XLOOKUP(Profesores[[#This Row],[Nombre]],base_de_datos[Profesor],base_de_datos[Academia],1))=Profesores[[#Headers],[AIC]],"x","")</f>
        <v/>
      </c>
      <c r="AD69" s="146" t="str">
        <f>IF((_xlfn.XLOOKUP(Profesores[[#This Row],[Nombre]],base_de_datos[Profesor],base_de_datos[Academia],1))=Profesores[[#Headers],[ESC]],"x","")</f>
        <v/>
      </c>
      <c r="AE69" s="146" t="str">
        <f>IF((_xlfn.XLOOKUP(Profesores[[#This Row],[Nombre]],base_de_datos[Profesor],base_de_datos[Academia],1))=Profesores[[#Headers],[HUM]],"x","")</f>
        <v/>
      </c>
      <c r="AF69" s="146" t="str">
        <f>IF((_xlfn.XLOOKUP(Profesores[[#This Row],[Nombre]],base_de_datos[Profesor],base_de_datos[Academia],1))=Profesores[[#Headers],[IID]],"x","")</f>
        <v>x</v>
      </c>
      <c r="AG69" s="146" t="str">
        <f>IF((_xlfn.XLOOKUP(Profesores[[#This Row],[Nombre]],base_de_datos[Profesor],base_de_datos[Academia],1))=Profesores[[#Headers],[BIO]],"x","")</f>
        <v/>
      </c>
      <c r="AH69" s="146"/>
      <c r="AI69" s="146"/>
      <c r="AJ69" s="146">
        <f>TRUNC(IFERROR(Profesores[[#This Row],[Ex Inglés]]*677/100,0),0)</f>
        <v>0</v>
      </c>
    </row>
    <row r="70" spans="1:47" ht="12" hidden="1" customHeight="1" x14ac:dyDescent="0.3">
      <c r="A70" s="99"/>
      <c r="B70" s="6">
        <v>126</v>
      </c>
      <c r="C70" s="146" t="s">
        <v>502</v>
      </c>
      <c r="D70" s="147" t="s">
        <v>33</v>
      </c>
      <c r="E70" s="148">
        <v>152199</v>
      </c>
      <c r="F70" s="146" t="s">
        <v>396</v>
      </c>
      <c r="G70" s="149" t="s">
        <v>976</v>
      </c>
      <c r="H70" s="149" t="s">
        <v>977</v>
      </c>
      <c r="I70" s="149" t="s">
        <v>978</v>
      </c>
      <c r="J70" s="150">
        <v>26087</v>
      </c>
      <c r="K70" s="149"/>
      <c r="L70" s="147"/>
      <c r="M70" s="151">
        <v>4499722695</v>
      </c>
      <c r="N70" s="161" t="s">
        <v>979</v>
      </c>
      <c r="O70" s="151" t="s">
        <v>980</v>
      </c>
      <c r="P70" s="147">
        <v>315</v>
      </c>
      <c r="Q70" s="146" t="s">
        <v>981</v>
      </c>
      <c r="R70" s="146" t="s">
        <v>511</v>
      </c>
      <c r="S70" s="146" t="s">
        <v>511</v>
      </c>
      <c r="T70" s="146">
        <v>20196</v>
      </c>
      <c r="U70" s="147"/>
      <c r="V70" s="147" t="str">
        <f>IF((_xlfn.XLOOKUP(Profesores[[#This Row],[Nombre]],base_de_datos[Profesor],base_de_datos[Academia],1))=Profesores[[#Headers],[MEC]],"x","")</f>
        <v/>
      </c>
      <c r="W70" s="147" t="str">
        <f>IF((_xlfn.XLOOKUP(Profesores[[#This Row],[Nombre]],base_de_datos[Profesor],base_de_datos[Academia],1))=Profesores[[#Headers],[COM]],"x","")</f>
        <v/>
      </c>
      <c r="X70" s="147"/>
      <c r="Y70" s="147" t="str">
        <f>IF((_xlfn.XLOOKUP(Profesores[[#This Row],[Nombre]],base_de_datos[Profesor],base_de_datos[Academia],1))=Profesores[[#Headers],[DOP]],"x","")</f>
        <v/>
      </c>
      <c r="Z70" s="147" t="str">
        <f>IF((_xlfn.XLOOKUP(Profesores[[#This Row],[Nombre]],base_de_datos[Profesor],base_de_datos[Academia],1))=Profesores[[#Headers],[ETF]],"x","")</f>
        <v/>
      </c>
      <c r="AA70" s="147" t="str">
        <f>IF((_xlfn.XLOOKUP(Profesores[[#This Row],[Nombre]],base_de_datos[Profesor],base_de_datos[Academia],1))=Profesores[[#Headers],[MAT]],"x","")</f>
        <v>x</v>
      </c>
      <c r="AB70" s="147" t="str">
        <f>IF((_xlfn.XLOOKUP(Profesores[[#This Row],[Nombre]],base_de_datos[Profesor],base_de_datos[Academia],1))=Profesores[[#Headers],[EMP]],"x","")</f>
        <v/>
      </c>
      <c r="AC70" s="146" t="str">
        <f>IF((_xlfn.XLOOKUP(Profesores[[#This Row],[Nombre]],base_de_datos[Profesor],base_de_datos[Academia],1))=Profesores[[#Headers],[AIC]],"x","")</f>
        <v/>
      </c>
      <c r="AD70" s="146" t="str">
        <f>IF((_xlfn.XLOOKUP(Profesores[[#This Row],[Nombre]],base_de_datos[Profesor],base_de_datos[Academia],1))=Profesores[[#Headers],[ESC]],"x","")</f>
        <v/>
      </c>
      <c r="AE70" s="146" t="str">
        <f>IF((_xlfn.XLOOKUP(Profesores[[#This Row],[Nombre]],base_de_datos[Profesor],base_de_datos[Academia],1))=Profesores[[#Headers],[HUM]],"x","")</f>
        <v/>
      </c>
      <c r="AF70" s="146" t="str">
        <f>IF((_xlfn.XLOOKUP(Profesores[[#This Row],[Nombre]],base_de_datos[Profesor],base_de_datos[Academia],1))=Profesores[[#Headers],[IID]],"x","")</f>
        <v/>
      </c>
      <c r="AG70" s="146" t="str">
        <f>IF((_xlfn.XLOOKUP(Profesores[[#This Row],[Nombre]],base_de_datos[Profesor],base_de_datos[Academia],1))=Profesores[[#Headers],[BIO]],"x","")</f>
        <v/>
      </c>
      <c r="AH70" s="146"/>
      <c r="AI70" s="146"/>
      <c r="AJ70" s="146">
        <f>TRUNC(IFERROR(Profesores[[#This Row],[Ex Inglés]]*677/100,0),0)</f>
        <v>0</v>
      </c>
    </row>
    <row r="71" spans="1:47" ht="12" hidden="1" customHeight="1" x14ac:dyDescent="0.3">
      <c r="A71" s="99"/>
      <c r="B71" s="6">
        <v>127</v>
      </c>
      <c r="C71" s="146" t="s">
        <v>502</v>
      </c>
      <c r="D71" s="147" t="s">
        <v>33</v>
      </c>
      <c r="E71" s="148">
        <v>262499</v>
      </c>
      <c r="F71" s="146" t="s">
        <v>367</v>
      </c>
      <c r="G71" s="149" t="s">
        <v>982</v>
      </c>
      <c r="H71" s="149" t="s">
        <v>721</v>
      </c>
      <c r="I71" s="149" t="s">
        <v>983</v>
      </c>
      <c r="J71" s="150">
        <v>33115</v>
      </c>
      <c r="K71" s="149"/>
      <c r="L71" s="147"/>
      <c r="M71" s="151">
        <v>4448440378</v>
      </c>
      <c r="N71" s="161" t="s">
        <v>984</v>
      </c>
      <c r="O71" s="151" t="s">
        <v>985</v>
      </c>
      <c r="P71" s="147">
        <v>105</v>
      </c>
      <c r="Q71" s="146" t="s">
        <v>986</v>
      </c>
      <c r="R71" s="146" t="s">
        <v>987</v>
      </c>
      <c r="S71" s="146" t="s">
        <v>988</v>
      </c>
      <c r="T71" s="146">
        <v>78216</v>
      </c>
      <c r="U71" s="147"/>
      <c r="V71" s="147" t="str">
        <f>IF((_xlfn.XLOOKUP(Profesores[[#This Row],[Nombre]],base_de_datos[Profesor],base_de_datos[Academia],1))=Profesores[[#Headers],[MEC]],"x","")</f>
        <v/>
      </c>
      <c r="W71" s="147" t="str">
        <f>IF((_xlfn.XLOOKUP(Profesores[[#This Row],[Nombre]],base_de_datos[Profesor],base_de_datos[Academia],1))=Profesores[[#Headers],[COM]],"x","")</f>
        <v/>
      </c>
      <c r="X71" s="147"/>
      <c r="Y71" s="147" t="str">
        <f>IF((_xlfn.XLOOKUP(Profesores[[#This Row],[Nombre]],base_de_datos[Profesor],base_de_datos[Academia],1))=Profesores[[#Headers],[DOP]],"x","")</f>
        <v/>
      </c>
      <c r="Z71" s="147" t="str">
        <f>IF((_xlfn.XLOOKUP(Profesores[[#This Row],[Nombre]],base_de_datos[Profesor],base_de_datos[Academia],1))=Profesores[[#Headers],[ETF]],"x","")</f>
        <v/>
      </c>
      <c r="AA71" s="147" t="str">
        <f>IF((_xlfn.XLOOKUP(Profesores[[#This Row],[Nombre]],base_de_datos[Profesor],base_de_datos[Academia],1))=Profesores[[#Headers],[MAT]],"x","")</f>
        <v/>
      </c>
      <c r="AB71" s="147" t="str">
        <f>IF((_xlfn.XLOOKUP(Profesores[[#This Row],[Nombre]],base_de_datos[Profesor],base_de_datos[Academia],1))=Profesores[[#Headers],[EMP]],"x","")</f>
        <v/>
      </c>
      <c r="AC71" s="146" t="str">
        <f>IF((_xlfn.XLOOKUP(Profesores[[#This Row],[Nombre]],base_de_datos[Profesor],base_de_datos[Academia],1))=Profesores[[#Headers],[AIC]],"x","")</f>
        <v/>
      </c>
      <c r="AD71" s="146" t="str">
        <f>IF((_xlfn.XLOOKUP(Profesores[[#This Row],[Nombre]],base_de_datos[Profesor],base_de_datos[Academia],1))=Profesores[[#Headers],[ESC]],"x","")</f>
        <v>x</v>
      </c>
      <c r="AE71" s="146" t="str">
        <f>IF((_xlfn.XLOOKUP(Profesores[[#This Row],[Nombre]],base_de_datos[Profesor],base_de_datos[Academia],1))=Profesores[[#Headers],[HUM]],"x","")</f>
        <v/>
      </c>
      <c r="AF71" s="146" t="str">
        <f>IF((_xlfn.XLOOKUP(Profesores[[#This Row],[Nombre]],base_de_datos[Profesor],base_de_datos[Academia],1))=Profesores[[#Headers],[IID]],"x","")</f>
        <v/>
      </c>
      <c r="AG71" s="146" t="str">
        <f>IF((_xlfn.XLOOKUP(Profesores[[#This Row],[Nombre]],base_de_datos[Profesor],base_de_datos[Academia],1))=Profesores[[#Headers],[BIO]],"x","")</f>
        <v/>
      </c>
      <c r="AH71" s="146"/>
      <c r="AI71" s="146"/>
      <c r="AJ71" s="146">
        <f>TRUNC(IFERROR(Profesores[[#This Row],[Ex Inglés]]*677/100,0),0)</f>
        <v>0</v>
      </c>
    </row>
    <row r="72" spans="1:47" s="146" customFormat="1" ht="12" hidden="1" customHeight="1" x14ac:dyDescent="0.3">
      <c r="B72" s="6">
        <v>129</v>
      </c>
      <c r="C72" s="146" t="s">
        <v>540</v>
      </c>
      <c r="D72" s="147" t="s">
        <v>33</v>
      </c>
      <c r="E72" s="148">
        <v>223269</v>
      </c>
      <c r="F72" s="146" t="s">
        <v>345</v>
      </c>
      <c r="G72" s="149" t="s">
        <v>989</v>
      </c>
      <c r="H72" s="149" t="s">
        <v>990</v>
      </c>
      <c r="I72" s="149" t="s">
        <v>991</v>
      </c>
      <c r="J72" s="150">
        <v>30796</v>
      </c>
      <c r="K72" s="149" t="s">
        <v>506</v>
      </c>
      <c r="L72" s="147" t="s">
        <v>507</v>
      </c>
      <c r="M72" s="151">
        <v>8112027060</v>
      </c>
      <c r="N72" s="152" t="s">
        <v>992</v>
      </c>
      <c r="O72" s="151" t="s">
        <v>993</v>
      </c>
      <c r="P72" s="147" t="s">
        <v>994</v>
      </c>
      <c r="Q72" s="146" t="s">
        <v>774</v>
      </c>
      <c r="R72" s="146" t="s">
        <v>511</v>
      </c>
      <c r="S72" s="146" t="s">
        <v>511</v>
      </c>
      <c r="T72" s="146">
        <v>20286</v>
      </c>
      <c r="U72" s="147"/>
      <c r="V72" s="147" t="str">
        <f>IF((_xlfn.XLOOKUP(Profesores[[#This Row],[Nombre]],base_de_datos[Profesor],base_de_datos[Academia],1))=Profesores[[#Headers],[MEC]],"x","")</f>
        <v/>
      </c>
      <c r="W72" s="147" t="str">
        <f>IF((_xlfn.XLOOKUP(Profesores[[#This Row],[Nombre]],base_de_datos[Profesor],base_de_datos[Academia],1))=Profesores[[#Headers],[COM]],"x","")</f>
        <v>x</v>
      </c>
      <c r="X72" s="147"/>
      <c r="Y72" s="147" t="str">
        <f>IF((_xlfn.XLOOKUP(Profesores[[#This Row],[Nombre]],base_de_datos[Profesor],base_de_datos[Academia],1))=Profesores[[#Headers],[DOP]],"x","")</f>
        <v/>
      </c>
      <c r="Z72" s="147" t="str">
        <f>IF((_xlfn.XLOOKUP(Profesores[[#This Row],[Nombre]],base_de_datos[Profesor],base_de_datos[Academia],1))=Profesores[[#Headers],[ETF]],"x","")</f>
        <v/>
      </c>
      <c r="AA72" s="147" t="str">
        <f>IF((_xlfn.XLOOKUP(Profesores[[#This Row],[Nombre]],base_de_datos[Profesor],base_de_datos[Academia],1))=Profesores[[#Headers],[MAT]],"x","")</f>
        <v/>
      </c>
      <c r="AB72" s="147" t="str">
        <f>IF((_xlfn.XLOOKUP(Profesores[[#This Row],[Nombre]],base_de_datos[Profesor],base_de_datos[Academia],1))=Profesores[[#Headers],[EMP]],"x","")</f>
        <v/>
      </c>
      <c r="AC72" s="146" t="str">
        <f>IF((_xlfn.XLOOKUP(Profesores[[#This Row],[Nombre]],base_de_datos[Profesor],base_de_datos[Academia],1))=Profesores[[#Headers],[AIC]],"x","")</f>
        <v/>
      </c>
      <c r="AD72" s="146" t="str">
        <f>IF((_xlfn.XLOOKUP(Profesores[[#This Row],[Nombre]],base_de_datos[Profesor],base_de_datos[Academia],1))=Profesores[[#Headers],[ESC]],"x","")</f>
        <v/>
      </c>
      <c r="AE72" s="146" t="str">
        <f>IF((_xlfn.XLOOKUP(Profesores[[#This Row],[Nombre]],base_de_datos[Profesor],base_de_datos[Academia],1))=Profesores[[#Headers],[HUM]],"x","")</f>
        <v/>
      </c>
      <c r="AF72" s="146" t="str">
        <f>IF((_xlfn.XLOOKUP(Profesores[[#This Row],[Nombre]],base_de_datos[Profesor],base_de_datos[Academia],1))=Profesores[[#Headers],[IID]],"x","")</f>
        <v/>
      </c>
      <c r="AG72" s="146" t="str">
        <f>IF((_xlfn.XLOOKUP(Profesores[[#This Row],[Nombre]],base_de_datos[Profesor],base_de_datos[Academia],1))=Profesores[[#Headers],[BIO]],"x","")</f>
        <v/>
      </c>
      <c r="AJ72" s="146">
        <f>TRUNC(IFERROR(Profesores[[#This Row],[Ex Inglés]]*677/100,0),0)</f>
        <v>0</v>
      </c>
    </row>
    <row r="73" spans="1:47" s="146" customFormat="1" ht="12" hidden="1" customHeight="1" x14ac:dyDescent="0.3">
      <c r="B73" s="6">
        <v>131</v>
      </c>
      <c r="C73" s="6"/>
      <c r="D73" s="4" t="s">
        <v>33</v>
      </c>
      <c r="E73" s="54"/>
      <c r="F73" s="145" t="s">
        <v>424</v>
      </c>
      <c r="G73" s="32" t="s">
        <v>995</v>
      </c>
      <c r="H73" s="32" t="s">
        <v>996</v>
      </c>
      <c r="I73" s="32" t="s">
        <v>997</v>
      </c>
      <c r="J73" s="4"/>
      <c r="K73" s="32"/>
      <c r="L73" s="4"/>
      <c r="M73" s="170" t="s">
        <v>998</v>
      </c>
      <c r="N73" s="51"/>
      <c r="O73" s="51"/>
      <c r="P73" s="4"/>
      <c r="Q73" s="6"/>
      <c r="R73" s="6"/>
      <c r="S73" s="6"/>
      <c r="T73" s="6"/>
      <c r="U73" s="4"/>
      <c r="V73" s="4" t="str">
        <f>IF((_xlfn.XLOOKUP(Profesores[[#This Row],[Nombre]],base_de_datos[Profesor],base_de_datos[Academia],1))=Profesores[[#Headers],[MEC]],"x","")</f>
        <v/>
      </c>
      <c r="W73" s="4" t="str">
        <f>IF((_xlfn.XLOOKUP(Profesores[[#This Row],[Nombre]],base_de_datos[Profesor],base_de_datos[Academia],1))=Profesores[[#Headers],[COM]],"x","")</f>
        <v/>
      </c>
      <c r="X73" s="4"/>
      <c r="Y73" s="4" t="str">
        <f>IF((_xlfn.XLOOKUP(Profesores[[#This Row],[Nombre]],base_de_datos[Profesor],base_de_datos[Academia],1))=Profesores[[#Headers],[DOP]],"x","")</f>
        <v/>
      </c>
      <c r="Z73" s="4" t="str">
        <f>IF((_xlfn.XLOOKUP(Profesores[[#This Row],[Nombre]],base_de_datos[Profesor],base_de_datos[Academia],1))=Profesores[[#Headers],[ETF]],"x","")</f>
        <v/>
      </c>
      <c r="AA73" s="4" t="str">
        <f>IF((_xlfn.XLOOKUP(Profesores[[#This Row],[Nombre]],base_de_datos[Profesor],base_de_datos[Academia],1))=Profesores[[#Headers],[MAT]],"x","")</f>
        <v/>
      </c>
      <c r="AB73" s="4" t="str">
        <f>IF((_xlfn.XLOOKUP(Profesores[[#This Row],[Nombre]],base_de_datos[Profesor],base_de_datos[Academia],1))=Profesores[[#Headers],[EMP]],"x","")</f>
        <v>x</v>
      </c>
      <c r="AC73" s="6" t="str">
        <f>IF((_xlfn.XLOOKUP(Profesores[[#This Row],[Nombre]],base_de_datos[Profesor],base_de_datos[Academia],1))=Profesores[[#Headers],[AIC]],"x","")</f>
        <v/>
      </c>
      <c r="AD73" s="6" t="str">
        <f>IF((_xlfn.XLOOKUP(Profesores[[#This Row],[Nombre]],base_de_datos[Profesor],base_de_datos[Academia],1))=Profesores[[#Headers],[ESC]],"x","")</f>
        <v/>
      </c>
      <c r="AE73" s="6" t="str">
        <f>IF((_xlfn.XLOOKUP(Profesores[[#This Row],[Nombre]],base_de_datos[Profesor],base_de_datos[Academia],1))=Profesores[[#Headers],[HUM]],"x","")</f>
        <v/>
      </c>
      <c r="AF73" s="6" t="str">
        <f>IF((_xlfn.XLOOKUP(Profesores[[#This Row],[Nombre]],base_de_datos[Profesor],base_de_datos[Academia],1))=Profesores[[#Headers],[IID]],"x","")</f>
        <v/>
      </c>
      <c r="AG73" s="6" t="str">
        <f>IF((_xlfn.XLOOKUP(Profesores[[#This Row],[Nombre]],base_de_datos[Profesor],base_de_datos[Academia],1))=Profesores[[#Headers],[BIO]],"x","")</f>
        <v/>
      </c>
      <c r="AH73" s="6"/>
      <c r="AI73" s="6"/>
      <c r="AJ73" s="6">
        <f>TRUNC(IFERROR(Profesores[[#This Row],[Ex Inglés]]*677/100,0),0)</f>
        <v>0</v>
      </c>
    </row>
    <row r="74" spans="1:47" s="146" customFormat="1" ht="12" hidden="1" customHeight="1" x14ac:dyDescent="0.3">
      <c r="B74" s="6">
        <v>132</v>
      </c>
      <c r="D74" s="147" t="s">
        <v>33</v>
      </c>
      <c r="E74" s="148"/>
      <c r="F74" s="146" t="s">
        <v>246</v>
      </c>
      <c r="G74" s="149" t="s">
        <v>554</v>
      </c>
      <c r="H74" s="149" t="s">
        <v>999</v>
      </c>
      <c r="I74" s="149" t="s">
        <v>1000</v>
      </c>
      <c r="J74" s="147"/>
      <c r="K74" s="149"/>
      <c r="L74" s="147"/>
      <c r="M74" s="193"/>
      <c r="N74" s="151"/>
      <c r="O74" s="151"/>
      <c r="P74" s="147"/>
      <c r="U74" s="147"/>
      <c r="V74" s="147" t="str">
        <f>IF((_xlfn.XLOOKUP(Profesores[[#This Row],[Nombre]],base_de_datos[Profesor],base_de_datos[Academia],1))=Profesores[[#Headers],[MEC]],"x","")</f>
        <v/>
      </c>
      <c r="W74" s="147" t="str">
        <f>IF((_xlfn.XLOOKUP(Profesores[[#This Row],[Nombre]],base_de_datos[Profesor],base_de_datos[Academia],1))=Profesores[[#Headers],[COM]],"x","")</f>
        <v/>
      </c>
      <c r="X74" s="147"/>
      <c r="Y74" s="147" t="str">
        <f>IF((_xlfn.XLOOKUP(Profesores[[#This Row],[Nombre]],base_de_datos[Profesor],base_de_datos[Academia],1))=Profesores[[#Headers],[DOP]],"x","")</f>
        <v/>
      </c>
      <c r="Z74" s="147" t="str">
        <f>IF((_xlfn.XLOOKUP(Profesores[[#This Row],[Nombre]],base_de_datos[Profesor],base_de_datos[Academia],1))=Profesores[[#Headers],[ETF]],"x","")</f>
        <v/>
      </c>
      <c r="AA74" s="147" t="str">
        <f>IF((_xlfn.XLOOKUP(Profesores[[#This Row],[Nombre]],base_de_datos[Profesor],base_de_datos[Academia],1))=Profesores[[#Headers],[MAT]],"x","")</f>
        <v/>
      </c>
      <c r="AB74" s="147" t="str">
        <f>IF((_xlfn.XLOOKUP(Profesores[[#This Row],[Nombre]],base_de_datos[Profesor],base_de_datos[Academia],1))=Profesores[[#Headers],[EMP]],"x","")</f>
        <v/>
      </c>
      <c r="AC74" s="146" t="str">
        <f>IF((_xlfn.XLOOKUP(Profesores[[#This Row],[Nombre]],base_de_datos[Profesor],base_de_datos[Academia],1))=Profesores[[#Headers],[AIC]],"x","")</f>
        <v/>
      </c>
      <c r="AD74" s="146" t="str">
        <f>IF((_xlfn.XLOOKUP(Profesores[[#This Row],[Nombre]],base_de_datos[Profesor],base_de_datos[Academia],1))=Profesores[[#Headers],[ESC]],"x","")</f>
        <v>x</v>
      </c>
      <c r="AE74" s="146" t="str">
        <f>IF((_xlfn.XLOOKUP(Profesores[[#This Row],[Nombre]],base_de_datos[Profesor],base_de_datos[Academia],1))=Profesores[[#Headers],[HUM]],"x","")</f>
        <v/>
      </c>
      <c r="AF74" s="146" t="str">
        <f>IF((_xlfn.XLOOKUP(Profesores[[#This Row],[Nombre]],base_de_datos[Profesor],base_de_datos[Academia],1))=Profesores[[#Headers],[IID]],"x","")</f>
        <v/>
      </c>
      <c r="AG74" s="146" t="str">
        <f>IF((_xlfn.XLOOKUP(Profesores[[#This Row],[Nombre]],base_de_datos[Profesor],base_de_datos[Academia],1))=Profesores[[#Headers],[BIO]],"x","")</f>
        <v/>
      </c>
      <c r="AJ74" s="146">
        <f>TRUNC(IFERROR(Profesores[[#This Row],[Ex Inglés]]*677/100,0),0)</f>
        <v>0</v>
      </c>
    </row>
    <row r="75" spans="1:47" s="146" customFormat="1" ht="12" hidden="1" customHeight="1" x14ac:dyDescent="0.3">
      <c r="B75" s="6">
        <v>133</v>
      </c>
      <c r="C75" s="146" t="s">
        <v>502</v>
      </c>
      <c r="D75" s="147" t="s">
        <v>33</v>
      </c>
      <c r="E75" s="166">
        <v>149798</v>
      </c>
      <c r="F75" s="146" t="s">
        <v>85</v>
      </c>
      <c r="G75" s="149" t="s">
        <v>1001</v>
      </c>
      <c r="H75" s="149" t="s">
        <v>1002</v>
      </c>
      <c r="I75" s="149" t="s">
        <v>1003</v>
      </c>
      <c r="J75" s="150">
        <v>33712</v>
      </c>
      <c r="K75" s="149"/>
      <c r="L75" s="147"/>
      <c r="M75" s="151"/>
      <c r="N75" s="161" t="s">
        <v>1004</v>
      </c>
      <c r="O75" s="151" t="s">
        <v>1005</v>
      </c>
      <c r="P75" s="147" t="s">
        <v>1006</v>
      </c>
      <c r="Q75" s="146" t="s">
        <v>1007</v>
      </c>
      <c r="R75" s="146" t="s">
        <v>511</v>
      </c>
      <c r="S75" s="146" t="s">
        <v>511</v>
      </c>
      <c r="T75" s="146">
        <v>20120</v>
      </c>
      <c r="U75" s="147"/>
      <c r="V75" s="147" t="str">
        <f>IF((_xlfn.XLOOKUP(Profesores[[#This Row],[Nombre]],base_de_datos[Profesor],base_de_datos[Academia],1))=Profesores[[#Headers],[MEC]],"x","")</f>
        <v/>
      </c>
      <c r="W75" s="147" t="str">
        <f>IF((_xlfn.XLOOKUP(Profesores[[#This Row],[Nombre]],base_de_datos[Profesor],base_de_datos[Academia],1))=Profesores[[#Headers],[COM]],"x","")</f>
        <v/>
      </c>
      <c r="X75" s="147"/>
      <c r="Y75" s="147" t="str">
        <f>IF((_xlfn.XLOOKUP(Profesores[[#This Row],[Nombre]],base_de_datos[Profesor],base_de_datos[Academia],1))=Profesores[[#Headers],[DOP]],"x","")</f>
        <v>x</v>
      </c>
      <c r="Z75" s="147" t="str">
        <f>IF((_xlfn.XLOOKUP(Profesores[[#This Row],[Nombre]],base_de_datos[Profesor],base_de_datos[Academia],1))=Profesores[[#Headers],[ETF]],"x","")</f>
        <v/>
      </c>
      <c r="AA75" s="147" t="str">
        <f>IF((_xlfn.XLOOKUP(Profesores[[#This Row],[Nombre]],base_de_datos[Profesor],base_de_datos[Academia],1))=Profesores[[#Headers],[MAT]],"x","")</f>
        <v/>
      </c>
      <c r="AB75" s="147" t="str">
        <f>IF((_xlfn.XLOOKUP(Profesores[[#This Row],[Nombre]],base_de_datos[Profesor],base_de_datos[Academia],1))=Profesores[[#Headers],[EMP]],"x","")</f>
        <v/>
      </c>
      <c r="AC75" s="146" t="str">
        <f>IF((_xlfn.XLOOKUP(Profesores[[#This Row],[Nombre]],base_de_datos[Profesor],base_de_datos[Academia],1))=Profesores[[#Headers],[AIC]],"x","")</f>
        <v/>
      </c>
      <c r="AD75" s="146" t="str">
        <f>IF((_xlfn.XLOOKUP(Profesores[[#This Row],[Nombre]],base_de_datos[Profesor],base_de_datos[Academia],1))=Profesores[[#Headers],[ESC]],"x","")</f>
        <v/>
      </c>
      <c r="AE75" s="146" t="str">
        <f>IF((_xlfn.XLOOKUP(Profesores[[#This Row],[Nombre]],base_de_datos[Profesor],base_de_datos[Academia],1))=Profesores[[#Headers],[HUM]],"x","")</f>
        <v/>
      </c>
      <c r="AF75" s="146" t="str">
        <f>IF((_xlfn.XLOOKUP(Profesores[[#This Row],[Nombre]],base_de_datos[Profesor],base_de_datos[Academia],1))=Profesores[[#Headers],[IID]],"x","")</f>
        <v/>
      </c>
      <c r="AG75" s="146" t="str">
        <f>IF((_xlfn.XLOOKUP(Profesores[[#This Row],[Nombre]],base_de_datos[Profesor],base_de_datos[Academia],1))=Profesores[[#Headers],[BIO]],"x","")</f>
        <v/>
      </c>
      <c r="AJ75" s="146">
        <f>TRUNC(IFERROR(Profesores[[#This Row],[Ex Inglés]]*677/100,0),0)</f>
        <v>0</v>
      </c>
    </row>
    <row r="76" spans="1:47" s="146" customFormat="1" ht="12" hidden="1" customHeight="1" x14ac:dyDescent="0.3">
      <c r="B76" s="6">
        <v>135</v>
      </c>
      <c r="C76" s="146" t="s">
        <v>502</v>
      </c>
      <c r="D76" s="147" t="s">
        <v>33</v>
      </c>
      <c r="E76" s="148">
        <v>262492</v>
      </c>
      <c r="F76" s="146" t="s">
        <v>200</v>
      </c>
      <c r="G76" s="149" t="s">
        <v>1008</v>
      </c>
      <c r="H76" s="149" t="s">
        <v>594</v>
      </c>
      <c r="I76" s="149" t="s">
        <v>1009</v>
      </c>
      <c r="J76" s="150">
        <v>32893</v>
      </c>
      <c r="K76" s="149"/>
      <c r="L76" s="147"/>
      <c r="M76" s="151">
        <v>4492093574</v>
      </c>
      <c r="N76" s="161" t="s">
        <v>1010</v>
      </c>
      <c r="O76" s="151" t="s">
        <v>1011</v>
      </c>
      <c r="P76" s="147">
        <v>345</v>
      </c>
      <c r="Q76" s="146" t="s">
        <v>1012</v>
      </c>
      <c r="R76" s="146" t="s">
        <v>511</v>
      </c>
      <c r="S76" s="146" t="s">
        <v>511</v>
      </c>
      <c r="T76" s="146">
        <v>20190</v>
      </c>
      <c r="U76" s="147"/>
      <c r="V76" s="147" t="str">
        <f>IF((_xlfn.XLOOKUP(Profesores[[#This Row],[Nombre]],base_de_datos[Profesor],base_de_datos[Academia],1))=Profesores[[#Headers],[MEC]],"x","")</f>
        <v/>
      </c>
      <c r="W76" s="147" t="str">
        <f>IF((_xlfn.XLOOKUP(Profesores[[#This Row],[Nombre]],base_de_datos[Profesor],base_de_datos[Academia],1))=Profesores[[#Headers],[COM]],"x","")</f>
        <v/>
      </c>
      <c r="X76" s="147"/>
      <c r="Y76" s="147" t="str">
        <f>IF((_xlfn.XLOOKUP(Profesores[[#This Row],[Nombre]],base_de_datos[Profesor],base_de_datos[Academia],1))=Profesores[[#Headers],[DOP]],"x","")</f>
        <v/>
      </c>
      <c r="Z76" s="147" t="str">
        <f>IF((_xlfn.XLOOKUP(Profesores[[#This Row],[Nombre]],base_de_datos[Profesor],base_de_datos[Academia],1))=Profesores[[#Headers],[ETF]],"x","")</f>
        <v/>
      </c>
      <c r="AA76" s="147" t="str">
        <f>IF((_xlfn.XLOOKUP(Profesores[[#This Row],[Nombre]],base_de_datos[Profesor],base_de_datos[Academia],1))=Profesores[[#Headers],[MAT]],"x","")</f>
        <v/>
      </c>
      <c r="AB76" s="147" t="str">
        <f>IF((_xlfn.XLOOKUP(Profesores[[#This Row],[Nombre]],base_de_datos[Profesor],base_de_datos[Academia],1))=Profesores[[#Headers],[EMP]],"x","")</f>
        <v/>
      </c>
      <c r="AC76" s="146" t="str">
        <f>IF((_xlfn.XLOOKUP(Profesores[[#This Row],[Nombre]],base_de_datos[Profesor],base_de_datos[Academia],1))=Profesores[[#Headers],[AIC]],"x","")</f>
        <v/>
      </c>
      <c r="AD76" s="146" t="str">
        <f>IF((_xlfn.XLOOKUP(Profesores[[#This Row],[Nombre]],base_de_datos[Profesor],base_de_datos[Academia],1))=Profesores[[#Headers],[ESC]],"x","")</f>
        <v>x</v>
      </c>
      <c r="AE76" s="146" t="str">
        <f>IF((_xlfn.XLOOKUP(Profesores[[#This Row],[Nombre]],base_de_datos[Profesor],base_de_datos[Academia],1))=Profesores[[#Headers],[HUM]],"x","")</f>
        <v/>
      </c>
      <c r="AF76" s="146" t="str">
        <f>IF((_xlfn.XLOOKUP(Profesores[[#This Row],[Nombre]],base_de_datos[Profesor],base_de_datos[Academia],1))=Profesores[[#Headers],[IID]],"x","")</f>
        <v/>
      </c>
      <c r="AG76" s="146" t="str">
        <f>IF((_xlfn.XLOOKUP(Profesores[[#This Row],[Nombre]],base_de_datos[Profesor],base_de_datos[Academia],1))=Profesores[[#Headers],[BIO]],"x","")</f>
        <v/>
      </c>
      <c r="AJ76" s="146">
        <f>TRUNC(IFERROR(Profesores[[#This Row],[Ex Inglés]]*677/100,0),0)</f>
        <v>0</v>
      </c>
    </row>
    <row r="77" spans="1:47" ht="12" hidden="1" customHeight="1" x14ac:dyDescent="0.3">
      <c r="B77" s="6">
        <v>136</v>
      </c>
      <c r="C77" s="146" t="s">
        <v>501</v>
      </c>
      <c r="D77" s="147" t="s">
        <v>33</v>
      </c>
      <c r="E77" s="166" t="s">
        <v>1013</v>
      </c>
      <c r="F77" s="146" t="s">
        <v>426</v>
      </c>
      <c r="G77" s="149" t="s">
        <v>1014</v>
      </c>
      <c r="H77" s="149" t="s">
        <v>1015</v>
      </c>
      <c r="I77" s="149" t="s">
        <v>1016</v>
      </c>
      <c r="J77" s="150">
        <v>27346</v>
      </c>
      <c r="K77" s="149"/>
      <c r="L77" s="147"/>
      <c r="M77" s="151">
        <v>4492284870</v>
      </c>
      <c r="N77" s="161" t="s">
        <v>1017</v>
      </c>
      <c r="O77" s="151" t="s">
        <v>1018</v>
      </c>
      <c r="P77" s="147">
        <v>701</v>
      </c>
      <c r="Q77" s="146" t="s">
        <v>1019</v>
      </c>
      <c r="R77" s="146" t="s">
        <v>511</v>
      </c>
      <c r="S77" s="146" t="s">
        <v>511</v>
      </c>
      <c r="T77" s="146">
        <v>20000</v>
      </c>
      <c r="U77" s="147"/>
      <c r="V77" s="147" t="str">
        <f>IF((_xlfn.XLOOKUP(Profesores[[#This Row],[Nombre]],base_de_datos[Profesor],base_de_datos[Academia],1))=Profesores[[#Headers],[MEC]],"x","")</f>
        <v/>
      </c>
      <c r="W77" s="147" t="str">
        <f>IF((_xlfn.XLOOKUP(Profesores[[#This Row],[Nombre]],base_de_datos[Profesor],base_de_datos[Academia],1))=Profesores[[#Headers],[COM]],"x","")</f>
        <v/>
      </c>
      <c r="X77" s="147"/>
      <c r="Y77" s="147" t="str">
        <f>IF((_xlfn.XLOOKUP(Profesores[[#This Row],[Nombre]],base_de_datos[Profesor],base_de_datos[Academia],1))=Profesores[[#Headers],[DOP]],"x","")</f>
        <v/>
      </c>
      <c r="Z77" s="147" t="str">
        <f>IF((_xlfn.XLOOKUP(Profesores[[#This Row],[Nombre]],base_de_datos[Profesor],base_de_datos[Academia],1))=Profesores[[#Headers],[ETF]],"x","")</f>
        <v/>
      </c>
      <c r="AA77" s="147" t="str">
        <f>IF((_xlfn.XLOOKUP(Profesores[[#This Row],[Nombre]],base_de_datos[Profesor],base_de_datos[Academia],1))=Profesores[[#Headers],[MAT]],"x","")</f>
        <v/>
      </c>
      <c r="AB77" s="147" t="str">
        <f>IF((_xlfn.XLOOKUP(Profesores[[#This Row],[Nombre]],base_de_datos[Profesor],base_de_datos[Academia],1))=Profesores[[#Headers],[EMP]],"x","")</f>
        <v>x</v>
      </c>
      <c r="AC77" s="146" t="str">
        <f>IF((_xlfn.XLOOKUP(Profesores[[#This Row],[Nombre]],base_de_datos[Profesor],base_de_datos[Academia],1))=Profesores[[#Headers],[AIC]],"x","")</f>
        <v/>
      </c>
      <c r="AD77" s="146" t="str">
        <f>IF((_xlfn.XLOOKUP(Profesores[[#This Row],[Nombre]],base_de_datos[Profesor],base_de_datos[Academia],1))=Profesores[[#Headers],[ESC]],"x","")</f>
        <v/>
      </c>
      <c r="AE77" s="146" t="str">
        <f>IF((_xlfn.XLOOKUP(Profesores[[#This Row],[Nombre]],base_de_datos[Profesor],base_de_datos[Academia],1))=Profesores[[#Headers],[HUM]],"x","")</f>
        <v/>
      </c>
      <c r="AF77" s="146" t="str">
        <f>IF((_xlfn.XLOOKUP(Profesores[[#This Row],[Nombre]],base_de_datos[Profesor],base_de_datos[Academia],1))=Profesores[[#Headers],[IID]],"x","")</f>
        <v/>
      </c>
      <c r="AG77" s="146" t="str">
        <f>IF((_xlfn.XLOOKUP(Profesores[[#This Row],[Nombre]],base_de_datos[Profesor],base_de_datos[Academia],1))=Profesores[[#Headers],[BIO]],"x","")</f>
        <v/>
      </c>
      <c r="AH77" s="146"/>
      <c r="AI77" s="146"/>
      <c r="AJ77" s="146">
        <f>TRUNC(IFERROR(Profesores[[#This Row],[Ex Inglés]]*677/100,0),0)</f>
        <v>0</v>
      </c>
    </row>
    <row r="78" spans="1:47" ht="12" hidden="1" customHeight="1" x14ac:dyDescent="0.3">
      <c r="B78" s="146">
        <v>150</v>
      </c>
      <c r="C78" s="146" t="s">
        <v>501</v>
      </c>
      <c r="D78" s="147" t="s">
        <v>33</v>
      </c>
      <c r="E78" s="148">
        <v>264718</v>
      </c>
      <c r="F78" s="146" t="s">
        <v>379</v>
      </c>
      <c r="G78" s="149" t="s">
        <v>1020</v>
      </c>
      <c r="H78" s="149" t="s">
        <v>1021</v>
      </c>
      <c r="I78" s="149" t="s">
        <v>535</v>
      </c>
      <c r="J78" s="150">
        <v>31497</v>
      </c>
      <c r="K78" s="149"/>
      <c r="L78" s="147"/>
      <c r="M78" s="151">
        <v>4491993985</v>
      </c>
      <c r="N78" s="151"/>
      <c r="O78" s="151" t="s">
        <v>1022</v>
      </c>
      <c r="P78" s="147" t="s">
        <v>1023</v>
      </c>
      <c r="Q78" s="146" t="s">
        <v>1024</v>
      </c>
      <c r="R78" s="146" t="s">
        <v>511</v>
      </c>
      <c r="S78" s="146" t="s">
        <v>511</v>
      </c>
      <c r="T78" s="146">
        <v>20240</v>
      </c>
      <c r="U78" s="147"/>
      <c r="V78" s="147" t="str">
        <f>IF((_xlfn.XLOOKUP(Profesores[[#This Row],[Nombre]],base_de_datos[Profesor],base_de_datos[Academia],1))=Profesores[[#Headers],[MEC]],"x","")</f>
        <v/>
      </c>
      <c r="W78" s="147" t="str">
        <f>IF((_xlfn.XLOOKUP(Profesores[[#This Row],[Nombre]],base_de_datos[Profesor],base_de_datos[Academia],1))=Profesores[[#Headers],[COM]],"x","")</f>
        <v>x</v>
      </c>
      <c r="X78" s="147"/>
      <c r="Y78" s="147" t="str">
        <f>IF((_xlfn.XLOOKUP(Profesores[[#This Row],[Nombre]],base_de_datos[Profesor],base_de_datos[Academia],1))=Profesores[[#Headers],[DOP]],"x","")</f>
        <v/>
      </c>
      <c r="Z78" s="147" t="str">
        <f>IF((_xlfn.XLOOKUP(Profesores[[#This Row],[Nombre]],base_de_datos[Profesor],base_de_datos[Academia],1))=Profesores[[#Headers],[ETF]],"x","")</f>
        <v/>
      </c>
      <c r="AA78" s="147" t="str">
        <f>IF((_xlfn.XLOOKUP(Profesores[[#This Row],[Nombre]],base_de_datos[Profesor],base_de_datos[Academia],1))=Profesores[[#Headers],[MAT]],"x","")</f>
        <v/>
      </c>
      <c r="AB78" s="147" t="str">
        <f>IF((_xlfn.XLOOKUP(Profesores[[#This Row],[Nombre]],base_de_datos[Profesor],base_de_datos[Academia],1))=Profesores[[#Headers],[EMP]],"x","")</f>
        <v/>
      </c>
      <c r="AC78" s="146" t="str">
        <f>IF((_xlfn.XLOOKUP(Profesores[[#This Row],[Nombre]],base_de_datos[Profesor],base_de_datos[Academia],1))=Profesores[[#Headers],[AIC]],"x","")</f>
        <v/>
      </c>
      <c r="AD78" s="146" t="str">
        <f>IF((_xlfn.XLOOKUP(Profesores[[#This Row],[Nombre]],base_de_datos[Profesor],base_de_datos[Academia],1))=Profesores[[#Headers],[ESC]],"x","")</f>
        <v/>
      </c>
      <c r="AE78" s="146" t="str">
        <f>IF((_xlfn.XLOOKUP(Profesores[[#This Row],[Nombre]],base_de_datos[Profesor],base_de_datos[Academia],1))=Profesores[[#Headers],[HUM]],"x","")</f>
        <v/>
      </c>
      <c r="AF78" s="146" t="str">
        <f>IF((_xlfn.XLOOKUP(Profesores[[#This Row],[Nombre]],base_de_datos[Profesor],base_de_datos[Academia],1))=Profesores[[#Headers],[IID]],"x","")</f>
        <v/>
      </c>
      <c r="AG78" s="146" t="str">
        <f>IF((_xlfn.XLOOKUP(Profesores[[#This Row],[Nombre]],base_de_datos[Profesor],base_de_datos[Academia],1))=Profesores[[#Headers],[BIO]],"x","")</f>
        <v/>
      </c>
      <c r="AH78" s="146"/>
      <c r="AI78" s="146"/>
      <c r="AJ78" s="146">
        <f>TRUNC(IFERROR(Profesores[[#This Row],[Ex Inglés]]*677/100,0),0)</f>
        <v>0</v>
      </c>
    </row>
    <row r="79" spans="1:47" s="146" customFormat="1" ht="12" hidden="1" customHeight="1" x14ac:dyDescent="0.3">
      <c r="B79" s="6">
        <v>152</v>
      </c>
      <c r="D79" s="147" t="s">
        <v>33</v>
      </c>
      <c r="E79" s="166" t="s">
        <v>1025</v>
      </c>
      <c r="F79" s="146" t="s">
        <v>271</v>
      </c>
      <c r="G79" s="149" t="s">
        <v>698</v>
      </c>
      <c r="H79" s="149" t="s">
        <v>1026</v>
      </c>
      <c r="I79" s="149" t="s">
        <v>1027</v>
      </c>
      <c r="J79" s="150">
        <v>34943</v>
      </c>
      <c r="K79" s="149"/>
      <c r="L79" s="147"/>
      <c r="M79" s="151">
        <v>4494647773</v>
      </c>
      <c r="N79" s="158" t="s">
        <v>1028</v>
      </c>
      <c r="O79" s="197" t="s">
        <v>1029</v>
      </c>
      <c r="P79" s="147">
        <v>123</v>
      </c>
      <c r="Q79" s="147" t="s">
        <v>1030</v>
      </c>
      <c r="R79" s="147" t="s">
        <v>511</v>
      </c>
      <c r="S79" s="147" t="s">
        <v>511</v>
      </c>
      <c r="T79" s="146">
        <v>20200</v>
      </c>
      <c r="U79" s="147"/>
      <c r="V79" s="147" t="str">
        <f>IF((_xlfn.XLOOKUP(Profesores[[#This Row],[Nombre]],base_de_datos[Profesor],base_de_datos[Academia],1))=Profesores[[#Headers],[MEC]],"x","")</f>
        <v/>
      </c>
      <c r="W79" s="147" t="str">
        <f>IF((_xlfn.XLOOKUP(Profesores[[#This Row],[Nombre]],base_de_datos[Profesor],base_de_datos[Academia],1))=Profesores[[#Headers],[COM]],"x","")</f>
        <v/>
      </c>
      <c r="X79" s="147"/>
      <c r="Y79" s="147" t="str">
        <f>IF((_xlfn.XLOOKUP(Profesores[[#This Row],[Nombre]],base_de_datos[Profesor],base_de_datos[Academia],1))=Profesores[[#Headers],[DOP]],"x","")</f>
        <v/>
      </c>
      <c r="Z79" s="147" t="str">
        <f>IF((_xlfn.XLOOKUP(Profesores[[#This Row],[Nombre]],base_de_datos[Profesor],base_de_datos[Academia],1))=Profesores[[#Headers],[ETF]],"x","")</f>
        <v>x</v>
      </c>
      <c r="AA79" s="147" t="str">
        <f>IF((_xlfn.XLOOKUP(Profesores[[#This Row],[Nombre]],base_de_datos[Profesor],base_de_datos[Academia],1))=Profesores[[#Headers],[MAT]],"x","")</f>
        <v/>
      </c>
      <c r="AB79" s="147" t="str">
        <f>IF((_xlfn.XLOOKUP(Profesores[[#This Row],[Nombre]],base_de_datos[Profesor],base_de_datos[Academia],1))=Profesores[[#Headers],[EMP]],"x","")</f>
        <v/>
      </c>
      <c r="AC79" s="146" t="str">
        <f>IF((_xlfn.XLOOKUP(Profesores[[#This Row],[Nombre]],base_de_datos[Profesor],base_de_datos[Academia],1))=Profesores[[#Headers],[AIC]],"x","")</f>
        <v/>
      </c>
      <c r="AD79" s="146" t="str">
        <f>IF((_xlfn.XLOOKUP(Profesores[[#This Row],[Nombre]],base_de_datos[Profesor],base_de_datos[Academia],1))=Profesores[[#Headers],[ESC]],"x","")</f>
        <v/>
      </c>
      <c r="AE79" s="146" t="str">
        <f>IF((_xlfn.XLOOKUP(Profesores[[#This Row],[Nombre]],base_de_datos[Profesor],base_de_datos[Academia],1))=Profesores[[#Headers],[HUM]],"x","")</f>
        <v/>
      </c>
      <c r="AF79" s="146" t="str">
        <f>IF((_xlfn.XLOOKUP(Profesores[[#This Row],[Nombre]],base_de_datos[Profesor],base_de_datos[Academia],1))=Profesores[[#Headers],[IID]],"x","")</f>
        <v/>
      </c>
      <c r="AG79" s="146" t="str">
        <f>IF((_xlfn.XLOOKUP(Profesores[[#This Row],[Nombre]],base_de_datos[Profesor],base_de_datos[Academia],1))=Profesores[[#Headers],[BIO]],"x","")</f>
        <v/>
      </c>
      <c r="AJ79" s="146">
        <f>TRUNC(IFERROR(Profesores[[#This Row],[Ex Inglés]]*677/100,0),0)</f>
        <v>0</v>
      </c>
    </row>
    <row r="80" spans="1:47" ht="12" hidden="1" customHeight="1" x14ac:dyDescent="0.3">
      <c r="B80" s="146">
        <v>153</v>
      </c>
      <c r="C80" s="146"/>
      <c r="D80" s="147" t="s">
        <v>33</v>
      </c>
      <c r="E80" s="148">
        <v>175227</v>
      </c>
      <c r="F80" s="201" t="s">
        <v>446</v>
      </c>
      <c r="G80" s="149" t="s">
        <v>1031</v>
      </c>
      <c r="H80" s="149" t="s">
        <v>1032</v>
      </c>
      <c r="I80" s="149" t="s">
        <v>1033</v>
      </c>
      <c r="J80" s="150">
        <v>26169</v>
      </c>
      <c r="K80" s="149"/>
      <c r="L80" s="147"/>
      <c r="M80" s="151">
        <v>4491119771</v>
      </c>
      <c r="N80" s="161" t="s">
        <v>1034</v>
      </c>
      <c r="O80" s="151" t="s">
        <v>1035</v>
      </c>
      <c r="P80" s="147">
        <v>306</v>
      </c>
      <c r="Q80" s="146" t="s">
        <v>1036</v>
      </c>
      <c r="R80" s="146" t="s">
        <v>511</v>
      </c>
      <c r="S80" s="146" t="s">
        <v>511</v>
      </c>
      <c r="T80" s="146">
        <v>20000</v>
      </c>
      <c r="U80" s="147"/>
      <c r="V80" s="147" t="str">
        <f>IF((_xlfn.XLOOKUP(Profesores[[#This Row],[Nombre]],base_de_datos[Profesor],base_de_datos[Academia],1))=Profesores[[#Headers],[MEC]],"x","")</f>
        <v/>
      </c>
      <c r="W80" s="147" t="str">
        <f>IF((_xlfn.XLOOKUP(Profesores[[#This Row],[Nombre]],base_de_datos[Profesor],base_de_datos[Academia],1))=Profesores[[#Headers],[COM]],"x","")</f>
        <v/>
      </c>
      <c r="X80" s="147"/>
      <c r="Y80" s="147" t="str">
        <f>IF((_xlfn.XLOOKUP(Profesores[[#This Row],[Nombre]],base_de_datos[Profesor],base_de_datos[Academia],1))=Profesores[[#Headers],[DOP]],"x","")</f>
        <v/>
      </c>
      <c r="Z80" s="147" t="str">
        <f>IF((_xlfn.XLOOKUP(Profesores[[#This Row],[Nombre]],base_de_datos[Profesor],base_de_datos[Academia],1))=Profesores[[#Headers],[ETF]],"x","")</f>
        <v>x</v>
      </c>
      <c r="AA80" s="147" t="str">
        <f>IF((_xlfn.XLOOKUP(Profesores[[#This Row],[Nombre]],base_de_datos[Profesor],base_de_datos[Academia],1))=Profesores[[#Headers],[MAT]],"x","")</f>
        <v/>
      </c>
      <c r="AB80" s="147" t="str">
        <f>IF((_xlfn.XLOOKUP(Profesores[[#This Row],[Nombre]],base_de_datos[Profesor],base_de_datos[Academia],1))=Profesores[[#Headers],[EMP]],"x","")</f>
        <v/>
      </c>
      <c r="AC80" s="146" t="str">
        <f>IF((_xlfn.XLOOKUP(Profesores[[#This Row],[Nombre]],base_de_datos[Profesor],base_de_datos[Academia],1))=Profesores[[#Headers],[AIC]],"x","")</f>
        <v/>
      </c>
      <c r="AD80" s="146" t="str">
        <f>IF((_xlfn.XLOOKUP(Profesores[[#This Row],[Nombre]],base_de_datos[Profesor],base_de_datos[Academia],1))=Profesores[[#Headers],[ESC]],"x","")</f>
        <v/>
      </c>
      <c r="AE80" s="146" t="str">
        <f>IF((_xlfn.XLOOKUP(Profesores[[#This Row],[Nombre]],base_de_datos[Profesor],base_de_datos[Academia],1))=Profesores[[#Headers],[HUM]],"x","")</f>
        <v/>
      </c>
      <c r="AF80" s="146" t="str">
        <f>IF((_xlfn.XLOOKUP(Profesores[[#This Row],[Nombre]],base_de_datos[Profesor],base_de_datos[Academia],1))=Profesores[[#Headers],[IID]],"x","")</f>
        <v/>
      </c>
      <c r="AG80" s="146" t="str">
        <f>IF((_xlfn.XLOOKUP(Profesores[[#This Row],[Nombre]],base_de_datos[Profesor],base_de_datos[Academia],1))=Profesores[[#Headers],[BIO]],"x","")</f>
        <v/>
      </c>
      <c r="AH80" s="146"/>
      <c r="AI80" s="146"/>
      <c r="AJ80" s="146">
        <f>TRUNC(IFERROR(Profesores[[#This Row],[Ex Inglés]]*677/100,0),0)</f>
        <v>0</v>
      </c>
    </row>
    <row r="81" spans="1:36" ht="12" hidden="1" customHeight="1" x14ac:dyDescent="0.3">
      <c r="B81" s="6">
        <v>134</v>
      </c>
      <c r="C81" s="146"/>
      <c r="D81" s="147" t="s">
        <v>33</v>
      </c>
      <c r="E81" s="166">
        <v>67816</v>
      </c>
      <c r="F81" s="146" t="s">
        <v>1</v>
      </c>
      <c r="G81" s="149" t="s">
        <v>1037</v>
      </c>
      <c r="H81" s="149" t="s">
        <v>761</v>
      </c>
      <c r="I81" s="149" t="s">
        <v>845</v>
      </c>
      <c r="J81" s="147"/>
      <c r="K81" s="149"/>
      <c r="L81" s="147"/>
      <c r="M81" s="151"/>
      <c r="N81" s="151"/>
      <c r="O81" s="151"/>
      <c r="P81" s="147"/>
      <c r="Q81" s="146"/>
      <c r="R81" s="146"/>
      <c r="S81" s="146"/>
      <c r="T81" s="146"/>
      <c r="U81" s="147"/>
      <c r="V81" s="147" t="str">
        <f>IF((_xlfn.XLOOKUP(Profesores[[#This Row],[Nombre]],base_de_datos[Profesor],base_de_datos[Academia],1))=Profesores[[#Headers],[MEC]],"x","")</f>
        <v/>
      </c>
      <c r="W81" s="147" t="str">
        <f>IF((_xlfn.XLOOKUP(Profesores[[#This Row],[Nombre]],base_de_datos[Profesor],base_de_datos[Academia],1))=Profesores[[#Headers],[COM]],"x","")</f>
        <v/>
      </c>
      <c r="X81" s="147"/>
      <c r="Y81" s="147" t="str">
        <f>IF((_xlfn.XLOOKUP(Profesores[[#This Row],[Nombre]],base_de_datos[Profesor],base_de_datos[Academia],1))=Profesores[[#Headers],[DOP]],"x","")</f>
        <v/>
      </c>
      <c r="Z81" s="147" t="str">
        <f>IF((_xlfn.XLOOKUP(Profesores[[#This Row],[Nombre]],base_de_datos[Profesor],base_de_datos[Academia],1))=Profesores[[#Headers],[ETF]],"x","")</f>
        <v/>
      </c>
      <c r="AA81" s="147" t="str">
        <f>IF((_xlfn.XLOOKUP(Profesores[[#This Row],[Nombre]],base_de_datos[Profesor],base_de_datos[Academia],1))=Profesores[[#Headers],[MAT]],"x","")</f>
        <v/>
      </c>
      <c r="AB81" s="147" t="str">
        <f>IF((_xlfn.XLOOKUP(Profesores[[#This Row],[Nombre]],base_de_datos[Profesor],base_de_datos[Academia],1))=Profesores[[#Headers],[EMP]],"x","")</f>
        <v>x</v>
      </c>
      <c r="AC81" s="146" t="str">
        <f>IF((_xlfn.XLOOKUP(Profesores[[#This Row],[Nombre]],base_de_datos[Profesor],base_de_datos[Academia],1))=Profesores[[#Headers],[AIC]],"x","")</f>
        <v/>
      </c>
      <c r="AD81" s="146" t="str">
        <f>IF((_xlfn.XLOOKUP(Profesores[[#This Row],[Nombre]],base_de_datos[Profesor],base_de_datos[Academia],1))=Profesores[[#Headers],[ESC]],"x","")</f>
        <v/>
      </c>
      <c r="AE81" s="146" t="str">
        <f>IF((_xlfn.XLOOKUP(Profesores[[#This Row],[Nombre]],base_de_datos[Profesor],base_de_datos[Academia],1))=Profesores[[#Headers],[HUM]],"x","")</f>
        <v/>
      </c>
      <c r="AF81" s="146" t="str">
        <f>IF((_xlfn.XLOOKUP(Profesores[[#This Row],[Nombre]],base_de_datos[Profesor],base_de_datos[Academia],1))=Profesores[[#Headers],[IID]],"x","")</f>
        <v/>
      </c>
      <c r="AG81" s="146" t="str">
        <f>IF((_xlfn.XLOOKUP(Profesores[[#This Row],[Nombre]],base_de_datos[Profesor],base_de_datos[Academia],1))=Profesores[[#Headers],[BIO]],"x","")</f>
        <v/>
      </c>
      <c r="AH81" s="146"/>
      <c r="AI81" s="146"/>
      <c r="AJ81" s="146">
        <f>TRUNC(IFERROR(Profesores[[#This Row],[Ex Inglés]]*677/100,0),0)</f>
        <v>0</v>
      </c>
    </row>
    <row r="82" spans="1:36" ht="12" hidden="1" customHeight="1" x14ac:dyDescent="0.3">
      <c r="B82" s="6" t="s">
        <v>1038</v>
      </c>
      <c r="C82" s="6" t="s">
        <v>526</v>
      </c>
      <c r="D82" s="4" t="s">
        <v>39</v>
      </c>
      <c r="E82" s="54">
        <v>1357</v>
      </c>
      <c r="F82" s="81" t="s">
        <v>146</v>
      </c>
      <c r="G82" s="32" t="s">
        <v>1039</v>
      </c>
      <c r="H82" s="32" t="s">
        <v>1040</v>
      </c>
      <c r="I82" s="32" t="s">
        <v>1041</v>
      </c>
      <c r="J82" s="4"/>
      <c r="K82" s="32" t="s">
        <v>914</v>
      </c>
      <c r="L82" s="4" t="s">
        <v>507</v>
      </c>
      <c r="M82" s="51"/>
      <c r="N82" s="52" t="s">
        <v>1042</v>
      </c>
      <c r="O82" s="51" t="s">
        <v>1043</v>
      </c>
      <c r="P82" s="4">
        <v>113</v>
      </c>
      <c r="Q82" s="6" t="s">
        <v>1044</v>
      </c>
      <c r="R82" s="6" t="s">
        <v>511</v>
      </c>
      <c r="S82" s="6" t="s">
        <v>511</v>
      </c>
      <c r="T82" s="6">
        <v>20270</v>
      </c>
      <c r="U82" s="4">
        <v>1</v>
      </c>
      <c r="V82" s="4" t="str">
        <f>IF((_xlfn.XLOOKUP(Profesores[[#This Row],[Nombre]],base_de_datos[Profesor],base_de_datos[Academia],1))=Profesores[[#Headers],[MEC]],"x","")</f>
        <v/>
      </c>
      <c r="W82" s="4" t="str">
        <f>IF((_xlfn.XLOOKUP(Profesores[[#This Row],[Nombre]],base_de_datos[Profesor],base_de_datos[Academia],1))=Profesores[[#Headers],[COM]],"x","")</f>
        <v/>
      </c>
      <c r="Y82" s="4" t="str">
        <f>IF((_xlfn.XLOOKUP(Profesores[[#This Row],[Nombre]],base_de_datos[Profesor],base_de_datos[Academia],1))=Profesores[[#Headers],[DOP]],"x","")</f>
        <v/>
      </c>
      <c r="Z82" s="4" t="str">
        <f>IF((_xlfn.XLOOKUP(Profesores[[#This Row],[Nombre]],base_de_datos[Profesor],base_de_datos[Academia],1))=Profesores[[#Headers],[ETF]],"x","")</f>
        <v/>
      </c>
      <c r="AA82" s="4" t="str">
        <f>IF((_xlfn.XLOOKUP(Profesores[[#This Row],[Nombre]],base_de_datos[Profesor],base_de_datos[Academia],1))=Profesores[[#Headers],[MAT]],"x","")</f>
        <v/>
      </c>
      <c r="AB82" s="4" t="str">
        <f>IF((_xlfn.XLOOKUP(Profesores[[#This Row],[Nombre]],base_de_datos[Profesor],base_de_datos[Academia],1))=Profesores[[#Headers],[EMP]],"x","")</f>
        <v/>
      </c>
      <c r="AC82" s="6" t="str">
        <f>IF((_xlfn.XLOOKUP(Profesores[[#This Row],[Nombre]],base_de_datos[Profesor],base_de_datos[Academia],1))=Profesores[[#Headers],[AIC]],"x","")</f>
        <v/>
      </c>
      <c r="AD82" s="6" t="str">
        <f>IF((_xlfn.XLOOKUP(Profesores[[#This Row],[Nombre]],base_de_datos[Profesor],base_de_datos[Academia],1))=Profesores[[#Headers],[ESC]],"x","")</f>
        <v/>
      </c>
      <c r="AE82" s="6" t="str">
        <f>IF((_xlfn.XLOOKUP(Profesores[[#This Row],[Nombre]],base_de_datos[Profesor],base_de_datos[Academia],1))=Profesores[[#Headers],[HUM]],"x","")</f>
        <v>x</v>
      </c>
      <c r="AF82" s="6" t="str">
        <f>IF((_xlfn.XLOOKUP(Profesores[[#This Row],[Nombre]],base_de_datos[Profesor],base_de_datos[Academia],1))=Profesores[[#Headers],[IID]],"x","")</f>
        <v/>
      </c>
      <c r="AG82" s="6" t="str">
        <f>IF((_xlfn.XLOOKUP(Profesores[[#This Row],[Nombre]],base_de_datos[Profesor],base_de_datos[Academia],1))=Profesores[[#Headers],[BIO]],"x","")</f>
        <v/>
      </c>
      <c r="AH82" s="6" t="s">
        <v>524</v>
      </c>
      <c r="AJ82" s="6">
        <f>TRUNC(IFERROR(Profesores[[#This Row],[Ex Inglés]]*677/100,0),0)</f>
        <v>0</v>
      </c>
    </row>
    <row r="83" spans="1:36" ht="12" hidden="1" customHeight="1" x14ac:dyDescent="0.3">
      <c r="B83" s="6" t="s">
        <v>1045</v>
      </c>
      <c r="C83" s="6" t="s">
        <v>540</v>
      </c>
      <c r="D83" s="4" t="s">
        <v>39</v>
      </c>
      <c r="E83" s="54">
        <v>10286</v>
      </c>
      <c r="F83" s="81" t="s">
        <v>315</v>
      </c>
      <c r="G83" s="32" t="s">
        <v>1046</v>
      </c>
      <c r="H83" s="32" t="s">
        <v>1047</v>
      </c>
      <c r="I83" s="32" t="s">
        <v>1048</v>
      </c>
      <c r="J83" s="55">
        <v>30490</v>
      </c>
      <c r="K83" s="32" t="s">
        <v>506</v>
      </c>
      <c r="L83" s="4" t="s">
        <v>507</v>
      </c>
      <c r="M83" s="51">
        <v>45554061522</v>
      </c>
      <c r="N83" s="52" t="s">
        <v>1049</v>
      </c>
      <c r="O83" s="51" t="s">
        <v>1050</v>
      </c>
      <c r="P83" s="4">
        <v>219</v>
      </c>
      <c r="Q83" s="6" t="s">
        <v>1051</v>
      </c>
      <c r="R83" s="6" t="s">
        <v>511</v>
      </c>
      <c r="S83" s="6" t="s">
        <v>511</v>
      </c>
      <c r="T83" s="6">
        <v>20296</v>
      </c>
      <c r="U83" s="4">
        <v>1</v>
      </c>
      <c r="V83" s="4" t="str">
        <f>IF((_xlfn.XLOOKUP(Profesores[[#This Row],[Nombre]],base_de_datos[Profesor],base_de_datos[Academia],1))=Profesores[[#Headers],[MEC]],"x","")</f>
        <v/>
      </c>
      <c r="W83" s="4" t="str">
        <f>IF((_xlfn.XLOOKUP(Profesores[[#This Row],[Nombre]],base_de_datos[Profesor],base_de_datos[Academia],1))=Profesores[[#Headers],[COM]],"x","")</f>
        <v/>
      </c>
      <c r="Y83" s="4" t="str">
        <f>IF((_xlfn.XLOOKUP(Profesores[[#This Row],[Nombre]],base_de_datos[Profesor],base_de_datos[Academia],1))=Profesores[[#Headers],[DOP]],"x","")</f>
        <v/>
      </c>
      <c r="Z83" s="4" t="str">
        <f>IF((_xlfn.XLOOKUP(Profesores[[#This Row],[Nombre]],base_de_datos[Profesor],base_de_datos[Academia],1))=Profesores[[#Headers],[ETF]],"x","")</f>
        <v/>
      </c>
      <c r="AA83" s="4" t="str">
        <f>IF((_xlfn.XLOOKUP(Profesores[[#This Row],[Nombre]],base_de_datos[Profesor],base_de_datos[Academia],1))=Profesores[[#Headers],[MAT]],"x","")</f>
        <v/>
      </c>
      <c r="AB83" s="4" t="str">
        <f>IF((_xlfn.XLOOKUP(Profesores[[#This Row],[Nombre]],base_de_datos[Profesor],base_de_datos[Academia],1))=Profesores[[#Headers],[EMP]],"x","")</f>
        <v/>
      </c>
      <c r="AC83" s="6" t="str">
        <f>IF((_xlfn.XLOOKUP(Profesores[[#This Row],[Nombre]],base_de_datos[Profesor],base_de_datos[Academia],1))=Profesores[[#Headers],[AIC]],"x","")</f>
        <v/>
      </c>
      <c r="AD83" s="6" t="str">
        <f>IF((_xlfn.XLOOKUP(Profesores[[#This Row],[Nombre]],base_de_datos[Profesor],base_de_datos[Academia],1))=Profesores[[#Headers],[ESC]],"x","")</f>
        <v/>
      </c>
      <c r="AE83" s="6" t="str">
        <f>IF((_xlfn.XLOOKUP(Profesores[[#This Row],[Nombre]],base_de_datos[Profesor],base_de_datos[Academia],1))=Profesores[[#Headers],[HUM]],"x","")</f>
        <v>x</v>
      </c>
      <c r="AF83" s="6" t="str">
        <f>IF((_xlfn.XLOOKUP(Profesores[[#This Row],[Nombre]],base_de_datos[Profesor],base_de_datos[Academia],1))=Profesores[[#Headers],[IID]],"x","")</f>
        <v/>
      </c>
      <c r="AG83" s="6" t="str">
        <f>IF((_xlfn.XLOOKUP(Profesores[[#This Row],[Nombre]],base_de_datos[Profesor],base_de_datos[Academia],1))=Profesores[[#Headers],[BIO]],"x","")</f>
        <v/>
      </c>
      <c r="AH83" s="6" t="s">
        <v>524</v>
      </c>
      <c r="AJ83" s="6">
        <f>TRUNC(IFERROR(Profesores[[#This Row],[Ex Inglés]]*677/100,0),0)</f>
        <v>0</v>
      </c>
    </row>
    <row r="84" spans="1:36" ht="12" hidden="1" customHeight="1" x14ac:dyDescent="0.3">
      <c r="B84" s="6" t="s">
        <v>1052</v>
      </c>
      <c r="C84" s="6" t="s">
        <v>540</v>
      </c>
      <c r="D84" s="4" t="s">
        <v>39</v>
      </c>
      <c r="E84" s="54">
        <v>198956</v>
      </c>
      <c r="F84" s="81" t="s">
        <v>392</v>
      </c>
      <c r="G84" s="32" t="s">
        <v>1053</v>
      </c>
      <c r="H84" s="32" t="s">
        <v>882</v>
      </c>
      <c r="I84" s="32" t="s">
        <v>1054</v>
      </c>
      <c r="J84" s="55">
        <v>30675</v>
      </c>
      <c r="K84" s="32" t="s">
        <v>87</v>
      </c>
      <c r="L84" s="4" t="s">
        <v>507</v>
      </c>
      <c r="M84" s="51">
        <v>4494658995</v>
      </c>
      <c r="N84" s="52" t="s">
        <v>1055</v>
      </c>
      <c r="O84" s="51" t="s">
        <v>1056</v>
      </c>
      <c r="P84" s="4">
        <v>100</v>
      </c>
      <c r="Q84" s="6" t="s">
        <v>1057</v>
      </c>
      <c r="R84" s="6" t="s">
        <v>511</v>
      </c>
      <c r="S84" s="6" t="s">
        <v>511</v>
      </c>
      <c r="T84" s="6">
        <v>20270</v>
      </c>
      <c r="U84" s="4">
        <v>1</v>
      </c>
      <c r="V84" s="4" t="str">
        <f>IF((_xlfn.XLOOKUP(Profesores[[#This Row],[Nombre]],base_de_datos[Profesor],base_de_datos[Academia],1))=Profesores[[#Headers],[MEC]],"x","")</f>
        <v/>
      </c>
      <c r="W84" s="4" t="str">
        <f>IF((_xlfn.XLOOKUP(Profesores[[#This Row],[Nombre]],base_de_datos[Profesor],base_de_datos[Academia],1))=Profesores[[#Headers],[COM]],"x","")</f>
        <v/>
      </c>
      <c r="Y84" s="4" t="str">
        <f>IF((_xlfn.XLOOKUP(Profesores[[#This Row],[Nombre]],base_de_datos[Profesor],base_de_datos[Academia],1))=Profesores[[#Headers],[DOP]],"x","")</f>
        <v/>
      </c>
      <c r="Z84" s="4" t="str">
        <f>IF((_xlfn.XLOOKUP(Profesores[[#This Row],[Nombre]],base_de_datos[Profesor],base_de_datos[Academia],1))=Profesores[[#Headers],[ETF]],"x","")</f>
        <v/>
      </c>
      <c r="AA84" s="4" t="str">
        <f>IF((_xlfn.XLOOKUP(Profesores[[#This Row],[Nombre]],base_de_datos[Profesor],base_de_datos[Academia],1))=Profesores[[#Headers],[MAT]],"x","")</f>
        <v/>
      </c>
      <c r="AB84" s="4" t="str">
        <f>IF((_xlfn.XLOOKUP(Profesores[[#This Row],[Nombre]],base_de_datos[Profesor],base_de_datos[Academia],1))=Profesores[[#Headers],[EMP]],"x","")</f>
        <v/>
      </c>
      <c r="AC84" s="6" t="str">
        <f>IF((_xlfn.XLOOKUP(Profesores[[#This Row],[Nombre]],base_de_datos[Profesor],base_de_datos[Academia],1))=Profesores[[#Headers],[AIC]],"x","")</f>
        <v/>
      </c>
      <c r="AD84" s="6" t="str">
        <f>IF((_xlfn.XLOOKUP(Profesores[[#This Row],[Nombre]],base_de_datos[Profesor],base_de_datos[Academia],1))=Profesores[[#Headers],[ESC]],"x","")</f>
        <v/>
      </c>
      <c r="AE84" s="6" t="str">
        <f>IF((_xlfn.XLOOKUP(Profesores[[#This Row],[Nombre]],base_de_datos[Profesor],base_de_datos[Academia],1))=Profesores[[#Headers],[HUM]],"x","")</f>
        <v>x</v>
      </c>
      <c r="AF84" s="6" t="str">
        <f>IF((_xlfn.XLOOKUP(Profesores[[#This Row],[Nombre]],base_de_datos[Profesor],base_de_datos[Academia],1))=Profesores[[#Headers],[IID]],"x","")</f>
        <v/>
      </c>
      <c r="AG84" s="6" t="str">
        <f>IF((_xlfn.XLOOKUP(Profesores[[#This Row],[Nombre]],base_de_datos[Profesor],base_de_datos[Academia],1))=Profesores[[#Headers],[BIO]],"x","")</f>
        <v/>
      </c>
      <c r="AH84" s="6" t="s">
        <v>524</v>
      </c>
      <c r="AJ84" s="6">
        <f>TRUNC(IFERROR(Profesores[[#This Row],[Ex Inglés]]*677/100,0),0)</f>
        <v>0</v>
      </c>
    </row>
    <row r="85" spans="1:36" ht="12" hidden="1" customHeight="1" x14ac:dyDescent="0.3">
      <c r="B85" s="6" t="s">
        <v>1058</v>
      </c>
      <c r="D85" s="4" t="s">
        <v>39</v>
      </c>
      <c r="E85" s="54"/>
      <c r="F85" s="81" t="s">
        <v>306</v>
      </c>
      <c r="G85" s="32" t="s">
        <v>1059</v>
      </c>
      <c r="H85" s="32" t="s">
        <v>1060</v>
      </c>
      <c r="I85" s="32" t="s">
        <v>1061</v>
      </c>
      <c r="J85" s="4"/>
      <c r="M85" s="51"/>
      <c r="N85" s="51"/>
      <c r="O85" s="51"/>
      <c r="U85" s="4"/>
      <c r="V85" s="4" t="str">
        <f>IF((_xlfn.XLOOKUP(Profesores[[#This Row],[Nombre]],base_de_datos[Profesor],base_de_datos[Academia],1))=Profesores[[#Headers],[MEC]],"x","")</f>
        <v/>
      </c>
      <c r="W85" s="4" t="str">
        <f>IF((_xlfn.XLOOKUP(Profesores[[#This Row],[Nombre]],base_de_datos[Profesor],base_de_datos[Academia],1))=Profesores[[#Headers],[COM]],"x","")</f>
        <v/>
      </c>
      <c r="Y85" s="4" t="str">
        <f>IF((_xlfn.XLOOKUP(Profesores[[#This Row],[Nombre]],base_de_datos[Profesor],base_de_datos[Academia],1))=Profesores[[#Headers],[DOP]],"x","")</f>
        <v/>
      </c>
      <c r="Z85" s="4" t="str">
        <f>IF((_xlfn.XLOOKUP(Profesores[[#This Row],[Nombre]],base_de_datos[Profesor],base_de_datos[Academia],1))=Profesores[[#Headers],[ETF]],"x","")</f>
        <v/>
      </c>
      <c r="AA85" s="4" t="str">
        <f>IF((_xlfn.XLOOKUP(Profesores[[#This Row],[Nombre]],base_de_datos[Profesor],base_de_datos[Academia],1))=Profesores[[#Headers],[MAT]],"x","")</f>
        <v/>
      </c>
      <c r="AB85" s="4" t="str">
        <f>IF((_xlfn.XLOOKUP(Profesores[[#This Row],[Nombre]],base_de_datos[Profesor],base_de_datos[Academia],1))=Profesores[[#Headers],[EMP]],"x","")</f>
        <v/>
      </c>
      <c r="AC85" s="6" t="str">
        <f>IF((_xlfn.XLOOKUP(Profesores[[#This Row],[Nombre]],base_de_datos[Profesor],base_de_datos[Academia],1))=Profesores[[#Headers],[AIC]],"x","")</f>
        <v/>
      </c>
      <c r="AD85" s="6" t="str">
        <f>IF((_xlfn.XLOOKUP(Profesores[[#This Row],[Nombre]],base_de_datos[Profesor],base_de_datos[Academia],1))=Profesores[[#Headers],[ESC]],"x","")</f>
        <v/>
      </c>
      <c r="AE85" s="6" t="str">
        <f>IF((_xlfn.XLOOKUP(Profesores[[#This Row],[Nombre]],base_de_datos[Profesor],base_de_datos[Academia],1))=Profesores[[#Headers],[HUM]],"x","")</f>
        <v>x</v>
      </c>
      <c r="AF85" s="6" t="str">
        <f>IF((_xlfn.XLOOKUP(Profesores[[#This Row],[Nombre]],base_de_datos[Profesor],base_de_datos[Academia],1))=Profesores[[#Headers],[IID]],"x","")</f>
        <v/>
      </c>
      <c r="AG85" s="6" t="str">
        <f>IF((_xlfn.XLOOKUP(Profesores[[#This Row],[Nombre]],base_de_datos[Profesor],base_de_datos[Academia],1))=Profesores[[#Headers],[BIO]],"x","")</f>
        <v/>
      </c>
      <c r="AJ85" s="6">
        <f>TRUNC(IFERROR(Profesores[[#This Row],[Ex Inglés]]*677/100,0),0)</f>
        <v>0</v>
      </c>
    </row>
    <row r="86" spans="1:36" s="146" customFormat="1" ht="12" hidden="1" customHeight="1" x14ac:dyDescent="0.3">
      <c r="B86" s="81" t="s">
        <v>1062</v>
      </c>
      <c r="C86" s="81"/>
      <c r="D86" s="84" t="s">
        <v>39</v>
      </c>
      <c r="E86" s="83"/>
      <c r="F86" s="81" t="s">
        <v>304</v>
      </c>
      <c r="G86" s="235" t="s">
        <v>819</v>
      </c>
      <c r="H86" s="235" t="s">
        <v>1063</v>
      </c>
      <c r="I86" s="235" t="s">
        <v>1064</v>
      </c>
      <c r="J86" s="84"/>
      <c r="K86" s="235"/>
      <c r="L86" s="84"/>
      <c r="M86" s="85"/>
      <c r="N86" s="85"/>
      <c r="O86" s="85"/>
      <c r="P86" s="84"/>
      <c r="Q86" s="81"/>
      <c r="R86" s="81"/>
      <c r="S86" s="81"/>
      <c r="T86" s="81"/>
      <c r="U86" s="84"/>
      <c r="V86" s="84" t="str">
        <f>IF((_xlfn.XLOOKUP(Profesores[[#This Row],[Nombre]],base_de_datos[Profesor],base_de_datos[Academia],1))=Profesores[[#Headers],[MEC]],"x","")</f>
        <v/>
      </c>
      <c r="W86" s="84" t="str">
        <f>IF((_xlfn.XLOOKUP(Profesores[[#This Row],[Nombre]],base_de_datos[Profesor],base_de_datos[Academia],1))=Profesores[[#Headers],[COM]],"x","")</f>
        <v/>
      </c>
      <c r="X86" s="84"/>
      <c r="Y86" s="84" t="str">
        <f>IF((_xlfn.XLOOKUP(Profesores[[#This Row],[Nombre]],base_de_datos[Profesor],base_de_datos[Academia],1))=Profesores[[#Headers],[DOP]],"x","")</f>
        <v/>
      </c>
      <c r="Z86" s="84" t="str">
        <f>IF((_xlfn.XLOOKUP(Profesores[[#This Row],[Nombre]],base_de_datos[Profesor],base_de_datos[Academia],1))=Profesores[[#Headers],[ETF]],"x","")</f>
        <v/>
      </c>
      <c r="AA86" s="84" t="str">
        <f>IF((_xlfn.XLOOKUP(Profesores[[#This Row],[Nombre]],base_de_datos[Profesor],base_de_datos[Academia],1))=Profesores[[#Headers],[MAT]],"x","")</f>
        <v/>
      </c>
      <c r="AB86" s="84" t="str">
        <f>IF((_xlfn.XLOOKUP(Profesores[[#This Row],[Nombre]],base_de_datos[Profesor],base_de_datos[Academia],1))=Profesores[[#Headers],[EMP]],"x","")</f>
        <v/>
      </c>
      <c r="AC86" s="81" t="str">
        <f>IF((_xlfn.XLOOKUP(Profesores[[#This Row],[Nombre]],base_de_datos[Profesor],base_de_datos[Academia],1))=Profesores[[#Headers],[AIC]],"x","")</f>
        <v/>
      </c>
      <c r="AD86" s="81" t="str">
        <f>IF((_xlfn.XLOOKUP(Profesores[[#This Row],[Nombre]],base_de_datos[Profesor],base_de_datos[Academia],1))=Profesores[[#Headers],[ESC]],"x","")</f>
        <v/>
      </c>
      <c r="AE86" s="81" t="str">
        <f>IF((_xlfn.XLOOKUP(Profesores[[#This Row],[Nombre]],base_de_datos[Profesor],base_de_datos[Academia],1))=Profesores[[#Headers],[HUM]],"x","")</f>
        <v>x</v>
      </c>
      <c r="AF86" s="81" t="str">
        <f>IF((_xlfn.XLOOKUP(Profesores[[#This Row],[Nombre]],base_de_datos[Profesor],base_de_datos[Academia],1))=Profesores[[#Headers],[IID]],"x","")</f>
        <v/>
      </c>
      <c r="AG86" s="81" t="str">
        <f>IF((_xlfn.XLOOKUP(Profesores[[#This Row],[Nombre]],base_de_datos[Profesor],base_de_datos[Academia],1))=Profesores[[#Headers],[BIO]],"x","")</f>
        <v/>
      </c>
      <c r="AH86" s="81"/>
      <c r="AI86" s="81"/>
      <c r="AJ86" s="81">
        <f>TRUNC(IFERROR(Profesores[[#This Row],[Ex Inglés]]*677/100,0),0)</f>
        <v>0</v>
      </c>
    </row>
    <row r="87" spans="1:36" s="146" customFormat="1" ht="12" hidden="1" customHeight="1" x14ac:dyDescent="0.3">
      <c r="B87" s="209" t="s">
        <v>1065</v>
      </c>
      <c r="C87" s="209" t="s">
        <v>502</v>
      </c>
      <c r="D87" s="210" t="s">
        <v>39</v>
      </c>
      <c r="E87" s="211">
        <v>221181</v>
      </c>
      <c r="F87" s="209" t="s">
        <v>1066</v>
      </c>
      <c r="G87" s="212" t="s">
        <v>1067</v>
      </c>
      <c r="H87" s="212" t="s">
        <v>1068</v>
      </c>
      <c r="I87" s="212" t="s">
        <v>1069</v>
      </c>
      <c r="J87" s="220">
        <v>31742</v>
      </c>
      <c r="K87" s="212" t="s">
        <v>506</v>
      </c>
      <c r="L87" s="210" t="s">
        <v>92</v>
      </c>
      <c r="M87" s="213"/>
      <c r="N87" s="236" t="s">
        <v>1070</v>
      </c>
      <c r="O87" s="213" t="s">
        <v>1071</v>
      </c>
      <c r="P87" s="210">
        <v>133</v>
      </c>
      <c r="Q87" s="209" t="s">
        <v>1072</v>
      </c>
      <c r="R87" s="209" t="s">
        <v>511</v>
      </c>
      <c r="S87" s="209" t="s">
        <v>511</v>
      </c>
      <c r="T87" s="209">
        <v>20267</v>
      </c>
      <c r="U87" s="210">
        <v>1</v>
      </c>
      <c r="V87" s="210" t="str">
        <f>IF((_xlfn.XLOOKUP(Profesores[[#This Row],[Nombre]],base_de_datos[Profesor],base_de_datos[Academia],1))=Profesores[[#Headers],[MEC]],"x","")</f>
        <v/>
      </c>
      <c r="W87" s="210" t="str">
        <f>IF((_xlfn.XLOOKUP(Profesores[[#This Row],[Nombre]],base_de_datos[Profesor],base_de_datos[Academia],1))=Profesores[[#Headers],[COM]],"x","")</f>
        <v/>
      </c>
      <c r="X87" s="210"/>
      <c r="Y87" s="210" t="str">
        <f>IF((_xlfn.XLOOKUP(Profesores[[#This Row],[Nombre]],base_de_datos[Profesor],base_de_datos[Academia],1))=Profesores[[#Headers],[DOP]],"x","")</f>
        <v/>
      </c>
      <c r="Z87" s="210" t="str">
        <f>IF((_xlfn.XLOOKUP(Profesores[[#This Row],[Nombre]],base_de_datos[Profesor],base_de_datos[Academia],1))=Profesores[[#Headers],[ETF]],"x","")</f>
        <v/>
      </c>
      <c r="AA87" s="210" t="str">
        <f>IF((_xlfn.XLOOKUP(Profesores[[#This Row],[Nombre]],base_de_datos[Profesor],base_de_datos[Academia],1))=Profesores[[#Headers],[MAT]],"x","")</f>
        <v/>
      </c>
      <c r="AB87" s="210" t="str">
        <f>IF((_xlfn.XLOOKUP(Profesores[[#This Row],[Nombre]],base_de_datos[Profesor],base_de_datos[Academia],1))=Profesores[[#Headers],[EMP]],"x","")</f>
        <v/>
      </c>
      <c r="AC87" s="209" t="str">
        <f>IF((_xlfn.XLOOKUP(Profesores[[#This Row],[Nombre]],base_de_datos[Profesor],base_de_datos[Academia],1))=Profesores[[#Headers],[AIC]],"x","")</f>
        <v/>
      </c>
      <c r="AD87" s="209" t="str">
        <f>IF((_xlfn.XLOOKUP(Profesores[[#This Row],[Nombre]],base_de_datos[Profesor],base_de_datos[Academia],1))=Profesores[[#Headers],[ESC]],"x","")</f>
        <v/>
      </c>
      <c r="AE87" s="209" t="str">
        <f>IF((_xlfn.XLOOKUP(Profesores[[#This Row],[Nombre]],base_de_datos[Profesor],base_de_datos[Academia],1))=Profesores[[#Headers],[HUM]],"x","")</f>
        <v/>
      </c>
      <c r="AF87" s="209" t="str">
        <f>IF((_xlfn.XLOOKUP(Profesores[[#This Row],[Nombre]],base_de_datos[Profesor],base_de_datos[Academia],1))=Profesores[[#Headers],[IID]],"x","")</f>
        <v/>
      </c>
      <c r="AG87" s="209" t="str">
        <f>IF((_xlfn.XLOOKUP(Profesores[[#This Row],[Nombre]],base_de_datos[Profesor],base_de_datos[Academia],1))=Profesores[[#Headers],[BIO]],"x","")</f>
        <v/>
      </c>
      <c r="AH87" s="209" t="s">
        <v>524</v>
      </c>
      <c r="AI87" s="209"/>
      <c r="AJ87" s="209">
        <f>TRUNC(IFERROR(Profesores[[#This Row],[Ex Inglés]]*677/100,0),0)</f>
        <v>0</v>
      </c>
    </row>
    <row r="88" spans="1:36" s="146" customFormat="1" ht="12" hidden="1" customHeight="1" x14ac:dyDescent="0.3">
      <c r="B88" s="6" t="s">
        <v>1073</v>
      </c>
      <c r="C88" s="6" t="s">
        <v>540</v>
      </c>
      <c r="D88" s="4" t="s">
        <v>39</v>
      </c>
      <c r="E88" s="86">
        <v>180007</v>
      </c>
      <c r="F88" s="81" t="s">
        <v>300</v>
      </c>
      <c r="G88" s="32" t="s">
        <v>1074</v>
      </c>
      <c r="H88" s="32" t="s">
        <v>1075</v>
      </c>
      <c r="I88" s="32"/>
      <c r="J88" s="55">
        <v>21567</v>
      </c>
      <c r="K88" s="32" t="s">
        <v>506</v>
      </c>
      <c r="L88" s="4" t="s">
        <v>507</v>
      </c>
      <c r="M88" s="51">
        <v>4921450181</v>
      </c>
      <c r="N88" s="87" t="s">
        <v>1076</v>
      </c>
      <c r="O88" s="51" t="s">
        <v>1077</v>
      </c>
      <c r="P88" s="4">
        <v>315</v>
      </c>
      <c r="Q88" s="6" t="s">
        <v>1051</v>
      </c>
      <c r="R88" s="6" t="s">
        <v>511</v>
      </c>
      <c r="S88" s="6" t="s">
        <v>511</v>
      </c>
      <c r="T88" s="6">
        <v>20296</v>
      </c>
      <c r="U88" s="4">
        <v>1</v>
      </c>
      <c r="V88" s="4" t="str">
        <f>IF((_xlfn.XLOOKUP(Profesores[[#This Row],[Nombre]],base_de_datos[Profesor],base_de_datos[Academia],1))=Profesores[[#Headers],[MEC]],"x","")</f>
        <v/>
      </c>
      <c r="W88" s="4" t="str">
        <f>IF((_xlfn.XLOOKUP(Profesores[[#This Row],[Nombre]],base_de_datos[Profesor],base_de_datos[Academia],1))=Profesores[[#Headers],[COM]],"x","")</f>
        <v/>
      </c>
      <c r="X88" s="4"/>
      <c r="Y88" s="4" t="str">
        <f>IF((_xlfn.XLOOKUP(Profesores[[#This Row],[Nombre]],base_de_datos[Profesor],base_de_datos[Academia],1))=Profesores[[#Headers],[DOP]],"x","")</f>
        <v/>
      </c>
      <c r="Z88" s="4" t="str">
        <f>IF((_xlfn.XLOOKUP(Profesores[[#This Row],[Nombre]],base_de_datos[Profesor],base_de_datos[Academia],1))=Profesores[[#Headers],[ETF]],"x","")</f>
        <v/>
      </c>
      <c r="AA88" s="4" t="str">
        <f>IF((_xlfn.XLOOKUP(Profesores[[#This Row],[Nombre]],base_de_datos[Profesor],base_de_datos[Academia],1))=Profesores[[#Headers],[MAT]],"x","")</f>
        <v/>
      </c>
      <c r="AB88" s="4" t="str">
        <f>IF((_xlfn.XLOOKUP(Profesores[[#This Row],[Nombre]],base_de_datos[Profesor],base_de_datos[Academia],1))=Profesores[[#Headers],[EMP]],"x","")</f>
        <v/>
      </c>
      <c r="AC88" s="6" t="str">
        <f>IF((_xlfn.XLOOKUP(Profesores[[#This Row],[Nombre]],base_de_datos[Profesor],base_de_datos[Academia],1))=Profesores[[#Headers],[AIC]],"x","")</f>
        <v/>
      </c>
      <c r="AD88" s="6" t="str">
        <f>IF((_xlfn.XLOOKUP(Profesores[[#This Row],[Nombre]],base_de_datos[Profesor],base_de_datos[Academia],1))=Profesores[[#Headers],[ESC]],"x","")</f>
        <v/>
      </c>
      <c r="AE88" s="6" t="str">
        <f>IF((_xlfn.XLOOKUP(Profesores[[#This Row],[Nombre]],base_de_datos[Profesor],base_de_datos[Academia],1))=Profesores[[#Headers],[HUM]],"x","")</f>
        <v>x</v>
      </c>
      <c r="AF88" s="6" t="str">
        <f>IF((_xlfn.XLOOKUP(Profesores[[#This Row],[Nombre]],base_de_datos[Profesor],base_de_datos[Academia],1))=Profesores[[#Headers],[IID]],"x","")</f>
        <v/>
      </c>
      <c r="AG88" s="6" t="str">
        <f>IF((_xlfn.XLOOKUP(Profesores[[#This Row],[Nombre]],base_de_datos[Profesor],base_de_datos[Academia],1))=Profesores[[#Headers],[BIO]],"x","")</f>
        <v/>
      </c>
      <c r="AH88" s="6" t="s">
        <v>524</v>
      </c>
      <c r="AI88" s="6"/>
      <c r="AJ88" s="6">
        <f>TRUNC(IFERROR(Profesores[[#This Row],[Ex Inglés]]*677/100,0),0)</f>
        <v>0</v>
      </c>
    </row>
    <row r="89" spans="1:36" s="146" customFormat="1" ht="12" hidden="1" customHeight="1" x14ac:dyDescent="0.3">
      <c r="B89" s="209" t="s">
        <v>1078</v>
      </c>
      <c r="C89" s="209" t="s">
        <v>540</v>
      </c>
      <c r="D89" s="210" t="s">
        <v>39</v>
      </c>
      <c r="E89" s="211">
        <v>180004</v>
      </c>
      <c r="F89" s="209" t="s">
        <v>1079</v>
      </c>
      <c r="G89" s="212" t="s">
        <v>1080</v>
      </c>
      <c r="H89" s="212" t="s">
        <v>1081</v>
      </c>
      <c r="I89" s="212" t="s">
        <v>1082</v>
      </c>
      <c r="J89" s="220">
        <v>22732</v>
      </c>
      <c r="K89" s="212" t="s">
        <v>506</v>
      </c>
      <c r="L89" s="210" t="s">
        <v>507</v>
      </c>
      <c r="M89" s="213">
        <v>4921126228</v>
      </c>
      <c r="N89" s="236" t="s">
        <v>1083</v>
      </c>
      <c r="O89" s="213" t="s">
        <v>1077</v>
      </c>
      <c r="P89" s="210">
        <v>315</v>
      </c>
      <c r="Q89" s="209" t="s">
        <v>1051</v>
      </c>
      <c r="R89" s="209" t="s">
        <v>511</v>
      </c>
      <c r="S89" s="209" t="s">
        <v>511</v>
      </c>
      <c r="T89" s="209">
        <v>20296</v>
      </c>
      <c r="U89" s="210">
        <v>1</v>
      </c>
      <c r="V89" s="210" t="str">
        <f>IF((_xlfn.XLOOKUP(Profesores[[#This Row],[Nombre]],base_de_datos[Profesor],base_de_datos[Academia],1))=Profesores[[#Headers],[MEC]],"x","")</f>
        <v/>
      </c>
      <c r="W89" s="210" t="str">
        <f>IF((_xlfn.XLOOKUP(Profesores[[#This Row],[Nombre]],base_de_datos[Profesor],base_de_datos[Academia],1))=Profesores[[#Headers],[COM]],"x","")</f>
        <v/>
      </c>
      <c r="X89" s="210"/>
      <c r="Y89" s="210" t="str">
        <f>IF((_xlfn.XLOOKUP(Profesores[[#This Row],[Nombre]],base_de_datos[Profesor],base_de_datos[Academia],1))=Profesores[[#Headers],[DOP]],"x","")</f>
        <v/>
      </c>
      <c r="Z89" s="210" t="str">
        <f>IF((_xlfn.XLOOKUP(Profesores[[#This Row],[Nombre]],base_de_datos[Profesor],base_de_datos[Academia],1))=Profesores[[#Headers],[ETF]],"x","")</f>
        <v/>
      </c>
      <c r="AA89" s="210" t="str">
        <f>IF((_xlfn.XLOOKUP(Profesores[[#This Row],[Nombre]],base_de_datos[Profesor],base_de_datos[Academia],1))=Profesores[[#Headers],[MAT]],"x","")</f>
        <v/>
      </c>
      <c r="AB89" s="210" t="str">
        <f>IF((_xlfn.XLOOKUP(Profesores[[#This Row],[Nombre]],base_de_datos[Profesor],base_de_datos[Academia],1))=Profesores[[#Headers],[EMP]],"x","")</f>
        <v/>
      </c>
      <c r="AC89" s="209" t="str">
        <f>IF((_xlfn.XLOOKUP(Profesores[[#This Row],[Nombre]],base_de_datos[Profesor],base_de_datos[Academia],1))=Profesores[[#Headers],[AIC]],"x","")</f>
        <v/>
      </c>
      <c r="AD89" s="209" t="str">
        <f>IF((_xlfn.XLOOKUP(Profesores[[#This Row],[Nombre]],base_de_datos[Profesor],base_de_datos[Academia],1))=Profesores[[#Headers],[ESC]],"x","")</f>
        <v/>
      </c>
      <c r="AE89" s="209" t="str">
        <f>IF((_xlfn.XLOOKUP(Profesores[[#This Row],[Nombre]],base_de_datos[Profesor],base_de_datos[Academia],1))=Profesores[[#Headers],[HUM]],"x","")</f>
        <v/>
      </c>
      <c r="AF89" s="209" t="str">
        <f>IF((_xlfn.XLOOKUP(Profesores[[#This Row],[Nombre]],base_de_datos[Profesor],base_de_datos[Academia],1))=Profesores[[#Headers],[IID]],"x","")</f>
        <v/>
      </c>
      <c r="AG89" s="209" t="str">
        <f>IF((_xlfn.XLOOKUP(Profesores[[#This Row],[Nombre]],base_de_datos[Profesor],base_de_datos[Academia],1))=Profesores[[#Headers],[BIO]],"x","")</f>
        <v/>
      </c>
      <c r="AH89" s="209" t="s">
        <v>524</v>
      </c>
      <c r="AI89" s="209"/>
      <c r="AJ89" s="209">
        <f>TRUNC(IFERROR(Profesores[[#This Row],[Ex Inglés]]*677/100,0),0)</f>
        <v>0</v>
      </c>
    </row>
    <row r="90" spans="1:36" s="146" customFormat="1" ht="12" hidden="1" customHeight="1" x14ac:dyDescent="0.3">
      <c r="B90" s="6" t="s">
        <v>1084</v>
      </c>
      <c r="C90" s="6" t="s">
        <v>501</v>
      </c>
      <c r="D90" s="4" t="s">
        <v>39</v>
      </c>
      <c r="E90" s="82">
        <v>150932</v>
      </c>
      <c r="F90" s="81" t="s">
        <v>389</v>
      </c>
      <c r="G90" s="32" t="s">
        <v>1085</v>
      </c>
      <c r="H90" s="32" t="s">
        <v>1086</v>
      </c>
      <c r="I90" s="32" t="s">
        <v>519</v>
      </c>
      <c r="J90" s="55">
        <v>25996</v>
      </c>
      <c r="K90" s="32" t="s">
        <v>506</v>
      </c>
      <c r="L90" s="4" t="s">
        <v>507</v>
      </c>
      <c r="M90" s="51">
        <v>4499963127</v>
      </c>
      <c r="N90" s="87" t="s">
        <v>1087</v>
      </c>
      <c r="O90" s="51" t="s">
        <v>1088</v>
      </c>
      <c r="P90" s="4">
        <v>504</v>
      </c>
      <c r="Q90" s="6" t="s">
        <v>1089</v>
      </c>
      <c r="R90" s="6" t="s">
        <v>511</v>
      </c>
      <c r="S90" s="6" t="s">
        <v>511</v>
      </c>
      <c r="T90" s="6">
        <v>20280</v>
      </c>
      <c r="U90" s="4">
        <v>1</v>
      </c>
      <c r="V90" s="4" t="str">
        <f>IF((_xlfn.XLOOKUP(Profesores[[#This Row],[Nombre]],base_de_datos[Profesor],base_de_datos[Academia],1))=Profesores[[#Headers],[MEC]],"x","")</f>
        <v/>
      </c>
      <c r="W90" s="4" t="str">
        <f>IF((_xlfn.XLOOKUP(Profesores[[#This Row],[Nombre]],base_de_datos[Profesor],base_de_datos[Academia],1))=Profesores[[#Headers],[COM]],"x","")</f>
        <v/>
      </c>
      <c r="X90" s="4"/>
      <c r="Y90" s="4" t="str">
        <f>IF((_xlfn.XLOOKUP(Profesores[[#This Row],[Nombre]],base_de_datos[Profesor],base_de_datos[Academia],1))=Profesores[[#Headers],[DOP]],"x","")</f>
        <v/>
      </c>
      <c r="Z90" s="4" t="str">
        <f>IF((_xlfn.XLOOKUP(Profesores[[#This Row],[Nombre]],base_de_datos[Profesor],base_de_datos[Academia],1))=Profesores[[#Headers],[ETF]],"x","")</f>
        <v/>
      </c>
      <c r="AA90" s="4" t="str">
        <f>IF((_xlfn.XLOOKUP(Profesores[[#This Row],[Nombre]],base_de_datos[Profesor],base_de_datos[Academia],1))=Profesores[[#Headers],[MAT]],"x","")</f>
        <v/>
      </c>
      <c r="AB90" s="4" t="str">
        <f>IF((_xlfn.XLOOKUP(Profesores[[#This Row],[Nombre]],base_de_datos[Profesor],base_de_datos[Academia],1))=Profesores[[#Headers],[EMP]],"x","")</f>
        <v/>
      </c>
      <c r="AC90" s="6" t="str">
        <f>IF((_xlfn.XLOOKUP(Profesores[[#This Row],[Nombre]],base_de_datos[Profesor],base_de_datos[Academia],1))=Profesores[[#Headers],[AIC]],"x","")</f>
        <v/>
      </c>
      <c r="AD90" s="6" t="str">
        <f>IF((_xlfn.XLOOKUP(Profesores[[#This Row],[Nombre]],base_de_datos[Profesor],base_de_datos[Academia],1))=Profesores[[#Headers],[ESC]],"x","")</f>
        <v/>
      </c>
      <c r="AE90" s="6" t="str">
        <f>IF((_xlfn.XLOOKUP(Profesores[[#This Row],[Nombre]],base_de_datos[Profesor],base_de_datos[Academia],1))=Profesores[[#Headers],[HUM]],"x","")</f>
        <v>x</v>
      </c>
      <c r="AF90" s="6" t="str">
        <f>IF((_xlfn.XLOOKUP(Profesores[[#This Row],[Nombre]],base_de_datos[Profesor],base_de_datos[Academia],1))=Profesores[[#Headers],[IID]],"x","")</f>
        <v/>
      </c>
      <c r="AG90" s="6" t="str">
        <f>IF((_xlfn.XLOOKUP(Profesores[[#This Row],[Nombre]],base_de_datos[Profesor],base_de_datos[Academia],1))=Profesores[[#Headers],[BIO]],"x","")</f>
        <v/>
      </c>
      <c r="AH90" s="6" t="s">
        <v>524</v>
      </c>
      <c r="AI90" s="6"/>
      <c r="AJ90" s="6">
        <f>TRUNC(IFERROR(Profesores[[#This Row],[Ex Inglés]]*677/100,0),0)</f>
        <v>0</v>
      </c>
    </row>
    <row r="91" spans="1:36" s="146" customFormat="1" ht="12" hidden="1" customHeight="1" x14ac:dyDescent="0.3">
      <c r="A91" s="167"/>
      <c r="B91" s="6" t="s">
        <v>1090</v>
      </c>
      <c r="C91" s="6" t="s">
        <v>502</v>
      </c>
      <c r="D91" s="4" t="s">
        <v>39</v>
      </c>
      <c r="E91" s="86">
        <v>82554</v>
      </c>
      <c r="F91" s="81" t="s">
        <v>308</v>
      </c>
      <c r="G91" s="32" t="s">
        <v>1091</v>
      </c>
      <c r="H91" s="32" t="s">
        <v>1092</v>
      </c>
      <c r="I91" s="32" t="s">
        <v>1093</v>
      </c>
      <c r="J91" s="55">
        <v>29773</v>
      </c>
      <c r="K91" s="32" t="s">
        <v>506</v>
      </c>
      <c r="L91" s="4" t="s">
        <v>507</v>
      </c>
      <c r="M91" s="51">
        <v>4491251381</v>
      </c>
      <c r="N91" s="87" t="s">
        <v>1094</v>
      </c>
      <c r="O91" s="51" t="s">
        <v>1095</v>
      </c>
      <c r="P91" s="4" t="s">
        <v>1096</v>
      </c>
      <c r="Q91" s="6" t="s">
        <v>1097</v>
      </c>
      <c r="R91" s="6" t="s">
        <v>511</v>
      </c>
      <c r="S91" s="6" t="s">
        <v>511</v>
      </c>
      <c r="T91" s="6">
        <v>20138</v>
      </c>
      <c r="U91" s="4">
        <v>2</v>
      </c>
      <c r="V91" s="4" t="str">
        <f>IF((_xlfn.XLOOKUP(Profesores[[#This Row],[Nombre]],base_de_datos[Profesor],base_de_datos[Academia],1))=Profesores[[#Headers],[MEC]],"x","")</f>
        <v/>
      </c>
      <c r="W91" s="4" t="str">
        <f>IF((_xlfn.XLOOKUP(Profesores[[#This Row],[Nombre]],base_de_datos[Profesor],base_de_datos[Academia],1))=Profesores[[#Headers],[COM]],"x","")</f>
        <v/>
      </c>
      <c r="X91" s="4"/>
      <c r="Y91" s="4" t="str">
        <f>IF((_xlfn.XLOOKUP(Profesores[[#This Row],[Nombre]],base_de_datos[Profesor],base_de_datos[Academia],1))=Profesores[[#Headers],[DOP]],"x","")</f>
        <v/>
      </c>
      <c r="Z91" s="4" t="str">
        <f>IF((_xlfn.XLOOKUP(Profesores[[#This Row],[Nombre]],base_de_datos[Profesor],base_de_datos[Academia],1))=Profesores[[#Headers],[ETF]],"x","")</f>
        <v/>
      </c>
      <c r="AA91" s="4" t="str">
        <f>IF((_xlfn.XLOOKUP(Profesores[[#This Row],[Nombre]],base_de_datos[Profesor],base_de_datos[Academia],1))=Profesores[[#Headers],[MAT]],"x","")</f>
        <v/>
      </c>
      <c r="AB91" s="4" t="str">
        <f>IF((_xlfn.XLOOKUP(Profesores[[#This Row],[Nombre]],base_de_datos[Profesor],base_de_datos[Academia],1))=Profesores[[#Headers],[EMP]],"x","")</f>
        <v/>
      </c>
      <c r="AC91" s="6" t="str">
        <f>IF((_xlfn.XLOOKUP(Profesores[[#This Row],[Nombre]],base_de_datos[Profesor],base_de_datos[Academia],1))=Profesores[[#Headers],[AIC]],"x","")</f>
        <v/>
      </c>
      <c r="AD91" s="6" t="str">
        <f>IF((_xlfn.XLOOKUP(Profesores[[#This Row],[Nombre]],base_de_datos[Profesor],base_de_datos[Academia],1))=Profesores[[#Headers],[ESC]],"x","")</f>
        <v/>
      </c>
      <c r="AE91" s="6" t="str">
        <f>IF((_xlfn.XLOOKUP(Profesores[[#This Row],[Nombre]],base_de_datos[Profesor],base_de_datos[Academia],1))=Profesores[[#Headers],[HUM]],"x","")</f>
        <v>x</v>
      </c>
      <c r="AF91" s="6" t="str">
        <f>IF((_xlfn.XLOOKUP(Profesores[[#This Row],[Nombre]],base_de_datos[Profesor],base_de_datos[Academia],1))=Profesores[[#Headers],[IID]],"x","")</f>
        <v/>
      </c>
      <c r="AG91" s="6" t="str">
        <f>IF((_xlfn.XLOOKUP(Profesores[[#This Row],[Nombre]],base_de_datos[Profesor],base_de_datos[Academia],1))=Profesores[[#Headers],[BIO]],"x","")</f>
        <v/>
      </c>
      <c r="AH91" s="6" t="s">
        <v>524</v>
      </c>
      <c r="AI91" s="6"/>
      <c r="AJ91" s="6">
        <f>TRUNC(IFERROR(Profesores[[#This Row],[Ex Inglés]]*677/100,0),0)</f>
        <v>0</v>
      </c>
    </row>
    <row r="92" spans="1:36" ht="12" hidden="1" customHeight="1" x14ac:dyDescent="0.3">
      <c r="B92" s="6" t="s">
        <v>1098</v>
      </c>
      <c r="C92" s="6" t="s">
        <v>526</v>
      </c>
      <c r="D92" s="4" t="s">
        <v>39</v>
      </c>
      <c r="E92" s="54">
        <v>249413</v>
      </c>
      <c r="F92" s="81" t="s">
        <v>312</v>
      </c>
      <c r="G92" s="32" t="s">
        <v>1099</v>
      </c>
      <c r="H92" s="32" t="s">
        <v>584</v>
      </c>
      <c r="I92" s="32" t="s">
        <v>1100</v>
      </c>
      <c r="J92" s="55">
        <v>28918</v>
      </c>
      <c r="L92" s="4" t="s">
        <v>92</v>
      </c>
      <c r="M92" s="51"/>
      <c r="N92" s="52" t="s">
        <v>1101</v>
      </c>
      <c r="O92" s="51" t="s">
        <v>1102</v>
      </c>
      <c r="P92" s="4">
        <v>3772</v>
      </c>
      <c r="Q92" s="6" t="s">
        <v>1103</v>
      </c>
      <c r="R92" s="6" t="s">
        <v>1104</v>
      </c>
      <c r="S92" s="6" t="s">
        <v>1105</v>
      </c>
      <c r="T92" s="6">
        <v>80059</v>
      </c>
      <c r="U92" s="4">
        <v>2</v>
      </c>
      <c r="V92" s="4" t="str">
        <f>IF((_xlfn.XLOOKUP(Profesores[[#This Row],[Nombre]],base_de_datos[Profesor],base_de_datos[Academia],1))=Profesores[[#Headers],[MEC]],"x","")</f>
        <v/>
      </c>
      <c r="W92" s="4" t="str">
        <f>IF((_xlfn.XLOOKUP(Profesores[[#This Row],[Nombre]],base_de_datos[Profesor],base_de_datos[Academia],1))=Profesores[[#Headers],[COM]],"x","")</f>
        <v/>
      </c>
      <c r="Y92" s="4" t="str">
        <f>IF((_xlfn.XLOOKUP(Profesores[[#This Row],[Nombre]],base_de_datos[Profesor],base_de_datos[Academia],1))=Profesores[[#Headers],[DOP]],"x","")</f>
        <v/>
      </c>
      <c r="Z92" s="4" t="str">
        <f>IF((_xlfn.XLOOKUP(Profesores[[#This Row],[Nombre]],base_de_datos[Profesor],base_de_datos[Academia],1))=Profesores[[#Headers],[ETF]],"x","")</f>
        <v/>
      </c>
      <c r="AA92" s="4" t="str">
        <f>IF((_xlfn.XLOOKUP(Profesores[[#This Row],[Nombre]],base_de_datos[Profesor],base_de_datos[Academia],1))=Profesores[[#Headers],[MAT]],"x","")</f>
        <v/>
      </c>
      <c r="AB92" s="4" t="str">
        <f>IF((_xlfn.XLOOKUP(Profesores[[#This Row],[Nombre]],base_de_datos[Profesor],base_de_datos[Academia],1))=Profesores[[#Headers],[EMP]],"x","")</f>
        <v/>
      </c>
      <c r="AC92" s="6" t="str">
        <f>IF((_xlfn.XLOOKUP(Profesores[[#This Row],[Nombre]],base_de_datos[Profesor],base_de_datos[Academia],1))=Profesores[[#Headers],[AIC]],"x","")</f>
        <v/>
      </c>
      <c r="AD92" s="6" t="str">
        <f>IF((_xlfn.XLOOKUP(Profesores[[#This Row],[Nombre]],base_de_datos[Profesor],base_de_datos[Academia],1))=Profesores[[#Headers],[ESC]],"x","")</f>
        <v/>
      </c>
      <c r="AE92" s="6" t="str">
        <f>IF((_xlfn.XLOOKUP(Profesores[[#This Row],[Nombre]],base_de_datos[Profesor],base_de_datos[Academia],1))=Profesores[[#Headers],[HUM]],"x","")</f>
        <v>x</v>
      </c>
      <c r="AF92" s="6" t="str">
        <f>IF((_xlfn.XLOOKUP(Profesores[[#This Row],[Nombre]],base_de_datos[Profesor],base_de_datos[Academia],1))=Profesores[[#Headers],[IID]],"x","")</f>
        <v/>
      </c>
      <c r="AG92" s="6" t="str">
        <f>IF((_xlfn.XLOOKUP(Profesores[[#This Row],[Nombre]],base_de_datos[Profesor],base_de_datos[Academia],1))=Profesores[[#Headers],[BIO]],"x","")</f>
        <v/>
      </c>
      <c r="AH92" s="6" t="s">
        <v>524</v>
      </c>
      <c r="AJ92" s="6">
        <f>TRUNC(IFERROR(Profesores[[#This Row],[Ex Inglés]]*677/100,0),0)</f>
        <v>0</v>
      </c>
    </row>
    <row r="93" spans="1:36" s="209" customFormat="1" ht="12" hidden="1" customHeight="1" x14ac:dyDescent="0.3">
      <c r="A93" s="245"/>
      <c r="B93" s="6" t="s">
        <v>1106</v>
      </c>
      <c r="C93" s="6" t="s">
        <v>501</v>
      </c>
      <c r="D93" s="4" t="s">
        <v>39</v>
      </c>
      <c r="E93" s="54">
        <v>159616</v>
      </c>
      <c r="F93" s="81" t="s">
        <v>386</v>
      </c>
      <c r="G93" s="32" t="s">
        <v>1107</v>
      </c>
      <c r="H93" s="32" t="s">
        <v>1108</v>
      </c>
      <c r="I93" s="32" t="s">
        <v>1109</v>
      </c>
      <c r="J93" s="55">
        <v>34413</v>
      </c>
      <c r="K93" s="32" t="s">
        <v>506</v>
      </c>
      <c r="L93" s="4" t="s">
        <v>92</v>
      </c>
      <c r="M93" s="51">
        <v>4495496832</v>
      </c>
      <c r="N93" s="52" t="s">
        <v>1110</v>
      </c>
      <c r="O93" s="51" t="s">
        <v>1111</v>
      </c>
      <c r="P93" s="4" t="s">
        <v>1112</v>
      </c>
      <c r="Q93" s="6" t="s">
        <v>1113</v>
      </c>
      <c r="R93" s="6" t="s">
        <v>511</v>
      </c>
      <c r="S93" s="6" t="s">
        <v>511</v>
      </c>
      <c r="T93" s="6">
        <v>20196</v>
      </c>
      <c r="U93" s="4">
        <v>1</v>
      </c>
      <c r="V93" s="4" t="str">
        <f>IF((_xlfn.XLOOKUP(Profesores[[#This Row],[Nombre]],base_de_datos[Profesor],base_de_datos[Academia],1))=Profesores[[#Headers],[MEC]],"x","")</f>
        <v/>
      </c>
      <c r="W93" s="4" t="str">
        <f>IF((_xlfn.XLOOKUP(Profesores[[#This Row],[Nombre]],base_de_datos[Profesor],base_de_datos[Academia],1))=Profesores[[#Headers],[COM]],"x","")</f>
        <v/>
      </c>
      <c r="X93" s="4"/>
      <c r="Y93" s="4" t="str">
        <f>IF((_xlfn.XLOOKUP(Profesores[[#This Row],[Nombre]],base_de_datos[Profesor],base_de_datos[Academia],1))=Profesores[[#Headers],[DOP]],"x","")</f>
        <v/>
      </c>
      <c r="Z93" s="4" t="str">
        <f>IF((_xlfn.XLOOKUP(Profesores[[#This Row],[Nombre]],base_de_datos[Profesor],base_de_datos[Academia],1))=Profesores[[#Headers],[ETF]],"x","")</f>
        <v/>
      </c>
      <c r="AA93" s="4" t="str">
        <f>IF((_xlfn.XLOOKUP(Profesores[[#This Row],[Nombre]],base_de_datos[Profesor],base_de_datos[Academia],1))=Profesores[[#Headers],[MAT]],"x","")</f>
        <v/>
      </c>
      <c r="AB93" s="4" t="str">
        <f>IF((_xlfn.XLOOKUP(Profesores[[#This Row],[Nombre]],base_de_datos[Profesor],base_de_datos[Academia],1))=Profesores[[#Headers],[EMP]],"x","")</f>
        <v/>
      </c>
      <c r="AC93" s="6" t="str">
        <f>IF((_xlfn.XLOOKUP(Profesores[[#This Row],[Nombre]],base_de_datos[Profesor],base_de_datos[Academia],1))=Profesores[[#Headers],[AIC]],"x","")</f>
        <v/>
      </c>
      <c r="AD93" s="6" t="str">
        <f>IF((_xlfn.XLOOKUP(Profesores[[#This Row],[Nombre]],base_de_datos[Profesor],base_de_datos[Academia],1))=Profesores[[#Headers],[ESC]],"x","")</f>
        <v/>
      </c>
      <c r="AE93" s="6" t="str">
        <f>IF((_xlfn.XLOOKUP(Profesores[[#This Row],[Nombre]],base_de_datos[Profesor],base_de_datos[Academia],1))=Profesores[[#Headers],[HUM]],"x","")</f>
        <v>x</v>
      </c>
      <c r="AF93" s="6" t="str">
        <f>IF((_xlfn.XLOOKUP(Profesores[[#This Row],[Nombre]],base_de_datos[Profesor],base_de_datos[Academia],1))=Profesores[[#Headers],[IID]],"x","")</f>
        <v/>
      </c>
      <c r="AG93" s="6" t="str">
        <f>IF((_xlfn.XLOOKUP(Profesores[[#This Row],[Nombre]],base_de_datos[Profesor],base_de_datos[Academia],1))=Profesores[[#Headers],[BIO]],"x","")</f>
        <v/>
      </c>
      <c r="AH93" s="6" t="s">
        <v>524</v>
      </c>
      <c r="AI93" s="6"/>
      <c r="AJ93" s="6">
        <f>TRUNC(IFERROR(Profesores[[#This Row],[Ex Inglés]]*677/100,0),0)</f>
        <v>0</v>
      </c>
    </row>
    <row r="94" spans="1:36" ht="12" hidden="1" customHeight="1" x14ac:dyDescent="0.3">
      <c r="A94" s="99"/>
      <c r="B94" s="6" t="s">
        <v>1114</v>
      </c>
      <c r="C94" s="6" t="s">
        <v>526</v>
      </c>
      <c r="D94" s="4" t="s">
        <v>39</v>
      </c>
      <c r="E94" s="54">
        <v>56443</v>
      </c>
      <c r="F94" s="81" t="s">
        <v>140</v>
      </c>
      <c r="G94" s="32" t="s">
        <v>1115</v>
      </c>
      <c r="H94" s="32" t="s">
        <v>746</v>
      </c>
      <c r="I94" s="32" t="s">
        <v>752</v>
      </c>
      <c r="J94" s="55">
        <v>19644</v>
      </c>
      <c r="K94" s="32" t="s">
        <v>87</v>
      </c>
      <c r="L94" s="4" t="s">
        <v>507</v>
      </c>
      <c r="M94" s="51">
        <v>4492104156</v>
      </c>
      <c r="N94" s="52" t="s">
        <v>1116</v>
      </c>
      <c r="O94" s="51" t="s">
        <v>1117</v>
      </c>
      <c r="P94" s="4">
        <v>324</v>
      </c>
      <c r="Q94" s="6" t="s">
        <v>1118</v>
      </c>
      <c r="R94" s="6" t="s">
        <v>511</v>
      </c>
      <c r="S94" s="6" t="s">
        <v>511</v>
      </c>
      <c r="T94" s="6">
        <v>20000</v>
      </c>
      <c r="U94" s="4">
        <v>2</v>
      </c>
      <c r="V94" s="4" t="str">
        <f>IF((_xlfn.XLOOKUP(Profesores[[#This Row],[Nombre]],base_de_datos[Profesor],base_de_datos[Academia],1))=Profesores[[#Headers],[MEC]],"x","")</f>
        <v/>
      </c>
      <c r="W94" s="4" t="str">
        <f>IF((_xlfn.XLOOKUP(Profesores[[#This Row],[Nombre]],base_de_datos[Profesor],base_de_datos[Academia],1))=Profesores[[#Headers],[COM]],"x","")</f>
        <v/>
      </c>
      <c r="Y94" s="4" t="str">
        <f>IF((_xlfn.XLOOKUP(Profesores[[#This Row],[Nombre]],base_de_datos[Profesor],base_de_datos[Academia],1))=Profesores[[#Headers],[DOP]],"x","")</f>
        <v/>
      </c>
      <c r="Z94" s="4" t="str">
        <f>IF((_xlfn.XLOOKUP(Profesores[[#This Row],[Nombre]],base_de_datos[Profesor],base_de_datos[Academia],1))=Profesores[[#Headers],[ETF]],"x","")</f>
        <v/>
      </c>
      <c r="AA94" s="4" t="str">
        <f>IF((_xlfn.XLOOKUP(Profesores[[#This Row],[Nombre]],base_de_datos[Profesor],base_de_datos[Academia],1))=Profesores[[#Headers],[MAT]],"x","")</f>
        <v/>
      </c>
      <c r="AB94" s="4" t="str">
        <f>IF((_xlfn.XLOOKUP(Profesores[[#This Row],[Nombre]],base_de_datos[Profesor],base_de_datos[Academia],1))=Profesores[[#Headers],[EMP]],"x","")</f>
        <v/>
      </c>
      <c r="AC94" s="6" t="str">
        <f>IF((_xlfn.XLOOKUP(Profesores[[#This Row],[Nombre]],base_de_datos[Profesor],base_de_datos[Academia],1))=Profesores[[#Headers],[AIC]],"x","")</f>
        <v/>
      </c>
      <c r="AD94" s="6" t="str">
        <f>IF((_xlfn.XLOOKUP(Profesores[[#This Row],[Nombre]],base_de_datos[Profesor],base_de_datos[Academia],1))=Profesores[[#Headers],[ESC]],"x","")</f>
        <v/>
      </c>
      <c r="AE94" s="6" t="str">
        <f>IF((_xlfn.XLOOKUP(Profesores[[#This Row],[Nombre]],base_de_datos[Profesor],base_de_datos[Academia],1))=Profesores[[#Headers],[HUM]],"x","")</f>
        <v>x</v>
      </c>
      <c r="AF94" s="6" t="str">
        <f>IF((_xlfn.XLOOKUP(Profesores[[#This Row],[Nombre]],base_de_datos[Profesor],base_de_datos[Academia],1))=Profesores[[#Headers],[IID]],"x","")</f>
        <v/>
      </c>
      <c r="AG94" s="6" t="str">
        <f>IF((_xlfn.XLOOKUP(Profesores[[#This Row],[Nombre]],base_de_datos[Profesor],base_de_datos[Academia],1))=Profesores[[#Headers],[BIO]],"x","")</f>
        <v/>
      </c>
      <c r="AH94" s="6" t="s">
        <v>524</v>
      </c>
      <c r="AJ94" s="6">
        <f>TRUNC(IFERROR(Profesores[[#This Row],[Ex Inglés]]*677/100,0),0)</f>
        <v>0</v>
      </c>
    </row>
    <row r="95" spans="1:36" s="146" customFormat="1" ht="12" hidden="1" customHeight="1" x14ac:dyDescent="0.3">
      <c r="A95" s="167"/>
      <c r="B95" s="6" t="s">
        <v>1119</v>
      </c>
      <c r="C95" s="6" t="s">
        <v>526</v>
      </c>
      <c r="D95" s="4" t="s">
        <v>39</v>
      </c>
      <c r="E95" s="54">
        <v>53133</v>
      </c>
      <c r="F95" s="81" t="s">
        <v>143</v>
      </c>
      <c r="G95" s="32" t="s">
        <v>1120</v>
      </c>
      <c r="H95" s="32" t="s">
        <v>1121</v>
      </c>
      <c r="I95" s="32" t="s">
        <v>1122</v>
      </c>
      <c r="J95" s="55">
        <v>27030</v>
      </c>
      <c r="K95" s="32" t="s">
        <v>506</v>
      </c>
      <c r="L95" s="4" t="s">
        <v>507</v>
      </c>
      <c r="M95" s="51">
        <v>4491159330</v>
      </c>
      <c r="N95" s="52" t="s">
        <v>1123</v>
      </c>
      <c r="O95" s="51" t="s">
        <v>1124</v>
      </c>
      <c r="P95" s="4">
        <v>301</v>
      </c>
      <c r="Q95" s="6" t="s">
        <v>1044</v>
      </c>
      <c r="R95" s="6" t="s">
        <v>511</v>
      </c>
      <c r="S95" s="6" t="s">
        <v>511</v>
      </c>
      <c r="T95" s="6">
        <v>20270</v>
      </c>
      <c r="U95" s="4">
        <v>2</v>
      </c>
      <c r="V95" s="4" t="str">
        <f>IF((_xlfn.XLOOKUP(Profesores[[#This Row],[Nombre]],base_de_datos[Profesor],base_de_datos[Academia],1))=Profesores[[#Headers],[MEC]],"x","")</f>
        <v/>
      </c>
      <c r="W95" s="4" t="str">
        <f>IF((_xlfn.XLOOKUP(Profesores[[#This Row],[Nombre]],base_de_datos[Profesor],base_de_datos[Academia],1))=Profesores[[#Headers],[COM]],"x","")</f>
        <v/>
      </c>
      <c r="X95" s="4"/>
      <c r="Y95" s="4" t="str">
        <f>IF((_xlfn.XLOOKUP(Profesores[[#This Row],[Nombre]],base_de_datos[Profesor],base_de_datos[Academia],1))=Profesores[[#Headers],[DOP]],"x","")</f>
        <v/>
      </c>
      <c r="Z95" s="4" t="str">
        <f>IF((_xlfn.XLOOKUP(Profesores[[#This Row],[Nombre]],base_de_datos[Profesor],base_de_datos[Academia],1))=Profesores[[#Headers],[ETF]],"x","")</f>
        <v/>
      </c>
      <c r="AA95" s="4" t="str">
        <f>IF((_xlfn.XLOOKUP(Profesores[[#This Row],[Nombre]],base_de_datos[Profesor],base_de_datos[Academia],1))=Profesores[[#Headers],[MAT]],"x","")</f>
        <v/>
      </c>
      <c r="AB95" s="4" t="str">
        <f>IF((_xlfn.XLOOKUP(Profesores[[#This Row],[Nombre]],base_de_datos[Profesor],base_de_datos[Academia],1))=Profesores[[#Headers],[EMP]],"x","")</f>
        <v/>
      </c>
      <c r="AC95" s="6" t="str">
        <f>IF((_xlfn.XLOOKUP(Profesores[[#This Row],[Nombre]],base_de_datos[Profesor],base_de_datos[Academia],1))=Profesores[[#Headers],[AIC]],"x","")</f>
        <v/>
      </c>
      <c r="AD95" s="6" t="str">
        <f>IF((_xlfn.XLOOKUP(Profesores[[#This Row],[Nombre]],base_de_datos[Profesor],base_de_datos[Academia],1))=Profesores[[#Headers],[ESC]],"x","")</f>
        <v/>
      </c>
      <c r="AE95" s="6" t="str">
        <f>IF((_xlfn.XLOOKUP(Profesores[[#This Row],[Nombre]],base_de_datos[Profesor],base_de_datos[Academia],1))=Profesores[[#Headers],[HUM]],"x","")</f>
        <v>x</v>
      </c>
      <c r="AF95" s="6" t="str">
        <f>IF((_xlfn.XLOOKUP(Profesores[[#This Row],[Nombre]],base_de_datos[Profesor],base_de_datos[Academia],1))=Profesores[[#Headers],[IID]],"x","")</f>
        <v/>
      </c>
      <c r="AG95" s="6" t="str">
        <f>IF((_xlfn.XLOOKUP(Profesores[[#This Row],[Nombre]],base_de_datos[Profesor],base_de_datos[Academia],1))=Profesores[[#Headers],[BIO]],"x","")</f>
        <v/>
      </c>
      <c r="AH95" s="6" t="s">
        <v>524</v>
      </c>
      <c r="AI95" s="6"/>
      <c r="AJ95" s="6">
        <f>TRUNC(IFERROR(Profesores[[#This Row],[Ex Inglés]]*677/100,0),0)</f>
        <v>0</v>
      </c>
    </row>
    <row r="96" spans="1:36" ht="12" hidden="1" customHeight="1" x14ac:dyDescent="0.3">
      <c r="A96" s="99"/>
      <c r="B96" s="146">
        <v>1</v>
      </c>
      <c r="C96" s="153" t="s">
        <v>502</v>
      </c>
      <c r="D96" s="154" t="s">
        <v>36</v>
      </c>
      <c r="E96" s="155">
        <v>144749</v>
      </c>
      <c r="F96" s="153" t="s">
        <v>348</v>
      </c>
      <c r="G96" s="156" t="s">
        <v>1125</v>
      </c>
      <c r="H96" s="156" t="s">
        <v>1126</v>
      </c>
      <c r="I96" s="156" t="s">
        <v>1127</v>
      </c>
      <c r="J96" s="157">
        <v>31153</v>
      </c>
      <c r="K96" s="202" t="s">
        <v>506</v>
      </c>
      <c r="L96" s="147" t="s">
        <v>507</v>
      </c>
      <c r="M96" s="151">
        <v>4492058598</v>
      </c>
      <c r="N96" s="171" t="s">
        <v>1128</v>
      </c>
      <c r="O96" s="151" t="s">
        <v>1124</v>
      </c>
      <c r="P96" s="147">
        <v>301</v>
      </c>
      <c r="Q96" s="146" t="s">
        <v>1129</v>
      </c>
      <c r="R96" s="146" t="s">
        <v>511</v>
      </c>
      <c r="S96" s="146" t="s">
        <v>511</v>
      </c>
      <c r="T96" s="146">
        <v>20270</v>
      </c>
      <c r="U96" s="147">
        <v>1</v>
      </c>
      <c r="V96" s="147" t="str">
        <f>IF((_xlfn.XLOOKUP(Profesores[[#This Row],[Nombre]],base_de_datos[Profesor],base_de_datos[Academia],1))=Profesores[[#Headers],[MEC]],"x","")</f>
        <v/>
      </c>
      <c r="W96" s="147" t="str">
        <f>IF((_xlfn.XLOOKUP(Profesores[[#This Row],[Nombre]],base_de_datos[Profesor],base_de_datos[Academia],1))=Profesores[[#Headers],[COM]],"x","")</f>
        <v/>
      </c>
      <c r="X96" s="147"/>
      <c r="Y96" s="147" t="str">
        <f>IF((_xlfn.XLOOKUP(Profesores[[#This Row],[Nombre]],base_de_datos[Profesor],base_de_datos[Academia],1))=Profesores[[#Headers],[DOP]],"x","")</f>
        <v>x</v>
      </c>
      <c r="Z96" s="147" t="str">
        <f>IF((_xlfn.XLOOKUP(Profesores[[#This Row],[Nombre]],base_de_datos[Profesor],base_de_datos[Academia],1))=Profesores[[#Headers],[ETF]],"x","")</f>
        <v/>
      </c>
      <c r="AA96" s="147" t="str">
        <f>IF((_xlfn.XLOOKUP(Profesores[[#This Row],[Nombre]],base_de_datos[Profesor],base_de_datos[Academia],1))=Profesores[[#Headers],[MAT]],"x","")</f>
        <v/>
      </c>
      <c r="AB96" s="147" t="str">
        <f>IF((_xlfn.XLOOKUP(Profesores[[#This Row],[Nombre]],base_de_datos[Profesor],base_de_datos[Academia],1))=Profesores[[#Headers],[EMP]],"x","")</f>
        <v/>
      </c>
      <c r="AC96" s="146" t="str">
        <f>IF((_xlfn.XLOOKUP(Profesores[[#This Row],[Nombre]],base_de_datos[Profesor],base_de_datos[Academia],1))=Profesores[[#Headers],[AIC]],"x","")</f>
        <v/>
      </c>
      <c r="AD96" s="146" t="str">
        <f>IF((_xlfn.XLOOKUP(Profesores[[#This Row],[Nombre]],base_de_datos[Profesor],base_de_datos[Academia],1))=Profesores[[#Headers],[ESC]],"x","")</f>
        <v/>
      </c>
      <c r="AE96" s="146" t="str">
        <f>IF((_xlfn.XLOOKUP(Profesores[[#This Row],[Nombre]],base_de_datos[Profesor],base_de_datos[Academia],1))=Profesores[[#Headers],[HUM]],"x","")</f>
        <v/>
      </c>
      <c r="AF96" s="146" t="str">
        <f>IF((_xlfn.XLOOKUP(Profesores[[#This Row],[Nombre]],base_de_datos[Profesor],base_de_datos[Academia],1))=Profesores[[#Headers],[IID]],"x","")</f>
        <v/>
      </c>
      <c r="AG96" s="146" t="str">
        <f>IF((_xlfn.XLOOKUP(Profesores[[#This Row],[Nombre]],base_de_datos[Profesor],base_de_datos[Academia],1))=Profesores[[#Headers],[BIO]],"x","")</f>
        <v/>
      </c>
      <c r="AH96" s="146">
        <v>88.77</v>
      </c>
      <c r="AI96" s="146" t="s">
        <v>546</v>
      </c>
      <c r="AJ96" s="146">
        <f>TRUNC(IFERROR(Profesores[[#This Row],[Ex Inglés]]*677/100,0),0)</f>
        <v>600</v>
      </c>
    </row>
    <row r="97" spans="2:36" ht="12" hidden="1" customHeight="1" x14ac:dyDescent="0.3">
      <c r="B97" s="6">
        <v>28</v>
      </c>
      <c r="C97" s="146" t="s">
        <v>540</v>
      </c>
      <c r="D97" s="147" t="s">
        <v>36</v>
      </c>
      <c r="E97" s="148">
        <v>144753</v>
      </c>
      <c r="F97" s="146" t="s">
        <v>431</v>
      </c>
      <c r="G97" s="149" t="s">
        <v>1130</v>
      </c>
      <c r="H97" s="149" t="s">
        <v>1131</v>
      </c>
      <c r="I97" s="149" t="s">
        <v>624</v>
      </c>
      <c r="J97" s="150">
        <v>27854</v>
      </c>
      <c r="K97" s="156" t="s">
        <v>506</v>
      </c>
      <c r="L97" s="147" t="s">
        <v>507</v>
      </c>
      <c r="M97" s="151">
        <v>4491068620</v>
      </c>
      <c r="N97" s="158" t="s">
        <v>1132</v>
      </c>
      <c r="O97" s="151" t="s">
        <v>1133</v>
      </c>
      <c r="P97" s="147">
        <v>409</v>
      </c>
      <c r="Q97" s="146" t="s">
        <v>1134</v>
      </c>
      <c r="R97" s="146" t="s">
        <v>511</v>
      </c>
      <c r="S97" s="146" t="s">
        <v>511</v>
      </c>
      <c r="T97" s="146">
        <v>20127</v>
      </c>
      <c r="U97" s="147">
        <v>1</v>
      </c>
      <c r="V97" s="147" t="str">
        <f>IF((_xlfn.XLOOKUP(Profesores[[#This Row],[Nombre]],base_de_datos[Profesor],base_de_datos[Academia],1))=Profesores[[#Headers],[MEC]],"x","")</f>
        <v/>
      </c>
      <c r="W97" s="147" t="str">
        <f>IF((_xlfn.XLOOKUP(Profesores[[#This Row],[Nombre]],base_de_datos[Profesor],base_de_datos[Academia],1))=Profesores[[#Headers],[COM]],"x","")</f>
        <v/>
      </c>
      <c r="X97" s="147"/>
      <c r="Y97" s="147" t="str">
        <f>IF((_xlfn.XLOOKUP(Profesores[[#This Row],[Nombre]],base_de_datos[Profesor],base_de_datos[Academia],1))=Profesores[[#Headers],[DOP]],"x","")</f>
        <v/>
      </c>
      <c r="Z97" s="147" t="str">
        <f>IF((_xlfn.XLOOKUP(Profesores[[#This Row],[Nombre]],base_de_datos[Profesor],base_de_datos[Academia],1))=Profesores[[#Headers],[ETF]],"x","")</f>
        <v/>
      </c>
      <c r="AA97" s="147" t="str">
        <f>IF((_xlfn.XLOOKUP(Profesores[[#This Row],[Nombre]],base_de_datos[Profesor],base_de_datos[Academia],1))=Profesores[[#Headers],[MAT]],"x","")</f>
        <v/>
      </c>
      <c r="AB97" s="147" t="str">
        <f>IF((_xlfn.XLOOKUP(Profesores[[#This Row],[Nombre]],base_de_datos[Profesor],base_de_datos[Academia],1))=Profesores[[#Headers],[EMP]],"x","")</f>
        <v/>
      </c>
      <c r="AC97" s="146" t="str">
        <f>IF((_xlfn.XLOOKUP(Profesores[[#This Row],[Nombre]],base_de_datos[Profesor],base_de_datos[Academia],1))=Profesores[[#Headers],[AIC]],"x","")</f>
        <v/>
      </c>
      <c r="AD97" s="146" t="str">
        <f>IF((_xlfn.XLOOKUP(Profesores[[#This Row],[Nombre]],base_de_datos[Profesor],base_de_datos[Academia],1))=Profesores[[#Headers],[ESC]],"x","")</f>
        <v/>
      </c>
      <c r="AE97" s="146" t="str">
        <f>IF((_xlfn.XLOOKUP(Profesores[[#This Row],[Nombre]],base_de_datos[Profesor],base_de_datos[Academia],1))=Profesores[[#Headers],[HUM]],"x","")</f>
        <v/>
      </c>
      <c r="AF97" s="146" t="str">
        <f>IF((_xlfn.XLOOKUP(Profesores[[#This Row],[Nombre]],base_de_datos[Profesor],base_de_datos[Academia],1))=Profesores[[#Headers],[IID]],"x","")</f>
        <v/>
      </c>
      <c r="AG97" s="146" t="str">
        <f>IF((_xlfn.XLOOKUP(Profesores[[#This Row],[Nombre]],base_de_datos[Profesor],base_de_datos[Academia],1))=Profesores[[#Headers],[BIO]],"x","")</f>
        <v>x</v>
      </c>
      <c r="AH97" s="146" t="s">
        <v>524</v>
      </c>
      <c r="AI97" s="146" t="s">
        <v>513</v>
      </c>
      <c r="AJ97" s="146">
        <f>TRUNC(IFERROR(Profesores[[#This Row],[Ex Inglés]]*677/100,0),0)</f>
        <v>0</v>
      </c>
    </row>
    <row r="98" spans="2:36" s="146" customFormat="1" ht="12" hidden="1" customHeight="1" x14ac:dyDescent="0.3">
      <c r="B98" s="146">
        <v>30</v>
      </c>
      <c r="C98" s="146" t="s">
        <v>502</v>
      </c>
      <c r="D98" s="147" t="s">
        <v>36</v>
      </c>
      <c r="E98" s="148">
        <v>128988</v>
      </c>
      <c r="F98" s="146" t="s">
        <v>222</v>
      </c>
      <c r="G98" s="149" t="s">
        <v>1135</v>
      </c>
      <c r="H98" s="149" t="s">
        <v>1092</v>
      </c>
      <c r="I98" s="149" t="s">
        <v>1093</v>
      </c>
      <c r="J98" s="150">
        <v>28973</v>
      </c>
      <c r="K98" s="156" t="s">
        <v>506</v>
      </c>
      <c r="L98" s="147" t="s">
        <v>507</v>
      </c>
      <c r="M98" s="151" t="s">
        <v>1136</v>
      </c>
      <c r="N98" s="158" t="s">
        <v>1137</v>
      </c>
      <c r="O98" s="151" t="s">
        <v>1138</v>
      </c>
      <c r="P98" s="147">
        <v>101</v>
      </c>
      <c r="Q98" s="146" t="s">
        <v>1139</v>
      </c>
      <c r="R98" s="146" t="s">
        <v>511</v>
      </c>
      <c r="S98" s="146" t="s">
        <v>511</v>
      </c>
      <c r="T98" s="146">
        <v>20296</v>
      </c>
      <c r="U98" s="147">
        <v>2</v>
      </c>
      <c r="V98" s="147" t="str">
        <f>IF((_xlfn.XLOOKUP(Profesores[[#This Row],[Nombre]],base_de_datos[Profesor],base_de_datos[Academia],1))=Profesores[[#Headers],[MEC]],"x","")</f>
        <v/>
      </c>
      <c r="W98" s="147" t="str">
        <f>IF((_xlfn.XLOOKUP(Profesores[[#This Row],[Nombre]],base_de_datos[Profesor],base_de_datos[Academia],1))=Profesores[[#Headers],[COM]],"x","")</f>
        <v/>
      </c>
      <c r="X98" s="147"/>
      <c r="Y98" s="147" t="str">
        <f>IF((_xlfn.XLOOKUP(Profesores[[#This Row],[Nombre]],base_de_datos[Profesor],base_de_datos[Academia],1))=Profesores[[#Headers],[DOP]],"x","")</f>
        <v/>
      </c>
      <c r="Z98" s="147" t="str">
        <f>IF((_xlfn.XLOOKUP(Profesores[[#This Row],[Nombre]],base_de_datos[Profesor],base_de_datos[Academia],1))=Profesores[[#Headers],[ETF]],"x","")</f>
        <v/>
      </c>
      <c r="AA98" s="147" t="str">
        <f>IF((_xlfn.XLOOKUP(Profesores[[#This Row],[Nombre]],base_de_datos[Profesor],base_de_datos[Academia],1))=Profesores[[#Headers],[MAT]],"x","")</f>
        <v/>
      </c>
      <c r="AB98" s="147" t="str">
        <f>IF((_xlfn.XLOOKUP(Profesores[[#This Row],[Nombre]],base_de_datos[Profesor],base_de_datos[Academia],1))=Profesores[[#Headers],[EMP]],"x","")</f>
        <v>x</v>
      </c>
      <c r="AC98" s="146" t="str">
        <f>IF((_xlfn.XLOOKUP(Profesores[[#This Row],[Nombre]],base_de_datos[Profesor],base_de_datos[Academia],1))=Profesores[[#Headers],[AIC]],"x","")</f>
        <v/>
      </c>
      <c r="AD98" s="146" t="str">
        <f>IF((_xlfn.XLOOKUP(Profesores[[#This Row],[Nombre]],base_de_datos[Profesor],base_de_datos[Academia],1))=Profesores[[#Headers],[ESC]],"x","")</f>
        <v/>
      </c>
      <c r="AE98" s="146" t="str">
        <f>IF((_xlfn.XLOOKUP(Profesores[[#This Row],[Nombre]],base_de_datos[Profesor],base_de_datos[Academia],1))=Profesores[[#Headers],[HUM]],"x","")</f>
        <v/>
      </c>
      <c r="AF98" s="146" t="str">
        <f>IF((_xlfn.XLOOKUP(Profesores[[#This Row],[Nombre]],base_de_datos[Profesor],base_de_datos[Academia],1))=Profesores[[#Headers],[IID]],"x","")</f>
        <v/>
      </c>
      <c r="AG98" s="146" t="str">
        <f>IF((_xlfn.XLOOKUP(Profesores[[#This Row],[Nombre]],base_de_datos[Profesor],base_de_datos[Academia],1))=Profesores[[#Headers],[BIO]],"x","")</f>
        <v/>
      </c>
      <c r="AH98" s="146" t="s">
        <v>524</v>
      </c>
      <c r="AI98" s="146" t="s">
        <v>513</v>
      </c>
      <c r="AJ98" s="146">
        <f>TRUNC(IFERROR(Profesores[[#This Row],[Ex Inglés]]*677/100,0),0)</f>
        <v>0</v>
      </c>
    </row>
    <row r="99" spans="2:36" s="146" customFormat="1" ht="12" hidden="1" customHeight="1" x14ac:dyDescent="0.3">
      <c r="B99" s="146">
        <v>33</v>
      </c>
      <c r="C99" s="146" t="s">
        <v>502</v>
      </c>
      <c r="D99" s="147" t="s">
        <v>36</v>
      </c>
      <c r="E99" s="148">
        <v>163044</v>
      </c>
      <c r="F99" s="146" t="s">
        <v>421</v>
      </c>
      <c r="G99" s="149" t="s">
        <v>1140</v>
      </c>
      <c r="H99" s="149" t="s">
        <v>791</v>
      </c>
      <c r="I99" s="149" t="s">
        <v>505</v>
      </c>
      <c r="J99" s="150">
        <v>26923</v>
      </c>
      <c r="K99" s="149" t="s">
        <v>506</v>
      </c>
      <c r="L99" s="147" t="s">
        <v>92</v>
      </c>
      <c r="M99" s="151">
        <v>4494658738</v>
      </c>
      <c r="N99" s="158" t="s">
        <v>1141</v>
      </c>
      <c r="O99" s="151" t="s">
        <v>1142</v>
      </c>
      <c r="P99" s="147">
        <v>409</v>
      </c>
      <c r="Q99" s="146" t="s">
        <v>1143</v>
      </c>
      <c r="R99" s="146" t="s">
        <v>511</v>
      </c>
      <c r="S99" s="146" t="s">
        <v>511</v>
      </c>
      <c r="T99" s="146">
        <v>20250</v>
      </c>
      <c r="U99" s="147">
        <v>1</v>
      </c>
      <c r="V99" s="147" t="str">
        <f>IF((_xlfn.XLOOKUP(Profesores[[#This Row],[Nombre]],base_de_datos[Profesor],base_de_datos[Academia],1))=Profesores[[#Headers],[MEC]],"x","")</f>
        <v/>
      </c>
      <c r="W99" s="147" t="str">
        <f>IF((_xlfn.XLOOKUP(Profesores[[#This Row],[Nombre]],base_de_datos[Profesor],base_de_datos[Academia],1))=Profesores[[#Headers],[COM]],"x","")</f>
        <v/>
      </c>
      <c r="X99" s="147"/>
      <c r="Y99" s="147" t="str">
        <f>IF((_xlfn.XLOOKUP(Profesores[[#This Row],[Nombre]],base_de_datos[Profesor],base_de_datos[Academia],1))=Profesores[[#Headers],[DOP]],"x","")</f>
        <v/>
      </c>
      <c r="Z99" s="147" t="str">
        <f>IF((_xlfn.XLOOKUP(Profesores[[#This Row],[Nombre]],base_de_datos[Profesor],base_de_datos[Academia],1))=Profesores[[#Headers],[ETF]],"x","")</f>
        <v/>
      </c>
      <c r="AA99" s="147" t="str">
        <f>IF((_xlfn.XLOOKUP(Profesores[[#This Row],[Nombre]],base_de_datos[Profesor],base_de_datos[Academia],1))=Profesores[[#Headers],[MAT]],"x","")</f>
        <v/>
      </c>
      <c r="AB99" s="147" t="str">
        <f>IF((_xlfn.XLOOKUP(Profesores[[#This Row],[Nombre]],base_de_datos[Profesor],base_de_datos[Academia],1))=Profesores[[#Headers],[EMP]],"x","")</f>
        <v>x</v>
      </c>
      <c r="AC99" s="146" t="str">
        <f>IF((_xlfn.XLOOKUP(Profesores[[#This Row],[Nombre]],base_de_datos[Profesor],base_de_datos[Academia],1))=Profesores[[#Headers],[AIC]],"x","")</f>
        <v/>
      </c>
      <c r="AD99" s="146" t="str">
        <f>IF((_xlfn.XLOOKUP(Profesores[[#This Row],[Nombre]],base_de_datos[Profesor],base_de_datos[Academia],1))=Profesores[[#Headers],[ESC]],"x","")</f>
        <v/>
      </c>
      <c r="AE99" s="146" t="str">
        <f>IF((_xlfn.XLOOKUP(Profesores[[#This Row],[Nombre]],base_de_datos[Profesor],base_de_datos[Academia],1))=Profesores[[#Headers],[HUM]],"x","")</f>
        <v/>
      </c>
      <c r="AF99" s="146" t="str">
        <f>IF((_xlfn.XLOOKUP(Profesores[[#This Row],[Nombre]],base_de_datos[Profesor],base_de_datos[Academia],1))=Profesores[[#Headers],[IID]],"x","")</f>
        <v/>
      </c>
      <c r="AG99" s="146" t="str">
        <f>IF((_xlfn.XLOOKUP(Profesores[[#This Row],[Nombre]],base_de_datos[Profesor],base_de_datos[Academia],1))=Profesores[[#Headers],[BIO]],"x","")</f>
        <v/>
      </c>
      <c r="AH99" s="146" t="s">
        <v>524</v>
      </c>
      <c r="AI99" s="146" t="s">
        <v>513</v>
      </c>
      <c r="AJ99" s="146">
        <f>TRUNC(IFERROR(Profesores[[#This Row],[Ex Inglés]]*677/100,0),0)</f>
        <v>0</v>
      </c>
    </row>
    <row r="100" spans="2:36" ht="12" hidden="1" customHeight="1" x14ac:dyDescent="0.3">
      <c r="B100" s="6">
        <v>39</v>
      </c>
      <c r="C100" s="146" t="s">
        <v>515</v>
      </c>
      <c r="D100" s="147" t="s">
        <v>36</v>
      </c>
      <c r="E100" s="148">
        <v>167131</v>
      </c>
      <c r="F100" s="146" t="s">
        <v>240</v>
      </c>
      <c r="G100" s="149" t="s">
        <v>1144</v>
      </c>
      <c r="H100" s="149" t="s">
        <v>1145</v>
      </c>
      <c r="I100" s="149" t="s">
        <v>519</v>
      </c>
      <c r="J100" s="150">
        <v>30939</v>
      </c>
      <c r="K100" s="156" t="s">
        <v>506</v>
      </c>
      <c r="L100" s="147" t="s">
        <v>507</v>
      </c>
      <c r="M100" s="151" t="s">
        <v>1146</v>
      </c>
      <c r="N100" s="162" t="s">
        <v>1147</v>
      </c>
      <c r="O100" s="151" t="s">
        <v>1148</v>
      </c>
      <c r="P100" s="147">
        <v>916</v>
      </c>
      <c r="Q100" s="146" t="s">
        <v>1149</v>
      </c>
      <c r="R100" s="146" t="s">
        <v>511</v>
      </c>
      <c r="S100" s="146" t="s">
        <v>511</v>
      </c>
      <c r="T100" s="146">
        <v>20219</v>
      </c>
      <c r="U100" s="147">
        <v>3</v>
      </c>
      <c r="V100" s="147" t="str">
        <f>IF((_xlfn.XLOOKUP(Profesores[[#This Row],[Nombre]],base_de_datos[Profesor],base_de_datos[Academia],1))=Profesores[[#Headers],[MEC]],"x","")</f>
        <v/>
      </c>
      <c r="W100" s="147" t="str">
        <f>IF((_xlfn.XLOOKUP(Profesores[[#This Row],[Nombre]],base_de_datos[Profesor],base_de_datos[Academia],1))=Profesores[[#Headers],[COM]],"x","")</f>
        <v/>
      </c>
      <c r="X100" s="147"/>
      <c r="Y100" s="147" t="str">
        <f>IF((_xlfn.XLOOKUP(Profesores[[#This Row],[Nombre]],base_de_datos[Profesor],base_de_datos[Academia],1))=Profesores[[#Headers],[DOP]],"x","")</f>
        <v>x</v>
      </c>
      <c r="Z100" s="147" t="str">
        <f>IF((_xlfn.XLOOKUP(Profesores[[#This Row],[Nombre]],base_de_datos[Profesor],base_de_datos[Academia],1))=Profesores[[#Headers],[ETF]],"x","")</f>
        <v/>
      </c>
      <c r="AA100" s="147" t="str">
        <f>IF((_xlfn.XLOOKUP(Profesores[[#This Row],[Nombre]],base_de_datos[Profesor],base_de_datos[Academia],1))=Profesores[[#Headers],[MAT]],"x","")</f>
        <v/>
      </c>
      <c r="AB100" s="147" t="str">
        <f>IF((_xlfn.XLOOKUP(Profesores[[#This Row],[Nombre]],base_de_datos[Profesor],base_de_datos[Academia],1))=Profesores[[#Headers],[EMP]],"x","")</f>
        <v/>
      </c>
      <c r="AC100" s="146" t="str">
        <f>IF((_xlfn.XLOOKUP(Profesores[[#This Row],[Nombre]],base_de_datos[Profesor],base_de_datos[Academia],1))=Profesores[[#Headers],[AIC]],"x","")</f>
        <v/>
      </c>
      <c r="AD100" s="146" t="str">
        <f>IF((_xlfn.XLOOKUP(Profesores[[#This Row],[Nombre]],base_de_datos[Profesor],base_de_datos[Academia],1))=Profesores[[#Headers],[ESC]],"x","")</f>
        <v/>
      </c>
      <c r="AE100" s="146" t="str">
        <f>IF((_xlfn.XLOOKUP(Profesores[[#This Row],[Nombre]],base_de_datos[Profesor],base_de_datos[Academia],1))=Profesores[[#Headers],[HUM]],"x","")</f>
        <v/>
      </c>
      <c r="AF100" s="146" t="str">
        <f>IF((_xlfn.XLOOKUP(Profesores[[#This Row],[Nombre]],base_de_datos[Profesor],base_de_datos[Academia],1))=Profesores[[#Headers],[IID]],"x","")</f>
        <v/>
      </c>
      <c r="AG100" s="146" t="str">
        <f>IF((_xlfn.XLOOKUP(Profesores[[#This Row],[Nombre]],base_de_datos[Profesor],base_de_datos[Academia],1))=Profesores[[#Headers],[BIO]],"x","")</f>
        <v/>
      </c>
      <c r="AH100" s="146">
        <v>77.099999999999994</v>
      </c>
      <c r="AI100" s="146" t="s">
        <v>513</v>
      </c>
      <c r="AJ100" s="146">
        <f>TRUNC(IFERROR(Profesores[[#This Row],[Ex Inglés]]*677/100,0),0)</f>
        <v>521</v>
      </c>
    </row>
    <row r="101" spans="2:36" ht="12" hidden="1" customHeight="1" x14ac:dyDescent="0.3">
      <c r="B101" s="146">
        <v>79</v>
      </c>
      <c r="C101" s="146" t="s">
        <v>502</v>
      </c>
      <c r="D101" s="147" t="s">
        <v>36</v>
      </c>
      <c r="E101" s="148">
        <v>145872</v>
      </c>
      <c r="F101" s="146" t="s">
        <v>461</v>
      </c>
      <c r="G101" s="149" t="s">
        <v>1150</v>
      </c>
      <c r="H101" s="149" t="s">
        <v>677</v>
      </c>
      <c r="I101" s="149" t="s">
        <v>505</v>
      </c>
      <c r="J101" s="150">
        <v>26903</v>
      </c>
      <c r="K101" s="149" t="s">
        <v>506</v>
      </c>
      <c r="L101" s="147" t="s">
        <v>507</v>
      </c>
      <c r="M101" s="151">
        <v>4491435710</v>
      </c>
      <c r="N101" s="158" t="s">
        <v>1151</v>
      </c>
      <c r="O101" s="151" t="s">
        <v>1152</v>
      </c>
      <c r="P101" s="147" t="s">
        <v>1153</v>
      </c>
      <c r="Q101" s="146" t="s">
        <v>539</v>
      </c>
      <c r="R101" s="146" t="s">
        <v>511</v>
      </c>
      <c r="S101" s="146" t="s">
        <v>511</v>
      </c>
      <c r="T101" s="146">
        <v>20196</v>
      </c>
      <c r="U101" s="147">
        <v>1</v>
      </c>
      <c r="V101" s="147" t="str">
        <f>IF((_xlfn.XLOOKUP(Profesores[[#This Row],[Nombre]],base_de_datos[Profesor],base_de_datos[Academia],1))=Profesores[[#Headers],[MEC]],"x","")</f>
        <v/>
      </c>
      <c r="W101" s="147" t="str">
        <f>IF((_xlfn.XLOOKUP(Profesores[[#This Row],[Nombre]],base_de_datos[Profesor],base_de_datos[Academia],1))=Profesores[[#Headers],[COM]],"x","")</f>
        <v/>
      </c>
      <c r="X101" s="147"/>
      <c r="Y101" s="147" t="str">
        <f>IF((_xlfn.XLOOKUP(Profesores[[#This Row],[Nombre]],base_de_datos[Profesor],base_de_datos[Academia],1))=Profesores[[#Headers],[DOP]],"x","")</f>
        <v/>
      </c>
      <c r="Z101" s="147" t="str">
        <f>IF((_xlfn.XLOOKUP(Profesores[[#This Row],[Nombre]],base_de_datos[Profesor],base_de_datos[Academia],1))=Profesores[[#Headers],[ETF]],"x","")</f>
        <v/>
      </c>
      <c r="AA101" s="147" t="str">
        <f>IF((_xlfn.XLOOKUP(Profesores[[#This Row],[Nombre]],base_de_datos[Profesor],base_de_datos[Academia],1))=Profesores[[#Headers],[MAT]],"x","")</f>
        <v/>
      </c>
      <c r="AB101" s="147" t="str">
        <f>IF((_xlfn.XLOOKUP(Profesores[[#This Row],[Nombre]],base_de_datos[Profesor],base_de_datos[Academia],1))=Profesores[[#Headers],[EMP]],"x","")</f>
        <v/>
      </c>
      <c r="AC101" s="146" t="str">
        <f>IF((_xlfn.XLOOKUP(Profesores[[#This Row],[Nombre]],base_de_datos[Profesor],base_de_datos[Academia],1))=Profesores[[#Headers],[AIC]],"x","")</f>
        <v/>
      </c>
      <c r="AD101" s="146" t="str">
        <f>IF((_xlfn.XLOOKUP(Profesores[[#This Row],[Nombre]],base_de_datos[Profesor],base_de_datos[Academia],1))=Profesores[[#Headers],[ESC]],"x","")</f>
        <v/>
      </c>
      <c r="AE101" s="146" t="str">
        <f>IF((_xlfn.XLOOKUP(Profesores[[#This Row],[Nombre]],base_de_datos[Profesor],base_de_datos[Academia],1))=Profesores[[#Headers],[HUM]],"x","")</f>
        <v/>
      </c>
      <c r="AF101" s="146" t="str">
        <f>IF((_xlfn.XLOOKUP(Profesores[[#This Row],[Nombre]],base_de_datos[Profesor],base_de_datos[Academia],1))=Profesores[[#Headers],[IID]],"x","")</f>
        <v/>
      </c>
      <c r="AG101" s="146" t="str">
        <f>IF((_xlfn.XLOOKUP(Profesores[[#This Row],[Nombre]],base_de_datos[Profesor],base_de_datos[Academia],1))=Profesores[[#Headers],[BIO]],"x","")</f>
        <v/>
      </c>
      <c r="AH101" s="146">
        <v>43.03</v>
      </c>
      <c r="AI101" s="146" t="s">
        <v>513</v>
      </c>
      <c r="AJ101" s="146">
        <f>TRUNC(IFERROR(Profesores[[#This Row],[Ex Inglés]]*677/100,0),0)</f>
        <v>291</v>
      </c>
    </row>
    <row r="102" spans="2:36" s="146" customFormat="1" ht="12" hidden="1" customHeight="1" x14ac:dyDescent="0.3">
      <c r="B102" s="146">
        <v>121</v>
      </c>
      <c r="C102" s="146" t="s">
        <v>502</v>
      </c>
      <c r="D102" s="147" t="s">
        <v>36</v>
      </c>
      <c r="E102" s="148">
        <v>148672</v>
      </c>
      <c r="F102" s="146" t="s">
        <v>213</v>
      </c>
      <c r="G102" s="149" t="s">
        <v>1154</v>
      </c>
      <c r="H102" s="149" t="s">
        <v>706</v>
      </c>
      <c r="I102" s="149" t="s">
        <v>746</v>
      </c>
      <c r="J102" s="157">
        <v>29600</v>
      </c>
      <c r="K102" s="156" t="s">
        <v>506</v>
      </c>
      <c r="L102" s="147" t="s">
        <v>507</v>
      </c>
      <c r="M102" s="151">
        <v>4491114273</v>
      </c>
      <c r="N102" s="151" t="s">
        <v>1155</v>
      </c>
      <c r="O102" s="151" t="s">
        <v>1156</v>
      </c>
      <c r="P102" s="147">
        <v>109</v>
      </c>
      <c r="Q102" s="147" t="s">
        <v>1157</v>
      </c>
      <c r="R102" s="147" t="s">
        <v>511</v>
      </c>
      <c r="S102" s="147" t="s">
        <v>511</v>
      </c>
      <c r="T102" s="146">
        <v>20326</v>
      </c>
      <c r="U102" s="147"/>
      <c r="V102" s="147" t="str">
        <f>IF((_xlfn.XLOOKUP(Profesores[[#This Row],[Nombre]],base_de_datos[Profesor],base_de_datos[Academia],1))=Profesores[[#Headers],[MEC]],"x","")</f>
        <v/>
      </c>
      <c r="W102" s="147" t="str">
        <f>IF((_xlfn.XLOOKUP(Profesores[[#This Row],[Nombre]],base_de_datos[Profesor],base_de_datos[Academia],1))=Profesores[[#Headers],[COM]],"x","")</f>
        <v>x</v>
      </c>
      <c r="X102" s="147"/>
      <c r="Y102" s="147" t="str">
        <f>IF((_xlfn.XLOOKUP(Profesores[[#This Row],[Nombre]],base_de_datos[Profesor],base_de_datos[Academia],1))=Profesores[[#Headers],[DOP]],"x","")</f>
        <v/>
      </c>
      <c r="Z102" s="147" t="str">
        <f>IF((_xlfn.XLOOKUP(Profesores[[#This Row],[Nombre]],base_de_datos[Profesor],base_de_datos[Academia],1))=Profesores[[#Headers],[ETF]],"x","")</f>
        <v/>
      </c>
      <c r="AA102" s="147" t="str">
        <f>IF((_xlfn.XLOOKUP(Profesores[[#This Row],[Nombre]],base_de_datos[Profesor],base_de_datos[Academia],1))=Profesores[[#Headers],[MAT]],"x","")</f>
        <v/>
      </c>
      <c r="AB102" s="147" t="str">
        <f>IF((_xlfn.XLOOKUP(Profesores[[#This Row],[Nombre]],base_de_datos[Profesor],base_de_datos[Academia],1))=Profesores[[#Headers],[EMP]],"x","")</f>
        <v/>
      </c>
      <c r="AC102" s="146" t="str">
        <f>IF((_xlfn.XLOOKUP(Profesores[[#This Row],[Nombre]],base_de_datos[Profesor],base_de_datos[Academia],1))=Profesores[[#Headers],[AIC]],"x","")</f>
        <v/>
      </c>
      <c r="AD102" s="146" t="str">
        <f>IF((_xlfn.XLOOKUP(Profesores[[#This Row],[Nombre]],base_de_datos[Profesor],base_de_datos[Academia],1))=Profesores[[#Headers],[ESC]],"x","")</f>
        <v/>
      </c>
      <c r="AE102" s="146" t="str">
        <f>IF((_xlfn.XLOOKUP(Profesores[[#This Row],[Nombre]],base_de_datos[Profesor],base_de_datos[Academia],1))=Profesores[[#Headers],[HUM]],"x","")</f>
        <v/>
      </c>
      <c r="AF102" s="146" t="str">
        <f>IF((_xlfn.XLOOKUP(Profesores[[#This Row],[Nombre]],base_de_datos[Profesor],base_de_datos[Academia],1))=Profesores[[#Headers],[IID]],"x","")</f>
        <v/>
      </c>
      <c r="AG102" s="146" t="str">
        <f>IF((_xlfn.XLOOKUP(Profesores[[#This Row],[Nombre]],base_de_datos[Profesor],base_de_datos[Academia],1))=Profesores[[#Headers],[BIO]],"x","")</f>
        <v/>
      </c>
      <c r="AJ102" s="146">
        <f>TRUNC(IFERROR(Profesores[[#This Row],[Ex Inglés]]*677/100,0),0)</f>
        <v>0</v>
      </c>
    </row>
    <row r="103" spans="2:36" s="146" customFormat="1" ht="12" hidden="1" customHeight="1" x14ac:dyDescent="0.3">
      <c r="B103" s="146">
        <v>128</v>
      </c>
      <c r="C103" s="146" t="s">
        <v>515</v>
      </c>
      <c r="D103" s="147" t="s">
        <v>36</v>
      </c>
      <c r="E103" s="148">
        <v>192597</v>
      </c>
      <c r="F103" s="146" t="s">
        <v>293</v>
      </c>
      <c r="G103" s="149" t="s">
        <v>1158</v>
      </c>
      <c r="H103" s="149" t="s">
        <v>528</v>
      </c>
      <c r="I103" s="149" t="s">
        <v>693</v>
      </c>
      <c r="J103" s="150">
        <v>35675</v>
      </c>
      <c r="K103" s="149"/>
      <c r="L103" s="147"/>
      <c r="M103" s="151">
        <v>4492523675</v>
      </c>
      <c r="N103" s="161" t="s">
        <v>1159</v>
      </c>
      <c r="O103" s="151" t="s">
        <v>1160</v>
      </c>
      <c r="P103" s="147">
        <v>174</v>
      </c>
      <c r="Q103" s="146" t="s">
        <v>1161</v>
      </c>
      <c r="R103" s="146" t="s">
        <v>511</v>
      </c>
      <c r="S103" s="146" t="s">
        <v>511</v>
      </c>
      <c r="T103" s="146">
        <v>26293</v>
      </c>
      <c r="U103" s="147"/>
      <c r="V103" s="147" t="str">
        <f>IF((_xlfn.XLOOKUP(Profesores[[#This Row],[Nombre]],base_de_datos[Profesor],base_de_datos[Academia],1))=Profesores[[#Headers],[MEC]],"x","")</f>
        <v/>
      </c>
      <c r="W103" s="147" t="str">
        <f>IF((_xlfn.XLOOKUP(Profesores[[#This Row],[Nombre]],base_de_datos[Profesor],base_de_datos[Academia],1))=Profesores[[#Headers],[COM]],"x","")</f>
        <v>x</v>
      </c>
      <c r="X103" s="147"/>
      <c r="Y103" s="147" t="str">
        <f>IF((_xlfn.XLOOKUP(Profesores[[#This Row],[Nombre]],base_de_datos[Profesor],base_de_datos[Academia],1))=Profesores[[#Headers],[DOP]],"x","")</f>
        <v/>
      </c>
      <c r="Z103" s="147" t="str">
        <f>IF((_xlfn.XLOOKUP(Profesores[[#This Row],[Nombre]],base_de_datos[Profesor],base_de_datos[Academia],1))=Profesores[[#Headers],[ETF]],"x","")</f>
        <v/>
      </c>
      <c r="AA103" s="147" t="str">
        <f>IF((_xlfn.XLOOKUP(Profesores[[#This Row],[Nombre]],base_de_datos[Profesor],base_de_datos[Academia],1))=Profesores[[#Headers],[MAT]],"x","")</f>
        <v/>
      </c>
      <c r="AB103" s="147" t="str">
        <f>IF((_xlfn.XLOOKUP(Profesores[[#This Row],[Nombre]],base_de_datos[Profesor],base_de_datos[Academia],1))=Profesores[[#Headers],[EMP]],"x","")</f>
        <v/>
      </c>
      <c r="AC103" s="146" t="str">
        <f>IF((_xlfn.XLOOKUP(Profesores[[#This Row],[Nombre]],base_de_datos[Profesor],base_de_datos[Academia],1))=Profesores[[#Headers],[AIC]],"x","")</f>
        <v/>
      </c>
      <c r="AD103" s="146" t="str">
        <f>IF((_xlfn.XLOOKUP(Profesores[[#This Row],[Nombre]],base_de_datos[Profesor],base_de_datos[Academia],1))=Profesores[[#Headers],[ESC]],"x","")</f>
        <v/>
      </c>
      <c r="AE103" s="146" t="str">
        <f>IF((_xlfn.XLOOKUP(Profesores[[#This Row],[Nombre]],base_de_datos[Profesor],base_de_datos[Academia],1))=Profesores[[#Headers],[HUM]],"x","")</f>
        <v/>
      </c>
      <c r="AF103" s="146" t="str">
        <f>IF((_xlfn.XLOOKUP(Profesores[[#This Row],[Nombre]],base_de_datos[Profesor],base_de_datos[Academia],1))=Profesores[[#Headers],[IID]],"x","")</f>
        <v/>
      </c>
      <c r="AG103" s="146" t="str">
        <f>IF((_xlfn.XLOOKUP(Profesores[[#This Row],[Nombre]],base_de_datos[Profesor],base_de_datos[Academia],1))=Profesores[[#Headers],[BIO]],"x","")</f>
        <v/>
      </c>
      <c r="AJ103" s="146">
        <f>TRUNC(IFERROR(Profesores[[#This Row],[Ex Inglés]]*677/100,0),0)</f>
        <v>0</v>
      </c>
    </row>
    <row r="104" spans="2:36" s="146" customFormat="1" ht="12" hidden="1" customHeight="1" x14ac:dyDescent="0.3">
      <c r="B104" s="6">
        <v>138</v>
      </c>
      <c r="C104" s="146" t="s">
        <v>501</v>
      </c>
      <c r="D104" s="84" t="s">
        <v>36</v>
      </c>
      <c r="E104" s="148">
        <v>205322</v>
      </c>
      <c r="F104" s="146" t="s">
        <v>107</v>
      </c>
      <c r="G104" s="149" t="s">
        <v>576</v>
      </c>
      <c r="H104" s="149" t="s">
        <v>1162</v>
      </c>
      <c r="I104" s="149" t="s">
        <v>760</v>
      </c>
      <c r="J104" s="150">
        <v>36289</v>
      </c>
      <c r="K104" s="149"/>
      <c r="L104" s="147"/>
      <c r="M104" s="151">
        <v>449352647</v>
      </c>
      <c r="N104" s="161" t="s">
        <v>1163</v>
      </c>
      <c r="O104" s="151" t="s">
        <v>1164</v>
      </c>
      <c r="P104" s="147">
        <v>101</v>
      </c>
      <c r="Q104" s="147" t="s">
        <v>1165</v>
      </c>
      <c r="R104" s="147" t="s">
        <v>511</v>
      </c>
      <c r="S104" s="147" t="s">
        <v>511</v>
      </c>
      <c r="T104" s="146">
        <v>20100</v>
      </c>
      <c r="U104" s="147"/>
      <c r="V104" s="147" t="str">
        <f>IF((_xlfn.XLOOKUP(Profesores[[#This Row],[Nombre]],base_de_datos[Profesor],base_de_datos[Academia],1))=Profesores[[#Headers],[MEC]],"x","")</f>
        <v/>
      </c>
      <c r="W104" s="147" t="str">
        <f>IF((_xlfn.XLOOKUP(Profesores[[#This Row],[Nombre]],base_de_datos[Profesor],base_de_datos[Academia],1))=Profesores[[#Headers],[COM]],"x","")</f>
        <v/>
      </c>
      <c r="X104" s="147"/>
      <c r="Y104" s="147" t="str">
        <f>IF((_xlfn.XLOOKUP(Profesores[[#This Row],[Nombre]],base_de_datos[Profesor],base_de_datos[Academia],1))=Profesores[[#Headers],[DOP]],"x","")</f>
        <v/>
      </c>
      <c r="Z104" s="147" t="str">
        <f>IF((_xlfn.XLOOKUP(Profesores[[#This Row],[Nombre]],base_de_datos[Profesor],base_de_datos[Academia],1))=Profesores[[#Headers],[ETF]],"x","")</f>
        <v/>
      </c>
      <c r="AA104" s="147" t="str">
        <f>IF((_xlfn.XLOOKUP(Profesores[[#This Row],[Nombre]],base_de_datos[Profesor],base_de_datos[Academia],1))=Profesores[[#Headers],[MAT]],"x","")</f>
        <v>x</v>
      </c>
      <c r="AB104" s="147" t="str">
        <f>IF((_xlfn.XLOOKUP(Profesores[[#This Row],[Nombre]],base_de_datos[Profesor],base_de_datos[Academia],1))=Profesores[[#Headers],[EMP]],"x","")</f>
        <v/>
      </c>
      <c r="AC104" s="146" t="str">
        <f>IF((_xlfn.XLOOKUP(Profesores[[#This Row],[Nombre]],base_de_datos[Profesor],base_de_datos[Academia],1))=Profesores[[#Headers],[AIC]],"x","")</f>
        <v/>
      </c>
      <c r="AD104" s="146" t="str">
        <f>IF((_xlfn.XLOOKUP(Profesores[[#This Row],[Nombre]],base_de_datos[Profesor],base_de_datos[Academia],1))=Profesores[[#Headers],[ESC]],"x","")</f>
        <v/>
      </c>
      <c r="AE104" s="146" t="str">
        <f>IF((_xlfn.XLOOKUP(Profesores[[#This Row],[Nombre]],base_de_datos[Profesor],base_de_datos[Academia],1))=Profesores[[#Headers],[HUM]],"x","")</f>
        <v/>
      </c>
      <c r="AF104" s="146" t="str">
        <f>IF((_xlfn.XLOOKUP(Profesores[[#This Row],[Nombre]],base_de_datos[Profesor],base_de_datos[Academia],1))=Profesores[[#Headers],[IID]],"x","")</f>
        <v/>
      </c>
      <c r="AG104" s="146" t="str">
        <f>IF((_xlfn.XLOOKUP(Profesores[[#This Row],[Nombre]],base_de_datos[Profesor],base_de_datos[Academia],1))=Profesores[[#Headers],[BIO]],"x","")</f>
        <v/>
      </c>
      <c r="AJ104" s="146">
        <f>TRUNC(IFERROR(Profesores[[#This Row],[Ex Inglés]]*677/100,0),0)</f>
        <v>0</v>
      </c>
    </row>
    <row r="105" spans="2:36" s="146" customFormat="1" ht="12" hidden="1" customHeight="1" x14ac:dyDescent="0.3">
      <c r="B105" s="6">
        <v>58</v>
      </c>
      <c r="C105" s="146" t="s">
        <v>502</v>
      </c>
      <c r="D105" s="147" t="s">
        <v>28</v>
      </c>
      <c r="E105" s="148">
        <v>230730</v>
      </c>
      <c r="F105" s="146" t="s">
        <v>104</v>
      </c>
      <c r="G105" s="149" t="s">
        <v>1166</v>
      </c>
      <c r="H105" s="149" t="s">
        <v>1109</v>
      </c>
      <c r="I105" s="149" t="s">
        <v>1167</v>
      </c>
      <c r="J105" s="150">
        <v>33936</v>
      </c>
      <c r="K105" s="149" t="s">
        <v>506</v>
      </c>
      <c r="L105" s="147" t="s">
        <v>507</v>
      </c>
      <c r="M105" s="151">
        <v>4492052887</v>
      </c>
      <c r="N105" s="159" t="s">
        <v>1168</v>
      </c>
      <c r="O105" s="151" t="s">
        <v>1169</v>
      </c>
      <c r="P105" s="147">
        <v>113</v>
      </c>
      <c r="Q105" s="146" t="s">
        <v>1170</v>
      </c>
      <c r="R105" s="146" t="s">
        <v>511</v>
      </c>
      <c r="S105" s="146" t="s">
        <v>511</v>
      </c>
      <c r="T105" s="146">
        <v>20340</v>
      </c>
      <c r="U105" s="147">
        <v>1</v>
      </c>
      <c r="V105" s="147" t="str">
        <f>IF((_xlfn.XLOOKUP(Profesores[[#This Row],[Nombre]],base_de_datos[Profesor],base_de_datos[Academia],1))=Profesores[[#Headers],[MEC]],"x","")</f>
        <v/>
      </c>
      <c r="W105" s="147" t="str">
        <f>IF((_xlfn.XLOOKUP(Profesores[[#This Row],[Nombre]],base_de_datos[Profesor],base_de_datos[Academia],1))=Profesores[[#Headers],[COM]],"x","")</f>
        <v/>
      </c>
      <c r="X105" s="147"/>
      <c r="Y105" s="147" t="str">
        <f>IF((_xlfn.XLOOKUP(Profesores[[#This Row],[Nombre]],base_de_datos[Profesor],base_de_datos[Academia],1))=Profesores[[#Headers],[DOP]],"x","")</f>
        <v/>
      </c>
      <c r="Z105" s="147" t="str">
        <f>IF((_xlfn.XLOOKUP(Profesores[[#This Row],[Nombre]],base_de_datos[Profesor],base_de_datos[Academia],1))=Profesores[[#Headers],[ETF]],"x","")</f>
        <v>x</v>
      </c>
      <c r="AA105" s="147" t="str">
        <f>IF((_xlfn.XLOOKUP(Profesores[[#This Row],[Nombre]],base_de_datos[Profesor],base_de_datos[Academia],1))=Profesores[[#Headers],[MAT]],"x","")</f>
        <v/>
      </c>
      <c r="AB105" s="147" t="str">
        <f>IF((_xlfn.XLOOKUP(Profesores[[#This Row],[Nombre]],base_de_datos[Profesor],base_de_datos[Academia],1))=Profesores[[#Headers],[EMP]],"x","")</f>
        <v/>
      </c>
      <c r="AC105" s="146" t="str">
        <f>IF((_xlfn.XLOOKUP(Profesores[[#This Row],[Nombre]],base_de_datos[Profesor],base_de_datos[Academia],1))=Profesores[[#Headers],[AIC]],"x","")</f>
        <v/>
      </c>
      <c r="AD105" s="146" t="str">
        <f>IF((_xlfn.XLOOKUP(Profesores[[#This Row],[Nombre]],base_de_datos[Profesor],base_de_datos[Academia],1))=Profesores[[#Headers],[ESC]],"x","")</f>
        <v/>
      </c>
      <c r="AE105" s="146" t="str">
        <f>IF((_xlfn.XLOOKUP(Profesores[[#This Row],[Nombre]],base_de_datos[Profesor],base_de_datos[Academia],1))=Profesores[[#Headers],[HUM]],"x","")</f>
        <v/>
      </c>
      <c r="AF105" s="146" t="str">
        <f>IF((_xlfn.XLOOKUP(Profesores[[#This Row],[Nombre]],base_de_datos[Profesor],base_de_datos[Academia],1))=Profesores[[#Headers],[IID]],"x","")</f>
        <v/>
      </c>
      <c r="AG105" s="146" t="str">
        <f>IF((_xlfn.XLOOKUP(Profesores[[#This Row],[Nombre]],base_de_datos[Profesor],base_de_datos[Academia],1))=Profesores[[#Headers],[BIO]],"x","")</f>
        <v/>
      </c>
      <c r="AH105" s="146">
        <v>56.85</v>
      </c>
      <c r="AI105" s="146" t="s">
        <v>513</v>
      </c>
      <c r="AJ105" s="146">
        <f>TRUNC(IFERROR(Profesores[[#This Row],[Ex Inglés]]*677/100,0),0)</f>
        <v>384</v>
      </c>
    </row>
    <row r="106" spans="2:36" s="146" customFormat="1" ht="12" hidden="1" customHeight="1" x14ac:dyDescent="0.3">
      <c r="B106" s="146">
        <v>3</v>
      </c>
      <c r="C106" s="153" t="s">
        <v>540</v>
      </c>
      <c r="D106" s="154" t="s">
        <v>28</v>
      </c>
      <c r="E106" s="155">
        <v>171716</v>
      </c>
      <c r="F106" s="153" t="s">
        <v>150</v>
      </c>
      <c r="G106" s="156" t="s">
        <v>1171</v>
      </c>
      <c r="H106" s="156" t="s">
        <v>746</v>
      </c>
      <c r="I106" s="156" t="s">
        <v>1122</v>
      </c>
      <c r="J106" s="157">
        <v>31664</v>
      </c>
      <c r="K106" s="202" t="s">
        <v>506</v>
      </c>
      <c r="L106" s="147" t="s">
        <v>507</v>
      </c>
      <c r="M106" s="151">
        <v>4491488515</v>
      </c>
      <c r="N106" s="163" t="s">
        <v>1172</v>
      </c>
      <c r="O106" s="151" t="s">
        <v>1173</v>
      </c>
      <c r="P106" s="147" t="s">
        <v>1174</v>
      </c>
      <c r="Q106" s="146" t="s">
        <v>1175</v>
      </c>
      <c r="R106" s="146" t="s">
        <v>511</v>
      </c>
      <c r="S106" s="146" t="s">
        <v>511</v>
      </c>
      <c r="T106" s="146">
        <v>20196</v>
      </c>
      <c r="U106" s="147">
        <v>1</v>
      </c>
      <c r="V106" s="147" t="str">
        <f>IF((_xlfn.XLOOKUP(Profesores[[#This Row],[Nombre]],base_de_datos[Profesor],base_de_datos[Academia],1))=Profesores[[#Headers],[MEC]],"x","")</f>
        <v/>
      </c>
      <c r="W106" s="147" t="str">
        <f>IF((_xlfn.XLOOKUP(Profesores[[#This Row],[Nombre]],base_de_datos[Profesor],base_de_datos[Academia],1))=Profesores[[#Headers],[COM]],"x","")</f>
        <v>x</v>
      </c>
      <c r="X106" s="147"/>
      <c r="Y106" s="147" t="str">
        <f>IF((_xlfn.XLOOKUP(Profesores[[#This Row],[Nombre]],base_de_datos[Profesor],base_de_datos[Academia],1))=Profesores[[#Headers],[DOP]],"x","")</f>
        <v/>
      </c>
      <c r="Z106" s="147" t="str">
        <f>IF((_xlfn.XLOOKUP(Profesores[[#This Row],[Nombre]],base_de_datos[Profesor],base_de_datos[Academia],1))=Profesores[[#Headers],[ETF]],"x","")</f>
        <v/>
      </c>
      <c r="AA106" s="147" t="str">
        <f>IF((_xlfn.XLOOKUP(Profesores[[#This Row],[Nombre]],base_de_datos[Profesor],base_de_datos[Academia],1))=Profesores[[#Headers],[MAT]],"x","")</f>
        <v/>
      </c>
      <c r="AB106" s="147" t="str">
        <f>IF((_xlfn.XLOOKUP(Profesores[[#This Row],[Nombre]],base_de_datos[Profesor],base_de_datos[Academia],1))=Profesores[[#Headers],[EMP]],"x","")</f>
        <v/>
      </c>
      <c r="AC106" s="146" t="str">
        <f>IF((_xlfn.XLOOKUP(Profesores[[#This Row],[Nombre]],base_de_datos[Profesor],base_de_datos[Academia],1))=Profesores[[#Headers],[AIC]],"x","")</f>
        <v/>
      </c>
      <c r="AD106" s="146" t="str">
        <f>IF((_xlfn.XLOOKUP(Profesores[[#This Row],[Nombre]],base_de_datos[Profesor],base_de_datos[Academia],1))=Profesores[[#Headers],[ESC]],"x","")</f>
        <v/>
      </c>
      <c r="AE106" s="146" t="str">
        <f>IF((_xlfn.XLOOKUP(Profesores[[#This Row],[Nombre]],base_de_datos[Profesor],base_de_datos[Academia],1))=Profesores[[#Headers],[HUM]],"x","")</f>
        <v/>
      </c>
      <c r="AF106" s="146" t="str">
        <f>IF((_xlfn.XLOOKUP(Profesores[[#This Row],[Nombre]],base_de_datos[Profesor],base_de_datos[Academia],1))=Profesores[[#Headers],[IID]],"x","")</f>
        <v/>
      </c>
      <c r="AG106" s="146" t="str">
        <f>IF((_xlfn.XLOOKUP(Profesores[[#This Row],[Nombre]],base_de_datos[Profesor],base_de_datos[Academia],1))=Profesores[[#Headers],[BIO]],"x","")</f>
        <v/>
      </c>
      <c r="AH106" s="146">
        <v>64.08</v>
      </c>
      <c r="AI106" s="146" t="s">
        <v>513</v>
      </c>
      <c r="AJ106" s="146">
        <f>TRUNC(IFERROR(Profesores[[#This Row],[Ex Inglés]]*677/100,0),0)</f>
        <v>433</v>
      </c>
    </row>
    <row r="107" spans="2:36" s="146" customFormat="1" ht="12" hidden="1" customHeight="1" x14ac:dyDescent="0.3">
      <c r="B107" s="146">
        <v>4</v>
      </c>
      <c r="C107" s="153" t="s">
        <v>526</v>
      </c>
      <c r="D107" s="154" t="s">
        <v>28</v>
      </c>
      <c r="E107" s="155">
        <v>220296</v>
      </c>
      <c r="F107" s="153" t="s">
        <v>209</v>
      </c>
      <c r="G107" s="156" t="s">
        <v>1176</v>
      </c>
      <c r="H107" s="156" t="s">
        <v>1177</v>
      </c>
      <c r="I107" s="156" t="s">
        <v>1178</v>
      </c>
      <c r="J107" s="157">
        <v>28425</v>
      </c>
      <c r="K107" s="202" t="s">
        <v>506</v>
      </c>
      <c r="L107" s="147" t="s">
        <v>507</v>
      </c>
      <c r="M107" s="151">
        <v>5544439655</v>
      </c>
      <c r="N107" s="163" t="s">
        <v>1179</v>
      </c>
      <c r="O107" s="151" t="s">
        <v>1180</v>
      </c>
      <c r="P107" s="147">
        <v>230</v>
      </c>
      <c r="Q107" s="146" t="s">
        <v>1181</v>
      </c>
      <c r="R107" s="146" t="s">
        <v>511</v>
      </c>
      <c r="S107" s="146" t="s">
        <v>511</v>
      </c>
      <c r="T107" s="146">
        <v>20296</v>
      </c>
      <c r="U107" s="147">
        <v>1</v>
      </c>
      <c r="V107" s="147" t="str">
        <f>IF((_xlfn.XLOOKUP(Profesores[[#This Row],[Nombre]],base_de_datos[Profesor],base_de_datos[Academia],1))=Profesores[[#Headers],[MEC]],"x","")</f>
        <v/>
      </c>
      <c r="W107" s="147" t="str">
        <f>IF((_xlfn.XLOOKUP(Profesores[[#This Row],[Nombre]],base_de_datos[Profesor],base_de_datos[Academia],1))=Profesores[[#Headers],[COM]],"x","")</f>
        <v/>
      </c>
      <c r="X107" s="147"/>
      <c r="Y107" s="147" t="str">
        <f>IF((_xlfn.XLOOKUP(Profesores[[#This Row],[Nombre]],base_de_datos[Profesor],base_de_datos[Academia],1))=Profesores[[#Headers],[DOP]],"x","")</f>
        <v/>
      </c>
      <c r="Z107" s="147" t="str">
        <f>IF((_xlfn.XLOOKUP(Profesores[[#This Row],[Nombre]],base_de_datos[Profesor],base_de_datos[Academia],1))=Profesores[[#Headers],[ETF]],"x","")</f>
        <v/>
      </c>
      <c r="AA107" s="147" t="str">
        <f>IF((_xlfn.XLOOKUP(Profesores[[#This Row],[Nombre]],base_de_datos[Profesor],base_de_datos[Academia],1))=Profesores[[#Headers],[MAT]],"x","")</f>
        <v/>
      </c>
      <c r="AB107" s="147" t="str">
        <f>IF((_xlfn.XLOOKUP(Profesores[[#This Row],[Nombre]],base_de_datos[Profesor],base_de_datos[Academia],1))=Profesores[[#Headers],[EMP]],"x","")</f>
        <v>x</v>
      </c>
      <c r="AC107" s="146" t="str">
        <f>IF((_xlfn.XLOOKUP(Profesores[[#This Row],[Nombre]],base_de_datos[Profesor],base_de_datos[Academia],1))=Profesores[[#Headers],[AIC]],"x","")</f>
        <v/>
      </c>
      <c r="AD107" s="146" t="str">
        <f>IF((_xlfn.XLOOKUP(Profesores[[#This Row],[Nombre]],base_de_datos[Profesor],base_de_datos[Academia],1))=Profesores[[#Headers],[ESC]],"x","")</f>
        <v/>
      </c>
      <c r="AE107" s="146" t="str">
        <f>IF((_xlfn.XLOOKUP(Profesores[[#This Row],[Nombre]],base_de_datos[Profesor],base_de_datos[Academia],1))=Profesores[[#Headers],[HUM]],"x","")</f>
        <v/>
      </c>
      <c r="AF107" s="146" t="str">
        <f>IF((_xlfn.XLOOKUP(Profesores[[#This Row],[Nombre]],base_de_datos[Profesor],base_de_datos[Academia],1))=Profesores[[#Headers],[IID]],"x","")</f>
        <v/>
      </c>
      <c r="AG107" s="146" t="str">
        <f>IF((_xlfn.XLOOKUP(Profesores[[#This Row],[Nombre]],base_de_datos[Profesor],base_de_datos[Academia],1))=Profesores[[#Headers],[BIO]],"x","")</f>
        <v/>
      </c>
      <c r="AH107" s="146">
        <v>40.369999999999997</v>
      </c>
      <c r="AI107" s="146" t="s">
        <v>513</v>
      </c>
      <c r="AJ107" s="146">
        <f>TRUNC(IFERROR(Profesores[[#This Row],[Ex Inglés]]*677/100,0),0)</f>
        <v>273</v>
      </c>
    </row>
    <row r="108" spans="2:36" s="146" customFormat="1" ht="12" hidden="1" customHeight="1" x14ac:dyDescent="0.3">
      <c r="B108" s="146">
        <v>5</v>
      </c>
      <c r="C108" s="153" t="s">
        <v>515</v>
      </c>
      <c r="D108" s="154" t="s">
        <v>28</v>
      </c>
      <c r="E108" s="155">
        <v>177529</v>
      </c>
      <c r="F108" s="153" t="s">
        <v>335</v>
      </c>
      <c r="G108" s="156" t="s">
        <v>1182</v>
      </c>
      <c r="H108" s="156" t="s">
        <v>1183</v>
      </c>
      <c r="I108" s="156" t="s">
        <v>1184</v>
      </c>
      <c r="J108" s="157">
        <v>34990</v>
      </c>
      <c r="K108" s="202" t="s">
        <v>506</v>
      </c>
      <c r="L108" s="147" t="s">
        <v>507</v>
      </c>
      <c r="M108" s="151">
        <v>4441742125</v>
      </c>
      <c r="N108" s="163" t="s">
        <v>1185</v>
      </c>
      <c r="O108" s="151" t="s">
        <v>1186</v>
      </c>
      <c r="P108" s="147">
        <v>241</v>
      </c>
      <c r="Q108" s="146" t="s">
        <v>1181</v>
      </c>
      <c r="R108" s="146" t="s">
        <v>511</v>
      </c>
      <c r="S108" s="146" t="s">
        <v>511</v>
      </c>
      <c r="T108" s="146">
        <v>20296</v>
      </c>
      <c r="U108" s="147">
        <v>2</v>
      </c>
      <c r="V108" s="147" t="str">
        <f>IF((_xlfn.XLOOKUP(Profesores[[#This Row],[Nombre]],base_de_datos[Profesor],base_de_datos[Academia],1))=Profesores[[#Headers],[MEC]],"x","")</f>
        <v>x</v>
      </c>
      <c r="W108" s="147" t="str">
        <f>IF((_xlfn.XLOOKUP(Profesores[[#This Row],[Nombre]],base_de_datos[Profesor],base_de_datos[Academia],1))=Profesores[[#Headers],[COM]],"x","")</f>
        <v/>
      </c>
      <c r="X108" s="147"/>
      <c r="Y108" s="147" t="str">
        <f>IF((_xlfn.XLOOKUP(Profesores[[#This Row],[Nombre]],base_de_datos[Profesor],base_de_datos[Academia],1))=Profesores[[#Headers],[DOP]],"x","")</f>
        <v/>
      </c>
      <c r="Z108" s="147" t="str">
        <f>IF((_xlfn.XLOOKUP(Profesores[[#This Row],[Nombre]],base_de_datos[Profesor],base_de_datos[Academia],1))=Profesores[[#Headers],[ETF]],"x","")</f>
        <v/>
      </c>
      <c r="AA108" s="147" t="str">
        <f>IF((_xlfn.XLOOKUP(Profesores[[#This Row],[Nombre]],base_de_datos[Profesor],base_de_datos[Academia],1))=Profesores[[#Headers],[MAT]],"x","")</f>
        <v/>
      </c>
      <c r="AB108" s="147" t="str">
        <f>IF((_xlfn.XLOOKUP(Profesores[[#This Row],[Nombre]],base_de_datos[Profesor],base_de_datos[Academia],1))=Profesores[[#Headers],[EMP]],"x","")</f>
        <v/>
      </c>
      <c r="AC108" s="146" t="str">
        <f>IF((_xlfn.XLOOKUP(Profesores[[#This Row],[Nombre]],base_de_datos[Profesor],base_de_datos[Academia],1))=Profesores[[#Headers],[AIC]],"x","")</f>
        <v/>
      </c>
      <c r="AD108" s="146" t="str">
        <f>IF((_xlfn.XLOOKUP(Profesores[[#This Row],[Nombre]],base_de_datos[Profesor],base_de_datos[Academia],1))=Profesores[[#Headers],[ESC]],"x","")</f>
        <v/>
      </c>
      <c r="AE108" s="146" t="str">
        <f>IF((_xlfn.XLOOKUP(Profesores[[#This Row],[Nombre]],base_de_datos[Profesor],base_de_datos[Academia],1))=Profesores[[#Headers],[HUM]],"x","")</f>
        <v/>
      </c>
      <c r="AF108" s="146" t="str">
        <f>IF((_xlfn.XLOOKUP(Profesores[[#This Row],[Nombre]],base_de_datos[Profesor],base_de_datos[Academia],1))=Profesores[[#Headers],[IID]],"x","")</f>
        <v/>
      </c>
      <c r="AG108" s="146" t="str">
        <f>IF((_xlfn.XLOOKUP(Profesores[[#This Row],[Nombre]],base_de_datos[Profesor],base_de_datos[Academia],1))=Profesores[[#Headers],[BIO]],"x","")</f>
        <v/>
      </c>
      <c r="AH108" s="146" t="s">
        <v>524</v>
      </c>
      <c r="AI108" s="146" t="s">
        <v>513</v>
      </c>
      <c r="AJ108" s="146">
        <f>TRUNC(IFERROR(Profesores[[#This Row],[Ex Inglés]]*677/100,0),0)</f>
        <v>0</v>
      </c>
    </row>
    <row r="109" spans="2:36" s="146" customFormat="1" ht="12" hidden="1" customHeight="1" x14ac:dyDescent="0.3">
      <c r="B109" s="146">
        <v>6</v>
      </c>
      <c r="C109" s="153" t="s">
        <v>502</v>
      </c>
      <c r="D109" s="154" t="s">
        <v>28</v>
      </c>
      <c r="E109" s="155">
        <v>144853</v>
      </c>
      <c r="F109" s="153" t="s">
        <v>265</v>
      </c>
      <c r="G109" s="156" t="s">
        <v>1187</v>
      </c>
      <c r="H109" s="156" t="s">
        <v>1188</v>
      </c>
      <c r="I109" s="156" t="s">
        <v>977</v>
      </c>
      <c r="J109" s="157">
        <v>28457</v>
      </c>
      <c r="K109" s="202" t="s">
        <v>506</v>
      </c>
      <c r="L109" s="147" t="s">
        <v>507</v>
      </c>
      <c r="M109" s="151">
        <v>4499904518</v>
      </c>
      <c r="N109" s="207" t="s">
        <v>1189</v>
      </c>
      <c r="O109" s="151" t="s">
        <v>1190</v>
      </c>
      <c r="P109" s="147">
        <v>133</v>
      </c>
      <c r="Q109" s="146" t="s">
        <v>1191</v>
      </c>
      <c r="R109" s="146" t="s">
        <v>511</v>
      </c>
      <c r="S109" s="146" t="s">
        <v>511</v>
      </c>
      <c r="T109" s="146">
        <v>20050</v>
      </c>
      <c r="U109" s="147">
        <v>2</v>
      </c>
      <c r="V109" s="147" t="str">
        <f>IF((_xlfn.XLOOKUP(Profesores[[#This Row],[Nombre]],base_de_datos[Profesor],base_de_datos[Academia],1))=Profesores[[#Headers],[MEC]],"x","")</f>
        <v/>
      </c>
      <c r="W109" s="147" t="str">
        <f>IF((_xlfn.XLOOKUP(Profesores[[#This Row],[Nombre]],base_de_datos[Profesor],base_de_datos[Academia],1))=Profesores[[#Headers],[COM]],"x","")</f>
        <v/>
      </c>
      <c r="X109" s="147"/>
      <c r="Y109" s="147" t="str">
        <f>IF((_xlfn.XLOOKUP(Profesores[[#This Row],[Nombre]],base_de_datos[Profesor],base_de_datos[Academia],1))=Profesores[[#Headers],[DOP]],"x","")</f>
        <v/>
      </c>
      <c r="Z109" s="147" t="str">
        <f>IF((_xlfn.XLOOKUP(Profesores[[#This Row],[Nombre]],base_de_datos[Profesor],base_de_datos[Academia],1))=Profesores[[#Headers],[ETF]],"x","")</f>
        <v/>
      </c>
      <c r="AA109" s="147" t="str">
        <f>IF((_xlfn.XLOOKUP(Profesores[[#This Row],[Nombre]],base_de_datos[Profesor],base_de_datos[Academia],1))=Profesores[[#Headers],[MAT]],"x","")</f>
        <v/>
      </c>
      <c r="AB109" s="147" t="str">
        <f>IF((_xlfn.XLOOKUP(Profesores[[#This Row],[Nombre]],base_de_datos[Profesor],base_de_datos[Academia],1))=Profesores[[#Headers],[EMP]],"x","")</f>
        <v/>
      </c>
      <c r="AC109" s="146" t="str">
        <f>IF((_xlfn.XLOOKUP(Profesores[[#This Row],[Nombre]],base_de_datos[Profesor],base_de_datos[Academia],1))=Profesores[[#Headers],[AIC]],"x","")</f>
        <v/>
      </c>
      <c r="AD109" s="146" t="str">
        <f>IF((_xlfn.XLOOKUP(Profesores[[#This Row],[Nombre]],base_de_datos[Profesor],base_de_datos[Academia],1))=Profesores[[#Headers],[ESC]],"x","")</f>
        <v/>
      </c>
      <c r="AE109" s="146" t="str">
        <f>IF((_xlfn.XLOOKUP(Profesores[[#This Row],[Nombre]],base_de_datos[Profesor],base_de_datos[Academia],1))=Profesores[[#Headers],[HUM]],"x","")</f>
        <v/>
      </c>
      <c r="AF109" s="146" t="str">
        <f>IF((_xlfn.XLOOKUP(Profesores[[#This Row],[Nombre]],base_de_datos[Profesor],base_de_datos[Academia],1))=Profesores[[#Headers],[IID]],"x","")</f>
        <v/>
      </c>
      <c r="AG109" s="146" t="str">
        <f>IF((_xlfn.XLOOKUP(Profesores[[#This Row],[Nombre]],base_de_datos[Profesor],base_de_datos[Academia],1))=Profesores[[#Headers],[BIO]],"x","")</f>
        <v/>
      </c>
      <c r="AH109" s="146">
        <v>45.84</v>
      </c>
      <c r="AI109" s="146" t="s">
        <v>513</v>
      </c>
      <c r="AJ109" s="146">
        <f>TRUNC(IFERROR(Profesores[[#This Row],[Ex Inglés]]*677/100,0),0)</f>
        <v>310</v>
      </c>
    </row>
    <row r="110" spans="2:36" s="146" customFormat="1" ht="12" hidden="1" customHeight="1" x14ac:dyDescent="0.3">
      <c r="B110" s="146">
        <v>7</v>
      </c>
      <c r="C110" s="153" t="s">
        <v>502</v>
      </c>
      <c r="D110" s="154" t="s">
        <v>28</v>
      </c>
      <c r="E110" s="155">
        <v>163790</v>
      </c>
      <c r="F110" s="153" t="s">
        <v>177</v>
      </c>
      <c r="G110" s="156" t="s">
        <v>1192</v>
      </c>
      <c r="H110" s="156" t="s">
        <v>1193</v>
      </c>
      <c r="I110" s="156" t="s">
        <v>693</v>
      </c>
      <c r="J110" s="157">
        <v>26083</v>
      </c>
      <c r="K110" s="149" t="s">
        <v>506</v>
      </c>
      <c r="L110" s="147" t="s">
        <v>507</v>
      </c>
      <c r="M110" s="151">
        <v>4491378419</v>
      </c>
      <c r="N110" s="158" t="s">
        <v>1194</v>
      </c>
      <c r="O110" s="151" t="s">
        <v>1195</v>
      </c>
      <c r="P110" s="147">
        <v>123</v>
      </c>
      <c r="Q110" s="146" t="s">
        <v>539</v>
      </c>
      <c r="R110" s="146" t="s">
        <v>511</v>
      </c>
      <c r="S110" s="146" t="s">
        <v>511</v>
      </c>
      <c r="T110" s="146">
        <v>20196</v>
      </c>
      <c r="U110" s="147">
        <v>2</v>
      </c>
      <c r="V110" s="147" t="str">
        <f>IF((_xlfn.XLOOKUP(Profesores[[#This Row],[Nombre]],base_de_datos[Profesor],base_de_datos[Academia],1))=Profesores[[#Headers],[MEC]],"x","")</f>
        <v/>
      </c>
      <c r="W110" s="147" t="str">
        <f>IF((_xlfn.XLOOKUP(Profesores[[#This Row],[Nombre]],base_de_datos[Profesor],base_de_datos[Academia],1))=Profesores[[#Headers],[COM]],"x","")</f>
        <v/>
      </c>
      <c r="X110" s="147"/>
      <c r="Y110" s="147" t="str">
        <f>IF((_xlfn.XLOOKUP(Profesores[[#This Row],[Nombre]],base_de_datos[Profesor],base_de_datos[Academia],1))=Profesores[[#Headers],[DOP]],"x","")</f>
        <v/>
      </c>
      <c r="Z110" s="147" t="str">
        <f>IF((_xlfn.XLOOKUP(Profesores[[#This Row],[Nombre]],base_de_datos[Profesor],base_de_datos[Academia],1))=Profesores[[#Headers],[ETF]],"x","")</f>
        <v/>
      </c>
      <c r="AA110" s="147" t="str">
        <f>IF((_xlfn.XLOOKUP(Profesores[[#This Row],[Nombre]],base_de_datos[Profesor],base_de_datos[Academia],1))=Profesores[[#Headers],[MAT]],"x","")</f>
        <v>x</v>
      </c>
      <c r="AB110" s="147" t="str">
        <f>IF((_xlfn.XLOOKUP(Profesores[[#This Row],[Nombre]],base_de_datos[Profesor],base_de_datos[Academia],1))=Profesores[[#Headers],[EMP]],"x","")</f>
        <v/>
      </c>
      <c r="AC110" s="146" t="str">
        <f>IF((_xlfn.XLOOKUP(Profesores[[#This Row],[Nombre]],base_de_datos[Profesor],base_de_datos[Academia],1))=Profesores[[#Headers],[AIC]],"x","")</f>
        <v/>
      </c>
      <c r="AD110" s="146" t="str">
        <f>IF((_xlfn.XLOOKUP(Profesores[[#This Row],[Nombre]],base_de_datos[Profesor],base_de_datos[Academia],1))=Profesores[[#Headers],[ESC]],"x","")</f>
        <v/>
      </c>
      <c r="AE110" s="146" t="str">
        <f>IF((_xlfn.XLOOKUP(Profesores[[#This Row],[Nombre]],base_de_datos[Profesor],base_de_datos[Academia],1))=Profesores[[#Headers],[HUM]],"x","")</f>
        <v/>
      </c>
      <c r="AF110" s="146" t="str">
        <f>IF((_xlfn.XLOOKUP(Profesores[[#This Row],[Nombre]],base_de_datos[Profesor],base_de_datos[Academia],1))=Profesores[[#Headers],[IID]],"x","")</f>
        <v/>
      </c>
      <c r="AG110" s="146" t="str">
        <f>IF((_xlfn.XLOOKUP(Profesores[[#This Row],[Nombre]],base_de_datos[Profesor],base_de_datos[Academia],1))=Profesores[[#Headers],[BIO]],"x","")</f>
        <v/>
      </c>
      <c r="AH110" s="146">
        <v>76.099999999999994</v>
      </c>
      <c r="AI110" s="146" t="s">
        <v>513</v>
      </c>
      <c r="AJ110" s="146">
        <f>TRUNC(IFERROR(Profesores[[#This Row],[Ex Inglés]]*677/100,0),0)</f>
        <v>515</v>
      </c>
    </row>
    <row r="111" spans="2:36" s="217" customFormat="1" ht="12" hidden="1" customHeight="1" x14ac:dyDescent="0.3">
      <c r="B111" s="146">
        <v>8</v>
      </c>
      <c r="C111" s="153" t="s">
        <v>502</v>
      </c>
      <c r="D111" s="154" t="s">
        <v>28</v>
      </c>
      <c r="E111" s="155">
        <v>144496</v>
      </c>
      <c r="F111" s="153" t="s">
        <v>276</v>
      </c>
      <c r="G111" s="156" t="s">
        <v>1196</v>
      </c>
      <c r="H111" s="156" t="s">
        <v>609</v>
      </c>
      <c r="I111" s="156" t="s">
        <v>1197</v>
      </c>
      <c r="J111" s="157">
        <v>21206</v>
      </c>
      <c r="K111" s="202" t="s">
        <v>506</v>
      </c>
      <c r="L111" s="147" t="s">
        <v>507</v>
      </c>
      <c r="M111" s="151">
        <v>4499119812</v>
      </c>
      <c r="N111" s="158" t="s">
        <v>1198</v>
      </c>
      <c r="O111" s="151" t="s">
        <v>1199</v>
      </c>
      <c r="P111" s="147">
        <v>1022</v>
      </c>
      <c r="Q111" s="146" t="s">
        <v>1200</v>
      </c>
      <c r="R111" s="146" t="s">
        <v>511</v>
      </c>
      <c r="S111" s="146" t="s">
        <v>511</v>
      </c>
      <c r="T111" s="146">
        <v>20115</v>
      </c>
      <c r="U111" s="147">
        <v>2</v>
      </c>
      <c r="V111" s="147" t="str">
        <f>IF((_xlfn.XLOOKUP(Profesores[[#This Row],[Nombre]],base_de_datos[Profesor],base_de_datos[Academia],1))=Profesores[[#Headers],[MEC]],"x","")</f>
        <v/>
      </c>
      <c r="W111" s="147" t="str">
        <f>IF((_xlfn.XLOOKUP(Profesores[[#This Row],[Nombre]],base_de_datos[Profesor],base_de_datos[Academia],1))=Profesores[[#Headers],[COM]],"x","")</f>
        <v/>
      </c>
      <c r="X111" s="147"/>
      <c r="Y111" s="147" t="str">
        <f>IF((_xlfn.XLOOKUP(Profesores[[#This Row],[Nombre]],base_de_datos[Profesor],base_de_datos[Academia],1))=Profesores[[#Headers],[DOP]],"x","")</f>
        <v/>
      </c>
      <c r="Z111" s="147" t="str">
        <f>IF((_xlfn.XLOOKUP(Profesores[[#This Row],[Nombre]],base_de_datos[Profesor],base_de_datos[Academia],1))=Profesores[[#Headers],[ETF]],"x","")</f>
        <v/>
      </c>
      <c r="AA111" s="147" t="str">
        <f>IF((_xlfn.XLOOKUP(Profesores[[#This Row],[Nombre]],base_de_datos[Profesor],base_de_datos[Academia],1))=Profesores[[#Headers],[MAT]],"x","")</f>
        <v/>
      </c>
      <c r="AB111" s="147" t="str">
        <f>IF((_xlfn.XLOOKUP(Profesores[[#This Row],[Nombre]],base_de_datos[Profesor],base_de_datos[Academia],1))=Profesores[[#Headers],[EMP]],"x","")</f>
        <v>x</v>
      </c>
      <c r="AC111" s="146" t="str">
        <f>IF((_xlfn.XLOOKUP(Profesores[[#This Row],[Nombre]],base_de_datos[Profesor],base_de_datos[Academia],1))=Profesores[[#Headers],[AIC]],"x","")</f>
        <v/>
      </c>
      <c r="AD111" s="146" t="str">
        <f>IF((_xlfn.XLOOKUP(Profesores[[#This Row],[Nombre]],base_de_datos[Profesor],base_de_datos[Academia],1))=Profesores[[#Headers],[ESC]],"x","")</f>
        <v/>
      </c>
      <c r="AE111" s="146" t="str">
        <f>IF((_xlfn.XLOOKUP(Profesores[[#This Row],[Nombre]],base_de_datos[Profesor],base_de_datos[Academia],1))=Profesores[[#Headers],[HUM]],"x","")</f>
        <v/>
      </c>
      <c r="AF111" s="146" t="str">
        <f>IF((_xlfn.XLOOKUP(Profesores[[#This Row],[Nombre]],base_de_datos[Profesor],base_de_datos[Academia],1))=Profesores[[#Headers],[IID]],"x","")</f>
        <v/>
      </c>
      <c r="AG111" s="146" t="str">
        <f>IF((_xlfn.XLOOKUP(Profesores[[#This Row],[Nombre]],base_de_datos[Profesor],base_de_datos[Academia],1))=Profesores[[#Headers],[BIO]],"x","")</f>
        <v/>
      </c>
      <c r="AH111" s="146">
        <v>76.19</v>
      </c>
      <c r="AI111" s="146" t="s">
        <v>513</v>
      </c>
      <c r="AJ111" s="146">
        <f>TRUNC(IFERROR(Profesores[[#This Row],[Ex Inglés]]*677/100,0),0)</f>
        <v>515</v>
      </c>
    </row>
    <row r="112" spans="2:36" s="146" customFormat="1" ht="12" hidden="1" customHeight="1" x14ac:dyDescent="0.3">
      <c r="B112" s="146">
        <v>10</v>
      </c>
      <c r="C112" s="153" t="s">
        <v>502</v>
      </c>
      <c r="D112" s="154" t="s">
        <v>28</v>
      </c>
      <c r="E112" s="155">
        <v>2218</v>
      </c>
      <c r="F112" s="153" t="s">
        <v>281</v>
      </c>
      <c r="G112" s="156" t="s">
        <v>1201</v>
      </c>
      <c r="H112" s="156" t="s">
        <v>1202</v>
      </c>
      <c r="I112" s="156" t="s">
        <v>1203</v>
      </c>
      <c r="J112" s="157">
        <v>29091</v>
      </c>
      <c r="K112" s="156" t="s">
        <v>506</v>
      </c>
      <c r="L112" s="147" t="s">
        <v>507</v>
      </c>
      <c r="M112" s="151">
        <v>5545248878</v>
      </c>
      <c r="N112" s="163" t="s">
        <v>1204</v>
      </c>
      <c r="O112" s="151" t="s">
        <v>1205</v>
      </c>
      <c r="P112" s="147">
        <v>112</v>
      </c>
      <c r="Q112" s="146" t="s">
        <v>1206</v>
      </c>
      <c r="R112" s="146" t="s">
        <v>511</v>
      </c>
      <c r="S112" s="146" t="s">
        <v>511</v>
      </c>
      <c r="T112" s="146">
        <v>20277</v>
      </c>
      <c r="U112" s="147">
        <v>2</v>
      </c>
      <c r="V112" s="147" t="str">
        <f>IF((_xlfn.XLOOKUP(Profesores[[#This Row],[Nombre]],base_de_datos[Profesor],base_de_datos[Academia],1))=Profesores[[#Headers],[MEC]],"x","")</f>
        <v/>
      </c>
      <c r="W112" s="147" t="str">
        <f>IF((_xlfn.XLOOKUP(Profesores[[#This Row],[Nombre]],base_de_datos[Profesor],base_de_datos[Academia],1))=Profesores[[#Headers],[COM]],"x","")</f>
        <v/>
      </c>
      <c r="X112" s="147"/>
      <c r="Y112" s="147" t="str">
        <f>IF((_xlfn.XLOOKUP(Profesores[[#This Row],[Nombre]],base_de_datos[Profesor],base_de_datos[Academia],1))=Profesores[[#Headers],[DOP]],"x","")</f>
        <v/>
      </c>
      <c r="Z112" s="147" t="str">
        <f>IF((_xlfn.XLOOKUP(Profesores[[#This Row],[Nombre]],base_de_datos[Profesor],base_de_datos[Academia],1))=Profesores[[#Headers],[ETF]],"x","")</f>
        <v/>
      </c>
      <c r="AA112" s="147" t="str">
        <f>IF((_xlfn.XLOOKUP(Profesores[[#This Row],[Nombre]],base_de_datos[Profesor],base_de_datos[Academia],1))=Profesores[[#Headers],[MAT]],"x","")</f>
        <v/>
      </c>
      <c r="AB112" s="147" t="str">
        <f>IF((_xlfn.XLOOKUP(Profesores[[#This Row],[Nombre]],base_de_datos[Profesor],base_de_datos[Academia],1))=Profesores[[#Headers],[EMP]],"x","")</f>
        <v/>
      </c>
      <c r="AC112" s="146" t="str">
        <f>IF((_xlfn.XLOOKUP(Profesores[[#This Row],[Nombre]],base_de_datos[Profesor],base_de_datos[Academia],1))=Profesores[[#Headers],[AIC]],"x","")</f>
        <v/>
      </c>
      <c r="AD112" s="146" t="str">
        <f>IF((_xlfn.XLOOKUP(Profesores[[#This Row],[Nombre]],base_de_datos[Profesor],base_de_datos[Academia],1))=Profesores[[#Headers],[ESC]],"x","")</f>
        <v/>
      </c>
      <c r="AE112" s="146" t="str">
        <f>IF((_xlfn.XLOOKUP(Profesores[[#This Row],[Nombre]],base_de_datos[Profesor],base_de_datos[Academia],1))=Profesores[[#Headers],[HUM]],"x","")</f>
        <v/>
      </c>
      <c r="AF112" s="146" t="str">
        <f>IF((_xlfn.XLOOKUP(Profesores[[#This Row],[Nombre]],base_de_datos[Profesor],base_de_datos[Academia],1))=Profesores[[#Headers],[IID]],"x","")</f>
        <v>x</v>
      </c>
      <c r="AG112" s="146" t="str">
        <f>IF((_xlfn.XLOOKUP(Profesores[[#This Row],[Nombre]],base_de_datos[Profesor],base_de_datos[Academia],1))=Profesores[[#Headers],[BIO]],"x","")</f>
        <v/>
      </c>
      <c r="AH112" s="146">
        <v>75</v>
      </c>
      <c r="AI112" s="146" t="s">
        <v>513</v>
      </c>
      <c r="AJ112" s="146">
        <f>TRUNC(IFERROR(Profesores[[#This Row],[Ex Inglés]]*677/100,0),0)</f>
        <v>507</v>
      </c>
    </row>
    <row r="113" spans="2:36" s="146" customFormat="1" ht="12" hidden="1" customHeight="1" x14ac:dyDescent="0.3">
      <c r="B113" s="146">
        <v>11</v>
      </c>
      <c r="C113" s="153" t="s">
        <v>540</v>
      </c>
      <c r="D113" s="154" t="s">
        <v>28</v>
      </c>
      <c r="E113" s="155">
        <v>232700</v>
      </c>
      <c r="F113" s="153" t="s">
        <v>216</v>
      </c>
      <c r="G113" s="156" t="s">
        <v>1207</v>
      </c>
      <c r="H113" s="156" t="s">
        <v>1208</v>
      </c>
      <c r="I113" s="156" t="s">
        <v>1131</v>
      </c>
      <c r="J113" s="157">
        <v>32352</v>
      </c>
      <c r="K113" s="149" t="s">
        <v>506</v>
      </c>
      <c r="L113" s="147" t="s">
        <v>507</v>
      </c>
      <c r="M113" s="151" t="s">
        <v>1209</v>
      </c>
      <c r="N113" s="158" t="s">
        <v>1210</v>
      </c>
      <c r="O113" s="151" t="s">
        <v>1211</v>
      </c>
      <c r="P113" s="147" t="s">
        <v>773</v>
      </c>
      <c r="Q113" s="146" t="s">
        <v>774</v>
      </c>
      <c r="R113" s="146" t="s">
        <v>511</v>
      </c>
      <c r="S113" s="146" t="s">
        <v>511</v>
      </c>
      <c r="T113" s="146">
        <v>20286</v>
      </c>
      <c r="U113" s="147">
        <v>3</v>
      </c>
      <c r="V113" s="147" t="str">
        <f>IF((_xlfn.XLOOKUP(Profesores[[#This Row],[Nombre]],base_de_datos[Profesor],base_de_datos[Academia],1))=Profesores[[#Headers],[MEC]],"x","")</f>
        <v/>
      </c>
      <c r="W113" s="147" t="str">
        <f>IF((_xlfn.XLOOKUP(Profesores[[#This Row],[Nombre]],base_de_datos[Profesor],base_de_datos[Academia],1))=Profesores[[#Headers],[COM]],"x","")</f>
        <v/>
      </c>
      <c r="X113" s="147"/>
      <c r="Y113" s="147" t="str">
        <f>IF((_xlfn.XLOOKUP(Profesores[[#This Row],[Nombre]],base_de_datos[Profesor],base_de_datos[Academia],1))=Profesores[[#Headers],[DOP]],"x","")</f>
        <v/>
      </c>
      <c r="Z113" s="147" t="str">
        <f>IF((_xlfn.XLOOKUP(Profesores[[#This Row],[Nombre]],base_de_datos[Profesor],base_de_datos[Academia],1))=Profesores[[#Headers],[ETF]],"x","")</f>
        <v/>
      </c>
      <c r="AA113" s="147" t="str">
        <f>IF((_xlfn.XLOOKUP(Profesores[[#This Row],[Nombre]],base_de_datos[Profesor],base_de_datos[Academia],1))=Profesores[[#Headers],[MAT]],"x","")</f>
        <v/>
      </c>
      <c r="AB113" s="147" t="str">
        <f>IF((_xlfn.XLOOKUP(Profesores[[#This Row],[Nombre]],base_de_datos[Profesor],base_de_datos[Academia],1))=Profesores[[#Headers],[EMP]],"x","")</f>
        <v/>
      </c>
      <c r="AC113" s="146" t="str">
        <f>IF((_xlfn.XLOOKUP(Profesores[[#This Row],[Nombre]],base_de_datos[Profesor],base_de_datos[Academia],1))=Profesores[[#Headers],[AIC]],"x","")</f>
        <v/>
      </c>
      <c r="AD113" s="146" t="str">
        <f>IF((_xlfn.XLOOKUP(Profesores[[#This Row],[Nombre]],base_de_datos[Profesor],base_de_datos[Academia],1))=Profesores[[#Headers],[ESC]],"x","")</f>
        <v/>
      </c>
      <c r="AE113" s="146" t="str">
        <f>IF((_xlfn.XLOOKUP(Profesores[[#This Row],[Nombre]],base_de_datos[Profesor],base_de_datos[Academia],1))=Profesores[[#Headers],[HUM]],"x","")</f>
        <v/>
      </c>
      <c r="AF113" s="146" t="str">
        <f>IF((_xlfn.XLOOKUP(Profesores[[#This Row],[Nombre]],base_de_datos[Profesor],base_de_datos[Academia],1))=Profesores[[#Headers],[IID]],"x","")</f>
        <v/>
      </c>
      <c r="AG113" s="146" t="str">
        <f>IF((_xlfn.XLOOKUP(Profesores[[#This Row],[Nombre]],base_de_datos[Profesor],base_de_datos[Academia],1))=Profesores[[#Headers],[BIO]],"x","")</f>
        <v/>
      </c>
      <c r="AH113" s="146" t="s">
        <v>1212</v>
      </c>
      <c r="AI113" s="146" t="s">
        <v>513</v>
      </c>
      <c r="AJ113" s="146">
        <f>TRUNC(IFERROR(Profesores[[#This Row],[Ex Inglés]]*677/100,0),0)</f>
        <v>451</v>
      </c>
    </row>
    <row r="114" spans="2:36" s="146" customFormat="1" ht="12" hidden="1" customHeight="1" x14ac:dyDescent="0.3">
      <c r="B114" s="146">
        <v>12</v>
      </c>
      <c r="C114" s="153" t="s">
        <v>515</v>
      </c>
      <c r="D114" s="154" t="s">
        <v>28</v>
      </c>
      <c r="E114" s="155">
        <v>90906</v>
      </c>
      <c r="F114" s="153" t="s">
        <v>192</v>
      </c>
      <c r="G114" s="156" t="s">
        <v>1213</v>
      </c>
      <c r="H114" s="156" t="s">
        <v>1214</v>
      </c>
      <c r="I114" s="156" t="s">
        <v>1215</v>
      </c>
      <c r="J114" s="157">
        <v>32117</v>
      </c>
      <c r="K114" s="156" t="s">
        <v>506</v>
      </c>
      <c r="L114" s="147" t="s">
        <v>507</v>
      </c>
      <c r="M114" s="151" t="s">
        <v>1216</v>
      </c>
      <c r="N114" s="158" t="s">
        <v>1217</v>
      </c>
      <c r="O114" s="151" t="s">
        <v>1218</v>
      </c>
      <c r="P114" s="147">
        <v>107</v>
      </c>
      <c r="Q114" s="146" t="s">
        <v>1219</v>
      </c>
      <c r="R114" s="146" t="s">
        <v>511</v>
      </c>
      <c r="S114" s="146" t="s">
        <v>511</v>
      </c>
      <c r="T114" s="146">
        <v>20218</v>
      </c>
      <c r="U114" s="147">
        <v>2</v>
      </c>
      <c r="V114" s="147" t="str">
        <f>IF((_xlfn.XLOOKUP(Profesores[[#This Row],[Nombre]],base_de_datos[Profesor],base_de_datos[Academia],1))=Profesores[[#Headers],[MEC]],"x","")</f>
        <v/>
      </c>
      <c r="W114" s="147" t="str">
        <f>IF((_xlfn.XLOOKUP(Profesores[[#This Row],[Nombre]],base_de_datos[Profesor],base_de_datos[Academia],1))=Profesores[[#Headers],[COM]],"x","")</f>
        <v/>
      </c>
      <c r="X114" s="147"/>
      <c r="Y114" s="147" t="str">
        <f>IF((_xlfn.XLOOKUP(Profesores[[#This Row],[Nombre]],base_de_datos[Profesor],base_de_datos[Academia],1))=Profesores[[#Headers],[DOP]],"x","")</f>
        <v/>
      </c>
      <c r="Z114" s="147" t="str">
        <f>IF((_xlfn.XLOOKUP(Profesores[[#This Row],[Nombre]],base_de_datos[Profesor],base_de_datos[Academia],1))=Profesores[[#Headers],[ETF]],"x","")</f>
        <v/>
      </c>
      <c r="AA114" s="147" t="str">
        <f>IF((_xlfn.XLOOKUP(Profesores[[#This Row],[Nombre]],base_de_datos[Profesor],base_de_datos[Academia],1))=Profesores[[#Headers],[MAT]],"x","")</f>
        <v/>
      </c>
      <c r="AB114" s="147" t="str">
        <f>IF((_xlfn.XLOOKUP(Profesores[[#This Row],[Nombre]],base_de_datos[Profesor],base_de_datos[Academia],1))=Profesores[[#Headers],[EMP]],"x","")</f>
        <v/>
      </c>
      <c r="AC114" s="146" t="str">
        <f>IF((_xlfn.XLOOKUP(Profesores[[#This Row],[Nombre]],base_de_datos[Profesor],base_de_datos[Academia],1))=Profesores[[#Headers],[AIC]],"x","")</f>
        <v/>
      </c>
      <c r="AD114" s="146" t="str">
        <f>IF((_xlfn.XLOOKUP(Profesores[[#This Row],[Nombre]],base_de_datos[Profesor],base_de_datos[Academia],1))=Profesores[[#Headers],[ESC]],"x","")</f>
        <v/>
      </c>
      <c r="AE114" s="146" t="str">
        <f>IF((_xlfn.XLOOKUP(Profesores[[#This Row],[Nombre]],base_de_datos[Profesor],base_de_datos[Academia],1))=Profesores[[#Headers],[HUM]],"x","")</f>
        <v/>
      </c>
      <c r="AF114" s="146" t="str">
        <f>IF((_xlfn.XLOOKUP(Profesores[[#This Row],[Nombre]],base_de_datos[Profesor],base_de_datos[Academia],1))=Profesores[[#Headers],[IID]],"x","")</f>
        <v/>
      </c>
      <c r="AG114" s="146" t="str">
        <f>IF((_xlfn.XLOOKUP(Profesores[[#This Row],[Nombre]],base_de_datos[Profesor],base_de_datos[Academia],1))=Profesores[[#Headers],[BIO]],"x","")</f>
        <v/>
      </c>
      <c r="AH114" s="146">
        <v>91</v>
      </c>
      <c r="AI114" s="146" t="s">
        <v>546</v>
      </c>
      <c r="AJ114" s="146">
        <f>TRUNC(IFERROR(Profesores[[#This Row],[Ex Inglés]]*677/100,0),0)</f>
        <v>616</v>
      </c>
    </row>
    <row r="115" spans="2:36" s="146" customFormat="1" ht="12" hidden="1" customHeight="1" x14ac:dyDescent="0.3">
      <c r="B115" s="146">
        <v>14</v>
      </c>
      <c r="C115" s="153" t="s">
        <v>502</v>
      </c>
      <c r="D115" s="154" t="s">
        <v>28</v>
      </c>
      <c r="E115" s="155">
        <v>144744</v>
      </c>
      <c r="F115" s="153" t="s">
        <v>319</v>
      </c>
      <c r="G115" s="156" t="s">
        <v>1220</v>
      </c>
      <c r="H115" s="156" t="s">
        <v>624</v>
      </c>
      <c r="I115" s="156" t="s">
        <v>785</v>
      </c>
      <c r="J115" s="157">
        <v>24462</v>
      </c>
      <c r="K115" s="156" t="s">
        <v>506</v>
      </c>
      <c r="L115" s="147" t="s">
        <v>507</v>
      </c>
      <c r="M115" s="151">
        <v>4491502518</v>
      </c>
      <c r="N115" s="158" t="s">
        <v>1221</v>
      </c>
      <c r="O115" s="151" t="s">
        <v>1222</v>
      </c>
      <c r="P115" s="147">
        <v>204</v>
      </c>
      <c r="Q115" s="146" t="s">
        <v>1223</v>
      </c>
      <c r="R115" s="146" t="s">
        <v>511</v>
      </c>
      <c r="S115" s="146" t="s">
        <v>511</v>
      </c>
      <c r="T115" s="146">
        <v>20235</v>
      </c>
      <c r="U115" s="147">
        <v>2</v>
      </c>
      <c r="V115" s="147" t="str">
        <f>IF((_xlfn.XLOOKUP(Profesores[[#This Row],[Nombre]],base_de_datos[Profesor],base_de_datos[Academia],1))=Profesores[[#Headers],[MEC]],"x","")</f>
        <v>x</v>
      </c>
      <c r="W115" s="147" t="str">
        <f>IF((_xlfn.XLOOKUP(Profesores[[#This Row],[Nombre]],base_de_datos[Profesor],base_de_datos[Academia],1))=Profesores[[#Headers],[COM]],"x","")</f>
        <v/>
      </c>
      <c r="X115" s="147"/>
      <c r="Y115" s="147" t="str">
        <f>IF((_xlfn.XLOOKUP(Profesores[[#This Row],[Nombre]],base_de_datos[Profesor],base_de_datos[Academia],1))=Profesores[[#Headers],[DOP]],"x","")</f>
        <v/>
      </c>
      <c r="Z115" s="147" t="str">
        <f>IF((_xlfn.XLOOKUP(Profesores[[#This Row],[Nombre]],base_de_datos[Profesor],base_de_datos[Academia],1))=Profesores[[#Headers],[ETF]],"x","")</f>
        <v/>
      </c>
      <c r="AA115" s="147" t="str">
        <f>IF((_xlfn.XLOOKUP(Profesores[[#This Row],[Nombre]],base_de_datos[Profesor],base_de_datos[Academia],1))=Profesores[[#Headers],[MAT]],"x","")</f>
        <v/>
      </c>
      <c r="AB115" s="147" t="str">
        <f>IF((_xlfn.XLOOKUP(Profesores[[#This Row],[Nombre]],base_de_datos[Profesor],base_de_datos[Academia],1))=Profesores[[#Headers],[EMP]],"x","")</f>
        <v/>
      </c>
      <c r="AC115" s="146" t="str">
        <f>IF((_xlfn.XLOOKUP(Profesores[[#This Row],[Nombre]],base_de_datos[Profesor],base_de_datos[Academia],1))=Profesores[[#Headers],[AIC]],"x","")</f>
        <v/>
      </c>
      <c r="AD115" s="146" t="str">
        <f>IF((_xlfn.XLOOKUP(Profesores[[#This Row],[Nombre]],base_de_datos[Profesor],base_de_datos[Academia],1))=Profesores[[#Headers],[ESC]],"x","")</f>
        <v/>
      </c>
      <c r="AE115" s="146" t="str">
        <f>IF((_xlfn.XLOOKUP(Profesores[[#This Row],[Nombre]],base_de_datos[Profesor],base_de_datos[Academia],1))=Profesores[[#Headers],[HUM]],"x","")</f>
        <v/>
      </c>
      <c r="AF115" s="146" t="str">
        <f>IF((_xlfn.XLOOKUP(Profesores[[#This Row],[Nombre]],base_de_datos[Profesor],base_de_datos[Academia],1))=Profesores[[#Headers],[IID]],"x","")</f>
        <v/>
      </c>
      <c r="AG115" s="146" t="str">
        <f>IF((_xlfn.XLOOKUP(Profesores[[#This Row],[Nombre]],base_de_datos[Profesor],base_de_datos[Academia],1))=Profesores[[#Headers],[BIO]],"x","")</f>
        <v/>
      </c>
      <c r="AH115" s="146">
        <v>74.319999999999993</v>
      </c>
      <c r="AI115" s="146" t="s">
        <v>513</v>
      </c>
      <c r="AJ115" s="146">
        <f>TRUNC(IFERROR(Profesores[[#This Row],[Ex Inglés]]*677/100,0),0)</f>
        <v>503</v>
      </c>
    </row>
    <row r="116" spans="2:36" s="146" customFormat="1" ht="12" hidden="1" customHeight="1" x14ac:dyDescent="0.3">
      <c r="B116" s="6">
        <v>15</v>
      </c>
      <c r="C116" s="153" t="s">
        <v>540</v>
      </c>
      <c r="D116" s="154" t="s">
        <v>28</v>
      </c>
      <c r="E116" s="155">
        <v>157630</v>
      </c>
      <c r="F116" s="153" t="s">
        <v>373</v>
      </c>
      <c r="G116" s="156" t="s">
        <v>1120</v>
      </c>
      <c r="H116" s="156" t="s">
        <v>1224</v>
      </c>
      <c r="I116" s="156" t="s">
        <v>624</v>
      </c>
      <c r="J116" s="157">
        <v>29071</v>
      </c>
      <c r="K116" s="156" t="s">
        <v>506</v>
      </c>
      <c r="L116" s="147" t="s">
        <v>507</v>
      </c>
      <c r="M116" s="151">
        <v>4498074464</v>
      </c>
      <c r="N116" s="171" t="s">
        <v>1225</v>
      </c>
      <c r="O116" s="151" t="s">
        <v>1226</v>
      </c>
      <c r="P116" s="147">
        <v>14</v>
      </c>
      <c r="Q116" s="146" t="s">
        <v>1227</v>
      </c>
      <c r="R116" s="146" t="s">
        <v>511</v>
      </c>
      <c r="S116" s="146" t="s">
        <v>511</v>
      </c>
      <c r="T116" s="146">
        <v>20326</v>
      </c>
      <c r="U116" s="147">
        <v>2</v>
      </c>
      <c r="V116" s="147" t="str">
        <f>IF((_xlfn.XLOOKUP(Profesores[[#This Row],[Nombre]],base_de_datos[Profesor],base_de_datos[Academia],1))=Profesores[[#Headers],[MEC]],"x","")</f>
        <v/>
      </c>
      <c r="W116" s="147" t="str">
        <f>IF((_xlfn.XLOOKUP(Profesores[[#This Row],[Nombre]],base_de_datos[Profesor],base_de_datos[Academia],1))=Profesores[[#Headers],[COM]],"x","")</f>
        <v/>
      </c>
      <c r="X116" s="147"/>
      <c r="Y116" s="147" t="str">
        <f>IF((_xlfn.XLOOKUP(Profesores[[#This Row],[Nombre]],base_de_datos[Profesor],base_de_datos[Academia],1))=Profesores[[#Headers],[DOP]],"x","")</f>
        <v/>
      </c>
      <c r="Z116" s="147" t="str">
        <f>IF((_xlfn.XLOOKUP(Profesores[[#This Row],[Nombre]],base_de_datos[Profesor],base_de_datos[Academia],1))=Profesores[[#Headers],[ETF]],"x","")</f>
        <v/>
      </c>
      <c r="AA116" s="147" t="str">
        <f>IF((_xlfn.XLOOKUP(Profesores[[#This Row],[Nombre]],base_de_datos[Profesor],base_de_datos[Academia],1))=Profesores[[#Headers],[MAT]],"x","")</f>
        <v/>
      </c>
      <c r="AB116" s="147" t="str">
        <f>IF((_xlfn.XLOOKUP(Profesores[[#This Row],[Nombre]],base_de_datos[Profesor],base_de_datos[Academia],1))=Profesores[[#Headers],[EMP]],"x","")</f>
        <v/>
      </c>
      <c r="AC116" s="146" t="str">
        <f>IF((_xlfn.XLOOKUP(Profesores[[#This Row],[Nombre]],base_de_datos[Profesor],base_de_datos[Academia],1))=Profesores[[#Headers],[AIC]],"x","")</f>
        <v/>
      </c>
      <c r="AD116" s="146" t="str">
        <f>IF((_xlfn.XLOOKUP(Profesores[[#This Row],[Nombre]],base_de_datos[Profesor],base_de_datos[Academia],1))=Profesores[[#Headers],[ESC]],"x","")</f>
        <v/>
      </c>
      <c r="AE116" s="146" t="str">
        <f>IF((_xlfn.XLOOKUP(Profesores[[#This Row],[Nombre]],base_de_datos[Profesor],base_de_datos[Academia],1))=Profesores[[#Headers],[HUM]],"x","")</f>
        <v/>
      </c>
      <c r="AF116" s="146" t="str">
        <f>IF((_xlfn.XLOOKUP(Profesores[[#This Row],[Nombre]],base_de_datos[Profesor],base_de_datos[Academia],1))=Profesores[[#Headers],[IID]],"x","")</f>
        <v/>
      </c>
      <c r="AG116" s="146" t="str">
        <f>IF((_xlfn.XLOOKUP(Profesores[[#This Row],[Nombre]],base_de_datos[Profesor],base_de_datos[Academia],1))=Profesores[[#Headers],[BIO]],"x","")</f>
        <v/>
      </c>
      <c r="AH116" s="146" t="s">
        <v>512</v>
      </c>
      <c r="AI116" s="146" t="s">
        <v>513</v>
      </c>
      <c r="AJ116" s="146">
        <f>TRUNC(IFERROR(Profesores[[#This Row],[Ex Inglés]]*677/100,0),0)</f>
        <v>0</v>
      </c>
    </row>
    <row r="117" spans="2:36" s="146" customFormat="1" ht="12" hidden="1" customHeight="1" x14ac:dyDescent="0.3">
      <c r="B117" s="6">
        <v>16</v>
      </c>
      <c r="C117" s="153" t="s">
        <v>502</v>
      </c>
      <c r="D117" s="154" t="s">
        <v>28</v>
      </c>
      <c r="E117" s="155">
        <v>150605</v>
      </c>
      <c r="F117" s="153" t="s">
        <v>381</v>
      </c>
      <c r="G117" s="156" t="s">
        <v>1228</v>
      </c>
      <c r="H117" s="156" t="s">
        <v>1021</v>
      </c>
      <c r="I117" s="156" t="s">
        <v>1229</v>
      </c>
      <c r="J117" s="157">
        <v>33610</v>
      </c>
      <c r="K117" s="156" t="s">
        <v>506</v>
      </c>
      <c r="L117" s="147" t="s">
        <v>507</v>
      </c>
      <c r="M117" s="151">
        <v>4491576982</v>
      </c>
      <c r="N117" s="158" t="s">
        <v>1230</v>
      </c>
      <c r="O117" s="151" t="s">
        <v>1231</v>
      </c>
      <c r="P117" s="147">
        <v>108</v>
      </c>
      <c r="Q117" s="146" t="s">
        <v>510</v>
      </c>
      <c r="R117" s="146" t="s">
        <v>511</v>
      </c>
      <c r="S117" s="146" t="s">
        <v>511</v>
      </c>
      <c r="T117" s="146">
        <v>20278</v>
      </c>
      <c r="U117" s="147">
        <v>1</v>
      </c>
      <c r="V117" s="147" t="str">
        <f>IF((_xlfn.XLOOKUP(Profesores[[#This Row],[Nombre]],base_de_datos[Profesor],base_de_datos[Academia],1))=Profesores[[#Headers],[MEC]],"x","")</f>
        <v/>
      </c>
      <c r="W117" s="147" t="str">
        <f>IF((_xlfn.XLOOKUP(Profesores[[#This Row],[Nombre]],base_de_datos[Profesor],base_de_datos[Academia],1))=Profesores[[#Headers],[COM]],"x","")</f>
        <v/>
      </c>
      <c r="X117" s="147"/>
      <c r="Y117" s="147" t="str">
        <f>IF((_xlfn.XLOOKUP(Profesores[[#This Row],[Nombre]],base_de_datos[Profesor],base_de_datos[Academia],1))=Profesores[[#Headers],[DOP]],"x","")</f>
        <v/>
      </c>
      <c r="Z117" s="147" t="str">
        <f>IF((_xlfn.XLOOKUP(Profesores[[#This Row],[Nombre]],base_de_datos[Profesor],base_de_datos[Academia],1))=Profesores[[#Headers],[ETF]],"x","")</f>
        <v/>
      </c>
      <c r="AA117" s="147" t="str">
        <f>IF((_xlfn.XLOOKUP(Profesores[[#This Row],[Nombre]],base_de_datos[Profesor],base_de_datos[Academia],1))=Profesores[[#Headers],[MAT]],"x","")</f>
        <v/>
      </c>
      <c r="AB117" s="147" t="str">
        <f>IF((_xlfn.XLOOKUP(Profesores[[#This Row],[Nombre]],base_de_datos[Profesor],base_de_datos[Academia],1))=Profesores[[#Headers],[EMP]],"x","")</f>
        <v/>
      </c>
      <c r="AC117" s="146" t="str">
        <f>IF((_xlfn.XLOOKUP(Profesores[[#This Row],[Nombre]],base_de_datos[Profesor],base_de_datos[Academia],1))=Profesores[[#Headers],[AIC]],"x","")</f>
        <v/>
      </c>
      <c r="AD117" s="146" t="str">
        <f>IF((_xlfn.XLOOKUP(Profesores[[#This Row],[Nombre]],base_de_datos[Profesor],base_de_datos[Academia],1))=Profesores[[#Headers],[ESC]],"x","")</f>
        <v/>
      </c>
      <c r="AE117" s="146" t="str">
        <f>IF((_xlfn.XLOOKUP(Profesores[[#This Row],[Nombre]],base_de_datos[Profesor],base_de_datos[Academia],1))=Profesores[[#Headers],[HUM]],"x","")</f>
        <v/>
      </c>
      <c r="AF117" s="146" t="str">
        <f>IF((_xlfn.XLOOKUP(Profesores[[#This Row],[Nombre]],base_de_datos[Profesor],base_de_datos[Academia],1))=Profesores[[#Headers],[IID]],"x","")</f>
        <v>x</v>
      </c>
      <c r="AG117" s="146" t="str">
        <f>IF((_xlfn.XLOOKUP(Profesores[[#This Row],[Nombre]],base_de_datos[Profesor],base_de_datos[Academia],1))=Profesores[[#Headers],[BIO]],"x","")</f>
        <v/>
      </c>
      <c r="AH117" s="146" t="s">
        <v>524</v>
      </c>
      <c r="AI117" s="146" t="s">
        <v>513</v>
      </c>
      <c r="AJ117" s="146">
        <f>TRUNC(IFERROR(Profesores[[#This Row],[Ex Inglés]]*677/100,0),0)</f>
        <v>0</v>
      </c>
    </row>
    <row r="118" spans="2:36" s="146" customFormat="1" ht="12" hidden="1" customHeight="1" x14ac:dyDescent="0.3">
      <c r="B118" s="6">
        <v>17</v>
      </c>
      <c r="C118" s="153" t="s">
        <v>502</v>
      </c>
      <c r="D118" s="154" t="s">
        <v>28</v>
      </c>
      <c r="E118" s="155">
        <v>146252</v>
      </c>
      <c r="F118" s="153" t="s">
        <v>168</v>
      </c>
      <c r="G118" s="156" t="s">
        <v>1232</v>
      </c>
      <c r="H118" s="156" t="s">
        <v>1233</v>
      </c>
      <c r="I118" s="156" t="s">
        <v>1234</v>
      </c>
      <c r="J118" s="157">
        <v>23775</v>
      </c>
      <c r="K118" s="149" t="s">
        <v>506</v>
      </c>
      <c r="L118" s="147" t="s">
        <v>507</v>
      </c>
      <c r="M118" s="151">
        <v>4492607809</v>
      </c>
      <c r="N118" s="158" t="s">
        <v>1235</v>
      </c>
      <c r="O118" s="151" t="s">
        <v>1236</v>
      </c>
      <c r="P118" s="147">
        <v>1206</v>
      </c>
      <c r="Q118" s="146" t="s">
        <v>1237</v>
      </c>
      <c r="R118" s="146" t="s">
        <v>511</v>
      </c>
      <c r="S118" s="146" t="s">
        <v>511</v>
      </c>
      <c r="T118" s="146">
        <v>20140</v>
      </c>
      <c r="U118" s="147">
        <v>0</v>
      </c>
      <c r="V118" s="147" t="str">
        <f>IF((_xlfn.XLOOKUP(Profesores[[#This Row],[Nombre]],base_de_datos[Profesor],base_de_datos[Academia],1))=Profesores[[#Headers],[MEC]],"x","")</f>
        <v/>
      </c>
      <c r="W118" s="147" t="str">
        <f>IF((_xlfn.XLOOKUP(Profesores[[#This Row],[Nombre]],base_de_datos[Profesor],base_de_datos[Academia],1))=Profesores[[#Headers],[COM]],"x","")</f>
        <v/>
      </c>
      <c r="X118" s="147"/>
      <c r="Y118" s="147" t="str">
        <f>IF((_xlfn.XLOOKUP(Profesores[[#This Row],[Nombre]],base_de_datos[Profesor],base_de_datos[Academia],1))=Profesores[[#Headers],[DOP]],"x","")</f>
        <v/>
      </c>
      <c r="Z118" s="147" t="str">
        <f>IF((_xlfn.XLOOKUP(Profesores[[#This Row],[Nombre]],base_de_datos[Profesor],base_de_datos[Academia],1))=Profesores[[#Headers],[ETF]],"x","")</f>
        <v/>
      </c>
      <c r="AA118" s="147" t="str">
        <f>IF((_xlfn.XLOOKUP(Profesores[[#This Row],[Nombre]],base_de_datos[Profesor],base_de_datos[Academia],1))=Profesores[[#Headers],[MAT]],"x","")</f>
        <v>x</v>
      </c>
      <c r="AB118" s="147" t="str">
        <f>IF((_xlfn.XLOOKUP(Profesores[[#This Row],[Nombre]],base_de_datos[Profesor],base_de_datos[Academia],1))=Profesores[[#Headers],[EMP]],"x","")</f>
        <v/>
      </c>
      <c r="AC118" s="146" t="str">
        <f>IF((_xlfn.XLOOKUP(Profesores[[#This Row],[Nombre]],base_de_datos[Profesor],base_de_datos[Academia],1))=Profesores[[#Headers],[AIC]],"x","")</f>
        <v/>
      </c>
      <c r="AD118" s="146" t="str">
        <f>IF((_xlfn.XLOOKUP(Profesores[[#This Row],[Nombre]],base_de_datos[Profesor],base_de_datos[Academia],1))=Profesores[[#Headers],[ESC]],"x","")</f>
        <v/>
      </c>
      <c r="AE118" s="146" t="str">
        <f>IF((_xlfn.XLOOKUP(Profesores[[#This Row],[Nombre]],base_de_datos[Profesor],base_de_datos[Academia],1))=Profesores[[#Headers],[HUM]],"x","")</f>
        <v/>
      </c>
      <c r="AF118" s="146" t="str">
        <f>IF((_xlfn.XLOOKUP(Profesores[[#This Row],[Nombre]],base_de_datos[Profesor],base_de_datos[Academia],1))=Profesores[[#Headers],[IID]],"x","")</f>
        <v/>
      </c>
      <c r="AG118" s="146" t="str">
        <f>IF((_xlfn.XLOOKUP(Profesores[[#This Row],[Nombre]],base_de_datos[Profesor],base_de_datos[Academia],1))=Profesores[[#Headers],[BIO]],"x","")</f>
        <v/>
      </c>
      <c r="AH118" s="146">
        <v>26.14</v>
      </c>
      <c r="AI118" s="146" t="s">
        <v>513</v>
      </c>
      <c r="AJ118" s="146">
        <f>TRUNC(IFERROR(Profesores[[#This Row],[Ex Inglés]]*677/100,0),0)</f>
        <v>176</v>
      </c>
    </row>
    <row r="119" spans="2:36" s="146" customFormat="1" ht="12" hidden="1" customHeight="1" x14ac:dyDescent="0.3">
      <c r="B119" s="6">
        <v>18</v>
      </c>
      <c r="C119" s="153" t="s">
        <v>502</v>
      </c>
      <c r="D119" s="154" t="s">
        <v>28</v>
      </c>
      <c r="E119" s="155">
        <v>6457</v>
      </c>
      <c r="F119" s="153" t="s">
        <v>91</v>
      </c>
      <c r="G119" s="156" t="s">
        <v>676</v>
      </c>
      <c r="H119" s="156" t="s">
        <v>760</v>
      </c>
      <c r="I119" s="156" t="s">
        <v>1238</v>
      </c>
      <c r="J119" s="157">
        <v>24479</v>
      </c>
      <c r="K119" s="156" t="s">
        <v>506</v>
      </c>
      <c r="L119" s="147" t="s">
        <v>507</v>
      </c>
      <c r="M119" s="151">
        <v>4492808741</v>
      </c>
      <c r="N119" s="158" t="s">
        <v>1239</v>
      </c>
      <c r="O119" s="151" t="s">
        <v>1240</v>
      </c>
      <c r="P119" s="147">
        <v>312</v>
      </c>
      <c r="Q119" s="146" t="s">
        <v>1241</v>
      </c>
      <c r="R119" s="146" t="s">
        <v>511</v>
      </c>
      <c r="S119" s="146" t="s">
        <v>511</v>
      </c>
      <c r="T119" s="146">
        <v>20270</v>
      </c>
      <c r="U119" s="147">
        <v>1</v>
      </c>
      <c r="V119" s="147" t="str">
        <f>IF((_xlfn.XLOOKUP(Profesores[[#This Row],[Nombre]],base_de_datos[Profesor],base_de_datos[Academia],1))=Profesores[[#Headers],[MEC]],"x","")</f>
        <v/>
      </c>
      <c r="W119" s="147" t="str">
        <f>IF((_xlfn.XLOOKUP(Profesores[[#This Row],[Nombre]],base_de_datos[Profesor],base_de_datos[Academia],1))=Profesores[[#Headers],[COM]],"x","")</f>
        <v/>
      </c>
      <c r="X119" s="147"/>
      <c r="Y119" s="147" t="str">
        <f>IF((_xlfn.XLOOKUP(Profesores[[#This Row],[Nombre]],base_de_datos[Profesor],base_de_datos[Academia],1))=Profesores[[#Headers],[DOP]],"x","")</f>
        <v>x</v>
      </c>
      <c r="Z119" s="147" t="str">
        <f>IF((_xlfn.XLOOKUP(Profesores[[#This Row],[Nombre]],base_de_datos[Profesor],base_de_datos[Academia],1))=Profesores[[#Headers],[ETF]],"x","")</f>
        <v/>
      </c>
      <c r="AA119" s="147" t="str">
        <f>IF((_xlfn.XLOOKUP(Profesores[[#This Row],[Nombre]],base_de_datos[Profesor],base_de_datos[Academia],1))=Profesores[[#Headers],[MAT]],"x","")</f>
        <v/>
      </c>
      <c r="AB119" s="147" t="str">
        <f>IF((_xlfn.XLOOKUP(Profesores[[#This Row],[Nombre]],base_de_datos[Profesor],base_de_datos[Academia],1))=Profesores[[#Headers],[EMP]],"x","")</f>
        <v/>
      </c>
      <c r="AC119" s="146" t="str">
        <f>IF((_xlfn.XLOOKUP(Profesores[[#This Row],[Nombre]],base_de_datos[Profesor],base_de_datos[Academia],1))=Profesores[[#Headers],[AIC]],"x","")</f>
        <v/>
      </c>
      <c r="AD119" s="146" t="str">
        <f>IF((_xlfn.XLOOKUP(Profesores[[#This Row],[Nombre]],base_de_datos[Profesor],base_de_datos[Academia],1))=Profesores[[#Headers],[ESC]],"x","")</f>
        <v/>
      </c>
      <c r="AE119" s="146" t="str">
        <f>IF((_xlfn.XLOOKUP(Profesores[[#This Row],[Nombre]],base_de_datos[Profesor],base_de_datos[Academia],1))=Profesores[[#Headers],[HUM]],"x","")</f>
        <v/>
      </c>
      <c r="AF119" s="146" t="str">
        <f>IF((_xlfn.XLOOKUP(Profesores[[#This Row],[Nombre]],base_de_datos[Profesor],base_de_datos[Academia],1))=Profesores[[#Headers],[IID]],"x","")</f>
        <v/>
      </c>
      <c r="AG119" s="146" t="str">
        <f>IF((_xlfn.XLOOKUP(Profesores[[#This Row],[Nombre]],base_de_datos[Profesor],base_de_datos[Academia],1))=Profesores[[#Headers],[BIO]],"x","")</f>
        <v/>
      </c>
      <c r="AH119" s="146">
        <v>30.8</v>
      </c>
      <c r="AI119" s="146" t="s">
        <v>513</v>
      </c>
      <c r="AJ119" s="146">
        <f>TRUNC(IFERROR(Profesores[[#This Row],[Ex Inglés]]*677/100,0),0)</f>
        <v>208</v>
      </c>
    </row>
    <row r="120" spans="2:36" s="146" customFormat="1" ht="12" hidden="1" customHeight="1" x14ac:dyDescent="0.3">
      <c r="B120" s="6">
        <v>19</v>
      </c>
      <c r="C120" s="153" t="s">
        <v>540</v>
      </c>
      <c r="D120" s="154" t="s">
        <v>28</v>
      </c>
      <c r="E120" s="155">
        <v>238283</v>
      </c>
      <c r="F120" s="153" t="s">
        <v>198</v>
      </c>
      <c r="G120" s="156" t="s">
        <v>1242</v>
      </c>
      <c r="H120" s="156" t="s">
        <v>1243</v>
      </c>
      <c r="I120" s="156" t="s">
        <v>577</v>
      </c>
      <c r="J120" s="157">
        <v>29924</v>
      </c>
      <c r="K120" s="156" t="s">
        <v>506</v>
      </c>
      <c r="L120" s="147" t="s">
        <v>507</v>
      </c>
      <c r="M120" s="151">
        <v>4442634071</v>
      </c>
      <c r="N120" s="163" t="s">
        <v>1244</v>
      </c>
      <c r="O120" s="151" t="s">
        <v>1245</v>
      </c>
      <c r="P120" s="147">
        <v>106</v>
      </c>
      <c r="Q120" s="146" t="s">
        <v>1246</v>
      </c>
      <c r="R120" s="146" t="s">
        <v>1247</v>
      </c>
      <c r="S120" s="146" t="s">
        <v>1248</v>
      </c>
      <c r="T120" s="146">
        <v>89338</v>
      </c>
      <c r="U120" s="147">
        <v>2</v>
      </c>
      <c r="V120" s="147" t="str">
        <f>IF((_xlfn.XLOOKUP(Profesores[[#This Row],[Nombre]],base_de_datos[Profesor],base_de_datos[Academia],1))=Profesores[[#Headers],[MEC]],"x","")</f>
        <v/>
      </c>
      <c r="W120" s="147" t="str">
        <f>IF((_xlfn.XLOOKUP(Profesores[[#This Row],[Nombre]],base_de_datos[Profesor],base_de_datos[Academia],1))=Profesores[[#Headers],[COM]],"x","")</f>
        <v/>
      </c>
      <c r="X120" s="147"/>
      <c r="Y120" s="147" t="str">
        <f>IF((_xlfn.XLOOKUP(Profesores[[#This Row],[Nombre]],base_de_datos[Profesor],base_de_datos[Academia],1))=Profesores[[#Headers],[DOP]],"x","")</f>
        <v/>
      </c>
      <c r="Z120" s="147" t="str">
        <f>IF((_xlfn.XLOOKUP(Profesores[[#This Row],[Nombre]],base_de_datos[Profesor],base_de_datos[Academia],1))=Profesores[[#Headers],[ETF]],"x","")</f>
        <v/>
      </c>
      <c r="AA120" s="147" t="str">
        <f>IF((_xlfn.XLOOKUP(Profesores[[#This Row],[Nombre]],base_de_datos[Profesor],base_de_datos[Academia],1))=Profesores[[#Headers],[MAT]],"x","")</f>
        <v/>
      </c>
      <c r="AB120" s="147" t="str">
        <f>IF((_xlfn.XLOOKUP(Profesores[[#This Row],[Nombre]],base_de_datos[Profesor],base_de_datos[Academia],1))=Profesores[[#Headers],[EMP]],"x","")</f>
        <v/>
      </c>
      <c r="AC120" s="146" t="str">
        <f>IF((_xlfn.XLOOKUP(Profesores[[#This Row],[Nombre]],base_de_datos[Profesor],base_de_datos[Academia],1))=Profesores[[#Headers],[AIC]],"x","")</f>
        <v/>
      </c>
      <c r="AD120" s="146" t="str">
        <f>IF((_xlfn.XLOOKUP(Profesores[[#This Row],[Nombre]],base_de_datos[Profesor],base_de_datos[Academia],1))=Profesores[[#Headers],[ESC]],"x","")</f>
        <v/>
      </c>
      <c r="AE120" s="146" t="str">
        <f>IF((_xlfn.XLOOKUP(Profesores[[#This Row],[Nombre]],base_de_datos[Profesor],base_de_datos[Academia],1))=Profesores[[#Headers],[HUM]],"x","")</f>
        <v/>
      </c>
      <c r="AF120" s="146" t="str">
        <f>IF((_xlfn.XLOOKUP(Profesores[[#This Row],[Nombre]],base_de_datos[Profesor],base_de_datos[Academia],1))=Profesores[[#Headers],[IID]],"x","")</f>
        <v/>
      </c>
      <c r="AG120" s="146" t="str">
        <f>IF((_xlfn.XLOOKUP(Profesores[[#This Row],[Nombre]],base_de_datos[Profesor],base_de_datos[Academia],1))=Profesores[[#Headers],[BIO]],"x","")</f>
        <v/>
      </c>
      <c r="AH120" s="146" t="s">
        <v>524</v>
      </c>
      <c r="AI120" s="146" t="s">
        <v>513</v>
      </c>
      <c r="AJ120" s="146">
        <f>TRUNC(IFERROR(Profesores[[#This Row],[Ex Inglés]]*677/100,0),0)</f>
        <v>0</v>
      </c>
    </row>
    <row r="121" spans="2:36" s="146" customFormat="1" ht="12" hidden="1" customHeight="1" x14ac:dyDescent="0.3">
      <c r="B121" s="6">
        <v>20</v>
      </c>
      <c r="C121" s="153" t="s">
        <v>502</v>
      </c>
      <c r="D121" s="154" t="s">
        <v>28</v>
      </c>
      <c r="E121" s="155">
        <v>84178</v>
      </c>
      <c r="F121" s="153" t="s">
        <v>180</v>
      </c>
      <c r="G121" s="156" t="s">
        <v>630</v>
      </c>
      <c r="H121" s="156" t="s">
        <v>913</v>
      </c>
      <c r="I121" s="156" t="s">
        <v>638</v>
      </c>
      <c r="J121" s="157">
        <v>24096</v>
      </c>
      <c r="K121" s="149" t="s">
        <v>506</v>
      </c>
      <c r="L121" s="147" t="s">
        <v>92</v>
      </c>
      <c r="M121" s="151" t="s">
        <v>938</v>
      </c>
      <c r="N121" s="158" t="s">
        <v>1249</v>
      </c>
      <c r="O121" s="151" t="s">
        <v>1250</v>
      </c>
      <c r="P121" s="147">
        <v>135</v>
      </c>
      <c r="Q121" s="146" t="s">
        <v>1251</v>
      </c>
      <c r="R121" s="146" t="s">
        <v>511</v>
      </c>
      <c r="S121" s="146" t="s">
        <v>511</v>
      </c>
      <c r="T121" s="146">
        <v>20126</v>
      </c>
      <c r="U121" s="147">
        <v>2</v>
      </c>
      <c r="V121" s="147" t="str">
        <f>IF((_xlfn.XLOOKUP(Profesores[[#This Row],[Nombre]],base_de_datos[Profesor],base_de_datos[Academia],1))=Profesores[[#Headers],[MEC]],"x","")</f>
        <v/>
      </c>
      <c r="W121" s="147" t="str">
        <f>IF((_xlfn.XLOOKUP(Profesores[[#This Row],[Nombre]],base_de_datos[Profesor],base_de_datos[Academia],1))=Profesores[[#Headers],[COM]],"x","")</f>
        <v/>
      </c>
      <c r="X121" s="147"/>
      <c r="Y121" s="147" t="str">
        <f>IF((_xlfn.XLOOKUP(Profesores[[#This Row],[Nombre]],base_de_datos[Profesor],base_de_datos[Academia],1))=Profesores[[#Headers],[DOP]],"x","")</f>
        <v/>
      </c>
      <c r="Z121" s="147" t="str">
        <f>IF((_xlfn.XLOOKUP(Profesores[[#This Row],[Nombre]],base_de_datos[Profesor],base_de_datos[Academia],1))=Profesores[[#Headers],[ETF]],"x","")</f>
        <v/>
      </c>
      <c r="AA121" s="147" t="str">
        <f>IF((_xlfn.XLOOKUP(Profesores[[#This Row],[Nombre]],base_de_datos[Profesor],base_de_datos[Academia],1))=Profesores[[#Headers],[MAT]],"x","")</f>
        <v>x</v>
      </c>
      <c r="AB121" s="147" t="str">
        <f>IF((_xlfn.XLOOKUP(Profesores[[#This Row],[Nombre]],base_de_datos[Profesor],base_de_datos[Academia],1))=Profesores[[#Headers],[EMP]],"x","")</f>
        <v/>
      </c>
      <c r="AC121" s="146" t="str">
        <f>IF((_xlfn.XLOOKUP(Profesores[[#This Row],[Nombre]],base_de_datos[Profesor],base_de_datos[Academia],1))=Profesores[[#Headers],[AIC]],"x","")</f>
        <v/>
      </c>
      <c r="AD121" s="146" t="str">
        <f>IF((_xlfn.XLOOKUP(Profesores[[#This Row],[Nombre]],base_de_datos[Profesor],base_de_datos[Academia],1))=Profesores[[#Headers],[ESC]],"x","")</f>
        <v/>
      </c>
      <c r="AE121" s="146" t="str">
        <f>IF((_xlfn.XLOOKUP(Profesores[[#This Row],[Nombre]],base_de_datos[Profesor],base_de_datos[Academia],1))=Profesores[[#Headers],[HUM]],"x","")</f>
        <v/>
      </c>
      <c r="AF121" s="146" t="str">
        <f>IF((_xlfn.XLOOKUP(Profesores[[#This Row],[Nombre]],base_de_datos[Profesor],base_de_datos[Academia],1))=Profesores[[#Headers],[IID]],"x","")</f>
        <v/>
      </c>
      <c r="AG121" s="146" t="str">
        <f>IF((_xlfn.XLOOKUP(Profesores[[#This Row],[Nombre]],base_de_datos[Profesor],base_de_datos[Academia],1))=Profesores[[#Headers],[BIO]],"x","")</f>
        <v/>
      </c>
      <c r="AH121" s="146" t="s">
        <v>524</v>
      </c>
      <c r="AI121" s="146" t="s">
        <v>513</v>
      </c>
      <c r="AJ121" s="146">
        <f>TRUNC(IFERROR(Profesores[[#This Row],[Ex Inglés]]*677/100,0),0)</f>
        <v>0</v>
      </c>
    </row>
    <row r="122" spans="2:36" s="146" customFormat="1" ht="12" hidden="1" customHeight="1" x14ac:dyDescent="0.3">
      <c r="B122" s="6">
        <v>21</v>
      </c>
      <c r="C122" s="153" t="s">
        <v>540</v>
      </c>
      <c r="D122" s="154" t="s">
        <v>28</v>
      </c>
      <c r="E122" s="155">
        <v>190454</v>
      </c>
      <c r="F122" s="153" t="s">
        <v>273</v>
      </c>
      <c r="G122" s="156" t="s">
        <v>1252</v>
      </c>
      <c r="H122" s="156" t="s">
        <v>1253</v>
      </c>
      <c r="I122" s="156"/>
      <c r="J122" s="157">
        <v>28974</v>
      </c>
      <c r="K122" s="156" t="s">
        <v>506</v>
      </c>
      <c r="L122" s="147" t="s">
        <v>507</v>
      </c>
      <c r="M122" s="151">
        <v>4494062676</v>
      </c>
      <c r="N122" s="158" t="s">
        <v>1254</v>
      </c>
      <c r="O122" s="151" t="s">
        <v>924</v>
      </c>
      <c r="P122" s="147">
        <v>120</v>
      </c>
      <c r="Q122" s="146" t="s">
        <v>1255</v>
      </c>
      <c r="R122" s="146" t="s">
        <v>511</v>
      </c>
      <c r="S122" s="146" t="s">
        <v>511</v>
      </c>
      <c r="T122" s="146">
        <v>20218</v>
      </c>
      <c r="U122" s="147">
        <v>1</v>
      </c>
      <c r="V122" s="147" t="str">
        <f>IF((_xlfn.XLOOKUP(Profesores[[#This Row],[Nombre]],base_de_datos[Profesor],base_de_datos[Academia],1))=Profesores[[#Headers],[MEC]],"x","")</f>
        <v/>
      </c>
      <c r="W122" s="147" t="str">
        <f>IF((_xlfn.XLOOKUP(Profesores[[#This Row],[Nombre]],base_de_datos[Profesor],base_de_datos[Academia],1))=Profesores[[#Headers],[COM]],"x","")</f>
        <v/>
      </c>
      <c r="X122" s="147"/>
      <c r="Y122" s="147" t="str">
        <f>IF((_xlfn.XLOOKUP(Profesores[[#This Row],[Nombre]],base_de_datos[Profesor],base_de_datos[Academia],1))=Profesores[[#Headers],[DOP]],"x","")</f>
        <v/>
      </c>
      <c r="Z122" s="147" t="str">
        <f>IF((_xlfn.XLOOKUP(Profesores[[#This Row],[Nombre]],base_de_datos[Profesor],base_de_datos[Academia],1))=Profesores[[#Headers],[ETF]],"x","")</f>
        <v>x</v>
      </c>
      <c r="AA122" s="147" t="str">
        <f>IF((_xlfn.XLOOKUP(Profesores[[#This Row],[Nombre]],base_de_datos[Profesor],base_de_datos[Academia],1))=Profesores[[#Headers],[MAT]],"x","")</f>
        <v/>
      </c>
      <c r="AB122" s="147" t="str">
        <f>IF((_xlfn.XLOOKUP(Profesores[[#This Row],[Nombre]],base_de_datos[Profesor],base_de_datos[Academia],1))=Profesores[[#Headers],[EMP]],"x","")</f>
        <v/>
      </c>
      <c r="AC122" s="146" t="str">
        <f>IF((_xlfn.XLOOKUP(Profesores[[#This Row],[Nombre]],base_de_datos[Profesor],base_de_datos[Academia],1))=Profesores[[#Headers],[AIC]],"x","")</f>
        <v/>
      </c>
      <c r="AD122" s="146" t="str">
        <f>IF((_xlfn.XLOOKUP(Profesores[[#This Row],[Nombre]],base_de_datos[Profesor],base_de_datos[Academia],1))=Profesores[[#Headers],[ESC]],"x","")</f>
        <v/>
      </c>
      <c r="AE122" s="146" t="str">
        <f>IF((_xlfn.XLOOKUP(Profesores[[#This Row],[Nombre]],base_de_datos[Profesor],base_de_datos[Academia],1))=Profesores[[#Headers],[HUM]],"x","")</f>
        <v/>
      </c>
      <c r="AF122" s="146" t="str">
        <f>IF((_xlfn.XLOOKUP(Profesores[[#This Row],[Nombre]],base_de_datos[Profesor],base_de_datos[Academia],1))=Profesores[[#Headers],[IID]],"x","")</f>
        <v/>
      </c>
      <c r="AG122" s="146" t="str">
        <f>IF((_xlfn.XLOOKUP(Profesores[[#This Row],[Nombre]],base_de_datos[Profesor],base_de_datos[Academia],1))=Profesores[[#Headers],[BIO]],"x","")</f>
        <v/>
      </c>
      <c r="AH122" s="146" t="s">
        <v>524</v>
      </c>
      <c r="AI122" s="146" t="s">
        <v>513</v>
      </c>
      <c r="AJ122" s="146">
        <f>TRUNC(IFERROR(Profesores[[#This Row],[Ex Inglés]]*677/100,0),0)</f>
        <v>0</v>
      </c>
    </row>
    <row r="123" spans="2:36" s="146" customFormat="1" ht="12" hidden="1" customHeight="1" x14ac:dyDescent="0.3">
      <c r="B123" s="6">
        <v>22</v>
      </c>
      <c r="C123" s="153" t="s">
        <v>502</v>
      </c>
      <c r="D123" s="154" t="s">
        <v>28</v>
      </c>
      <c r="E123" s="155">
        <v>144746</v>
      </c>
      <c r="F123" s="153" t="s">
        <v>437</v>
      </c>
      <c r="G123" s="156" t="s">
        <v>1256</v>
      </c>
      <c r="H123" s="156" t="s">
        <v>1086</v>
      </c>
      <c r="I123" s="156" t="s">
        <v>1257</v>
      </c>
      <c r="J123" s="157">
        <v>28804</v>
      </c>
      <c r="K123" s="156" t="s">
        <v>506</v>
      </c>
      <c r="L123" s="147" t="s">
        <v>507</v>
      </c>
      <c r="M123" s="151">
        <v>4499116124</v>
      </c>
      <c r="N123" s="158" t="s">
        <v>1258</v>
      </c>
      <c r="O123" s="151" t="s">
        <v>1259</v>
      </c>
      <c r="P123" s="147" t="s">
        <v>1260</v>
      </c>
      <c r="Q123" s="146" t="s">
        <v>1261</v>
      </c>
      <c r="R123" s="146" t="s">
        <v>511</v>
      </c>
      <c r="S123" s="146" t="s">
        <v>511</v>
      </c>
      <c r="T123" s="146">
        <v>20286</v>
      </c>
      <c r="U123" s="147">
        <v>1</v>
      </c>
      <c r="V123" s="147" t="str">
        <f>IF((_xlfn.XLOOKUP(Profesores[[#This Row],[Nombre]],base_de_datos[Profesor],base_de_datos[Academia],1))=Profesores[[#Headers],[MEC]],"x","")</f>
        <v/>
      </c>
      <c r="W123" s="147" t="str">
        <f>IF((_xlfn.XLOOKUP(Profesores[[#This Row],[Nombre]],base_de_datos[Profesor],base_de_datos[Academia],1))=Profesores[[#Headers],[COM]],"x","")</f>
        <v/>
      </c>
      <c r="X123" s="147"/>
      <c r="Y123" s="147" t="str">
        <f>IF((_xlfn.XLOOKUP(Profesores[[#This Row],[Nombre]],base_de_datos[Profesor],base_de_datos[Academia],1))=Profesores[[#Headers],[DOP]],"x","")</f>
        <v/>
      </c>
      <c r="Z123" s="147" t="str">
        <f>IF((_xlfn.XLOOKUP(Profesores[[#This Row],[Nombre]],base_de_datos[Profesor],base_de_datos[Academia],1))=Profesores[[#Headers],[ETF]],"x","")</f>
        <v/>
      </c>
      <c r="AA123" s="147" t="str">
        <f>IF((_xlfn.XLOOKUP(Profesores[[#This Row],[Nombre]],base_de_datos[Profesor],base_de_datos[Academia],1))=Profesores[[#Headers],[MAT]],"x","")</f>
        <v/>
      </c>
      <c r="AB123" s="147" t="str">
        <f>IF((_xlfn.XLOOKUP(Profesores[[#This Row],[Nombre]],base_de_datos[Profesor],base_de_datos[Academia],1))=Profesores[[#Headers],[EMP]],"x","")</f>
        <v/>
      </c>
      <c r="AC123" s="146" t="str">
        <f>IF((_xlfn.XLOOKUP(Profesores[[#This Row],[Nombre]],base_de_datos[Profesor],base_de_datos[Academia],1))=Profesores[[#Headers],[AIC]],"x","")</f>
        <v/>
      </c>
      <c r="AD123" s="146" t="str">
        <f>IF((_xlfn.XLOOKUP(Profesores[[#This Row],[Nombre]],base_de_datos[Profesor],base_de_datos[Academia],1))=Profesores[[#Headers],[ESC]],"x","")</f>
        <v/>
      </c>
      <c r="AE123" s="146" t="str">
        <f>IF((_xlfn.XLOOKUP(Profesores[[#This Row],[Nombre]],base_de_datos[Profesor],base_de_datos[Academia],1))=Profesores[[#Headers],[HUM]],"x","")</f>
        <v/>
      </c>
      <c r="AF123" s="146" t="str">
        <f>IF((_xlfn.XLOOKUP(Profesores[[#This Row],[Nombre]],base_de_datos[Profesor],base_de_datos[Academia],1))=Profesores[[#Headers],[IID]],"x","")</f>
        <v/>
      </c>
      <c r="AG123" s="146" t="str">
        <f>IF((_xlfn.XLOOKUP(Profesores[[#This Row],[Nombre]],base_de_datos[Profesor],base_de_datos[Academia],1))=Profesores[[#Headers],[BIO]],"x","")</f>
        <v/>
      </c>
      <c r="AH123" s="146" t="s">
        <v>524</v>
      </c>
      <c r="AI123" s="146" t="s">
        <v>513</v>
      </c>
      <c r="AJ123" s="146">
        <f>TRUNC(IFERROR(Profesores[[#This Row],[Ex Inglés]]*677/100,0),0)</f>
        <v>0</v>
      </c>
    </row>
    <row r="124" spans="2:36" s="146" customFormat="1" ht="12" customHeight="1" x14ac:dyDescent="0.3">
      <c r="B124" s="6">
        <v>23</v>
      </c>
      <c r="C124" s="153" t="s">
        <v>502</v>
      </c>
      <c r="D124" s="154" t="s">
        <v>28</v>
      </c>
      <c r="E124" s="155">
        <v>146544</v>
      </c>
      <c r="F124" s="153" t="s">
        <v>279</v>
      </c>
      <c r="G124" s="156" t="s">
        <v>1262</v>
      </c>
      <c r="H124" s="156" t="s">
        <v>555</v>
      </c>
      <c r="I124" s="156" t="s">
        <v>577</v>
      </c>
      <c r="J124" s="157">
        <v>31639</v>
      </c>
      <c r="K124" s="156" t="s">
        <v>506</v>
      </c>
      <c r="L124" s="147" t="s">
        <v>507</v>
      </c>
      <c r="M124" s="151">
        <v>4499069797</v>
      </c>
      <c r="N124" s="158" t="s">
        <v>1263</v>
      </c>
      <c r="O124" s="151" t="s">
        <v>559</v>
      </c>
      <c r="P124" s="147" t="s">
        <v>560</v>
      </c>
      <c r="Q124" s="146" t="s">
        <v>561</v>
      </c>
      <c r="R124" s="146" t="s">
        <v>511</v>
      </c>
      <c r="S124" s="146" t="s">
        <v>511</v>
      </c>
      <c r="T124" s="146">
        <v>20100</v>
      </c>
      <c r="U124" s="147">
        <v>2</v>
      </c>
      <c r="V124" s="147" t="str">
        <f>IF((_xlfn.XLOOKUP(Profesores[[#This Row],[Nombre]],base_de_datos[Profesor],base_de_datos[Academia],1))=Profesores[[#Headers],[MEC]],"x","")</f>
        <v/>
      </c>
      <c r="W124" s="147" t="str">
        <f>IF((_xlfn.XLOOKUP(Profesores[[#This Row],[Nombre]],base_de_datos[Profesor],base_de_datos[Academia],1))=Profesores[[#Headers],[COM]],"x","")</f>
        <v/>
      </c>
      <c r="X124" s="147"/>
      <c r="Y124" s="147" t="str">
        <f>IF((_xlfn.XLOOKUP(Profesores[[#This Row],[Nombre]],base_de_datos[Profesor],base_de_datos[Academia],1))=Profesores[[#Headers],[DOP]],"x","")</f>
        <v/>
      </c>
      <c r="Z124" s="147" t="str">
        <f>IF((_xlfn.XLOOKUP(Profesores[[#This Row],[Nombre]],base_de_datos[Profesor],base_de_datos[Academia],1))=Profesores[[#Headers],[ETF]],"x","")</f>
        <v/>
      </c>
      <c r="AA124" s="147" t="str">
        <f>IF((_xlfn.XLOOKUP(Profesores[[#This Row],[Nombre]],base_de_datos[Profesor],base_de_datos[Academia],1))=Profesores[[#Headers],[MAT]],"x","")</f>
        <v/>
      </c>
      <c r="AB124" s="147" t="str">
        <f>IF((_xlfn.XLOOKUP(Profesores[[#This Row],[Nombre]],base_de_datos[Profesor],base_de_datos[Academia],1))=Profesores[[#Headers],[EMP]],"x","")</f>
        <v/>
      </c>
      <c r="AC124" s="146" t="str">
        <f>IF((_xlfn.XLOOKUP(Profesores[[#This Row],[Nombre]],base_de_datos[Profesor],base_de_datos[Academia],1))=Profesores[[#Headers],[AIC]],"x","")</f>
        <v/>
      </c>
      <c r="AD124" s="146" t="str">
        <f>IF((_xlfn.XLOOKUP(Profesores[[#This Row],[Nombre]],base_de_datos[Profesor],base_de_datos[Academia],1))=Profesores[[#Headers],[ESC]],"x","")</f>
        <v/>
      </c>
      <c r="AE124" s="146" t="str">
        <f>IF((_xlfn.XLOOKUP(Profesores[[#This Row],[Nombre]],base_de_datos[Profesor],base_de_datos[Academia],1))=Profesores[[#Headers],[HUM]],"x","")</f>
        <v/>
      </c>
      <c r="AF124" s="146" t="str">
        <f>IF((_xlfn.XLOOKUP(Profesores[[#This Row],[Nombre]],base_de_datos[Profesor],base_de_datos[Academia],1))=Profesores[[#Headers],[IID]],"x","")</f>
        <v>x</v>
      </c>
      <c r="AG124" s="146" t="str">
        <f>IF((_xlfn.XLOOKUP(Profesores[[#This Row],[Nombre]],base_de_datos[Profesor],base_de_datos[Academia],1))=Profesores[[#Headers],[BIO]],"x","")</f>
        <v/>
      </c>
      <c r="AH124" s="146">
        <v>84.21</v>
      </c>
      <c r="AI124" s="146" t="s">
        <v>507</v>
      </c>
      <c r="AJ124" s="146">
        <f>TRUNC(IFERROR(Profesores[[#This Row],[Ex Inglés]]*677/100,0),0)</f>
        <v>570</v>
      </c>
    </row>
    <row r="125" spans="2:36" s="146" customFormat="1" ht="12" hidden="1" customHeight="1" x14ac:dyDescent="0.3">
      <c r="B125" s="6">
        <v>24</v>
      </c>
      <c r="C125" s="153" t="s">
        <v>501</v>
      </c>
      <c r="D125" s="154" t="s">
        <v>28</v>
      </c>
      <c r="E125" s="155">
        <v>117571</v>
      </c>
      <c r="F125" s="153" t="s">
        <v>287</v>
      </c>
      <c r="G125" s="156" t="s">
        <v>1264</v>
      </c>
      <c r="H125" s="156" t="s">
        <v>1265</v>
      </c>
      <c r="I125" s="156" t="s">
        <v>1266</v>
      </c>
      <c r="J125" s="157">
        <v>32417</v>
      </c>
      <c r="K125" s="156" t="s">
        <v>506</v>
      </c>
      <c r="L125" s="147" t="s">
        <v>507</v>
      </c>
      <c r="M125" s="151">
        <v>3331911089</v>
      </c>
      <c r="N125" s="158" t="s">
        <v>1267</v>
      </c>
      <c r="O125" s="151" t="s">
        <v>1268</v>
      </c>
      <c r="P125" s="147">
        <v>22</v>
      </c>
      <c r="Q125" s="146" t="s">
        <v>1269</v>
      </c>
      <c r="R125" s="146" t="s">
        <v>511</v>
      </c>
      <c r="S125" s="146" t="s">
        <v>511</v>
      </c>
      <c r="T125" s="146">
        <v>20126</v>
      </c>
      <c r="U125" s="147">
        <v>2</v>
      </c>
      <c r="V125" s="147" t="str">
        <f>IF((_xlfn.XLOOKUP(Profesores[[#This Row],[Nombre]],base_de_datos[Profesor],base_de_datos[Academia],1))=Profesores[[#Headers],[MEC]],"x","")</f>
        <v>x</v>
      </c>
      <c r="W125" s="147" t="str">
        <f>IF((_xlfn.XLOOKUP(Profesores[[#This Row],[Nombre]],base_de_datos[Profesor],base_de_datos[Academia],1))=Profesores[[#Headers],[COM]],"x","")</f>
        <v/>
      </c>
      <c r="X125" s="147"/>
      <c r="Y125" s="147" t="str">
        <f>IF((_xlfn.XLOOKUP(Profesores[[#This Row],[Nombre]],base_de_datos[Profesor],base_de_datos[Academia],1))=Profesores[[#Headers],[DOP]],"x","")</f>
        <v/>
      </c>
      <c r="Z125" s="147" t="str">
        <f>IF((_xlfn.XLOOKUP(Profesores[[#This Row],[Nombre]],base_de_datos[Profesor],base_de_datos[Academia],1))=Profesores[[#Headers],[ETF]],"x","")</f>
        <v/>
      </c>
      <c r="AA125" s="147" t="str">
        <f>IF((_xlfn.XLOOKUP(Profesores[[#This Row],[Nombre]],base_de_datos[Profesor],base_de_datos[Academia],1))=Profesores[[#Headers],[MAT]],"x","")</f>
        <v/>
      </c>
      <c r="AB125" s="147" t="str">
        <f>IF((_xlfn.XLOOKUP(Profesores[[#This Row],[Nombre]],base_de_datos[Profesor],base_de_datos[Academia],1))=Profesores[[#Headers],[EMP]],"x","")</f>
        <v/>
      </c>
      <c r="AC125" s="146" t="str">
        <f>IF((_xlfn.XLOOKUP(Profesores[[#This Row],[Nombre]],base_de_datos[Profesor],base_de_datos[Academia],1))=Profesores[[#Headers],[AIC]],"x","")</f>
        <v/>
      </c>
      <c r="AD125" s="146" t="str">
        <f>IF((_xlfn.XLOOKUP(Profesores[[#This Row],[Nombre]],base_de_datos[Profesor],base_de_datos[Academia],1))=Profesores[[#Headers],[ESC]],"x","")</f>
        <v/>
      </c>
      <c r="AE125" s="146" t="str">
        <f>IF((_xlfn.XLOOKUP(Profesores[[#This Row],[Nombre]],base_de_datos[Profesor],base_de_datos[Academia],1))=Profesores[[#Headers],[HUM]],"x","")</f>
        <v/>
      </c>
      <c r="AF125" s="146" t="str">
        <f>IF((_xlfn.XLOOKUP(Profesores[[#This Row],[Nombre]],base_de_datos[Profesor],base_de_datos[Academia],1))=Profesores[[#Headers],[IID]],"x","")</f>
        <v/>
      </c>
      <c r="AG125" s="146" t="str">
        <f>IF((_xlfn.XLOOKUP(Profesores[[#This Row],[Nombre]],base_de_datos[Profesor],base_de_datos[Academia],1))=Profesores[[#Headers],[BIO]],"x","")</f>
        <v/>
      </c>
      <c r="AH125" s="146" t="s">
        <v>512</v>
      </c>
      <c r="AI125" s="146" t="s">
        <v>513</v>
      </c>
      <c r="AJ125" s="146">
        <f>TRUNC(IFERROR(Profesores[[#This Row],[Ex Inglés]]*677/100,0),0)</f>
        <v>0</v>
      </c>
    </row>
    <row r="126" spans="2:36" ht="12" hidden="1" customHeight="1" x14ac:dyDescent="0.3">
      <c r="B126" s="6">
        <v>25</v>
      </c>
      <c r="C126" s="153" t="s">
        <v>526</v>
      </c>
      <c r="D126" s="154" t="s">
        <v>28</v>
      </c>
      <c r="E126" s="155">
        <v>2031</v>
      </c>
      <c r="F126" s="153" t="s">
        <v>405</v>
      </c>
      <c r="G126" s="156" t="s">
        <v>1270</v>
      </c>
      <c r="H126" s="156" t="s">
        <v>991</v>
      </c>
      <c r="I126" s="156" t="s">
        <v>1271</v>
      </c>
      <c r="J126" s="157">
        <v>28917</v>
      </c>
      <c r="K126" s="156" t="s">
        <v>506</v>
      </c>
      <c r="L126" s="147" t="s">
        <v>507</v>
      </c>
      <c r="M126" s="151">
        <v>4494362880</v>
      </c>
      <c r="N126" s="158" t="s">
        <v>1272</v>
      </c>
      <c r="O126" s="151" t="s">
        <v>1043</v>
      </c>
      <c r="P126" s="147">
        <v>113</v>
      </c>
      <c r="Q126" s="146" t="s">
        <v>1273</v>
      </c>
      <c r="R126" s="146" t="s">
        <v>511</v>
      </c>
      <c r="S126" s="146" t="s">
        <v>511</v>
      </c>
      <c r="T126" s="146">
        <v>20270</v>
      </c>
      <c r="U126" s="147">
        <v>2</v>
      </c>
      <c r="V126" s="147" t="str">
        <f>IF((_xlfn.XLOOKUP(Profesores[[#This Row],[Nombre]],base_de_datos[Profesor],base_de_datos[Academia],1))=Profesores[[#Headers],[MEC]],"x","")</f>
        <v/>
      </c>
      <c r="W126" s="147" t="str">
        <f>IF((_xlfn.XLOOKUP(Profesores[[#This Row],[Nombre]],base_de_datos[Profesor],base_de_datos[Academia],1))=Profesores[[#Headers],[COM]],"x","")</f>
        <v>x</v>
      </c>
      <c r="X126" s="147"/>
      <c r="Y126" s="147" t="str">
        <f>IF((_xlfn.XLOOKUP(Profesores[[#This Row],[Nombre]],base_de_datos[Profesor],base_de_datos[Academia],1))=Profesores[[#Headers],[DOP]],"x","")</f>
        <v/>
      </c>
      <c r="Z126" s="147" t="str">
        <f>IF((_xlfn.XLOOKUP(Profesores[[#This Row],[Nombre]],base_de_datos[Profesor],base_de_datos[Academia],1))=Profesores[[#Headers],[ETF]],"x","")</f>
        <v/>
      </c>
      <c r="AA126" s="147" t="str">
        <f>IF((_xlfn.XLOOKUP(Profesores[[#This Row],[Nombre]],base_de_datos[Profesor],base_de_datos[Academia],1))=Profesores[[#Headers],[MAT]],"x","")</f>
        <v/>
      </c>
      <c r="AB126" s="147" t="str">
        <f>IF((_xlfn.XLOOKUP(Profesores[[#This Row],[Nombre]],base_de_datos[Profesor],base_de_datos[Academia],1))=Profesores[[#Headers],[EMP]],"x","")</f>
        <v/>
      </c>
      <c r="AC126" s="146" t="str">
        <f>IF((_xlfn.XLOOKUP(Profesores[[#This Row],[Nombre]],base_de_datos[Profesor],base_de_datos[Academia],1))=Profesores[[#Headers],[AIC]],"x","")</f>
        <v/>
      </c>
      <c r="AD126" s="146" t="str">
        <f>IF((_xlfn.XLOOKUP(Profesores[[#This Row],[Nombre]],base_de_datos[Profesor],base_de_datos[Academia],1))=Profesores[[#Headers],[ESC]],"x","")</f>
        <v/>
      </c>
      <c r="AE126" s="146" t="str">
        <f>IF((_xlfn.XLOOKUP(Profesores[[#This Row],[Nombre]],base_de_datos[Profesor],base_de_datos[Academia],1))=Profesores[[#Headers],[HUM]],"x","")</f>
        <v/>
      </c>
      <c r="AF126" s="146" t="str">
        <f>IF((_xlfn.XLOOKUP(Profesores[[#This Row],[Nombre]],base_de_datos[Profesor],base_de_datos[Academia],1))=Profesores[[#Headers],[IID]],"x","")</f>
        <v/>
      </c>
      <c r="AG126" s="146" t="str">
        <f>IF((_xlfn.XLOOKUP(Profesores[[#This Row],[Nombre]],base_de_datos[Profesor],base_de_datos[Academia],1))=Profesores[[#Headers],[BIO]],"x","")</f>
        <v/>
      </c>
      <c r="AH126" s="146" t="s">
        <v>524</v>
      </c>
      <c r="AI126" s="146" t="s">
        <v>507</v>
      </c>
      <c r="AJ126" s="146">
        <f>TRUNC(IFERROR(Profesores[[#This Row],[Ex Inglés]]*677/100,0),0)</f>
        <v>0</v>
      </c>
    </row>
    <row r="127" spans="2:36" s="146" customFormat="1" ht="12" hidden="1" customHeight="1" x14ac:dyDescent="0.3">
      <c r="B127" s="6">
        <v>26</v>
      </c>
      <c r="C127" s="146" t="s">
        <v>540</v>
      </c>
      <c r="D127" s="147" t="s">
        <v>28</v>
      </c>
      <c r="E127" s="148">
        <v>180580</v>
      </c>
      <c r="F127" s="146" t="s">
        <v>268</v>
      </c>
      <c r="G127" s="149" t="s">
        <v>1274</v>
      </c>
      <c r="H127" s="149" t="s">
        <v>698</v>
      </c>
      <c r="I127" s="149" t="s">
        <v>1215</v>
      </c>
      <c r="J127" s="150">
        <v>27214</v>
      </c>
      <c r="K127" s="149" t="s">
        <v>506</v>
      </c>
      <c r="L127" s="147" t="s">
        <v>507</v>
      </c>
      <c r="M127" s="151">
        <v>4491291639</v>
      </c>
      <c r="N127" s="158" t="s">
        <v>1275</v>
      </c>
      <c r="O127" s="151" t="s">
        <v>1276</v>
      </c>
      <c r="P127" s="147">
        <v>603</v>
      </c>
      <c r="Q127" s="146" t="s">
        <v>1277</v>
      </c>
      <c r="R127" s="146" t="s">
        <v>511</v>
      </c>
      <c r="S127" s="146" t="s">
        <v>511</v>
      </c>
      <c r="T127" s="146">
        <v>20270</v>
      </c>
      <c r="U127" s="147">
        <v>3</v>
      </c>
      <c r="V127" s="147" t="str">
        <f>IF((_xlfn.XLOOKUP(Profesores[[#This Row],[Nombre]],base_de_datos[Profesor],base_de_datos[Academia],1))=Profesores[[#Headers],[MEC]],"x","")</f>
        <v/>
      </c>
      <c r="W127" s="147" t="str">
        <f>IF((_xlfn.XLOOKUP(Profesores[[#This Row],[Nombre]],base_de_datos[Profesor],base_de_datos[Academia],1))=Profesores[[#Headers],[COM]],"x","")</f>
        <v/>
      </c>
      <c r="X127" s="147"/>
      <c r="Y127" s="147" t="str">
        <f>IF((_xlfn.XLOOKUP(Profesores[[#This Row],[Nombre]],base_de_datos[Profesor],base_de_datos[Academia],1))=Profesores[[#Headers],[DOP]],"x","")</f>
        <v/>
      </c>
      <c r="Z127" s="147" t="str">
        <f>IF((_xlfn.XLOOKUP(Profesores[[#This Row],[Nombre]],base_de_datos[Profesor],base_de_datos[Academia],1))=Profesores[[#Headers],[ETF]],"x","")</f>
        <v>x</v>
      </c>
      <c r="AA127" s="147" t="str">
        <f>IF((_xlfn.XLOOKUP(Profesores[[#This Row],[Nombre]],base_de_datos[Profesor],base_de_datos[Academia],1))=Profesores[[#Headers],[MAT]],"x","")</f>
        <v/>
      </c>
      <c r="AB127" s="147" t="str">
        <f>IF((_xlfn.XLOOKUP(Profesores[[#This Row],[Nombre]],base_de_datos[Profesor],base_de_datos[Academia],1))=Profesores[[#Headers],[EMP]],"x","")</f>
        <v/>
      </c>
      <c r="AC127" s="146" t="str">
        <f>IF((_xlfn.XLOOKUP(Profesores[[#This Row],[Nombre]],base_de_datos[Profesor],base_de_datos[Academia],1))=Profesores[[#Headers],[AIC]],"x","")</f>
        <v/>
      </c>
      <c r="AD127" s="146" t="str">
        <f>IF((_xlfn.XLOOKUP(Profesores[[#This Row],[Nombre]],base_de_datos[Profesor],base_de_datos[Academia],1))=Profesores[[#Headers],[ESC]],"x","")</f>
        <v/>
      </c>
      <c r="AE127" s="146" t="str">
        <f>IF((_xlfn.XLOOKUP(Profesores[[#This Row],[Nombre]],base_de_datos[Profesor],base_de_datos[Academia],1))=Profesores[[#Headers],[HUM]],"x","")</f>
        <v/>
      </c>
      <c r="AF127" s="146" t="str">
        <f>IF((_xlfn.XLOOKUP(Profesores[[#This Row],[Nombre]],base_de_datos[Profesor],base_de_datos[Academia],1))=Profesores[[#Headers],[IID]],"x","")</f>
        <v/>
      </c>
      <c r="AG127" s="146" t="str">
        <f>IF((_xlfn.XLOOKUP(Profesores[[#This Row],[Nombre]],base_de_datos[Profesor],base_de_datos[Academia],1))=Profesores[[#Headers],[BIO]],"x","")</f>
        <v/>
      </c>
      <c r="AH127" s="146" t="s">
        <v>524</v>
      </c>
      <c r="AI127" s="146" t="s">
        <v>513</v>
      </c>
      <c r="AJ127" s="146">
        <f>TRUNC(IFERROR(Profesores[[#This Row],[Ex Inglés]]*677/100,0),0)</f>
        <v>0</v>
      </c>
    </row>
    <row r="128" spans="2:36" ht="12" hidden="1" customHeight="1" x14ac:dyDescent="0.3">
      <c r="B128" s="6">
        <v>27</v>
      </c>
      <c r="C128" s="146" t="s">
        <v>502</v>
      </c>
      <c r="D128" s="147" t="s">
        <v>28</v>
      </c>
      <c r="E128" s="148">
        <v>144750</v>
      </c>
      <c r="F128" s="146" t="s">
        <v>434</v>
      </c>
      <c r="G128" s="149" t="s">
        <v>1278</v>
      </c>
      <c r="H128" s="149" t="s">
        <v>1054</v>
      </c>
      <c r="I128" s="149" t="s">
        <v>505</v>
      </c>
      <c r="J128" s="150">
        <v>30685</v>
      </c>
      <c r="K128" s="156" t="s">
        <v>506</v>
      </c>
      <c r="L128" s="147" t="s">
        <v>507</v>
      </c>
      <c r="M128" s="151">
        <v>4494489337</v>
      </c>
      <c r="N128" s="158" t="s">
        <v>1279</v>
      </c>
      <c r="O128" s="151" t="s">
        <v>1280</v>
      </c>
      <c r="P128" s="147">
        <v>206</v>
      </c>
      <c r="Q128" s="146" t="s">
        <v>1281</v>
      </c>
      <c r="R128" s="146" t="s">
        <v>511</v>
      </c>
      <c r="S128" s="146" t="s">
        <v>511</v>
      </c>
      <c r="T128" s="146">
        <v>20230</v>
      </c>
      <c r="U128" s="147">
        <v>1</v>
      </c>
      <c r="V128" s="147" t="str">
        <f>IF((_xlfn.XLOOKUP(Profesores[[#This Row],[Nombre]],base_de_datos[Profesor],base_de_datos[Academia],1))=Profesores[[#Headers],[MEC]],"x","")</f>
        <v/>
      </c>
      <c r="W128" s="147" t="str">
        <f>IF((_xlfn.XLOOKUP(Profesores[[#This Row],[Nombre]],base_de_datos[Profesor],base_de_datos[Academia],1))=Profesores[[#Headers],[COM]],"x","")</f>
        <v/>
      </c>
      <c r="X128" s="147"/>
      <c r="Y128" s="147" t="str">
        <f>IF((_xlfn.XLOOKUP(Profesores[[#This Row],[Nombre]],base_de_datos[Profesor],base_de_datos[Academia],1))=Profesores[[#Headers],[DOP]],"x","")</f>
        <v>x</v>
      </c>
      <c r="Z128" s="147" t="str">
        <f>IF((_xlfn.XLOOKUP(Profesores[[#This Row],[Nombre]],base_de_datos[Profesor],base_de_datos[Academia],1))=Profesores[[#Headers],[ETF]],"x","")</f>
        <v/>
      </c>
      <c r="AA128" s="147" t="str">
        <f>IF((_xlfn.XLOOKUP(Profesores[[#This Row],[Nombre]],base_de_datos[Profesor],base_de_datos[Academia],1))=Profesores[[#Headers],[MAT]],"x","")</f>
        <v/>
      </c>
      <c r="AB128" s="147" t="str">
        <f>IF((_xlfn.XLOOKUP(Profesores[[#This Row],[Nombre]],base_de_datos[Profesor],base_de_datos[Academia],1))=Profesores[[#Headers],[EMP]],"x","")</f>
        <v/>
      </c>
      <c r="AC128" s="146" t="str">
        <f>IF((_xlfn.XLOOKUP(Profesores[[#This Row],[Nombre]],base_de_datos[Profesor],base_de_datos[Academia],1))=Profesores[[#Headers],[AIC]],"x","")</f>
        <v/>
      </c>
      <c r="AD128" s="146" t="str">
        <f>IF((_xlfn.XLOOKUP(Profesores[[#This Row],[Nombre]],base_de_datos[Profesor],base_de_datos[Academia],1))=Profesores[[#Headers],[ESC]],"x","")</f>
        <v/>
      </c>
      <c r="AE128" s="146" t="str">
        <f>IF((_xlfn.XLOOKUP(Profesores[[#This Row],[Nombre]],base_de_datos[Profesor],base_de_datos[Academia],1))=Profesores[[#Headers],[HUM]],"x","")</f>
        <v/>
      </c>
      <c r="AF128" s="146" t="str">
        <f>IF((_xlfn.XLOOKUP(Profesores[[#This Row],[Nombre]],base_de_datos[Profesor],base_de_datos[Academia],1))=Profesores[[#Headers],[IID]],"x","")</f>
        <v/>
      </c>
      <c r="AG128" s="146" t="str">
        <f>IF((_xlfn.XLOOKUP(Profesores[[#This Row],[Nombre]],base_de_datos[Profesor],base_de_datos[Academia],1))=Profesores[[#Headers],[BIO]],"x","")</f>
        <v/>
      </c>
      <c r="AH128" s="146" t="s">
        <v>524</v>
      </c>
      <c r="AI128" s="146" t="s">
        <v>513</v>
      </c>
      <c r="AJ128" s="146">
        <f>TRUNC(IFERROR(Profesores[[#This Row],[Ex Inglés]]*677/100,0),0)</f>
        <v>0</v>
      </c>
    </row>
    <row r="129" spans="2:36" s="146" customFormat="1" ht="12" hidden="1" customHeight="1" x14ac:dyDescent="0.3">
      <c r="B129" s="146">
        <v>34</v>
      </c>
      <c r="C129" s="146" t="s">
        <v>540</v>
      </c>
      <c r="D129" s="147" t="s">
        <v>28</v>
      </c>
      <c r="E129" s="148">
        <v>113891</v>
      </c>
      <c r="F129" s="146" t="s">
        <v>357</v>
      </c>
      <c r="G129" s="149" t="s">
        <v>1282</v>
      </c>
      <c r="H129" s="149" t="s">
        <v>1283</v>
      </c>
      <c r="I129" s="149" t="s">
        <v>1284</v>
      </c>
      <c r="J129" s="150">
        <v>29664</v>
      </c>
      <c r="K129" s="149" t="s">
        <v>506</v>
      </c>
      <c r="L129" s="147" t="s">
        <v>507</v>
      </c>
      <c r="M129" s="151" t="s">
        <v>1285</v>
      </c>
      <c r="N129" s="158" t="s">
        <v>1286</v>
      </c>
      <c r="O129" s="151" t="s">
        <v>1287</v>
      </c>
      <c r="P129" s="147" t="s">
        <v>1288</v>
      </c>
      <c r="Q129" s="146" t="s">
        <v>1289</v>
      </c>
      <c r="R129" s="146" t="s">
        <v>1290</v>
      </c>
      <c r="S129" s="146" t="s">
        <v>856</v>
      </c>
      <c r="T129" s="146">
        <v>45010</v>
      </c>
      <c r="U129" s="147">
        <v>3</v>
      </c>
      <c r="V129" s="147" t="str">
        <f>IF((_xlfn.XLOOKUP(Profesores[[#This Row],[Nombre]],base_de_datos[Profesor],base_de_datos[Academia],1))=Profesores[[#Headers],[MEC]],"x","")</f>
        <v/>
      </c>
      <c r="W129" s="147" t="str">
        <f>IF((_xlfn.XLOOKUP(Profesores[[#This Row],[Nombre]],base_de_datos[Profesor],base_de_datos[Academia],1))=Profesores[[#Headers],[COM]],"x","")</f>
        <v/>
      </c>
      <c r="X129" s="147"/>
      <c r="Y129" s="147" t="str">
        <f>IF((_xlfn.XLOOKUP(Profesores[[#This Row],[Nombre]],base_de_datos[Profesor],base_de_datos[Academia],1))=Profesores[[#Headers],[DOP]],"x","")</f>
        <v/>
      </c>
      <c r="Z129" s="147" t="str">
        <f>IF((_xlfn.XLOOKUP(Profesores[[#This Row],[Nombre]],base_de_datos[Profesor],base_de_datos[Academia],1))=Profesores[[#Headers],[ETF]],"x","")</f>
        <v/>
      </c>
      <c r="AA129" s="147" t="str">
        <f>IF((_xlfn.XLOOKUP(Profesores[[#This Row],[Nombre]],base_de_datos[Profesor],base_de_datos[Academia],1))=Profesores[[#Headers],[MAT]],"x","")</f>
        <v/>
      </c>
      <c r="AB129" s="147" t="str">
        <f>IF((_xlfn.XLOOKUP(Profesores[[#This Row],[Nombre]],base_de_datos[Profesor],base_de_datos[Academia],1))=Profesores[[#Headers],[EMP]],"x","")</f>
        <v/>
      </c>
      <c r="AC129" s="146" t="str">
        <f>IF((_xlfn.XLOOKUP(Profesores[[#This Row],[Nombre]],base_de_datos[Profesor],base_de_datos[Academia],1))=Profesores[[#Headers],[AIC]],"x","")</f>
        <v/>
      </c>
      <c r="AD129" s="146" t="str">
        <f>IF((_xlfn.XLOOKUP(Profesores[[#This Row],[Nombre]],base_de_datos[Profesor],base_de_datos[Academia],1))=Profesores[[#Headers],[ESC]],"x","")</f>
        <v/>
      </c>
      <c r="AE129" s="146" t="str">
        <f>IF((_xlfn.XLOOKUP(Profesores[[#This Row],[Nombre]],base_de_datos[Profesor],base_de_datos[Academia],1))=Profesores[[#Headers],[HUM]],"x","")</f>
        <v/>
      </c>
      <c r="AF129" s="146" t="str">
        <f>IF((_xlfn.XLOOKUP(Profesores[[#This Row],[Nombre]],base_de_datos[Profesor],base_de_datos[Academia],1))=Profesores[[#Headers],[IID]],"x","")</f>
        <v>x</v>
      </c>
      <c r="AG129" s="146" t="str">
        <f>IF((_xlfn.XLOOKUP(Profesores[[#This Row],[Nombre]],base_de_datos[Profesor],base_de_datos[Academia],1))=Profesores[[#Headers],[BIO]],"x","")</f>
        <v/>
      </c>
      <c r="AH129" s="146" t="s">
        <v>524</v>
      </c>
      <c r="AI129" s="146" t="s">
        <v>513</v>
      </c>
      <c r="AJ129" s="146">
        <f>TRUNC(IFERROR(Profesores[[#This Row],[Ex Inglés]]*677/100,0),0)</f>
        <v>0</v>
      </c>
    </row>
    <row r="130" spans="2:36" ht="12" hidden="1" customHeight="1" x14ac:dyDescent="0.3">
      <c r="B130" s="6">
        <v>75</v>
      </c>
      <c r="C130" s="146" t="s">
        <v>540</v>
      </c>
      <c r="D130" s="147" t="s">
        <v>28</v>
      </c>
      <c r="E130" s="148">
        <v>52892</v>
      </c>
      <c r="F130" s="146" t="s">
        <v>173</v>
      </c>
      <c r="G130" s="149" t="s">
        <v>1291</v>
      </c>
      <c r="H130" s="149" t="s">
        <v>1292</v>
      </c>
      <c r="I130" s="149" t="s">
        <v>1293</v>
      </c>
      <c r="J130" s="150">
        <v>24186</v>
      </c>
      <c r="K130" s="149" t="s">
        <v>506</v>
      </c>
      <c r="L130" s="147" t="s">
        <v>507</v>
      </c>
      <c r="M130" s="151">
        <v>4491114356</v>
      </c>
      <c r="N130" s="158" t="s">
        <v>1294</v>
      </c>
      <c r="O130" s="151" t="s">
        <v>1295</v>
      </c>
      <c r="P130" s="147">
        <v>807</v>
      </c>
      <c r="Q130" s="146" t="s">
        <v>1296</v>
      </c>
      <c r="R130" s="146" t="s">
        <v>511</v>
      </c>
      <c r="S130" s="146" t="s">
        <v>511</v>
      </c>
      <c r="T130" s="146">
        <v>20170</v>
      </c>
      <c r="U130" s="147">
        <v>1</v>
      </c>
      <c r="V130" s="147" t="str">
        <f>IF((_xlfn.XLOOKUP(Profesores[[#This Row],[Nombre]],base_de_datos[Profesor],base_de_datos[Academia],1))=Profesores[[#Headers],[MEC]],"x","")</f>
        <v/>
      </c>
      <c r="W130" s="147" t="str">
        <f>IF((_xlfn.XLOOKUP(Profesores[[#This Row],[Nombre]],base_de_datos[Profesor],base_de_datos[Academia],1))=Profesores[[#Headers],[COM]],"x","")</f>
        <v/>
      </c>
      <c r="X130" s="147"/>
      <c r="Y130" s="147" t="str">
        <f>IF((_xlfn.XLOOKUP(Profesores[[#This Row],[Nombre]],base_de_datos[Profesor],base_de_datos[Academia],1))=Profesores[[#Headers],[DOP]],"x","")</f>
        <v/>
      </c>
      <c r="Z130" s="147" t="str">
        <f>IF((_xlfn.XLOOKUP(Profesores[[#This Row],[Nombre]],base_de_datos[Profesor],base_de_datos[Academia],1))=Profesores[[#Headers],[ETF]],"x","")</f>
        <v/>
      </c>
      <c r="AA130" s="147" t="str">
        <f>IF((_xlfn.XLOOKUP(Profesores[[#This Row],[Nombre]],base_de_datos[Profesor],base_de_datos[Academia],1))=Profesores[[#Headers],[MAT]],"x","")</f>
        <v>x</v>
      </c>
      <c r="AB130" s="147" t="str">
        <f>IF((_xlfn.XLOOKUP(Profesores[[#This Row],[Nombre]],base_de_datos[Profesor],base_de_datos[Academia],1))=Profesores[[#Headers],[EMP]],"x","")</f>
        <v/>
      </c>
      <c r="AC130" s="146" t="str">
        <f>IF((_xlfn.XLOOKUP(Profesores[[#This Row],[Nombre]],base_de_datos[Profesor],base_de_datos[Academia],1))=Profesores[[#Headers],[AIC]],"x","")</f>
        <v/>
      </c>
      <c r="AD130" s="146" t="str">
        <f>IF((_xlfn.XLOOKUP(Profesores[[#This Row],[Nombre]],base_de_datos[Profesor],base_de_datos[Academia],1))=Profesores[[#Headers],[ESC]],"x","")</f>
        <v/>
      </c>
      <c r="AE130" s="146" t="str">
        <f>IF((_xlfn.XLOOKUP(Profesores[[#This Row],[Nombre]],base_de_datos[Profesor],base_de_datos[Academia],1))=Profesores[[#Headers],[HUM]],"x","")</f>
        <v/>
      </c>
      <c r="AF130" s="146" t="str">
        <f>IF((_xlfn.XLOOKUP(Profesores[[#This Row],[Nombre]],base_de_datos[Profesor],base_de_datos[Academia],1))=Profesores[[#Headers],[IID]],"x","")</f>
        <v/>
      </c>
      <c r="AG130" s="146" t="str">
        <f>IF((_xlfn.XLOOKUP(Profesores[[#This Row],[Nombre]],base_de_datos[Profesor],base_de_datos[Academia],1))=Profesores[[#Headers],[BIO]],"x","")</f>
        <v/>
      </c>
      <c r="AH130" s="146" t="s">
        <v>524</v>
      </c>
      <c r="AI130" s="146" t="s">
        <v>513</v>
      </c>
      <c r="AJ130" s="146">
        <f>TRUNC(IFERROR(Profesores[[#This Row],[Ex Inglés]]*677/100,0),0)</f>
        <v>0</v>
      </c>
    </row>
    <row r="131" spans="2:36" ht="12" hidden="1" customHeight="1" x14ac:dyDescent="0.3">
      <c r="B131" s="146">
        <v>116</v>
      </c>
      <c r="C131" s="146" t="s">
        <v>515</v>
      </c>
      <c r="D131" s="147" t="s">
        <v>28</v>
      </c>
      <c r="E131" s="148">
        <v>173052</v>
      </c>
      <c r="F131" s="146" t="s">
        <v>453</v>
      </c>
      <c r="G131" s="149" t="s">
        <v>1297</v>
      </c>
      <c r="H131" s="149" t="s">
        <v>624</v>
      </c>
      <c r="I131" s="149" t="s">
        <v>959</v>
      </c>
      <c r="J131" s="150">
        <v>34691</v>
      </c>
      <c r="K131" s="149" t="s">
        <v>506</v>
      </c>
      <c r="L131" s="147" t="s">
        <v>507</v>
      </c>
      <c r="M131" s="151">
        <v>4491422937</v>
      </c>
      <c r="N131" s="158" t="s">
        <v>1298</v>
      </c>
      <c r="O131" s="151" t="s">
        <v>1299</v>
      </c>
      <c r="P131" s="147">
        <v>301</v>
      </c>
      <c r="Q131" s="146" t="s">
        <v>1300</v>
      </c>
      <c r="R131" s="146" t="s">
        <v>511</v>
      </c>
      <c r="S131" s="146" t="s">
        <v>511</v>
      </c>
      <c r="T131" s="146">
        <v>20120</v>
      </c>
      <c r="U131" s="147">
        <v>1</v>
      </c>
      <c r="V131" s="147" t="str">
        <f>IF((_xlfn.XLOOKUP(Profesores[[#This Row],[Nombre]],base_de_datos[Profesor],base_de_datos[Academia],1))=Profesores[[#Headers],[MEC]],"x","")</f>
        <v/>
      </c>
      <c r="W131" s="147" t="str">
        <f>IF((_xlfn.XLOOKUP(Profesores[[#This Row],[Nombre]],base_de_datos[Profesor],base_de_datos[Academia],1))=Profesores[[#Headers],[COM]],"x","")</f>
        <v/>
      </c>
      <c r="X131" s="147"/>
      <c r="Y131" s="147" t="str">
        <f>IF((_xlfn.XLOOKUP(Profesores[[#This Row],[Nombre]],base_de_datos[Profesor],base_de_datos[Academia],1))=Profesores[[#Headers],[DOP]],"x","")</f>
        <v/>
      </c>
      <c r="Z131" s="147" t="str">
        <f>IF((_xlfn.XLOOKUP(Profesores[[#This Row],[Nombre]],base_de_datos[Profesor],base_de_datos[Academia],1))=Profesores[[#Headers],[ETF]],"x","")</f>
        <v/>
      </c>
      <c r="AA131" s="147" t="str">
        <f>IF((_xlfn.XLOOKUP(Profesores[[#This Row],[Nombre]],base_de_datos[Profesor],base_de_datos[Academia],1))=Profesores[[#Headers],[MAT]],"x","")</f>
        <v/>
      </c>
      <c r="AB131" s="147" t="str">
        <f>IF((_xlfn.XLOOKUP(Profesores[[#This Row],[Nombre]],base_de_datos[Profesor],base_de_datos[Academia],1))=Profesores[[#Headers],[EMP]],"x","")</f>
        <v/>
      </c>
      <c r="AC131" s="146" t="str">
        <f>IF((_xlfn.XLOOKUP(Profesores[[#This Row],[Nombre]],base_de_datos[Profesor],base_de_datos[Academia],1))=Profesores[[#Headers],[AIC]],"x","")</f>
        <v/>
      </c>
      <c r="AD131" s="146" t="str">
        <f>IF((_xlfn.XLOOKUP(Profesores[[#This Row],[Nombre]],base_de_datos[Profesor],base_de_datos[Academia],1))=Profesores[[#Headers],[ESC]],"x","")</f>
        <v/>
      </c>
      <c r="AE131" s="146" t="str">
        <f>IF((_xlfn.XLOOKUP(Profesores[[#This Row],[Nombre]],base_de_datos[Profesor],base_de_datos[Academia],1))=Profesores[[#Headers],[HUM]],"x","")</f>
        <v/>
      </c>
      <c r="AF131" s="146" t="str">
        <f>IF((_xlfn.XLOOKUP(Profesores[[#This Row],[Nombre]],base_de_datos[Profesor],base_de_datos[Academia],1))=Profesores[[#Headers],[IID]],"x","")</f>
        <v>x</v>
      </c>
      <c r="AG131" s="146" t="str">
        <f>IF((_xlfn.XLOOKUP(Profesores[[#This Row],[Nombre]],base_de_datos[Profesor],base_de_datos[Academia],1))=Profesores[[#Headers],[BIO]],"x","")</f>
        <v/>
      </c>
      <c r="AH131" s="146" t="s">
        <v>1301</v>
      </c>
      <c r="AI131" s="146"/>
      <c r="AJ131" s="146">
        <f>TRUNC(IFERROR(Profesores[[#This Row],[Ex Inglés]]*677/100,0),0)</f>
        <v>479</v>
      </c>
    </row>
    <row r="132" spans="2:36" ht="12" hidden="1" customHeight="1" x14ac:dyDescent="0.3">
      <c r="B132" s="6">
        <v>122</v>
      </c>
      <c r="C132" s="146" t="s">
        <v>502</v>
      </c>
      <c r="D132" s="147" t="s">
        <v>28</v>
      </c>
      <c r="E132" s="148">
        <v>27133</v>
      </c>
      <c r="F132" s="146" t="s">
        <v>165</v>
      </c>
      <c r="G132" s="149" t="s">
        <v>1302</v>
      </c>
      <c r="H132" s="149" t="s">
        <v>1303</v>
      </c>
      <c r="I132" s="149" t="s">
        <v>1304</v>
      </c>
      <c r="J132" s="150">
        <v>27771</v>
      </c>
      <c r="K132" s="149" t="s">
        <v>506</v>
      </c>
      <c r="L132" s="147"/>
      <c r="M132" s="151">
        <v>4493526497</v>
      </c>
      <c r="N132" s="161" t="s">
        <v>1305</v>
      </c>
      <c r="O132" s="151"/>
      <c r="P132" s="147"/>
      <c r="Q132" s="146"/>
      <c r="R132" s="146"/>
      <c r="S132" s="146"/>
      <c r="T132" s="146"/>
      <c r="U132" s="147"/>
      <c r="V132" s="147" t="str">
        <f>IF((_xlfn.XLOOKUP(Profesores[[#This Row],[Nombre]],base_de_datos[Profesor],base_de_datos[Academia],1))=Profesores[[#Headers],[MEC]],"x","")</f>
        <v/>
      </c>
      <c r="W132" s="147" t="str">
        <f>IF((_xlfn.XLOOKUP(Profesores[[#This Row],[Nombre]],base_de_datos[Profesor],base_de_datos[Academia],1))=Profesores[[#Headers],[COM]],"x","")</f>
        <v/>
      </c>
      <c r="X132" s="147"/>
      <c r="Y132" s="147" t="str">
        <f>IF((_xlfn.XLOOKUP(Profesores[[#This Row],[Nombre]],base_de_datos[Profesor],base_de_datos[Academia],1))=Profesores[[#Headers],[DOP]],"x","")</f>
        <v/>
      </c>
      <c r="Z132" s="147" t="str">
        <f>IF((_xlfn.XLOOKUP(Profesores[[#This Row],[Nombre]],base_de_datos[Profesor],base_de_datos[Academia],1))=Profesores[[#Headers],[ETF]],"x","")</f>
        <v/>
      </c>
      <c r="AA132" s="147" t="str">
        <f>IF((_xlfn.XLOOKUP(Profesores[[#This Row],[Nombre]],base_de_datos[Profesor],base_de_datos[Academia],1))=Profesores[[#Headers],[MAT]],"x","")</f>
        <v>x</v>
      </c>
      <c r="AB132" s="147" t="str">
        <f>IF((_xlfn.XLOOKUP(Profesores[[#This Row],[Nombre]],base_de_datos[Profesor],base_de_datos[Academia],1))=Profesores[[#Headers],[EMP]],"x","")</f>
        <v/>
      </c>
      <c r="AC132" s="146" t="str">
        <f>IF((_xlfn.XLOOKUP(Profesores[[#This Row],[Nombre]],base_de_datos[Profesor],base_de_datos[Academia],1))=Profesores[[#Headers],[AIC]],"x","")</f>
        <v/>
      </c>
      <c r="AD132" s="146" t="str">
        <f>IF((_xlfn.XLOOKUP(Profesores[[#This Row],[Nombre]],base_de_datos[Profesor],base_de_datos[Academia],1))=Profesores[[#Headers],[ESC]],"x","")</f>
        <v/>
      </c>
      <c r="AE132" s="146" t="str">
        <f>IF((_xlfn.XLOOKUP(Profesores[[#This Row],[Nombre]],base_de_datos[Profesor],base_de_datos[Academia],1))=Profesores[[#Headers],[HUM]],"x","")</f>
        <v/>
      </c>
      <c r="AF132" s="146" t="str">
        <f>IF((_xlfn.XLOOKUP(Profesores[[#This Row],[Nombre]],base_de_datos[Profesor],base_de_datos[Academia],1))=Profesores[[#Headers],[IID]],"x","")</f>
        <v/>
      </c>
      <c r="AG132" s="146" t="str">
        <f>IF((_xlfn.XLOOKUP(Profesores[[#This Row],[Nombre]],base_de_datos[Profesor],base_de_datos[Academia],1))=Profesores[[#Headers],[BIO]],"x","")</f>
        <v/>
      </c>
      <c r="AH132" s="146"/>
      <c r="AI132" s="146"/>
      <c r="AJ132" s="146">
        <f>TRUNC(IFERROR(Profesores[[#This Row],[Ex Inglés]]*677/100,0),0)</f>
        <v>0</v>
      </c>
    </row>
    <row r="133" spans="2:36" ht="12" hidden="1" customHeight="1" x14ac:dyDescent="0.3">
      <c r="B133" s="146">
        <v>123</v>
      </c>
      <c r="C133" s="146" t="s">
        <v>501</v>
      </c>
      <c r="D133" s="147" t="s">
        <v>28</v>
      </c>
      <c r="E133" s="148">
        <v>218083</v>
      </c>
      <c r="F133" s="146" t="s">
        <v>158</v>
      </c>
      <c r="G133" s="149" t="s">
        <v>1306</v>
      </c>
      <c r="H133" s="149" t="s">
        <v>519</v>
      </c>
      <c r="I133" s="149" t="s">
        <v>519</v>
      </c>
      <c r="J133" s="150">
        <v>36742</v>
      </c>
      <c r="K133" s="149"/>
      <c r="L133" s="147"/>
      <c r="M133" s="151">
        <v>449200666</v>
      </c>
      <c r="N133" s="161" t="s">
        <v>1307</v>
      </c>
      <c r="O133" s="151" t="s">
        <v>1308</v>
      </c>
      <c r="P133" s="147">
        <v>923</v>
      </c>
      <c r="Q133" s="146" t="s">
        <v>1019</v>
      </c>
      <c r="R133" s="146" t="s">
        <v>511</v>
      </c>
      <c r="S133" s="146" t="s">
        <v>511</v>
      </c>
      <c r="T133" s="146">
        <v>20120</v>
      </c>
      <c r="U133" s="147"/>
      <c r="V133" s="147" t="str">
        <f>IF((_xlfn.XLOOKUP(Profesores[[#This Row],[Nombre]],base_de_datos[Profesor],base_de_datos[Academia],1))=Profesores[[#Headers],[MEC]],"x","")</f>
        <v/>
      </c>
      <c r="W133" s="147" t="str">
        <f>IF((_xlfn.XLOOKUP(Profesores[[#This Row],[Nombre]],base_de_datos[Profesor],base_de_datos[Academia],1))=Profesores[[#Headers],[COM]],"x","")</f>
        <v/>
      </c>
      <c r="X133" s="147"/>
      <c r="Y133" s="147" t="str">
        <f>IF((_xlfn.XLOOKUP(Profesores[[#This Row],[Nombre]],base_de_datos[Profesor],base_de_datos[Academia],1))=Profesores[[#Headers],[DOP]],"x","")</f>
        <v/>
      </c>
      <c r="Z133" s="147" t="str">
        <f>IF((_xlfn.XLOOKUP(Profesores[[#This Row],[Nombre]],base_de_datos[Profesor],base_de_datos[Academia],1))=Profesores[[#Headers],[ETF]],"x","")</f>
        <v/>
      </c>
      <c r="AA133" s="147" t="str">
        <f>IF((_xlfn.XLOOKUP(Profesores[[#This Row],[Nombre]],base_de_datos[Profesor],base_de_datos[Academia],1))=Profesores[[#Headers],[MAT]],"x","")</f>
        <v/>
      </c>
      <c r="AB133" s="147" t="str">
        <f>IF((_xlfn.XLOOKUP(Profesores[[#This Row],[Nombre]],base_de_datos[Profesor],base_de_datos[Academia],1))=Profesores[[#Headers],[EMP]],"x","")</f>
        <v/>
      </c>
      <c r="AC133" s="146" t="str">
        <f>IF((_xlfn.XLOOKUP(Profesores[[#This Row],[Nombre]],base_de_datos[Profesor],base_de_datos[Academia],1))=Profesores[[#Headers],[AIC]],"x","")</f>
        <v/>
      </c>
      <c r="AD133" s="146" t="str">
        <f>IF((_xlfn.XLOOKUP(Profesores[[#This Row],[Nombre]],base_de_datos[Profesor],base_de_datos[Academia],1))=Profesores[[#Headers],[ESC]],"x","")</f>
        <v>x</v>
      </c>
      <c r="AE133" s="146" t="str">
        <f>IF((_xlfn.XLOOKUP(Profesores[[#This Row],[Nombre]],base_de_datos[Profesor],base_de_datos[Academia],1))=Profesores[[#Headers],[HUM]],"x","")</f>
        <v/>
      </c>
      <c r="AF133" s="146" t="str">
        <f>IF((_xlfn.XLOOKUP(Profesores[[#This Row],[Nombre]],base_de_datos[Profesor],base_de_datos[Academia],1))=Profesores[[#Headers],[IID]],"x","")</f>
        <v/>
      </c>
      <c r="AG133" s="146" t="str">
        <f>IF((_xlfn.XLOOKUP(Profesores[[#This Row],[Nombre]],base_de_datos[Profesor],base_de_datos[Academia],1))=Profesores[[#Headers],[BIO]],"x","")</f>
        <v/>
      </c>
      <c r="AH133" s="146"/>
      <c r="AI133" s="146"/>
      <c r="AJ133" s="146">
        <f>TRUNC(IFERROR(Profesores[[#This Row],[Ex Inglés]]*677/100,0),0)</f>
        <v>0</v>
      </c>
    </row>
    <row r="134" spans="2:36" s="146" customFormat="1" ht="12" hidden="1" customHeight="1" x14ac:dyDescent="0.3">
      <c r="B134" s="6">
        <v>125</v>
      </c>
      <c r="C134" s="146" t="s">
        <v>502</v>
      </c>
      <c r="D134" s="147" t="s">
        <v>28</v>
      </c>
      <c r="E134" s="148">
        <v>167288</v>
      </c>
      <c r="F134" s="146" t="s">
        <v>153</v>
      </c>
      <c r="G134" s="149" t="s">
        <v>1309</v>
      </c>
      <c r="H134" s="149" t="s">
        <v>1310</v>
      </c>
      <c r="I134" s="149" t="s">
        <v>1311</v>
      </c>
      <c r="J134" s="150">
        <v>32830</v>
      </c>
      <c r="K134" s="149"/>
      <c r="L134" s="147" t="s">
        <v>87</v>
      </c>
      <c r="M134" s="151">
        <v>4499047926</v>
      </c>
      <c r="N134" s="161" t="s">
        <v>1312</v>
      </c>
      <c r="O134" s="151" t="s">
        <v>1313</v>
      </c>
      <c r="P134" s="147" t="s">
        <v>1314</v>
      </c>
      <c r="Q134" s="146" t="s">
        <v>1315</v>
      </c>
      <c r="R134" s="146" t="s">
        <v>511</v>
      </c>
      <c r="S134" s="146" t="s">
        <v>511</v>
      </c>
      <c r="T134" s="146">
        <v>20298</v>
      </c>
      <c r="U134" s="147"/>
      <c r="V134" s="147" t="str">
        <f>IF((_xlfn.XLOOKUP(Profesores[[#This Row],[Nombre]],base_de_datos[Profesor],base_de_datos[Academia],1))=Profesores[[#Headers],[MEC]],"x","")</f>
        <v/>
      </c>
      <c r="W134" s="147" t="str">
        <f>IF((_xlfn.XLOOKUP(Profesores[[#This Row],[Nombre]],base_de_datos[Profesor],base_de_datos[Academia],1))=Profesores[[#Headers],[COM]],"x","")</f>
        <v>x</v>
      </c>
      <c r="X134" s="147"/>
      <c r="Y134" s="147" t="str">
        <f>IF((_xlfn.XLOOKUP(Profesores[[#This Row],[Nombre]],base_de_datos[Profesor],base_de_datos[Academia],1))=Profesores[[#Headers],[DOP]],"x","")</f>
        <v/>
      </c>
      <c r="Z134" s="147" t="str">
        <f>IF((_xlfn.XLOOKUP(Profesores[[#This Row],[Nombre]],base_de_datos[Profesor],base_de_datos[Academia],1))=Profesores[[#Headers],[ETF]],"x","")</f>
        <v/>
      </c>
      <c r="AA134" s="147" t="str">
        <f>IF((_xlfn.XLOOKUP(Profesores[[#This Row],[Nombre]],base_de_datos[Profesor],base_de_datos[Academia],1))=Profesores[[#Headers],[MAT]],"x","")</f>
        <v/>
      </c>
      <c r="AB134" s="147" t="str">
        <f>IF((_xlfn.XLOOKUP(Profesores[[#This Row],[Nombre]],base_de_datos[Profesor],base_de_datos[Academia],1))=Profesores[[#Headers],[EMP]],"x","")</f>
        <v/>
      </c>
      <c r="AC134" s="146" t="str">
        <f>IF((_xlfn.XLOOKUP(Profesores[[#This Row],[Nombre]],base_de_datos[Profesor],base_de_datos[Academia],1))=Profesores[[#Headers],[AIC]],"x","")</f>
        <v/>
      </c>
      <c r="AD134" s="146" t="str">
        <f>IF((_xlfn.XLOOKUP(Profesores[[#This Row],[Nombre]],base_de_datos[Profesor],base_de_datos[Academia],1))=Profesores[[#Headers],[ESC]],"x","")</f>
        <v/>
      </c>
      <c r="AE134" s="146" t="str">
        <f>IF((_xlfn.XLOOKUP(Profesores[[#This Row],[Nombre]],base_de_datos[Profesor],base_de_datos[Academia],1))=Profesores[[#Headers],[HUM]],"x","")</f>
        <v/>
      </c>
      <c r="AF134" s="146" t="str">
        <f>IF((_xlfn.XLOOKUP(Profesores[[#This Row],[Nombre]],base_de_datos[Profesor],base_de_datos[Academia],1))=Profesores[[#Headers],[IID]],"x","")</f>
        <v/>
      </c>
      <c r="AG134" s="146" t="str">
        <f>IF((_xlfn.XLOOKUP(Profesores[[#This Row],[Nombre]],base_de_datos[Profesor],base_de_datos[Academia],1))=Profesores[[#Headers],[BIO]],"x","")</f>
        <v/>
      </c>
      <c r="AJ134" s="146">
        <f>TRUNC(IFERROR(Profesores[[#This Row],[Ex Inglés]]*677/100,0),0)</f>
        <v>0</v>
      </c>
    </row>
    <row r="135" spans="2:36" ht="12" hidden="1" customHeight="1" x14ac:dyDescent="0.3">
      <c r="B135" s="6">
        <v>137</v>
      </c>
      <c r="E135" s="54"/>
      <c r="F135" s="81" t="s">
        <v>1316</v>
      </c>
      <c r="J135" s="4"/>
      <c r="M135" s="51"/>
      <c r="N135" s="51"/>
      <c r="O135" s="51"/>
      <c r="U135" s="4">
        <v>0</v>
      </c>
      <c r="V135" s="4" t="str">
        <f>IF((_xlfn.XLOOKUP(Profesores[[#This Row],[Nombre]],base_de_datos[Profesor],base_de_datos[Academia],1))=Profesores[[#Headers],[MEC]],"x","")</f>
        <v/>
      </c>
      <c r="W135" s="4" t="str">
        <f>IF((_xlfn.XLOOKUP(Profesores[[#This Row],[Nombre]],base_de_datos[Profesor],base_de_datos[Academia],1))=Profesores[[#Headers],[COM]],"x","")</f>
        <v/>
      </c>
      <c r="Y135" s="4" t="str">
        <f>IF((_xlfn.XLOOKUP(Profesores[[#This Row],[Nombre]],base_de_datos[Profesor],base_de_datos[Academia],1))=Profesores[[#Headers],[DOP]],"x","")</f>
        <v/>
      </c>
      <c r="Z135" s="4" t="str">
        <f>IF((_xlfn.XLOOKUP(Profesores[[#This Row],[Nombre]],base_de_datos[Profesor],base_de_datos[Academia],1))=Profesores[[#Headers],[ETF]],"x","")</f>
        <v/>
      </c>
      <c r="AA135" s="4" t="str">
        <f>IF((_xlfn.XLOOKUP(Profesores[[#This Row],[Nombre]],base_de_datos[Profesor],base_de_datos[Academia],1))=Profesores[[#Headers],[MAT]],"x","")</f>
        <v/>
      </c>
      <c r="AB135" s="4" t="str">
        <f>IF((_xlfn.XLOOKUP(Profesores[[#This Row],[Nombre]],base_de_datos[Profesor],base_de_datos[Academia],1))=Profesores[[#Headers],[EMP]],"x","")</f>
        <v/>
      </c>
      <c r="AC135" s="6" t="str">
        <f>IF((_xlfn.XLOOKUP(Profesores[[#This Row],[Nombre]],base_de_datos[Profesor],base_de_datos[Academia],1))=Profesores[[#Headers],[AIC]],"x","")</f>
        <v/>
      </c>
      <c r="AD135" s="6" t="str">
        <f>IF((_xlfn.XLOOKUP(Profesores[[#This Row],[Nombre]],base_de_datos[Profesor],base_de_datos[Academia],1))=Profesores[[#Headers],[ESC]],"x","")</f>
        <v/>
      </c>
      <c r="AE135" s="6" t="str">
        <f>IF((_xlfn.XLOOKUP(Profesores[[#This Row],[Nombre]],base_de_datos[Profesor],base_de_datos[Academia],1))=Profesores[[#Headers],[HUM]],"x","")</f>
        <v/>
      </c>
      <c r="AF135" s="6" t="str">
        <f>IF((_xlfn.XLOOKUP(Profesores[[#This Row],[Nombre]],base_de_datos[Profesor],base_de_datos[Academia],1))=Profesores[[#Headers],[IID]],"x","")</f>
        <v/>
      </c>
      <c r="AG135" s="6" t="str">
        <f>IF((_xlfn.XLOOKUP(Profesores[[#This Row],[Nombre]],base_de_datos[Profesor],base_de_datos[Academia],1))=Profesores[[#Headers],[BIO]],"x","")</f>
        <v/>
      </c>
      <c r="AJ135" s="6">
        <f>TRUNC(IFERROR(Profesores[[#This Row],[Ex Inglés]]*677/100,0),0)</f>
        <v>0</v>
      </c>
    </row>
    <row r="136" spans="2:36" ht="12" hidden="1" customHeight="1" x14ac:dyDescent="0.3">
      <c r="B136" s="6" t="s">
        <v>26</v>
      </c>
      <c r="E136" s="54"/>
      <c r="F136" s="81" t="s">
        <v>44</v>
      </c>
      <c r="J136" s="4"/>
      <c r="M136" s="51"/>
      <c r="N136" s="51"/>
      <c r="O136" s="51"/>
      <c r="U136" s="4"/>
      <c r="V136" s="4" t="str">
        <f>IF((_xlfn.XLOOKUP(Profesores[[#This Row],[Nombre]],base_de_datos[Profesor],base_de_datos[Academia],1))=Profesores[[#Headers],[MEC]],"x","")</f>
        <v/>
      </c>
      <c r="W136" s="4" t="str">
        <f>IF((_xlfn.XLOOKUP(Profesores[[#This Row],[Nombre]],base_de_datos[Profesor],base_de_datos[Academia],1))=Profesores[[#Headers],[COM]],"x","")</f>
        <v/>
      </c>
      <c r="Y136" s="4" t="str">
        <f>IF((_xlfn.XLOOKUP(Profesores[[#This Row],[Nombre]],base_de_datos[Profesor],base_de_datos[Academia],1))=Profesores[[#Headers],[DOP]],"x","")</f>
        <v/>
      </c>
      <c r="Z136" s="4" t="str">
        <f>IF((_xlfn.XLOOKUP(Profesores[[#This Row],[Nombre]],base_de_datos[Profesor],base_de_datos[Academia],1))=Profesores[[#Headers],[ETF]],"x","")</f>
        <v/>
      </c>
      <c r="AA136" s="4" t="str">
        <f>IF((_xlfn.XLOOKUP(Profesores[[#This Row],[Nombre]],base_de_datos[Profesor],base_de_datos[Academia],1))=Profesores[[#Headers],[MAT]],"x","")</f>
        <v/>
      </c>
      <c r="AB136" s="4" t="str">
        <f>IF((_xlfn.XLOOKUP(Profesores[[#This Row],[Nombre]],base_de_datos[Profesor],base_de_datos[Academia],1))=Profesores[[#Headers],[EMP]],"x","")</f>
        <v/>
      </c>
      <c r="AC136" s="6" t="str">
        <f>IF((_xlfn.XLOOKUP(Profesores[[#This Row],[Nombre]],base_de_datos[Profesor],base_de_datos[Academia],1))=Profesores[[#Headers],[AIC]],"x","")</f>
        <v/>
      </c>
      <c r="AD136" s="6" t="str">
        <f>IF((_xlfn.XLOOKUP(Profesores[[#This Row],[Nombre]],base_de_datos[Profesor],base_de_datos[Academia],1))=Profesores[[#Headers],[ESC]],"x","")</f>
        <v/>
      </c>
      <c r="AE136" s="6" t="str">
        <f>IF((_xlfn.XLOOKUP(Profesores[[#This Row],[Nombre]],base_de_datos[Profesor],base_de_datos[Academia],1))=Profesores[[#Headers],[HUM]],"x","")</f>
        <v/>
      </c>
      <c r="AF136" s="6" t="str">
        <f>IF((_xlfn.XLOOKUP(Profesores[[#This Row],[Nombre]],base_de_datos[Profesor],base_de_datos[Academia],1))=Profesores[[#Headers],[IID]],"x","")</f>
        <v/>
      </c>
      <c r="AG136" s="6" t="str">
        <f>IF((_xlfn.XLOOKUP(Profesores[[#This Row],[Nombre]],base_de_datos[Profesor],base_de_datos[Academia],1))=Profesores[[#Headers],[BIO]],"x","")</f>
        <v/>
      </c>
      <c r="AJ136" s="6">
        <f>TRUNC(IFERROR(Profesores[[#This Row],[Ex Inglés]]*677/100,0),0)</f>
        <v>0</v>
      </c>
    </row>
    <row r="137" spans="2:36" ht="12" hidden="1" customHeight="1" x14ac:dyDescent="0.3">
      <c r="B137" s="6" t="s">
        <v>496</v>
      </c>
      <c r="E137" s="54"/>
      <c r="F137" s="81" t="s">
        <v>1317</v>
      </c>
      <c r="J137" s="4"/>
      <c r="M137" s="51"/>
      <c r="N137" s="51"/>
      <c r="O137" s="51"/>
      <c r="U137" s="4">
        <v>0</v>
      </c>
      <c r="V137" s="4" t="str">
        <f>IF((_xlfn.XLOOKUP(Profesores[[#This Row],[Nombre]],base_de_datos[Profesor],base_de_datos[Academia],1))=Profesores[[#Headers],[MEC]],"x","")</f>
        <v/>
      </c>
      <c r="W137" s="4" t="str">
        <f>IF((_xlfn.XLOOKUP(Profesores[[#This Row],[Nombre]],base_de_datos[Profesor],base_de_datos[Academia],1))=Profesores[[#Headers],[COM]],"x","")</f>
        <v/>
      </c>
      <c r="Y137" s="4" t="str">
        <f>IF((_xlfn.XLOOKUP(Profesores[[#This Row],[Nombre]],base_de_datos[Profesor],base_de_datos[Academia],1))=Profesores[[#Headers],[DOP]],"x","")</f>
        <v/>
      </c>
      <c r="Z137" s="4" t="str">
        <f>IF((_xlfn.XLOOKUP(Profesores[[#This Row],[Nombre]],base_de_datos[Profesor],base_de_datos[Academia],1))=Profesores[[#Headers],[ETF]],"x","")</f>
        <v/>
      </c>
      <c r="AA137" s="4" t="str">
        <f>IF((_xlfn.XLOOKUP(Profesores[[#This Row],[Nombre]],base_de_datos[Profesor],base_de_datos[Academia],1))=Profesores[[#Headers],[MAT]],"x","")</f>
        <v/>
      </c>
      <c r="AB137" s="4" t="str">
        <f>IF((_xlfn.XLOOKUP(Profesores[[#This Row],[Nombre]],base_de_datos[Profesor],base_de_datos[Academia],1))=Profesores[[#Headers],[EMP]],"x","")</f>
        <v/>
      </c>
      <c r="AC137" s="6" t="str">
        <f>IF((_xlfn.XLOOKUP(Profesores[[#This Row],[Nombre]],base_de_datos[Profesor],base_de_datos[Academia],1))=Profesores[[#Headers],[AIC]],"x","")</f>
        <v/>
      </c>
      <c r="AD137" s="6" t="str">
        <f>IF((_xlfn.XLOOKUP(Profesores[[#This Row],[Nombre]],base_de_datos[Profesor],base_de_datos[Academia],1))=Profesores[[#Headers],[ESC]],"x","")</f>
        <v/>
      </c>
      <c r="AE137" s="6" t="str">
        <f>IF((_xlfn.XLOOKUP(Profesores[[#This Row],[Nombre]],base_de_datos[Profesor],base_de_datos[Academia],1))=Profesores[[#Headers],[HUM]],"x","")</f>
        <v/>
      </c>
      <c r="AF137" s="6" t="str">
        <f>IF((_xlfn.XLOOKUP(Profesores[[#This Row],[Nombre]],base_de_datos[Profesor],base_de_datos[Academia],1))=Profesores[[#Headers],[IID]],"x","")</f>
        <v/>
      </c>
      <c r="AG137" s="6" t="str">
        <f>IF((_xlfn.XLOOKUP(Profesores[[#This Row],[Nombre]],base_de_datos[Profesor],base_de_datos[Academia],1))=Profesores[[#Headers],[BIO]],"x","")</f>
        <v/>
      </c>
      <c r="AJ137" s="6">
        <f>TRUNC(IFERROR(Profesores[[#This Row],[Ex Inglés]]*677/100,0),0)</f>
        <v>0</v>
      </c>
    </row>
    <row r="138" spans="2:36" ht="12" hidden="1" customHeight="1" x14ac:dyDescent="0.3">
      <c r="B138" s="6" t="s">
        <v>29</v>
      </c>
      <c r="E138" s="54"/>
      <c r="F138" s="81" t="s">
        <v>1318</v>
      </c>
      <c r="J138" s="4"/>
      <c r="M138" s="51"/>
      <c r="N138" s="51"/>
      <c r="O138" s="51"/>
      <c r="U138" s="4">
        <v>0</v>
      </c>
      <c r="V138" s="4" t="str">
        <f>IF((_xlfn.XLOOKUP(Profesores[[#This Row],[Nombre]],base_de_datos[Profesor],base_de_datos[Academia],1))=Profesores[[#Headers],[MEC]],"x","")</f>
        <v/>
      </c>
      <c r="W138" s="4" t="str">
        <f>IF((_xlfn.XLOOKUP(Profesores[[#This Row],[Nombre]],base_de_datos[Profesor],base_de_datos[Academia],1))=Profesores[[#Headers],[COM]],"x","")</f>
        <v/>
      </c>
      <c r="Y138" s="4" t="str">
        <f>IF((_xlfn.XLOOKUP(Profesores[[#This Row],[Nombre]],base_de_datos[Profesor],base_de_datos[Academia],1))=Profesores[[#Headers],[DOP]],"x","")</f>
        <v/>
      </c>
      <c r="Z138" s="4" t="str">
        <f>IF((_xlfn.XLOOKUP(Profesores[[#This Row],[Nombre]],base_de_datos[Profesor],base_de_datos[Academia],1))=Profesores[[#Headers],[ETF]],"x","")</f>
        <v/>
      </c>
      <c r="AA138" s="4" t="str">
        <f>IF((_xlfn.XLOOKUP(Profesores[[#This Row],[Nombre]],base_de_datos[Profesor],base_de_datos[Academia],1))=Profesores[[#Headers],[MAT]],"x","")</f>
        <v/>
      </c>
      <c r="AB138" s="4" t="str">
        <f>IF((_xlfn.XLOOKUP(Profesores[[#This Row],[Nombre]],base_de_datos[Profesor],base_de_datos[Academia],1))=Profesores[[#Headers],[EMP]],"x","")</f>
        <v/>
      </c>
      <c r="AC138" s="6" t="str">
        <f>IF((_xlfn.XLOOKUP(Profesores[[#This Row],[Nombre]],base_de_datos[Profesor],base_de_datos[Academia],1))=Profesores[[#Headers],[AIC]],"x","")</f>
        <v/>
      </c>
      <c r="AD138" s="6" t="str">
        <f>IF((_xlfn.XLOOKUP(Profesores[[#This Row],[Nombre]],base_de_datos[Profesor],base_de_datos[Academia],1))=Profesores[[#Headers],[ESC]],"x","")</f>
        <v/>
      </c>
      <c r="AE138" s="6" t="str">
        <f>IF((_xlfn.XLOOKUP(Profesores[[#This Row],[Nombre]],base_de_datos[Profesor],base_de_datos[Academia],1))=Profesores[[#Headers],[HUM]],"x","")</f>
        <v/>
      </c>
      <c r="AF138" s="6" t="str">
        <f>IF((_xlfn.XLOOKUP(Profesores[[#This Row],[Nombre]],base_de_datos[Profesor],base_de_datos[Academia],1))=Profesores[[#Headers],[IID]],"x","")</f>
        <v/>
      </c>
      <c r="AG138" s="6" t="str">
        <f>IF((_xlfn.XLOOKUP(Profesores[[#This Row],[Nombre]],base_de_datos[Profesor],base_de_datos[Academia],1))=Profesores[[#Headers],[BIO]],"x","")</f>
        <v/>
      </c>
      <c r="AJ138" s="6">
        <f>TRUNC(IFERROR(Profesores[[#This Row],[Ex Inglés]]*677/100,0),0)</f>
        <v>0</v>
      </c>
    </row>
    <row r="139" spans="2:36" s="146" customFormat="1" ht="12" hidden="1" customHeight="1" x14ac:dyDescent="0.3">
      <c r="B139" s="6" t="s">
        <v>34</v>
      </c>
      <c r="C139" s="6"/>
      <c r="D139" s="4"/>
      <c r="E139" s="54"/>
      <c r="F139" s="81" t="s">
        <v>1319</v>
      </c>
      <c r="G139" s="32"/>
      <c r="H139" s="32"/>
      <c r="I139" s="32"/>
      <c r="J139" s="4"/>
      <c r="K139" s="32"/>
      <c r="L139" s="4"/>
      <c r="M139" s="51"/>
      <c r="N139" s="51"/>
      <c r="O139" s="51"/>
      <c r="P139" s="4"/>
      <c r="Q139" s="6"/>
      <c r="R139" s="6"/>
      <c r="S139" s="6"/>
      <c r="T139" s="6"/>
      <c r="U139" s="4">
        <v>0</v>
      </c>
      <c r="V139" s="4" t="str">
        <f>IF((_xlfn.XLOOKUP(Profesores[[#This Row],[Nombre]],base_de_datos[Profesor],base_de_datos[Academia],1))=Profesores[[#Headers],[MEC]],"x","")</f>
        <v/>
      </c>
      <c r="W139" s="4" t="str">
        <f>IF((_xlfn.XLOOKUP(Profesores[[#This Row],[Nombre]],base_de_datos[Profesor],base_de_datos[Academia],1))=Profesores[[#Headers],[COM]],"x","")</f>
        <v/>
      </c>
      <c r="X139" s="4"/>
      <c r="Y139" s="4" t="str">
        <f>IF((_xlfn.XLOOKUP(Profesores[[#This Row],[Nombre]],base_de_datos[Profesor],base_de_datos[Academia],1))=Profesores[[#Headers],[DOP]],"x","")</f>
        <v/>
      </c>
      <c r="Z139" s="4" t="str">
        <f>IF((_xlfn.XLOOKUP(Profesores[[#This Row],[Nombre]],base_de_datos[Profesor],base_de_datos[Academia],1))=Profesores[[#Headers],[ETF]],"x","")</f>
        <v/>
      </c>
      <c r="AA139" s="4" t="str">
        <f>IF((_xlfn.XLOOKUP(Profesores[[#This Row],[Nombre]],base_de_datos[Profesor],base_de_datos[Academia],1))=Profesores[[#Headers],[MAT]],"x","")</f>
        <v/>
      </c>
      <c r="AB139" s="4" t="str">
        <f>IF((_xlfn.XLOOKUP(Profesores[[#This Row],[Nombre]],base_de_datos[Profesor],base_de_datos[Academia],1))=Profesores[[#Headers],[EMP]],"x","")</f>
        <v/>
      </c>
      <c r="AC139" s="6" t="str">
        <f>IF((_xlfn.XLOOKUP(Profesores[[#This Row],[Nombre]],base_de_datos[Profesor],base_de_datos[Academia],1))=Profesores[[#Headers],[AIC]],"x","")</f>
        <v/>
      </c>
      <c r="AD139" s="6" t="str">
        <f>IF((_xlfn.XLOOKUP(Profesores[[#This Row],[Nombre]],base_de_datos[Profesor],base_de_datos[Academia],1))=Profesores[[#Headers],[ESC]],"x","")</f>
        <v/>
      </c>
      <c r="AE139" s="6" t="str">
        <f>IF((_xlfn.XLOOKUP(Profesores[[#This Row],[Nombre]],base_de_datos[Profesor],base_de_datos[Academia],1))=Profesores[[#Headers],[HUM]],"x","")</f>
        <v/>
      </c>
      <c r="AF139" s="6" t="str">
        <f>IF((_xlfn.XLOOKUP(Profesores[[#This Row],[Nombre]],base_de_datos[Profesor],base_de_datos[Academia],1))=Profesores[[#Headers],[IID]],"x","")</f>
        <v/>
      </c>
      <c r="AG139" s="6" t="str">
        <f>IF((_xlfn.XLOOKUP(Profesores[[#This Row],[Nombre]],base_de_datos[Profesor],base_de_datos[Academia],1))=Profesores[[#Headers],[BIO]],"x","")</f>
        <v/>
      </c>
      <c r="AH139" s="6"/>
      <c r="AI139" s="6"/>
      <c r="AJ139" s="6">
        <f>TRUNC(IFERROR(Profesores[[#This Row],[Ex Inglés]]*677/100,0),0)</f>
        <v>0</v>
      </c>
    </row>
    <row r="140" spans="2:36" ht="12" hidden="1" customHeight="1" x14ac:dyDescent="0.3">
      <c r="B140" s="6" t="s">
        <v>43</v>
      </c>
      <c r="E140" s="54"/>
      <c r="F140" s="81" t="s">
        <v>1320</v>
      </c>
      <c r="J140" s="4"/>
      <c r="M140" s="51"/>
      <c r="N140" s="51"/>
      <c r="O140" s="51"/>
      <c r="U140" s="4"/>
      <c r="V140" s="4" t="str">
        <f>IF((_xlfn.XLOOKUP(Profesores[[#This Row],[Nombre]],base_de_datos[Profesor],base_de_datos[Academia],1))=Profesores[[#Headers],[MEC]],"x","")</f>
        <v/>
      </c>
      <c r="W140" s="4" t="str">
        <f>IF((_xlfn.XLOOKUP(Profesores[[#This Row],[Nombre]],base_de_datos[Profesor],base_de_datos[Academia],1))=Profesores[[#Headers],[COM]],"x","")</f>
        <v/>
      </c>
      <c r="Y140" s="4" t="str">
        <f>IF((_xlfn.XLOOKUP(Profesores[[#This Row],[Nombre]],base_de_datos[Profesor],base_de_datos[Academia],1))=Profesores[[#Headers],[DOP]],"x","")</f>
        <v/>
      </c>
      <c r="Z140" s="4" t="str">
        <f>IF((_xlfn.XLOOKUP(Profesores[[#This Row],[Nombre]],base_de_datos[Profesor],base_de_datos[Academia],1))=Profesores[[#Headers],[ETF]],"x","")</f>
        <v/>
      </c>
      <c r="AA140" s="4" t="str">
        <f>IF((_xlfn.XLOOKUP(Profesores[[#This Row],[Nombre]],base_de_datos[Profesor],base_de_datos[Academia],1))=Profesores[[#Headers],[MAT]],"x","")</f>
        <v/>
      </c>
      <c r="AB140" s="4" t="str">
        <f>IF((_xlfn.XLOOKUP(Profesores[[#This Row],[Nombre]],base_de_datos[Profesor],base_de_datos[Academia],1))=Profesores[[#Headers],[EMP]],"x","")</f>
        <v/>
      </c>
      <c r="AC140" s="6" t="str">
        <f>IF((_xlfn.XLOOKUP(Profesores[[#This Row],[Nombre]],base_de_datos[Profesor],base_de_datos[Academia],1))=Profesores[[#Headers],[AIC]],"x","")</f>
        <v/>
      </c>
      <c r="AD140" s="6" t="str">
        <f>IF((_xlfn.XLOOKUP(Profesores[[#This Row],[Nombre]],base_de_datos[Profesor],base_de_datos[Academia],1))=Profesores[[#Headers],[ESC]],"x","")</f>
        <v/>
      </c>
      <c r="AE140" s="6" t="str">
        <f>IF((_xlfn.XLOOKUP(Profesores[[#This Row],[Nombre]],base_de_datos[Profesor],base_de_datos[Academia],1))=Profesores[[#Headers],[HUM]],"x","")</f>
        <v/>
      </c>
      <c r="AF140" s="6" t="str">
        <f>IF((_xlfn.XLOOKUP(Profesores[[#This Row],[Nombre]],base_de_datos[Profesor],base_de_datos[Academia],1))=Profesores[[#Headers],[IID]],"x","")</f>
        <v/>
      </c>
      <c r="AG140" s="6" t="str">
        <f>IF((_xlfn.XLOOKUP(Profesores[[#This Row],[Nombre]],base_de_datos[Profesor],base_de_datos[Academia],1))=Profesores[[#Headers],[BIO]],"x","")</f>
        <v/>
      </c>
      <c r="AJ140" s="6">
        <f>TRUNC(IFERROR(Profesores[[#This Row],[Ex Inglés]]*677/100,0),0)</f>
        <v>0</v>
      </c>
    </row>
    <row r="141" spans="2:36" ht="12" hidden="1" customHeight="1" x14ac:dyDescent="0.3">
      <c r="B141" s="6" t="s">
        <v>45</v>
      </c>
      <c r="E141" s="54"/>
      <c r="F141" s="81" t="s">
        <v>1321</v>
      </c>
      <c r="J141" s="4"/>
      <c r="M141" s="51"/>
      <c r="N141" s="51"/>
      <c r="O141" s="51"/>
      <c r="U141" s="4">
        <v>0</v>
      </c>
      <c r="V141" s="4" t="str">
        <f>IF((_xlfn.XLOOKUP(Profesores[[#This Row],[Nombre]],base_de_datos[Profesor],base_de_datos[Academia],1))=Profesores[[#Headers],[MEC]],"x","")</f>
        <v/>
      </c>
      <c r="W141" s="4" t="str">
        <f>IF((_xlfn.XLOOKUP(Profesores[[#This Row],[Nombre]],base_de_datos[Profesor],base_de_datos[Academia],1))=Profesores[[#Headers],[COM]],"x","")</f>
        <v/>
      </c>
      <c r="Y141" s="4" t="str">
        <f>IF((_xlfn.XLOOKUP(Profesores[[#This Row],[Nombre]],base_de_datos[Profesor],base_de_datos[Academia],1))=Profesores[[#Headers],[DOP]],"x","")</f>
        <v/>
      </c>
      <c r="Z141" s="4" t="str">
        <f>IF((_xlfn.XLOOKUP(Profesores[[#This Row],[Nombre]],base_de_datos[Profesor],base_de_datos[Academia],1))=Profesores[[#Headers],[ETF]],"x","")</f>
        <v/>
      </c>
      <c r="AA141" s="4" t="str">
        <f>IF((_xlfn.XLOOKUP(Profesores[[#This Row],[Nombre]],base_de_datos[Profesor],base_de_datos[Academia],1))=Profesores[[#Headers],[MAT]],"x","")</f>
        <v/>
      </c>
      <c r="AB141" s="4" t="str">
        <f>IF((_xlfn.XLOOKUP(Profesores[[#This Row],[Nombre]],base_de_datos[Profesor],base_de_datos[Academia],1))=Profesores[[#Headers],[EMP]],"x","")</f>
        <v/>
      </c>
      <c r="AC141" s="6" t="str">
        <f>IF((_xlfn.XLOOKUP(Profesores[[#This Row],[Nombre]],base_de_datos[Profesor],base_de_datos[Academia],1))=Profesores[[#Headers],[AIC]],"x","")</f>
        <v/>
      </c>
      <c r="AD141" s="6" t="str">
        <f>IF((_xlfn.XLOOKUP(Profesores[[#This Row],[Nombre]],base_de_datos[Profesor],base_de_datos[Academia],1))=Profesores[[#Headers],[ESC]],"x","")</f>
        <v/>
      </c>
      <c r="AE141" s="6" t="str">
        <f>IF((_xlfn.XLOOKUP(Profesores[[#This Row],[Nombre]],base_de_datos[Profesor],base_de_datos[Academia],1))=Profesores[[#Headers],[HUM]],"x","")</f>
        <v/>
      </c>
      <c r="AF141" s="6" t="str">
        <f>IF((_xlfn.XLOOKUP(Profesores[[#This Row],[Nombre]],base_de_datos[Profesor],base_de_datos[Academia],1))=Profesores[[#Headers],[IID]],"x","")</f>
        <v/>
      </c>
      <c r="AG141" s="6" t="str">
        <f>IF((_xlfn.XLOOKUP(Profesores[[#This Row],[Nombre]],base_de_datos[Profesor],base_de_datos[Academia],1))=Profesores[[#Headers],[BIO]],"x","")</f>
        <v/>
      </c>
      <c r="AJ141" s="6">
        <f>TRUNC(IFERROR(Profesores[[#This Row],[Ex Inglés]]*677/100,0),0)</f>
        <v>0</v>
      </c>
    </row>
    <row r="142" spans="2:36" ht="12" hidden="1" customHeight="1" x14ac:dyDescent="0.3">
      <c r="B142" s="6" t="s">
        <v>1322</v>
      </c>
      <c r="E142" s="54"/>
      <c r="F142" s="81" t="s">
        <v>1323</v>
      </c>
      <c r="J142" s="4"/>
      <c r="M142" s="51"/>
      <c r="N142" s="51"/>
      <c r="O142" s="51"/>
      <c r="U142" s="4">
        <v>0</v>
      </c>
      <c r="V142" s="4" t="str">
        <f>IF((_xlfn.XLOOKUP(Profesores[[#This Row],[Nombre]],base_de_datos[Profesor],base_de_datos[Academia],1))=Profesores[[#Headers],[MEC]],"x","")</f>
        <v/>
      </c>
      <c r="W142" s="4" t="str">
        <f>IF((_xlfn.XLOOKUP(Profesores[[#This Row],[Nombre]],base_de_datos[Profesor],base_de_datos[Academia],1))=Profesores[[#Headers],[COM]],"x","")</f>
        <v/>
      </c>
      <c r="Y142" s="4" t="str">
        <f>IF((_xlfn.XLOOKUP(Profesores[[#This Row],[Nombre]],base_de_datos[Profesor],base_de_datos[Academia],1))=Profesores[[#Headers],[DOP]],"x","")</f>
        <v/>
      </c>
      <c r="Z142" s="4" t="str">
        <f>IF((_xlfn.XLOOKUP(Profesores[[#This Row],[Nombre]],base_de_datos[Profesor],base_de_datos[Academia],1))=Profesores[[#Headers],[ETF]],"x","")</f>
        <v/>
      </c>
      <c r="AA142" s="4" t="str">
        <f>IF((_xlfn.XLOOKUP(Profesores[[#This Row],[Nombre]],base_de_datos[Profesor],base_de_datos[Academia],1))=Profesores[[#Headers],[MAT]],"x","")</f>
        <v/>
      </c>
      <c r="AB142" s="4" t="str">
        <f>IF((_xlfn.XLOOKUP(Profesores[[#This Row],[Nombre]],base_de_datos[Profesor],base_de_datos[Academia],1))=Profesores[[#Headers],[EMP]],"x","")</f>
        <v/>
      </c>
      <c r="AC142" s="6" t="str">
        <f>IF((_xlfn.XLOOKUP(Profesores[[#This Row],[Nombre]],base_de_datos[Profesor],base_de_datos[Academia],1))=Profesores[[#Headers],[AIC]],"x","")</f>
        <v/>
      </c>
      <c r="AD142" s="6" t="str">
        <f>IF((_xlfn.XLOOKUP(Profesores[[#This Row],[Nombre]],base_de_datos[Profesor],base_de_datos[Academia],1))=Profesores[[#Headers],[ESC]],"x","")</f>
        <v/>
      </c>
      <c r="AE142" s="6" t="str">
        <f>IF((_xlfn.XLOOKUP(Profesores[[#This Row],[Nombre]],base_de_datos[Profesor],base_de_datos[Academia],1))=Profesores[[#Headers],[HUM]],"x","")</f>
        <v/>
      </c>
      <c r="AF142" s="6" t="str">
        <f>IF((_xlfn.XLOOKUP(Profesores[[#This Row],[Nombre]],base_de_datos[Profesor],base_de_datos[Academia],1))=Profesores[[#Headers],[IID]],"x","")</f>
        <v/>
      </c>
      <c r="AG142" s="6" t="str">
        <f>IF((_xlfn.XLOOKUP(Profesores[[#This Row],[Nombre]],base_de_datos[Profesor],base_de_datos[Academia],1))=Profesores[[#Headers],[BIO]],"x","")</f>
        <v/>
      </c>
      <c r="AJ142" s="6">
        <f>TRUNC(IFERROR(Profesores[[#This Row],[Ex Inglés]]*677/100,0),0)</f>
        <v>0</v>
      </c>
    </row>
    <row r="143" spans="2:36" ht="12" hidden="1" customHeight="1" x14ac:dyDescent="0.3">
      <c r="B143" s="6" t="s">
        <v>1324</v>
      </c>
      <c r="E143" s="54"/>
      <c r="F143" s="81" t="s">
        <v>1325</v>
      </c>
      <c r="J143" s="4"/>
      <c r="M143" s="51"/>
      <c r="N143" s="51"/>
      <c r="O143" s="51"/>
      <c r="U143" s="4">
        <v>0</v>
      </c>
      <c r="V143" s="4" t="str">
        <f>IF((_xlfn.XLOOKUP(Profesores[[#This Row],[Nombre]],base_de_datos[Profesor],base_de_datos[Academia],1))=Profesores[[#Headers],[MEC]],"x","")</f>
        <v/>
      </c>
      <c r="W143" s="4" t="str">
        <f>IF((_xlfn.XLOOKUP(Profesores[[#This Row],[Nombre]],base_de_datos[Profesor],base_de_datos[Academia],1))=Profesores[[#Headers],[COM]],"x","")</f>
        <v/>
      </c>
      <c r="Y143" s="4" t="str">
        <f>IF((_xlfn.XLOOKUP(Profesores[[#This Row],[Nombre]],base_de_datos[Profesor],base_de_datos[Academia],1))=Profesores[[#Headers],[DOP]],"x","")</f>
        <v/>
      </c>
      <c r="Z143" s="4" t="str">
        <f>IF((_xlfn.XLOOKUP(Profesores[[#This Row],[Nombre]],base_de_datos[Profesor],base_de_datos[Academia],1))=Profesores[[#Headers],[ETF]],"x","")</f>
        <v/>
      </c>
      <c r="AA143" s="4" t="str">
        <f>IF((_xlfn.XLOOKUP(Profesores[[#This Row],[Nombre]],base_de_datos[Profesor],base_de_datos[Academia],1))=Profesores[[#Headers],[MAT]],"x","")</f>
        <v/>
      </c>
      <c r="AB143" s="4" t="str">
        <f>IF((_xlfn.XLOOKUP(Profesores[[#This Row],[Nombre]],base_de_datos[Profesor],base_de_datos[Academia],1))=Profesores[[#Headers],[EMP]],"x","")</f>
        <v/>
      </c>
      <c r="AC143" s="6" t="str">
        <f>IF((_xlfn.XLOOKUP(Profesores[[#This Row],[Nombre]],base_de_datos[Profesor],base_de_datos[Academia],1))=Profesores[[#Headers],[AIC]],"x","")</f>
        <v/>
      </c>
      <c r="AD143" s="6" t="str">
        <f>IF((_xlfn.XLOOKUP(Profesores[[#This Row],[Nombre]],base_de_datos[Profesor],base_de_datos[Academia],1))=Profesores[[#Headers],[ESC]],"x","")</f>
        <v/>
      </c>
      <c r="AE143" s="6" t="str">
        <f>IF((_xlfn.XLOOKUP(Profesores[[#This Row],[Nombre]],base_de_datos[Profesor],base_de_datos[Academia],1))=Profesores[[#Headers],[HUM]],"x","")</f>
        <v/>
      </c>
      <c r="AF143" s="6" t="str">
        <f>IF((_xlfn.XLOOKUP(Profesores[[#This Row],[Nombre]],base_de_datos[Profesor],base_de_datos[Academia],1))=Profesores[[#Headers],[IID]],"x","")</f>
        <v/>
      </c>
      <c r="AG143" s="6" t="str">
        <f>IF((_xlfn.XLOOKUP(Profesores[[#This Row],[Nombre]],base_de_datos[Profesor],base_de_datos[Academia],1))=Profesores[[#Headers],[BIO]],"x","")</f>
        <v/>
      </c>
      <c r="AJ143" s="6">
        <f>TRUNC(IFERROR(Profesores[[#This Row],[Ex Inglés]]*677/100,0),0)</f>
        <v>0</v>
      </c>
    </row>
    <row r="144" spans="2:36" ht="12" hidden="1" customHeight="1" x14ac:dyDescent="0.3">
      <c r="B144" s="6" t="s">
        <v>1326</v>
      </c>
      <c r="E144" s="54"/>
      <c r="F144" s="81" t="s">
        <v>364</v>
      </c>
      <c r="J144" s="55"/>
      <c r="M144" s="51"/>
      <c r="N144" s="248"/>
      <c r="O144" s="51"/>
      <c r="U144" s="4"/>
      <c r="V144" s="4" t="str">
        <f>IF((_xlfn.XLOOKUP(Profesores[[#This Row],[Nombre]],base_de_datos[Profesor],base_de_datos[Academia],1))=Profesores[[#Headers],[MEC]],"x","")</f>
        <v/>
      </c>
      <c r="W144" s="4" t="str">
        <f>IF((_xlfn.XLOOKUP(Profesores[[#This Row],[Nombre]],base_de_datos[Profesor],base_de_datos[Academia],1))=Profesores[[#Headers],[COM]],"x","")</f>
        <v/>
      </c>
      <c r="Y144" s="4" t="str">
        <f>IF((_xlfn.XLOOKUP(Profesores[[#This Row],[Nombre]],base_de_datos[Profesor],base_de_datos[Academia],1))=Profesores[[#Headers],[DOP]],"x","")</f>
        <v/>
      </c>
      <c r="Z144" s="4" t="str">
        <f>IF((_xlfn.XLOOKUP(Profesores[[#This Row],[Nombre]],base_de_datos[Profesor],base_de_datos[Academia],1))=Profesores[[#Headers],[ETF]],"x","")</f>
        <v/>
      </c>
      <c r="AA144" s="4" t="str">
        <f>IF((_xlfn.XLOOKUP(Profesores[[#This Row],[Nombre]],base_de_datos[Profesor],base_de_datos[Academia],1))=Profesores[[#Headers],[MAT]],"x","")</f>
        <v/>
      </c>
      <c r="AB144" s="4" t="str">
        <f>IF((_xlfn.XLOOKUP(Profesores[[#This Row],[Nombre]],base_de_datos[Profesor],base_de_datos[Academia],1))=Profesores[[#Headers],[EMP]],"x","")</f>
        <v/>
      </c>
      <c r="AC144" s="6" t="str">
        <f>IF((_xlfn.XLOOKUP(Profesores[[#This Row],[Nombre]],base_de_datos[Profesor],base_de_datos[Academia],1))=Profesores[[#Headers],[AIC]],"x","")</f>
        <v/>
      </c>
      <c r="AD144" s="6" t="str">
        <f>IF((_xlfn.XLOOKUP(Profesores[[#This Row],[Nombre]],base_de_datos[Profesor],base_de_datos[Academia],1))=Profesores[[#Headers],[ESC]],"x","")</f>
        <v/>
      </c>
      <c r="AE144" s="6" t="str">
        <f>IF((_xlfn.XLOOKUP(Profesores[[#This Row],[Nombre]],base_de_datos[Profesor],base_de_datos[Academia],1))=Profesores[[#Headers],[HUM]],"x","")</f>
        <v/>
      </c>
      <c r="AF144" s="6" t="str">
        <f>IF((_xlfn.XLOOKUP(Profesores[[#This Row],[Nombre]],base_de_datos[Profesor],base_de_datos[Academia],1))=Profesores[[#Headers],[IID]],"x","")</f>
        <v/>
      </c>
      <c r="AG144" s="6" t="str">
        <f>IF((_xlfn.XLOOKUP(Profesores[[#This Row],[Nombre]],base_de_datos[Profesor],base_de_datos[Academia],1))=Profesores[[#Headers],[BIO]],"x","")</f>
        <v/>
      </c>
      <c r="AJ144" s="6">
        <f>TRUNC(IFERROR(Profesores[[#This Row],[Ex Inglés]]*677/100,0),0)</f>
        <v>0</v>
      </c>
    </row>
    <row r="145" spans="2:36" ht="12" hidden="1" customHeight="1" x14ac:dyDescent="0.3">
      <c r="B145" s="6" t="s">
        <v>1327</v>
      </c>
      <c r="E145" s="54"/>
      <c r="F145" s="81" t="s">
        <v>1328</v>
      </c>
      <c r="J145" s="4"/>
      <c r="M145" s="51"/>
      <c r="N145" s="51"/>
      <c r="O145" s="51"/>
      <c r="U145" s="4"/>
      <c r="V145" s="4" t="str">
        <f>IF((_xlfn.XLOOKUP(Profesores[[#This Row],[Nombre]],base_de_datos[Profesor],base_de_datos[Academia],1))=Profesores[[#Headers],[MEC]],"x","")</f>
        <v/>
      </c>
      <c r="W145" s="4" t="str">
        <f>IF((_xlfn.XLOOKUP(Profesores[[#This Row],[Nombre]],base_de_datos[Profesor],base_de_datos[Academia],1))=Profesores[[#Headers],[COM]],"x","")</f>
        <v/>
      </c>
      <c r="Y145" s="4" t="str">
        <f>IF((_xlfn.XLOOKUP(Profesores[[#This Row],[Nombre]],base_de_datos[Profesor],base_de_datos[Academia],1))=Profesores[[#Headers],[DOP]],"x","")</f>
        <v/>
      </c>
      <c r="Z145" s="4" t="str">
        <f>IF((_xlfn.XLOOKUP(Profesores[[#This Row],[Nombre]],base_de_datos[Profesor],base_de_datos[Academia],1))=Profesores[[#Headers],[ETF]],"x","")</f>
        <v/>
      </c>
      <c r="AA145" s="4" t="str">
        <f>IF((_xlfn.XLOOKUP(Profesores[[#This Row],[Nombre]],base_de_datos[Profesor],base_de_datos[Academia],1))=Profesores[[#Headers],[MAT]],"x","")</f>
        <v/>
      </c>
      <c r="AB145" s="4" t="str">
        <f>IF((_xlfn.XLOOKUP(Profesores[[#This Row],[Nombre]],base_de_datos[Profesor],base_de_datos[Academia],1))=Profesores[[#Headers],[EMP]],"x","")</f>
        <v/>
      </c>
      <c r="AC145" s="6" t="str">
        <f>IF((_xlfn.XLOOKUP(Profesores[[#This Row],[Nombre]],base_de_datos[Profesor],base_de_datos[Academia],1))=Profesores[[#Headers],[AIC]],"x","")</f>
        <v/>
      </c>
      <c r="AD145" s="6" t="str">
        <f>IF((_xlfn.XLOOKUP(Profesores[[#This Row],[Nombre]],base_de_datos[Profesor],base_de_datos[Academia],1))=Profesores[[#Headers],[ESC]],"x","")</f>
        <v/>
      </c>
      <c r="AE145" s="6" t="str">
        <f>IF((_xlfn.XLOOKUP(Profesores[[#This Row],[Nombre]],base_de_datos[Profesor],base_de_datos[Academia],1))=Profesores[[#Headers],[HUM]],"x","")</f>
        <v/>
      </c>
      <c r="AF145" s="6" t="str">
        <f>IF((_xlfn.XLOOKUP(Profesores[[#This Row],[Nombre]],base_de_datos[Profesor],base_de_datos[Academia],1))=Profesores[[#Headers],[IID]],"x","")</f>
        <v/>
      </c>
      <c r="AG145" s="6" t="str">
        <f>IF((_xlfn.XLOOKUP(Profesores[[#This Row],[Nombre]],base_de_datos[Profesor],base_de_datos[Academia],1))=Profesores[[#Headers],[BIO]],"x","")</f>
        <v/>
      </c>
      <c r="AJ145" s="6">
        <f>TRUNC(IFERROR(Profesores[[#This Row],[Ex Inglés]]*677/100,0),0)</f>
        <v>0</v>
      </c>
    </row>
  </sheetData>
  <sortState xmlns:xlrd2="http://schemas.microsoft.com/office/spreadsheetml/2017/richdata2" ref="AW1:AX26">
    <sortCondition ref="AW1:AW26"/>
  </sortState>
  <phoneticPr fontId="7" type="noConversion"/>
  <conditionalFormatting sqref="M3 M5 M4:S4 O3:S3 O5:S5 O27:S27 M6:S7 M8 T3:U7 U19 M100:T101 M9:U18 T20:U25 M20:S26 M124:M125">
    <cfRule type="containsBlanks" dxfId="307" priority="266">
      <formula>LEN(TRIM(M3))=0</formula>
    </cfRule>
  </conditionalFormatting>
  <conditionalFormatting sqref="U26">
    <cfRule type="containsBlanks" dxfId="306" priority="264">
      <formula>LEN(TRIM(U26))=0</formula>
    </cfRule>
  </conditionalFormatting>
  <conditionalFormatting sqref="M27:N27 U27">
    <cfRule type="containsBlanks" dxfId="305" priority="263">
      <formula>LEN(TRIM(M27))=0</formula>
    </cfRule>
  </conditionalFormatting>
  <conditionalFormatting sqref="T26">
    <cfRule type="containsBlanks" dxfId="304" priority="260">
      <formula>LEN(TRIM(T26))=0</formula>
    </cfRule>
  </conditionalFormatting>
  <conditionalFormatting sqref="T27">
    <cfRule type="containsBlanks" dxfId="303" priority="259">
      <formula>LEN(TRIM(T27))=0</formula>
    </cfRule>
  </conditionalFormatting>
  <conditionalFormatting sqref="M39">
    <cfRule type="containsBlanks" dxfId="302" priority="243">
      <formula>LEN(TRIM(M39))=0</formula>
    </cfRule>
  </conditionalFormatting>
  <conditionalFormatting sqref="Q45">
    <cfRule type="containsBlanks" dxfId="301" priority="236">
      <formula>LEN(TRIM(Q45))=0</formula>
    </cfRule>
  </conditionalFormatting>
  <conditionalFormatting sqref="M44">
    <cfRule type="containsBlanks" dxfId="300" priority="240">
      <formula>LEN(TRIM(M44))=0</formula>
    </cfRule>
  </conditionalFormatting>
  <conditionalFormatting sqref="N44">
    <cfRule type="containsBlanks" dxfId="299" priority="239">
      <formula>LEN(TRIM(N44))=0</formula>
    </cfRule>
  </conditionalFormatting>
  <conditionalFormatting sqref="M45">
    <cfRule type="containsBlanks" dxfId="298" priority="238">
      <formula>LEN(TRIM(M45))=0</formula>
    </cfRule>
  </conditionalFormatting>
  <conditionalFormatting sqref="N45">
    <cfRule type="containsBlanks" dxfId="297" priority="237">
      <formula>LEN(TRIM(N45))=0</formula>
    </cfRule>
  </conditionalFormatting>
  <conditionalFormatting sqref="M47">
    <cfRule type="containsBlanks" dxfId="296" priority="235">
      <formula>LEN(TRIM(M47))=0</formula>
    </cfRule>
  </conditionalFormatting>
  <conditionalFormatting sqref="N47">
    <cfRule type="containsBlanks" dxfId="295" priority="234">
      <formula>LEN(TRIM(N47))=0</formula>
    </cfRule>
  </conditionalFormatting>
  <conditionalFormatting sqref="M48">
    <cfRule type="containsBlanks" dxfId="294" priority="233">
      <formula>LEN(TRIM(M48))=0</formula>
    </cfRule>
  </conditionalFormatting>
  <conditionalFormatting sqref="N48">
    <cfRule type="containsBlanks" dxfId="293" priority="232">
      <formula>LEN(TRIM(N48))=0</formula>
    </cfRule>
  </conditionalFormatting>
  <conditionalFormatting sqref="O48">
    <cfRule type="containsBlanks" dxfId="292" priority="231">
      <formula>LEN(TRIM(O48))=0</formula>
    </cfRule>
  </conditionalFormatting>
  <conditionalFormatting sqref="Q48">
    <cfRule type="containsBlanks" dxfId="291" priority="230">
      <formula>LEN(TRIM(Q48))=0</formula>
    </cfRule>
  </conditionalFormatting>
  <conditionalFormatting sqref="M53">
    <cfRule type="containsBlanks" dxfId="290" priority="229">
      <formula>LEN(TRIM(M53))=0</formula>
    </cfRule>
  </conditionalFormatting>
  <conditionalFormatting sqref="N53">
    <cfRule type="containsBlanks" dxfId="289" priority="228">
      <formula>LEN(TRIM(N53))=0</formula>
    </cfRule>
  </conditionalFormatting>
  <conditionalFormatting sqref="O53">
    <cfRule type="containsBlanks" dxfId="288" priority="227">
      <formula>LEN(TRIM(O53))=0</formula>
    </cfRule>
  </conditionalFormatting>
  <conditionalFormatting sqref="P53">
    <cfRule type="containsBlanks" dxfId="287" priority="226">
      <formula>LEN(TRIM(P53))=0</formula>
    </cfRule>
  </conditionalFormatting>
  <conditionalFormatting sqref="M54">
    <cfRule type="containsBlanks" dxfId="286" priority="225">
      <formula>LEN(TRIM(M54))=0</formula>
    </cfRule>
  </conditionalFormatting>
  <conditionalFormatting sqref="N54">
    <cfRule type="containsBlanks" dxfId="285" priority="224">
      <formula>LEN(TRIM(N54))=0</formula>
    </cfRule>
  </conditionalFormatting>
  <conditionalFormatting sqref="O54">
    <cfRule type="containsBlanks" dxfId="284" priority="223">
      <formula>LEN(TRIM(O54))=0</formula>
    </cfRule>
  </conditionalFormatting>
  <conditionalFormatting sqref="P54">
    <cfRule type="containsBlanks" dxfId="283" priority="222">
      <formula>LEN(TRIM(P54))=0</formula>
    </cfRule>
  </conditionalFormatting>
  <conditionalFormatting sqref="Q54">
    <cfRule type="containsBlanks" dxfId="282" priority="221">
      <formula>LEN(TRIM(Q54))=0</formula>
    </cfRule>
  </conditionalFormatting>
  <conditionalFormatting sqref="T54">
    <cfRule type="containsBlanks" dxfId="281" priority="220">
      <formula>LEN(TRIM(T54))=0</formula>
    </cfRule>
  </conditionalFormatting>
  <conditionalFormatting sqref="M60">
    <cfRule type="containsBlanks" dxfId="280" priority="219">
      <formula>LEN(TRIM(M60))=0</formula>
    </cfRule>
  </conditionalFormatting>
  <conditionalFormatting sqref="N60">
    <cfRule type="containsBlanks" dxfId="279" priority="218">
      <formula>LEN(TRIM(N60))=0</formula>
    </cfRule>
  </conditionalFormatting>
  <conditionalFormatting sqref="O60:Q60">
    <cfRule type="containsBlanks" dxfId="278" priority="217">
      <formula>LEN(TRIM(O60))=0</formula>
    </cfRule>
  </conditionalFormatting>
  <conditionalFormatting sqref="N68">
    <cfRule type="containsBlanks" dxfId="277" priority="214">
      <formula>LEN(TRIM(N68))=0</formula>
    </cfRule>
  </conditionalFormatting>
  <conditionalFormatting sqref="M68">
    <cfRule type="containsBlanks" dxfId="276" priority="213">
      <formula>LEN(TRIM(M68))=0</formula>
    </cfRule>
  </conditionalFormatting>
  <conditionalFormatting sqref="O68:Q68">
    <cfRule type="containsBlanks" dxfId="275" priority="212">
      <formula>LEN(TRIM(O68))=0</formula>
    </cfRule>
  </conditionalFormatting>
  <conditionalFormatting sqref="M65">
    <cfRule type="containsBlanks" dxfId="274" priority="208">
      <formula>LEN(TRIM(M65))=0</formula>
    </cfRule>
  </conditionalFormatting>
  <conditionalFormatting sqref="N65">
    <cfRule type="containsBlanks" dxfId="273" priority="207">
      <formula>LEN(TRIM(N65))=0</formula>
    </cfRule>
  </conditionalFormatting>
  <conditionalFormatting sqref="O65:Q65">
    <cfRule type="containsBlanks" dxfId="272" priority="206">
      <formula>LEN(TRIM(O65))=0</formula>
    </cfRule>
  </conditionalFormatting>
  <conditionalFormatting sqref="M66">
    <cfRule type="containsBlanks" dxfId="271" priority="205">
      <formula>LEN(TRIM(M66))=0</formula>
    </cfRule>
  </conditionalFormatting>
  <conditionalFormatting sqref="N66">
    <cfRule type="containsBlanks" dxfId="270" priority="204">
      <formula>LEN(TRIM(N66))=0</formula>
    </cfRule>
  </conditionalFormatting>
  <conditionalFormatting sqref="O66:Q66">
    <cfRule type="containsBlanks" dxfId="269" priority="203">
      <formula>LEN(TRIM(O66))=0</formula>
    </cfRule>
  </conditionalFormatting>
  <conditionalFormatting sqref="M67">
    <cfRule type="containsBlanks" dxfId="268" priority="202">
      <formula>LEN(TRIM(M67))=0</formula>
    </cfRule>
  </conditionalFormatting>
  <conditionalFormatting sqref="N67">
    <cfRule type="containsBlanks" dxfId="267" priority="201">
      <formula>LEN(TRIM(N67))=0</formula>
    </cfRule>
  </conditionalFormatting>
  <conditionalFormatting sqref="O67:Q67">
    <cfRule type="containsBlanks" dxfId="266" priority="200">
      <formula>LEN(TRIM(O67))=0</formula>
    </cfRule>
  </conditionalFormatting>
  <conditionalFormatting sqref="M71">
    <cfRule type="containsBlanks" dxfId="265" priority="193">
      <formula>LEN(TRIM(M71))=0</formula>
    </cfRule>
  </conditionalFormatting>
  <conditionalFormatting sqref="N71">
    <cfRule type="containsBlanks" dxfId="264" priority="192">
      <formula>LEN(TRIM(N71))=0</formula>
    </cfRule>
  </conditionalFormatting>
  <conditionalFormatting sqref="O71:Q71">
    <cfRule type="containsBlanks" dxfId="263" priority="191">
      <formula>LEN(TRIM(O71))=0</formula>
    </cfRule>
  </conditionalFormatting>
  <conditionalFormatting sqref="AH81 AH78:AH79 AH83:AH86 AH3:AH76">
    <cfRule type="cellIs" dxfId="262" priority="185" operator="between">
      <formula>0.1</formula>
      <formula>100</formula>
    </cfRule>
    <cfRule type="cellIs" dxfId="261" priority="186" operator="equal">
      <formula>"Incompleto"</formula>
    </cfRule>
    <cfRule type="cellIs" dxfId="260" priority="187" operator="equal">
      <formula>"No inscrito"</formula>
    </cfRule>
  </conditionalFormatting>
  <conditionalFormatting sqref="AH81 AH78:AH79 AH83:AH86 AH2:AH76">
    <cfRule type="cellIs" dxfId="259" priority="184" operator="equal">
      <formula>""""""</formula>
    </cfRule>
  </conditionalFormatting>
  <conditionalFormatting sqref="M77">
    <cfRule type="containsBlanks" dxfId="258" priority="183">
      <formula>LEN(TRIM(M77))=0</formula>
    </cfRule>
  </conditionalFormatting>
  <conditionalFormatting sqref="N77">
    <cfRule type="containsBlanks" dxfId="257" priority="182">
      <formula>LEN(TRIM(N77))=0</formula>
    </cfRule>
  </conditionalFormatting>
  <conditionalFormatting sqref="O77:Q77">
    <cfRule type="containsBlanks" dxfId="256" priority="181">
      <formula>LEN(TRIM(O77))=0</formula>
    </cfRule>
  </conditionalFormatting>
  <conditionalFormatting sqref="M78">
    <cfRule type="containsBlanks" dxfId="255" priority="180">
      <formula>LEN(TRIM(M78))=0</formula>
    </cfRule>
  </conditionalFormatting>
  <conditionalFormatting sqref="M79">
    <cfRule type="containsBlanks" dxfId="254" priority="179">
      <formula>LEN(TRIM(M79))=0</formula>
    </cfRule>
  </conditionalFormatting>
  <conditionalFormatting sqref="N79">
    <cfRule type="containsBlanks" dxfId="253" priority="178">
      <formula>LEN(TRIM(N79))=0</formula>
    </cfRule>
  </conditionalFormatting>
  <conditionalFormatting sqref="O79:Q79">
    <cfRule type="containsBlanks" dxfId="252" priority="177">
      <formula>LEN(TRIM(O79))=0</formula>
    </cfRule>
  </conditionalFormatting>
  <conditionalFormatting sqref="AH80">
    <cfRule type="cellIs" dxfId="251" priority="174" operator="between">
      <formula>0.1</formula>
      <formula>100</formula>
    </cfRule>
    <cfRule type="cellIs" dxfId="250" priority="175" operator="equal">
      <formula>"No inscrito"</formula>
    </cfRule>
    <cfRule type="cellIs" dxfId="249" priority="176" operator="equal">
      <formula>"Incompleto"</formula>
    </cfRule>
  </conditionalFormatting>
  <conditionalFormatting sqref="AH77">
    <cfRule type="cellIs" dxfId="248" priority="171" operator="between">
      <formula>0.1</formula>
      <formula>100</formula>
    </cfRule>
    <cfRule type="cellIs" dxfId="247" priority="172" operator="equal">
      <formula>"No inscrito"</formula>
    </cfRule>
    <cfRule type="cellIs" dxfId="246" priority="173" operator="equal">
      <formula>"Incompleto"</formula>
    </cfRule>
  </conditionalFormatting>
  <conditionalFormatting sqref="O78:Q78">
    <cfRule type="containsBlanks" dxfId="245" priority="170">
      <formula>LEN(TRIM(O78))=0</formula>
    </cfRule>
  </conditionalFormatting>
  <conditionalFormatting sqref="M81">
    <cfRule type="containsBlanks" dxfId="244" priority="169">
      <formula>LEN(TRIM(M81))=0</formula>
    </cfRule>
  </conditionalFormatting>
  <conditionalFormatting sqref="N81">
    <cfRule type="containsBlanks" dxfId="243" priority="168">
      <formula>LEN(TRIM(N81))=0</formula>
    </cfRule>
  </conditionalFormatting>
  <conditionalFormatting sqref="O81:Q81">
    <cfRule type="containsBlanks" dxfId="242" priority="167">
      <formula>LEN(TRIM(O81))=0</formula>
    </cfRule>
  </conditionalFormatting>
  <conditionalFormatting sqref="M82">
    <cfRule type="containsBlanks" dxfId="241" priority="163">
      <formula>LEN(TRIM(M82))=0</formula>
    </cfRule>
  </conditionalFormatting>
  <conditionalFormatting sqref="N82">
    <cfRule type="containsBlanks" dxfId="240" priority="162">
      <formula>LEN(TRIM(N82))=0</formula>
    </cfRule>
  </conditionalFormatting>
  <conditionalFormatting sqref="O82:Q82">
    <cfRule type="containsBlanks" dxfId="239" priority="161">
      <formula>LEN(TRIM(O82))=0</formula>
    </cfRule>
  </conditionalFormatting>
  <conditionalFormatting sqref="N84">
    <cfRule type="containsBlanks" dxfId="238" priority="159">
      <formula>LEN(TRIM(N84))=0</formula>
    </cfRule>
  </conditionalFormatting>
  <conditionalFormatting sqref="M97">
    <cfRule type="containsBlanks" dxfId="237" priority="151">
      <formula>LEN(TRIM(M97))=0</formula>
    </cfRule>
  </conditionalFormatting>
  <conditionalFormatting sqref="M19:T19">
    <cfRule type="containsBlanks" dxfId="236" priority="150">
      <formula>LEN(TRIM(M19))=0</formula>
    </cfRule>
  </conditionalFormatting>
  <conditionalFormatting sqref="M99">
    <cfRule type="containsBlanks" dxfId="235" priority="149">
      <formula>LEN(TRIM(M99))=0</formula>
    </cfRule>
  </conditionalFormatting>
  <conditionalFormatting sqref="N99">
    <cfRule type="containsBlanks" dxfId="234" priority="148">
      <formula>LEN(TRIM(N99))=0</formula>
    </cfRule>
  </conditionalFormatting>
  <conditionalFormatting sqref="O99:T99">
    <cfRule type="containsBlanks" dxfId="233" priority="147">
      <formula>LEN(TRIM(O99))=0</formula>
    </cfRule>
  </conditionalFormatting>
  <conditionalFormatting sqref="N80:T80">
    <cfRule type="containsBlanks" dxfId="232" priority="141">
      <formula>LEN(TRIM(N80))=0</formula>
    </cfRule>
  </conditionalFormatting>
  <conditionalFormatting sqref="M109:S110">
    <cfRule type="containsBlanks" dxfId="231" priority="140">
      <formula>LEN(TRIM(M109))=0</formula>
    </cfRule>
  </conditionalFormatting>
  <conditionalFormatting sqref="T109:T110">
    <cfRule type="containsBlanks" dxfId="230" priority="139">
      <formula>LEN(TRIM(T109))=0</formula>
    </cfRule>
  </conditionalFormatting>
  <conditionalFormatting sqref="N113:T113">
    <cfRule type="containsBlanks" dxfId="229" priority="138">
      <formula>LEN(TRIM(N113))=0</formula>
    </cfRule>
  </conditionalFormatting>
  <conditionalFormatting sqref="AH82">
    <cfRule type="cellIs" dxfId="228" priority="132" operator="between">
      <formula>0.1</formula>
      <formula>100</formula>
    </cfRule>
    <cfRule type="cellIs" dxfId="227" priority="133" operator="equal">
      <formula>"Incompleto"</formula>
    </cfRule>
    <cfRule type="cellIs" dxfId="226" priority="134" operator="equal">
      <formula>"No inscrito"</formula>
    </cfRule>
  </conditionalFormatting>
  <conditionalFormatting sqref="AH82">
    <cfRule type="cellIs" dxfId="225" priority="131" operator="equal">
      <formula>""""""</formula>
    </cfRule>
  </conditionalFormatting>
  <conditionalFormatting sqref="AH87">
    <cfRule type="cellIs" dxfId="224" priority="128" operator="between">
      <formula>0.1</formula>
      <formula>100</formula>
    </cfRule>
    <cfRule type="cellIs" dxfId="223" priority="129" operator="equal">
      <formula>"Incompleto"</formula>
    </cfRule>
    <cfRule type="cellIs" dxfId="222" priority="130" operator="equal">
      <formula>"No inscrito"</formula>
    </cfRule>
  </conditionalFormatting>
  <conditionalFormatting sqref="AH87">
    <cfRule type="cellIs" dxfId="221" priority="127" operator="equal">
      <formula>""""""</formula>
    </cfRule>
  </conditionalFormatting>
  <conditionalFormatting sqref="AH88">
    <cfRule type="cellIs" dxfId="220" priority="124" operator="between">
      <formula>0.1</formula>
      <formula>100</formula>
    </cfRule>
    <cfRule type="cellIs" dxfId="219" priority="125" operator="equal">
      <formula>"Incompleto"</formula>
    </cfRule>
    <cfRule type="cellIs" dxfId="218" priority="126" operator="equal">
      <formula>"No inscrito"</formula>
    </cfRule>
  </conditionalFormatting>
  <conditionalFormatting sqref="AH88">
    <cfRule type="cellIs" dxfId="217" priority="123" operator="equal">
      <formula>""""""</formula>
    </cfRule>
  </conditionalFormatting>
  <conditionalFormatting sqref="AH89">
    <cfRule type="cellIs" dxfId="216" priority="120" operator="between">
      <formula>0.1</formula>
      <formula>100</formula>
    </cfRule>
    <cfRule type="cellIs" dxfId="215" priority="121" operator="equal">
      <formula>"Incompleto"</formula>
    </cfRule>
    <cfRule type="cellIs" dxfId="214" priority="122" operator="equal">
      <formula>"No inscrito"</formula>
    </cfRule>
  </conditionalFormatting>
  <conditionalFormatting sqref="AH89">
    <cfRule type="cellIs" dxfId="213" priority="119" operator="equal">
      <formula>""""""</formula>
    </cfRule>
  </conditionalFormatting>
  <conditionalFormatting sqref="AH90">
    <cfRule type="cellIs" dxfId="212" priority="116" operator="between">
      <formula>0.1</formula>
      <formula>100</formula>
    </cfRule>
    <cfRule type="cellIs" dxfId="211" priority="117" operator="equal">
      <formula>"Incompleto"</formula>
    </cfRule>
    <cfRule type="cellIs" dxfId="210" priority="118" operator="equal">
      <formula>"No inscrito"</formula>
    </cfRule>
  </conditionalFormatting>
  <conditionalFormatting sqref="AH90">
    <cfRule type="cellIs" dxfId="209" priority="115" operator="equal">
      <formula>""""""</formula>
    </cfRule>
  </conditionalFormatting>
  <conditionalFormatting sqref="AH93">
    <cfRule type="cellIs" dxfId="208" priority="108" operator="between">
      <formula>0.1</formula>
      <formula>100</formula>
    </cfRule>
    <cfRule type="cellIs" dxfId="207" priority="109" operator="equal">
      <formula>"Incompleto"</formula>
    </cfRule>
    <cfRule type="cellIs" dxfId="206" priority="110" operator="equal">
      <formula>"No inscrito"</formula>
    </cfRule>
  </conditionalFormatting>
  <conditionalFormatting sqref="AH93">
    <cfRule type="cellIs" dxfId="205" priority="107" operator="equal">
      <formula>""""""</formula>
    </cfRule>
  </conditionalFormatting>
  <conditionalFormatting sqref="AH94">
    <cfRule type="cellIs" dxfId="204" priority="104" operator="between">
      <formula>0.1</formula>
      <formula>100</formula>
    </cfRule>
    <cfRule type="cellIs" dxfId="203" priority="105" operator="equal">
      <formula>"Incompleto"</formula>
    </cfRule>
    <cfRule type="cellIs" dxfId="202" priority="106" operator="equal">
      <formula>"No inscrito"</formula>
    </cfRule>
  </conditionalFormatting>
  <conditionalFormatting sqref="AH94">
    <cfRule type="cellIs" dxfId="201" priority="103" operator="equal">
      <formula>""""""</formula>
    </cfRule>
  </conditionalFormatting>
  <conditionalFormatting sqref="AH96">
    <cfRule type="cellIs" dxfId="200" priority="100" operator="between">
      <formula>0.1</formula>
      <formula>100</formula>
    </cfRule>
    <cfRule type="cellIs" dxfId="199" priority="101" operator="equal">
      <formula>"Incompleto"</formula>
    </cfRule>
    <cfRule type="cellIs" dxfId="198" priority="102" operator="equal">
      <formula>"No inscrito"</formula>
    </cfRule>
  </conditionalFormatting>
  <conditionalFormatting sqref="AH96">
    <cfRule type="cellIs" dxfId="197" priority="99" operator="equal">
      <formula>""""""</formula>
    </cfRule>
  </conditionalFormatting>
  <conditionalFormatting sqref="AH98">
    <cfRule type="cellIs" dxfId="196" priority="88" operator="between">
      <formula>0.1</formula>
      <formula>100</formula>
    </cfRule>
    <cfRule type="cellIs" dxfId="195" priority="89" operator="equal">
      <formula>"Incompleto"</formula>
    </cfRule>
    <cfRule type="cellIs" dxfId="194" priority="90" operator="equal">
      <formula>"No inscrito"</formula>
    </cfRule>
  </conditionalFormatting>
  <conditionalFormatting sqref="AH98">
    <cfRule type="cellIs" dxfId="193" priority="87" operator="equal">
      <formula>""""""</formula>
    </cfRule>
  </conditionalFormatting>
  <conditionalFormatting sqref="AH99">
    <cfRule type="cellIs" dxfId="192" priority="84" operator="between">
      <formula>0.1</formula>
      <formula>100</formula>
    </cfRule>
    <cfRule type="cellIs" dxfId="191" priority="85" operator="equal">
      <formula>"Incompleto"</formula>
    </cfRule>
    <cfRule type="cellIs" dxfId="190" priority="86" operator="equal">
      <formula>"No inscrito"</formula>
    </cfRule>
  </conditionalFormatting>
  <conditionalFormatting sqref="AH99">
    <cfRule type="cellIs" dxfId="189" priority="83" operator="equal">
      <formula>""""""</formula>
    </cfRule>
  </conditionalFormatting>
  <conditionalFormatting sqref="AH100">
    <cfRule type="cellIs" dxfId="188" priority="80" operator="between">
      <formula>0.1</formula>
      <formula>100</formula>
    </cfRule>
    <cfRule type="cellIs" dxfId="187" priority="81" operator="equal">
      <formula>"Incompleto"</formula>
    </cfRule>
    <cfRule type="cellIs" dxfId="186" priority="82" operator="equal">
      <formula>"No inscrito"</formula>
    </cfRule>
  </conditionalFormatting>
  <conditionalFormatting sqref="AH100">
    <cfRule type="cellIs" dxfId="185" priority="79" operator="equal">
      <formula>""""""</formula>
    </cfRule>
  </conditionalFormatting>
  <conditionalFormatting sqref="AH101">
    <cfRule type="cellIs" dxfId="184" priority="72" operator="between">
      <formula>0.1</formula>
      <formula>100</formula>
    </cfRule>
    <cfRule type="cellIs" dxfId="183" priority="73" operator="equal">
      <formula>"Incompleto"</formula>
    </cfRule>
    <cfRule type="cellIs" dxfId="182" priority="74" operator="equal">
      <formula>"No inscrito"</formula>
    </cfRule>
  </conditionalFormatting>
  <conditionalFormatting sqref="AH101">
    <cfRule type="cellIs" dxfId="181" priority="71" operator="equal">
      <formula>""""""</formula>
    </cfRule>
  </conditionalFormatting>
  <conditionalFormatting sqref="AH102">
    <cfRule type="cellIs" dxfId="180" priority="64" operator="between">
      <formula>0.1</formula>
      <formula>100</formula>
    </cfRule>
    <cfRule type="cellIs" dxfId="179" priority="65" operator="equal">
      <formula>"Incompleto"</formula>
    </cfRule>
    <cfRule type="cellIs" dxfId="178" priority="66" operator="equal">
      <formula>"No inscrito"</formula>
    </cfRule>
  </conditionalFormatting>
  <conditionalFormatting sqref="AH102">
    <cfRule type="cellIs" dxfId="177" priority="63" operator="equal">
      <formula>""""""</formula>
    </cfRule>
  </conditionalFormatting>
  <conditionalFormatting sqref="AH103">
    <cfRule type="cellIs" dxfId="176" priority="60" operator="between">
      <formula>0.1</formula>
      <formula>100</formula>
    </cfRule>
    <cfRule type="cellIs" dxfId="175" priority="61" operator="equal">
      <formula>"Incompleto"</formula>
    </cfRule>
    <cfRule type="cellIs" dxfId="174" priority="62" operator="equal">
      <formula>"No inscrito"</formula>
    </cfRule>
  </conditionalFormatting>
  <conditionalFormatting sqref="AH103">
    <cfRule type="cellIs" dxfId="173" priority="59" operator="equal">
      <formula>""""""</formula>
    </cfRule>
  </conditionalFormatting>
  <conditionalFormatting sqref="AH104">
    <cfRule type="cellIs" dxfId="172" priority="56" operator="between">
      <formula>0.1</formula>
      <formula>100</formula>
    </cfRule>
    <cfRule type="cellIs" dxfId="171" priority="57" operator="equal">
      <formula>"Incompleto"</formula>
    </cfRule>
    <cfRule type="cellIs" dxfId="170" priority="58" operator="equal">
      <formula>"No inscrito"</formula>
    </cfRule>
  </conditionalFormatting>
  <conditionalFormatting sqref="AH104">
    <cfRule type="cellIs" dxfId="169" priority="55" operator="equal">
      <formula>""""""</formula>
    </cfRule>
  </conditionalFormatting>
  <conditionalFormatting sqref="AH105">
    <cfRule type="cellIs" dxfId="168" priority="52" operator="between">
      <formula>0.1</formula>
      <formula>100</formula>
    </cfRule>
    <cfRule type="cellIs" dxfId="167" priority="53" operator="equal">
      <formula>"Incompleto"</formula>
    </cfRule>
    <cfRule type="cellIs" dxfId="166" priority="54" operator="equal">
      <formula>"No inscrito"</formula>
    </cfRule>
  </conditionalFormatting>
  <conditionalFormatting sqref="AH105">
    <cfRule type="cellIs" dxfId="165" priority="51" operator="equal">
      <formula>""""""</formula>
    </cfRule>
  </conditionalFormatting>
  <conditionalFormatting sqref="AH106">
    <cfRule type="cellIs" dxfId="164" priority="48" operator="between">
      <formula>0.1</formula>
      <formula>100</formula>
    </cfRule>
    <cfRule type="cellIs" dxfId="163" priority="49" operator="equal">
      <formula>"Incompleto"</formula>
    </cfRule>
    <cfRule type="cellIs" dxfId="162" priority="50" operator="equal">
      <formula>"No inscrito"</formula>
    </cfRule>
  </conditionalFormatting>
  <conditionalFormatting sqref="AH106">
    <cfRule type="cellIs" dxfId="161" priority="47" operator="equal">
      <formula>""""""</formula>
    </cfRule>
  </conditionalFormatting>
  <conditionalFormatting sqref="AH108">
    <cfRule type="cellIs" dxfId="160" priority="44" operator="between">
      <formula>0.1</formula>
      <formula>100</formula>
    </cfRule>
    <cfRule type="cellIs" dxfId="159" priority="45" operator="equal">
      <formula>"Incompleto"</formula>
    </cfRule>
    <cfRule type="cellIs" dxfId="158" priority="46" operator="equal">
      <formula>"No inscrito"</formula>
    </cfRule>
  </conditionalFormatting>
  <conditionalFormatting sqref="AH108">
    <cfRule type="cellIs" dxfId="157" priority="43" operator="equal">
      <formula>""""""</formula>
    </cfRule>
  </conditionalFormatting>
  <conditionalFormatting sqref="AH109:AH110">
    <cfRule type="cellIs" dxfId="156" priority="40" operator="between">
      <formula>0.1</formula>
      <formula>100</formula>
    </cfRule>
    <cfRule type="cellIs" dxfId="155" priority="41" operator="equal">
      <formula>"Incompleto"</formula>
    </cfRule>
    <cfRule type="cellIs" dxfId="154" priority="42" operator="equal">
      <formula>"No inscrito"</formula>
    </cfRule>
  </conditionalFormatting>
  <conditionalFormatting sqref="AH109:AH110">
    <cfRule type="cellIs" dxfId="153" priority="39" operator="equal">
      <formula>""""""</formula>
    </cfRule>
  </conditionalFormatting>
  <conditionalFormatting sqref="AH111">
    <cfRule type="cellIs" dxfId="152" priority="36" operator="between">
      <formula>0.1</formula>
      <formula>100</formula>
    </cfRule>
    <cfRule type="cellIs" dxfId="151" priority="37" operator="equal">
      <formula>"Incompleto"</formula>
    </cfRule>
    <cfRule type="cellIs" dxfId="150" priority="38" operator="equal">
      <formula>"No inscrito"</formula>
    </cfRule>
  </conditionalFormatting>
  <conditionalFormatting sqref="AH111">
    <cfRule type="cellIs" dxfId="149" priority="35" operator="equal">
      <formula>""""""</formula>
    </cfRule>
  </conditionalFormatting>
  <conditionalFormatting sqref="AH113">
    <cfRule type="cellIs" dxfId="148" priority="32" operator="between">
      <formula>0.1</formula>
      <formula>100</formula>
    </cfRule>
    <cfRule type="cellIs" dxfId="147" priority="33" operator="equal">
      <formula>"Incompleto"</formula>
    </cfRule>
    <cfRule type="cellIs" dxfId="146" priority="34" operator="equal">
      <formula>"No inscrito"</formula>
    </cfRule>
  </conditionalFormatting>
  <conditionalFormatting sqref="AH113">
    <cfRule type="cellIs" dxfId="145" priority="31" operator="equal">
      <formula>""""""</formula>
    </cfRule>
  </conditionalFormatting>
  <conditionalFormatting sqref="AH114">
    <cfRule type="cellIs" dxfId="144" priority="28" operator="between">
      <formula>0.1</formula>
      <formula>100</formula>
    </cfRule>
    <cfRule type="cellIs" dxfId="143" priority="29" operator="equal">
      <formula>"Incompleto"</formula>
    </cfRule>
    <cfRule type="cellIs" dxfId="142" priority="30" operator="equal">
      <formula>"No inscrito"</formula>
    </cfRule>
  </conditionalFormatting>
  <conditionalFormatting sqref="AH114">
    <cfRule type="cellIs" dxfId="141" priority="27" operator="equal">
      <formula>""""""</formula>
    </cfRule>
  </conditionalFormatting>
  <conditionalFormatting sqref="AH116">
    <cfRule type="cellIs" dxfId="140" priority="24" operator="between">
      <formula>0.1</formula>
      <formula>100</formula>
    </cfRule>
    <cfRule type="cellIs" dxfId="139" priority="25" operator="equal">
      <formula>"Incompleto"</formula>
    </cfRule>
    <cfRule type="cellIs" dxfId="138" priority="26" operator="equal">
      <formula>"No inscrito"</formula>
    </cfRule>
  </conditionalFormatting>
  <conditionalFormatting sqref="AH116">
    <cfRule type="cellIs" dxfId="137" priority="23" operator="equal">
      <formula>""""""</formula>
    </cfRule>
  </conditionalFormatting>
  <conditionalFormatting sqref="AH117">
    <cfRule type="cellIs" dxfId="136" priority="20" operator="between">
      <formula>0.1</formula>
      <formula>100</formula>
    </cfRule>
    <cfRule type="cellIs" dxfId="135" priority="21" operator="equal">
      <formula>"Incompleto"</formula>
    </cfRule>
    <cfRule type="cellIs" dxfId="134" priority="22" operator="equal">
      <formula>"No inscrito"</formula>
    </cfRule>
  </conditionalFormatting>
  <conditionalFormatting sqref="AH117">
    <cfRule type="cellIs" dxfId="133" priority="19" operator="equal">
      <formula>""""""</formula>
    </cfRule>
  </conditionalFormatting>
  <conditionalFormatting sqref="AH118">
    <cfRule type="cellIs" dxfId="132" priority="16" operator="between">
      <formula>0.1</formula>
      <formula>100</formula>
    </cfRule>
    <cfRule type="cellIs" dxfId="131" priority="17" operator="equal">
      <formula>"Incompleto"</formula>
    </cfRule>
    <cfRule type="cellIs" dxfId="130" priority="18" operator="equal">
      <formula>"No inscrito"</formula>
    </cfRule>
  </conditionalFormatting>
  <conditionalFormatting sqref="AH118">
    <cfRule type="cellIs" dxfId="129" priority="15" operator="equal">
      <formula>""""""</formula>
    </cfRule>
  </conditionalFormatting>
  <conditionalFormatting sqref="AH119">
    <cfRule type="cellIs" dxfId="128" priority="12" operator="between">
      <formula>0.1</formula>
      <formula>100</formula>
    </cfRule>
    <cfRule type="cellIs" dxfId="127" priority="13" operator="equal">
      <formula>"Incompleto"</formula>
    </cfRule>
    <cfRule type="cellIs" dxfId="126" priority="14" operator="equal">
      <formula>"No inscrito"</formula>
    </cfRule>
  </conditionalFormatting>
  <conditionalFormatting sqref="AH119">
    <cfRule type="cellIs" dxfId="125" priority="11" operator="equal">
      <formula>""""""</formula>
    </cfRule>
  </conditionalFormatting>
  <conditionalFormatting sqref="AH120">
    <cfRule type="cellIs" dxfId="124" priority="8" operator="between">
      <formula>0.1</formula>
      <formula>100</formula>
    </cfRule>
    <cfRule type="cellIs" dxfId="123" priority="9" operator="equal">
      <formula>"Incompleto"</formula>
    </cfRule>
    <cfRule type="cellIs" dxfId="122" priority="10" operator="equal">
      <formula>"No inscrito"</formula>
    </cfRule>
  </conditionalFormatting>
  <conditionalFormatting sqref="AH120">
    <cfRule type="cellIs" dxfId="121" priority="7" operator="equal">
      <formula>""""""</formula>
    </cfRule>
  </conditionalFormatting>
  <conditionalFormatting sqref="M120:T120">
    <cfRule type="containsBlanks" dxfId="120" priority="6">
      <formula>LEN(TRIM(M120))=0</formula>
    </cfRule>
  </conditionalFormatting>
  <conditionalFormatting sqref="M123">
    <cfRule type="containsBlanks" dxfId="119" priority="5">
      <formula>LEN(TRIM(M123))=0</formula>
    </cfRule>
  </conditionalFormatting>
  <conditionalFormatting sqref="N129">
    <cfRule type="containsBlanks" dxfId="118" priority="3">
      <formula>LEN(TRIM(N129))=0</formula>
    </cfRule>
  </conditionalFormatting>
  <conditionalFormatting sqref="M129">
    <cfRule type="containsBlanks" dxfId="117" priority="4">
      <formula>LEN(TRIM(M129))=0</formula>
    </cfRule>
  </conditionalFormatting>
  <conditionalFormatting sqref="O129:Q129">
    <cfRule type="containsBlanks" dxfId="116" priority="2">
      <formula>LEN(TRIM(O129))=0</formula>
    </cfRule>
  </conditionalFormatting>
  <conditionalFormatting sqref="M139:T139">
    <cfRule type="containsBlanks" dxfId="115" priority="1">
      <formula>LEN(TRIM(M139))=0</formula>
    </cfRule>
  </conditionalFormatting>
  <dataValidations count="3">
    <dataValidation type="list" allowBlank="1" showInputMessage="1" showErrorMessage="1" sqref="C129 C3:C121" xr:uid="{90997E79-CFBF-4D12-9637-1187691BF093}">
      <formula1>Gdo</formula1>
    </dataValidation>
    <dataValidation type="list" allowBlank="1" showInputMessage="1" showErrorMessage="1" sqref="C122:C126" xr:uid="{004DA7C1-002A-444D-8389-E6A7B8398CA2}">
      <formula1>Gdo.</formula1>
    </dataValidation>
    <dataValidation type="list" allowBlank="1" showInputMessage="1" showErrorMessage="1" sqref="D3:D145" xr:uid="{CE3A5E30-BDC5-43B9-86CF-AFF4D7EAB890}">
      <formula1>Tipo_de_profesor</formula1>
    </dataValidation>
  </dataValidations>
  <hyperlinks>
    <hyperlink ref="N96" r:id="rId1" xr:uid="{F8D1BDDD-4640-4466-AD92-B5A5D0365238}"/>
    <hyperlink ref="N98" r:id="rId2" xr:uid="{2C7204F8-02EE-4F20-A7EE-7330475E9676}"/>
    <hyperlink ref="N97" r:id="rId3" xr:uid="{1B0F7CA2-7714-48B7-82CC-6A6D890C2F58}"/>
    <hyperlink ref="N128" r:id="rId4" xr:uid="{88862156-E942-4229-AE60-0514249AAD2A}"/>
    <hyperlink ref="N115" r:id="rId5" xr:uid="{02AD090F-D2E8-410C-8426-10A056C36C01}"/>
    <hyperlink ref="N4" r:id="rId6" display="pancho.wow@gmail.com; flegon" xr:uid="{C39475D1-4457-4FA9-AA65-F8777FEB18BE}"/>
    <hyperlink ref="N116" r:id="rId7" xr:uid="{EA6D1A92-4AA8-4FDB-8151-70F455D89F2D}"/>
    <hyperlink ref="N112" r:id="rId8" display="mailto:glgoni@up.edu.mx" xr:uid="{196CD01E-E6EF-4319-BE98-1845DCBBD700}"/>
    <hyperlink ref="N120" r:id="rId9" display="mailto:ofruizm@up.edu.mx" xr:uid="{81BEC39F-036E-42B0-A864-72665BEE65D4}"/>
    <hyperlink ref="N109" r:id="rId10" xr:uid="{40DFF988-643B-47F7-9038-ABECF67EF2AE}"/>
    <hyperlink ref="N108" r:id="rId11" display="mailto:dlarrondom@up.edu.mx" xr:uid="{51769737-0A4D-44BF-A2ED-0469940950E8}"/>
    <hyperlink ref="N107" r:id="rId12" display="mailto:ccachutt@up.edu.mx" xr:uid="{CF1B6DB3-EA45-4B16-AD65-2B3F3F95A291}"/>
    <hyperlink ref="N106" r:id="rId13" xr:uid="{678E8894-0E35-40AD-95C2-9F2D76624AF3}"/>
    <hyperlink ref="N3" r:id="rId14" xr:uid="{E2271501-C0CB-4C95-8F13-344C1FF226F8}"/>
    <hyperlink ref="N127" r:id="rId15" xr:uid="{E44FB25E-117E-4611-BED9-FB92FFF46529}"/>
    <hyperlink ref="N129" r:id="rId16" xr:uid="{55EC3532-CE5B-4A17-9B78-2B99473EC24C}"/>
    <hyperlink ref="N99" r:id="rId17" xr:uid="{BE5E8108-F327-4020-93B1-919A47686749}"/>
    <hyperlink ref="N5" r:id="rId18" xr:uid="{5A520321-6A22-414A-B798-2B6F28CADC52}"/>
    <hyperlink ref="N6" r:id="rId19" xr:uid="{0D09F057-4F92-4CB1-BC0C-5D6F53832080}"/>
    <hyperlink ref="N7" r:id="rId20" xr:uid="{16697CF8-A70F-4CEF-8E0A-CFE6A5FE03C8}"/>
    <hyperlink ref="N8" r:id="rId21" xr:uid="{BCC10D5B-90F1-47F5-84F2-EACF9A24110F}"/>
    <hyperlink ref="N100" r:id="rId22" xr:uid="{29BF1193-5142-4153-B159-4C8CE9A23F50}"/>
    <hyperlink ref="N9" r:id="rId23" xr:uid="{376E6B69-2ADA-44A1-B8F0-9F59D175B869}"/>
    <hyperlink ref="N110" r:id="rId24" xr:uid="{5BEDF3B5-B5AB-4764-8564-51388C09EA30}"/>
    <hyperlink ref="N111" r:id="rId25" xr:uid="{1ACDB58C-A9F8-4FC1-9EC8-9F9BB8E969CF}"/>
    <hyperlink ref="N113" r:id="rId26" xr:uid="{809A1A9E-21E9-47A6-AF17-00B8465277AB}"/>
    <hyperlink ref="N114" r:id="rId27" xr:uid="{17CBE2D9-8E26-48D2-B838-CACA8D862273}"/>
    <hyperlink ref="N117" r:id="rId28" xr:uid="{DAB4CB04-997B-43B8-B648-13635B48615A}"/>
    <hyperlink ref="N118" r:id="rId29" xr:uid="{D4258024-D2D4-4316-BF60-C1CAEBCD4719}"/>
    <hyperlink ref="N119" r:id="rId30" xr:uid="{DDABCC6A-94AB-474B-B74E-0C38BC1A68D7}"/>
    <hyperlink ref="N121" r:id="rId31" xr:uid="{4F650ACA-BCA1-4FEE-92A4-F657FFED83AF}"/>
    <hyperlink ref="N122" r:id="rId32" xr:uid="{32E0B2CF-ADD7-47B8-9AB1-3DCB4404CD14}"/>
    <hyperlink ref="N123" r:id="rId33" xr:uid="{DFD3DCC9-CA26-4524-9E34-B54F7662CB98}"/>
    <hyperlink ref="N124" r:id="rId34" xr:uid="{497E60CA-5A9C-4F91-9AE1-05F45CFFAA62}"/>
    <hyperlink ref="N125" r:id="rId35" xr:uid="{796CA8A9-F5FB-4028-B5A6-C06064C142A8}"/>
    <hyperlink ref="N126" r:id="rId36" xr:uid="{076288C6-F133-4D44-8453-3313F8F08241}"/>
    <hyperlink ref="N10" r:id="rId37" xr:uid="{195669E6-801C-462F-A7B6-FF8F9FCE1E0E}"/>
    <hyperlink ref="N12" r:id="rId38" xr:uid="{C5BD7685-0BB6-407B-8DE0-A01387FD8D54}"/>
    <hyperlink ref="N11" r:id="rId39" xr:uid="{1C851119-DED5-484F-9480-4E0EA0D4D2EE}"/>
    <hyperlink ref="N13" r:id="rId40" xr:uid="{2BA70CC6-826B-4DEC-B10B-2A84DFDD38B8}"/>
    <hyperlink ref="N14" r:id="rId41" xr:uid="{F6F07206-CBDD-438B-864A-27A4A7173672}"/>
    <hyperlink ref="N16" r:id="rId42" xr:uid="{F1F6B497-EDA6-4BD4-B1B2-050B6C159B44}"/>
    <hyperlink ref="N15" r:id="rId43" xr:uid="{F0383FB7-2D0A-4588-8636-DAD51B385D44}"/>
    <hyperlink ref="N18" r:id="rId44" xr:uid="{2257A461-B5A1-40A5-B03F-223ACF24A455}"/>
    <hyperlink ref="N17" r:id="rId45" xr:uid="{C8CBD075-C8D7-4366-84A8-306509C2D0CA}"/>
    <hyperlink ref="N22" r:id="rId46" xr:uid="{1C40C12D-CFF8-40B6-8B7C-197BCDCB4112}"/>
    <hyperlink ref="N24" r:id="rId47" xr:uid="{B90BCBF9-6BAF-452A-959F-A855D5875A04}"/>
    <hyperlink ref="N21" r:id="rId48" xr:uid="{E28B6984-A839-4F2C-8B3C-B89F87AFAD13}"/>
    <hyperlink ref="N29" r:id="rId49" xr:uid="{B790B5D8-B983-4653-89D3-ECBF975A2CD0}"/>
    <hyperlink ref="N28" r:id="rId50" xr:uid="{F41710CE-5ED1-413B-850D-EB91973F299B}"/>
    <hyperlink ref="N31" r:id="rId51" xr:uid="{18E5AAF8-997E-4A4C-8405-2C005D4CA2F5}"/>
    <hyperlink ref="N37" r:id="rId52" xr:uid="{F5EDE178-6E9A-4129-88C3-36009F310488}"/>
    <hyperlink ref="N38" r:id="rId53" xr:uid="{4BC59CF3-EDAC-42EB-A22C-AA542AFB0635}"/>
    <hyperlink ref="N39" r:id="rId54" xr:uid="{B78BFE10-8EB6-4488-8621-F74E5FFB7E2B}"/>
    <hyperlink ref="N40" r:id="rId55" xr:uid="{63D6AA45-128B-4EE3-B1E8-B24B1255E111}"/>
    <hyperlink ref="N130" r:id="rId56" xr:uid="{11EDE077-22BF-45CC-A3C2-72883AD35514}"/>
    <hyperlink ref="N41" r:id="rId57" xr:uid="{6B8173D1-9CB6-43BB-B981-03E2495164AD}"/>
    <hyperlink ref="N42" r:id="rId58" xr:uid="{C3DB25B0-B955-45B0-AC1C-DFBC29E7756D}"/>
    <hyperlink ref="N43" r:id="rId59" xr:uid="{3D44CA2C-5A91-410D-9DE3-BA9EBCFB102B}"/>
    <hyperlink ref="N101" r:id="rId60" xr:uid="{081A21C6-567E-4FB8-8021-30F69E653E43}"/>
    <hyperlink ref="N46" r:id="rId61" xr:uid="{C2D9B1D6-DE2A-4344-9335-CACF87422714}"/>
    <hyperlink ref="N51" r:id="rId62" xr:uid="{73EB557D-E049-458A-A9A6-5805A28E1CBB}"/>
    <hyperlink ref="N54" r:id="rId63" xr:uid="{C3D74183-07C6-4326-AED8-804F9943EE01}"/>
    <hyperlink ref="N52" r:id="rId64" xr:uid="{DA81DF9E-1386-4B7F-BB4A-9BA2EB5DE94E}"/>
    <hyperlink ref="N35" r:id="rId65" xr:uid="{CE66A418-6C85-4982-95C8-F3CF475DC387}"/>
    <hyperlink ref="N53" r:id="rId66" xr:uid="{20C2FB6F-EC69-4E85-B8B9-523EFC46BF22}"/>
    <hyperlink ref="N34" r:id="rId67" xr:uid="{53C180A4-41B9-462A-9588-869085CE9C10}"/>
    <hyperlink ref="N19" r:id="rId68" xr:uid="{12A4DF38-D1CB-4A73-AC13-DCAAF2C20E00}"/>
    <hyperlink ref="N27" r:id="rId69" xr:uid="{28AE83C3-B3F9-4265-8D31-50E0B80E80D8}"/>
    <hyperlink ref="N25" r:id="rId70" xr:uid="{69C12498-8113-4910-8D75-5E2FC075E306}"/>
    <hyperlink ref="N32" r:id="rId71" xr:uid="{539F47BF-BB7A-487B-AC04-6A5D926AB069}"/>
    <hyperlink ref="N33" r:id="rId72" xr:uid="{17A5B9E4-B6B0-45E0-9D9B-18A5C70926C7}"/>
    <hyperlink ref="N23" r:id="rId73" xr:uid="{B4D91C74-AC57-4E14-B314-7E0E26FE400E}"/>
    <hyperlink ref="N26" r:id="rId74" xr:uid="{FC7B12B3-D789-4C2A-B3BB-542D672E4588}"/>
    <hyperlink ref="N20" r:id="rId75" xr:uid="{46F5E3E3-7C82-45A7-97F2-7645EC6AB100}"/>
    <hyperlink ref="N55" r:id="rId76" xr:uid="{3CA95EAB-5ADC-4EB2-A9AD-9D55330D4888}"/>
    <hyperlink ref="N87" r:id="rId77" xr:uid="{A3B950D0-DFB5-4497-B8E3-21E7AB435207}"/>
    <hyperlink ref="N88" r:id="rId78" xr:uid="{76865C90-A393-467E-8AA9-7B2B16301B02}"/>
    <hyperlink ref="N89" r:id="rId79" xr:uid="{C8D0F61C-23C0-4202-A00D-42150D28DC6C}"/>
    <hyperlink ref="N90" r:id="rId80" xr:uid="{740F8BFA-4008-42A1-B2AC-06EEA9F84D41}"/>
    <hyperlink ref="N91" r:id="rId81" xr:uid="{3E7642CE-8F15-42A4-BDF2-A60A8E0EEC92}"/>
    <hyperlink ref="N57" r:id="rId82" xr:uid="{BCDABA2A-ABEF-4DE1-AE53-B2D313A56428}"/>
    <hyperlink ref="N62" r:id="rId83" xr:uid="{3CE4C915-1768-4DDA-B186-6CC9FBA87E64}"/>
    <hyperlink ref="N60" r:id="rId84" display="mailto:l.adrian.cuevas.d@gmail.com" xr:uid="{221382C2-1F43-4BD0-B61D-BA0749FABE83}"/>
    <hyperlink ref="N61" r:id="rId85" display="mailto:medranoescobedoelise@gmail.com" xr:uid="{FE08AFF3-C5C6-4A3B-93A4-ED6560C74236}"/>
    <hyperlink ref="N63" r:id="rId86" xr:uid="{5424C420-93F3-47D7-8C57-972D6EFA9ED0}"/>
    <hyperlink ref="N56" r:id="rId87" xr:uid="{F403C7F5-7809-4875-B98A-B2E9359D666B}"/>
    <hyperlink ref="N47" r:id="rId88" xr:uid="{F09D3A6D-EAC1-4A19-841E-561F99865E4C}"/>
    <hyperlink ref="N50" r:id="rId89" xr:uid="{D67BDD8D-D0DB-40A6-9907-0BC7EFD0C3BA}"/>
    <hyperlink ref="N49" r:id="rId90" xr:uid="{200A67F9-2F71-41FB-B0D8-DEE9F9C8E8D1}"/>
    <hyperlink ref="N131" r:id="rId91" xr:uid="{54BD4A10-2C17-45D5-A3D5-2C4E41461B97}"/>
    <hyperlink ref="N93" r:id="rId92" xr:uid="{EBE30520-AE08-4407-BF93-6C0C8033382E}"/>
    <hyperlink ref="N94" r:id="rId93" xr:uid="{5D86F3C9-7DF0-4D45-A76F-A251C8CA148A}"/>
    <hyperlink ref="N95" r:id="rId94" xr:uid="{B1B0AB4B-F7CF-4839-A375-7E90B30D9CDE}"/>
    <hyperlink ref="N82" r:id="rId95" xr:uid="{ED34CAC4-4A47-4F39-9B27-D4F7BB688DA7}"/>
    <hyperlink ref="N83" r:id="rId96" xr:uid="{C7D3D058-744F-416B-B1AA-2892844A34BB}"/>
    <hyperlink ref="N84" r:id="rId97" xr:uid="{CEC1C19C-57B0-4A77-8FBC-8A119529E511}"/>
    <hyperlink ref="N36" r:id="rId98" xr:uid="{25AC60D6-61F4-4DD9-B9B5-89D42138404C}"/>
    <hyperlink ref="N92" r:id="rId99" xr:uid="{B1B531A6-1B16-4B64-AF54-B43310B2F707}"/>
    <hyperlink ref="N65" r:id="rId100" xr:uid="{720962FE-3A3C-4943-B2E8-E97BFC6D1FD7}"/>
    <hyperlink ref="N66" r:id="rId101" xr:uid="{D89332F7-185A-40B4-9EFC-9CA9670C4099}"/>
    <hyperlink ref="N58" r:id="rId102" xr:uid="{B3F06F43-347E-494A-B7D9-E0F28E86F62D}"/>
    <hyperlink ref="N44" r:id="rId103" xr:uid="{E1CA8441-2C0B-403B-A1C4-36984F52D177}"/>
    <hyperlink ref="N68" r:id="rId104" xr:uid="{511B1E4A-2AA4-4ED3-B18D-37FCC64FE2BE}"/>
    <hyperlink ref="N67" r:id="rId105" xr:uid="{3CBA8E9E-B992-4CBB-BC30-BD3E44E89289}"/>
    <hyperlink ref="N133" r:id="rId106" xr:uid="{593182E7-F7D6-4642-8CA6-44FC14B47710}"/>
    <hyperlink ref="N132" r:id="rId107" xr:uid="{F834ED0E-CF5D-4967-BCF2-0498B3DB56AA}"/>
    <hyperlink ref="N134" r:id="rId108" xr:uid="{2612FE54-39B1-4F61-9AFB-08236F3636C5}"/>
    <hyperlink ref="N69" r:id="rId109" xr:uid="{04CA6779-7817-4958-A67F-0C7A78BDFD24}"/>
    <hyperlink ref="N72" r:id="rId110" xr:uid="{2C24848B-8BB8-4939-8F02-0FC216DB9FBF}"/>
    <hyperlink ref="N77" r:id="rId111" xr:uid="{C1A5085E-00C5-4BF2-AF45-2CAA79DF3FCA}"/>
    <hyperlink ref="N75" r:id="rId112" xr:uid="{DFF2C0CC-105C-429B-BAB9-9FBD6DCDDD73}"/>
    <hyperlink ref="N104" r:id="rId113" xr:uid="{A334420C-6C8F-4BF8-9423-F4A4F9C51B09}"/>
    <hyperlink ref="N70" r:id="rId114" xr:uid="{05C2C417-8CF6-437B-A742-BEAAB5060D93}"/>
    <hyperlink ref="N76" r:id="rId115" xr:uid="{14E73B55-1733-4EF7-8411-DDFB8CB95585}"/>
    <hyperlink ref="N71" r:id="rId116" xr:uid="{A55A1190-E00F-49AF-8A61-5A2F0E36A48B}"/>
    <hyperlink ref="N79" r:id="rId117" xr:uid="{5CB0DA25-ED04-4CC7-AE23-C0866880E942}"/>
    <hyperlink ref="N80" r:id="rId118" xr:uid="{4440A9D7-8E48-465D-A9BE-AD12DD3717E5}"/>
    <hyperlink ref="N103" r:id="rId119" xr:uid="{4F3F0E78-8704-458D-8E5F-5AE01095F423}"/>
  </hyperlinks>
  <pageMargins left="0.7" right="0.7" top="0.75" bottom="0.75" header="0.3" footer="0.3"/>
  <pageSetup paperSize="9" orientation="portrait" r:id="rId120"/>
  <legacyDrawing r:id="rId121"/>
  <tableParts count="4">
    <tablePart r:id="rId122"/>
    <tablePart r:id="rId123"/>
    <tablePart r:id="rId124"/>
    <tablePart r:id="rId12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F798D-AC52-41B6-B077-F699E82ADE43}">
  <sheetPr codeName="Hoja7"/>
  <dimension ref="B1:AA37"/>
  <sheetViews>
    <sheetView topLeftCell="C1" zoomScale="70" zoomScaleNormal="70" workbookViewId="0">
      <selection activeCell="I20" sqref="I20"/>
    </sheetView>
  </sheetViews>
  <sheetFormatPr baseColWidth="10" defaultColWidth="10.6328125" defaultRowHeight="13" x14ac:dyDescent="0.3"/>
  <cols>
    <col min="1" max="1" width="4.36328125" style="1" customWidth="1"/>
    <col min="2" max="3" width="6.6328125" style="1" customWidth="1"/>
    <col min="4" max="10" width="10" style="1" customWidth="1"/>
    <col min="11" max="12" width="7" style="1" customWidth="1"/>
    <col min="13" max="16" width="10.6328125" style="6"/>
    <col min="17" max="17" width="13.453125" style="6" bestFit="1" customWidth="1"/>
    <col min="18" max="20" width="10.6328125" style="6"/>
    <col min="21" max="16384" width="10.6328125" style="1"/>
  </cols>
  <sheetData>
    <row r="1" spans="2:27" ht="13.5" thickBot="1" x14ac:dyDescent="0.35"/>
    <row r="2" spans="2:27" ht="78" customHeight="1" thickBot="1" x14ac:dyDescent="0.4">
      <c r="B2" s="23">
        <v>1222</v>
      </c>
      <c r="C2" s="23">
        <v>1228</v>
      </c>
      <c r="D2" s="23" t="s">
        <v>27</v>
      </c>
      <c r="E2" s="24" t="s">
        <v>30</v>
      </c>
      <c r="F2" s="23" t="s">
        <v>13</v>
      </c>
      <c r="G2" s="24" t="s">
        <v>35</v>
      </c>
      <c r="H2" s="23" t="s">
        <v>38</v>
      </c>
      <c r="I2" s="24" t="s">
        <v>41</v>
      </c>
      <c r="J2" s="23" t="s">
        <v>44</v>
      </c>
      <c r="K2" s="23" t="s">
        <v>1329</v>
      </c>
      <c r="L2" s="23" t="s">
        <v>1330</v>
      </c>
      <c r="O2" s="131"/>
      <c r="P2" s="131"/>
      <c r="Q2" s="132"/>
      <c r="R2" s="132"/>
      <c r="S2" s="132"/>
      <c r="T2" s="132"/>
      <c r="U2" s="132"/>
      <c r="V2" s="132"/>
      <c r="W2" s="132"/>
      <c r="X2" s="132"/>
      <c r="Y2" s="132"/>
      <c r="Z2" s="132"/>
      <c r="AA2" s="131"/>
    </row>
    <row r="3" spans="2:27" ht="15" thickBot="1" x14ac:dyDescent="0.4">
      <c r="B3" s="25">
        <v>0</v>
      </c>
      <c r="C3" s="25">
        <v>1</v>
      </c>
      <c r="D3" s="122">
        <v>4</v>
      </c>
      <c r="E3" s="122">
        <v>2</v>
      </c>
      <c r="F3" s="122">
        <v>3</v>
      </c>
      <c r="G3" s="122">
        <v>4</v>
      </c>
      <c r="H3" s="122">
        <v>1</v>
      </c>
      <c r="I3" s="122">
        <v>2</v>
      </c>
      <c r="J3" s="122">
        <v>2</v>
      </c>
      <c r="K3" s="122">
        <f>SUM(D3:J3)</f>
        <v>18</v>
      </c>
      <c r="L3" s="122">
        <v>1232</v>
      </c>
      <c r="O3" s="131"/>
      <c r="P3" s="131"/>
      <c r="Q3" s="132"/>
      <c r="R3" s="132"/>
      <c r="S3" s="132"/>
      <c r="T3" s="132"/>
      <c r="U3" s="132"/>
      <c r="V3" s="132"/>
      <c r="W3" s="132"/>
      <c r="X3" s="132"/>
      <c r="Y3" s="132"/>
      <c r="Z3" s="132"/>
      <c r="AA3" s="131"/>
    </row>
    <row r="4" spans="2:27" ht="19" thickBot="1" x14ac:dyDescent="0.4">
      <c r="B4" s="25"/>
      <c r="C4" s="25"/>
      <c r="D4" s="2"/>
      <c r="E4" s="2"/>
      <c r="F4" s="2"/>
      <c r="G4" s="2"/>
      <c r="H4" s="2"/>
      <c r="I4" s="2"/>
      <c r="J4" s="2"/>
      <c r="K4" s="2"/>
      <c r="L4" s="2"/>
      <c r="O4" s="131"/>
      <c r="P4" s="133" t="s">
        <v>1331</v>
      </c>
      <c r="Q4" s="132"/>
      <c r="R4" s="132"/>
      <c r="S4" s="132"/>
      <c r="T4" s="132"/>
      <c r="U4" s="132"/>
      <c r="V4" s="132"/>
      <c r="W4" s="132"/>
      <c r="X4" s="132"/>
      <c r="Y4" s="132"/>
      <c r="Z4" s="132"/>
      <c r="AA4" s="131"/>
    </row>
    <row r="5" spans="2:27" ht="23.25" customHeight="1" thickBot="1" x14ac:dyDescent="0.4">
      <c r="B5" s="25">
        <v>1</v>
      </c>
      <c r="C5" s="25">
        <v>2</v>
      </c>
      <c r="D5" s="125">
        <v>21</v>
      </c>
      <c r="E5" s="125">
        <v>24</v>
      </c>
      <c r="F5" s="125">
        <v>16</v>
      </c>
      <c r="G5" s="125">
        <v>27</v>
      </c>
      <c r="H5" s="125">
        <v>4</v>
      </c>
      <c r="I5" s="125">
        <v>15</v>
      </c>
      <c r="J5" s="125">
        <v>7</v>
      </c>
      <c r="K5" s="125">
        <f>SUM(D5:J5)</f>
        <v>114</v>
      </c>
      <c r="L5" s="125">
        <v>1228</v>
      </c>
      <c r="O5" s="131"/>
      <c r="P5" s="131"/>
      <c r="Q5" s="132"/>
      <c r="R5" s="132"/>
      <c r="S5" s="132"/>
      <c r="T5" s="132"/>
      <c r="U5" s="132"/>
      <c r="V5" s="132"/>
      <c r="W5" s="132"/>
      <c r="X5" s="132"/>
      <c r="Y5" s="132"/>
      <c r="Z5" s="132"/>
      <c r="AA5" s="131"/>
    </row>
    <row r="6" spans="2:27" ht="15" thickBot="1" x14ac:dyDescent="0.4">
      <c r="B6" s="123"/>
      <c r="C6" s="123"/>
      <c r="D6" s="124"/>
      <c r="E6" s="124"/>
      <c r="F6" s="124"/>
      <c r="G6" s="124"/>
      <c r="H6" s="124"/>
      <c r="I6" s="124"/>
      <c r="J6" s="124"/>
      <c r="K6" s="2"/>
      <c r="L6" s="2"/>
      <c r="O6" s="131"/>
      <c r="P6" s="131"/>
      <c r="Q6" s="134"/>
      <c r="R6" s="134"/>
      <c r="S6" s="134"/>
      <c r="T6" s="134"/>
      <c r="U6" s="134"/>
      <c r="V6" s="134"/>
      <c r="W6" s="134"/>
      <c r="X6" s="134"/>
      <c r="Y6" s="134"/>
      <c r="Z6" s="134"/>
      <c r="AA6" s="131"/>
    </row>
    <row r="7" spans="2:27" ht="24" customHeight="1" thickBot="1" x14ac:dyDescent="0.4">
      <c r="B7" s="25">
        <v>2</v>
      </c>
      <c r="C7" s="25">
        <v>3</v>
      </c>
      <c r="D7" s="2">
        <v>1</v>
      </c>
      <c r="E7" s="2">
        <v>1</v>
      </c>
      <c r="F7" s="2">
        <v>5</v>
      </c>
      <c r="G7" s="2">
        <v>4</v>
      </c>
      <c r="H7" s="2">
        <v>1</v>
      </c>
      <c r="I7" s="2">
        <v>1</v>
      </c>
      <c r="J7" s="2">
        <v>2</v>
      </c>
      <c r="K7" s="2">
        <f t="shared" ref="K7:K21" si="0">SUM(D7:J7)</f>
        <v>15</v>
      </c>
      <c r="L7" s="2">
        <v>1222</v>
      </c>
      <c r="O7" s="131"/>
      <c r="P7" s="135"/>
      <c r="Q7" s="268" t="s">
        <v>1332</v>
      </c>
      <c r="R7" s="269"/>
      <c r="S7" s="269"/>
      <c r="T7" s="269"/>
      <c r="U7" s="269"/>
      <c r="V7" s="269"/>
      <c r="W7" s="269"/>
      <c r="X7" s="269"/>
      <c r="Y7" s="269"/>
      <c r="Z7" s="270"/>
      <c r="AA7" s="131"/>
    </row>
    <row r="8" spans="2:27" ht="15" thickBot="1" x14ac:dyDescent="0.4">
      <c r="B8" s="25"/>
      <c r="C8" s="25"/>
      <c r="D8" s="2"/>
      <c r="E8" s="2"/>
      <c r="F8" s="2"/>
      <c r="G8" s="2"/>
      <c r="H8" s="2"/>
      <c r="I8" s="2"/>
      <c r="J8" s="2"/>
      <c r="K8" s="2"/>
      <c r="L8" s="2"/>
      <c r="O8" s="131"/>
      <c r="P8" s="136"/>
      <c r="Q8" s="137">
        <v>1</v>
      </c>
      <c r="R8" s="137">
        <v>2</v>
      </c>
      <c r="S8" s="137">
        <v>3</v>
      </c>
      <c r="T8" s="137">
        <v>4</v>
      </c>
      <c r="U8" s="137">
        <v>5</v>
      </c>
      <c r="V8" s="137">
        <v>6</v>
      </c>
      <c r="W8" s="137">
        <v>7</v>
      </c>
      <c r="X8" s="137">
        <v>8</v>
      </c>
      <c r="Y8" s="137">
        <v>9</v>
      </c>
      <c r="Z8" s="137" t="s">
        <v>1333</v>
      </c>
      <c r="AA8" s="131"/>
    </row>
    <row r="9" spans="2:27" ht="15" thickBot="1" x14ac:dyDescent="0.4">
      <c r="B9" s="25">
        <v>3</v>
      </c>
      <c r="C9" s="25">
        <v>4</v>
      </c>
      <c r="D9" s="2">
        <v>19</v>
      </c>
      <c r="E9" s="2">
        <v>16</v>
      </c>
      <c r="F9" s="2">
        <v>15</v>
      </c>
      <c r="G9" s="2">
        <v>28</v>
      </c>
      <c r="H9" s="2">
        <v>4</v>
      </c>
      <c r="I9" s="2">
        <v>11</v>
      </c>
      <c r="J9" s="2">
        <v>8</v>
      </c>
      <c r="K9" s="2">
        <f t="shared" si="0"/>
        <v>101</v>
      </c>
      <c r="L9" s="2">
        <v>1218</v>
      </c>
      <c r="O9" s="135"/>
      <c r="P9" s="137" t="s">
        <v>1334</v>
      </c>
      <c r="Q9" s="138">
        <v>2</v>
      </c>
      <c r="R9" s="138">
        <v>24</v>
      </c>
      <c r="S9" s="138">
        <v>1</v>
      </c>
      <c r="T9" s="138">
        <v>16</v>
      </c>
      <c r="U9" s="138">
        <v>4</v>
      </c>
      <c r="V9" s="138">
        <v>18</v>
      </c>
      <c r="W9" s="138">
        <v>0</v>
      </c>
      <c r="X9" s="138">
        <v>16</v>
      </c>
      <c r="Y9" s="138">
        <v>0</v>
      </c>
      <c r="Z9" s="138">
        <v>4</v>
      </c>
      <c r="AA9" s="131"/>
    </row>
    <row r="10" spans="2:27" ht="15" thickBot="1" x14ac:dyDescent="0.4">
      <c r="B10" s="25"/>
      <c r="C10" s="25"/>
      <c r="D10" s="2"/>
      <c r="E10" s="2"/>
      <c r="F10" s="2"/>
      <c r="G10" s="2"/>
      <c r="H10" s="2"/>
      <c r="I10" s="2"/>
      <c r="J10" s="2"/>
      <c r="K10" s="2"/>
      <c r="L10" s="2"/>
      <c r="O10" s="135"/>
      <c r="P10" s="137" t="s">
        <v>1335</v>
      </c>
      <c r="Q10" s="138">
        <v>4</v>
      </c>
      <c r="R10" s="138">
        <v>21</v>
      </c>
      <c r="S10" s="138">
        <v>1</v>
      </c>
      <c r="T10" s="138">
        <v>19</v>
      </c>
      <c r="U10" s="138">
        <v>2</v>
      </c>
      <c r="V10" s="138">
        <v>25</v>
      </c>
      <c r="W10" s="138">
        <v>2</v>
      </c>
      <c r="X10" s="138">
        <v>22</v>
      </c>
      <c r="Y10" s="138">
        <v>2</v>
      </c>
      <c r="Z10" s="138">
        <v>0</v>
      </c>
      <c r="AA10" s="131"/>
    </row>
    <row r="11" spans="2:27" ht="15" thickBot="1" x14ac:dyDescent="0.4">
      <c r="B11" s="25">
        <v>4</v>
      </c>
      <c r="C11" s="25">
        <v>5</v>
      </c>
      <c r="D11" s="2">
        <v>2</v>
      </c>
      <c r="E11" s="2">
        <v>4</v>
      </c>
      <c r="F11" s="2">
        <v>0</v>
      </c>
      <c r="G11" s="2">
        <v>1</v>
      </c>
      <c r="H11" s="2">
        <v>0</v>
      </c>
      <c r="I11" s="2">
        <v>2</v>
      </c>
      <c r="J11" s="2">
        <v>1</v>
      </c>
      <c r="K11" s="2">
        <f t="shared" si="0"/>
        <v>10</v>
      </c>
      <c r="L11" s="2">
        <v>1212</v>
      </c>
      <c r="O11" s="135"/>
      <c r="P11" s="137" t="s">
        <v>1336</v>
      </c>
      <c r="Q11" s="138">
        <v>4</v>
      </c>
      <c r="R11" s="138">
        <v>27</v>
      </c>
      <c r="S11" s="138">
        <v>4</v>
      </c>
      <c r="T11" s="138">
        <v>28</v>
      </c>
      <c r="U11" s="138">
        <v>1</v>
      </c>
      <c r="V11" s="138">
        <v>17</v>
      </c>
      <c r="W11" s="138">
        <v>0</v>
      </c>
      <c r="X11" s="138">
        <v>24</v>
      </c>
      <c r="Y11" s="138">
        <v>1</v>
      </c>
      <c r="Z11" s="138">
        <v>6</v>
      </c>
      <c r="AA11" s="131"/>
    </row>
    <row r="12" spans="2:27" ht="21.75" customHeight="1" thickBot="1" x14ac:dyDescent="0.4">
      <c r="B12" s="25"/>
      <c r="C12" s="25"/>
      <c r="D12" s="2"/>
      <c r="E12" s="2"/>
      <c r="F12" s="2"/>
      <c r="G12" s="2"/>
      <c r="H12" s="2"/>
      <c r="I12" s="2"/>
      <c r="J12" s="2"/>
      <c r="K12" s="2"/>
      <c r="L12" s="2"/>
      <c r="O12" s="135"/>
      <c r="P12" s="137" t="s">
        <v>1337</v>
      </c>
      <c r="Q12" s="138">
        <v>1</v>
      </c>
      <c r="R12" s="138">
        <v>4</v>
      </c>
      <c r="S12" s="138">
        <v>1</v>
      </c>
      <c r="T12" s="138">
        <v>4</v>
      </c>
      <c r="U12" s="138">
        <v>2</v>
      </c>
      <c r="V12" s="138">
        <v>3</v>
      </c>
      <c r="W12" s="138">
        <v>0</v>
      </c>
      <c r="X12" s="138">
        <v>9</v>
      </c>
      <c r="Y12" s="138">
        <v>0</v>
      </c>
      <c r="Z12" s="138">
        <v>2</v>
      </c>
      <c r="AA12" s="131"/>
    </row>
    <row r="13" spans="2:27" ht="15" thickBot="1" x14ac:dyDescent="0.4">
      <c r="B13" s="25">
        <v>5</v>
      </c>
      <c r="C13" s="25">
        <v>6</v>
      </c>
      <c r="D13" s="2">
        <v>25</v>
      </c>
      <c r="E13" s="2">
        <v>18</v>
      </c>
      <c r="F13" s="2">
        <v>28</v>
      </c>
      <c r="G13" s="2">
        <v>17</v>
      </c>
      <c r="H13" s="2">
        <v>3</v>
      </c>
      <c r="I13" s="2">
        <v>13</v>
      </c>
      <c r="J13" s="2">
        <v>3</v>
      </c>
      <c r="K13" s="2">
        <f t="shared" si="0"/>
        <v>107</v>
      </c>
      <c r="L13" s="2">
        <v>1208</v>
      </c>
      <c r="O13" s="135"/>
      <c r="P13" s="137" t="s">
        <v>1338</v>
      </c>
      <c r="Q13" s="138">
        <v>2</v>
      </c>
      <c r="R13" s="138">
        <v>7</v>
      </c>
      <c r="S13" s="138">
        <v>2</v>
      </c>
      <c r="T13" s="138">
        <v>8</v>
      </c>
      <c r="U13" s="138">
        <v>1</v>
      </c>
      <c r="V13" s="138">
        <v>3</v>
      </c>
      <c r="W13" s="138">
        <v>3</v>
      </c>
      <c r="X13" s="138">
        <v>10</v>
      </c>
      <c r="Y13" s="138">
        <v>0</v>
      </c>
      <c r="Z13" s="138">
        <v>0</v>
      </c>
      <c r="AA13" s="131"/>
    </row>
    <row r="14" spans="2:27" ht="15" thickBot="1" x14ac:dyDescent="0.4">
      <c r="B14" s="25"/>
      <c r="C14" s="25"/>
      <c r="D14" s="2"/>
      <c r="E14" s="2"/>
      <c r="F14" s="2"/>
      <c r="G14" s="2"/>
      <c r="H14" s="2"/>
      <c r="I14" s="2"/>
      <c r="J14" s="2"/>
      <c r="K14" s="2"/>
      <c r="L14" s="2"/>
      <c r="O14" s="135"/>
      <c r="P14" s="137" t="s">
        <v>46</v>
      </c>
      <c r="Q14" s="138">
        <v>3</v>
      </c>
      <c r="R14" s="138">
        <v>16</v>
      </c>
      <c r="S14" s="138">
        <v>5</v>
      </c>
      <c r="T14" s="138">
        <v>15</v>
      </c>
      <c r="U14" s="138">
        <v>0</v>
      </c>
      <c r="V14" s="138">
        <v>28</v>
      </c>
      <c r="W14" s="138">
        <v>0</v>
      </c>
      <c r="X14" s="138">
        <v>19</v>
      </c>
      <c r="Y14" s="138">
        <v>2</v>
      </c>
      <c r="Z14" s="138">
        <v>3</v>
      </c>
      <c r="AA14" s="131"/>
    </row>
    <row r="15" spans="2:27" ht="15" thickBot="1" x14ac:dyDescent="0.4">
      <c r="B15" s="25">
        <v>6</v>
      </c>
      <c r="C15" s="25">
        <v>7</v>
      </c>
      <c r="D15" s="2">
        <v>2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3</v>
      </c>
      <c r="K15" s="2">
        <f t="shared" si="0"/>
        <v>5</v>
      </c>
      <c r="L15" s="2">
        <v>1202</v>
      </c>
      <c r="O15" s="135"/>
      <c r="P15" s="137" t="s">
        <v>734</v>
      </c>
      <c r="Q15" s="138">
        <v>2</v>
      </c>
      <c r="R15" s="138">
        <v>15</v>
      </c>
      <c r="S15" s="138">
        <v>1</v>
      </c>
      <c r="T15" s="138">
        <v>11</v>
      </c>
      <c r="U15" s="138">
        <v>0</v>
      </c>
      <c r="V15" s="138">
        <v>13</v>
      </c>
      <c r="W15" s="138">
        <v>0</v>
      </c>
      <c r="X15" s="138">
        <v>14</v>
      </c>
      <c r="Y15" s="138">
        <v>0</v>
      </c>
      <c r="Z15" s="138">
        <v>18</v>
      </c>
      <c r="AA15" s="131"/>
    </row>
    <row r="16" spans="2:27" ht="15" thickBot="1" x14ac:dyDescent="0.4">
      <c r="B16" s="25"/>
      <c r="C16" s="25"/>
      <c r="D16" s="2"/>
      <c r="E16" s="2"/>
      <c r="F16" s="2"/>
      <c r="G16" s="2"/>
      <c r="H16" s="2"/>
      <c r="I16" s="2"/>
      <c r="J16" s="2"/>
      <c r="K16" s="2"/>
      <c r="L16" s="2"/>
      <c r="O16" s="131"/>
      <c r="P16" s="131" t="s">
        <v>1339</v>
      </c>
      <c r="Q16" s="139">
        <f>SUM(Q9:Q15)</f>
        <v>18</v>
      </c>
      <c r="R16" s="139">
        <f t="shared" ref="R16:Z16" si="1">SUM(R9:R15)</f>
        <v>114</v>
      </c>
      <c r="S16" s="139">
        <f t="shared" si="1"/>
        <v>15</v>
      </c>
      <c r="T16" s="139">
        <f t="shared" si="1"/>
        <v>101</v>
      </c>
      <c r="U16" s="139">
        <f t="shared" si="1"/>
        <v>10</v>
      </c>
      <c r="V16" s="139">
        <f t="shared" si="1"/>
        <v>107</v>
      </c>
      <c r="W16" s="139">
        <f t="shared" si="1"/>
        <v>5</v>
      </c>
      <c r="X16" s="139">
        <f t="shared" si="1"/>
        <v>114</v>
      </c>
      <c r="Y16" s="139">
        <f t="shared" si="1"/>
        <v>5</v>
      </c>
      <c r="Z16" s="139">
        <f t="shared" si="1"/>
        <v>33</v>
      </c>
      <c r="AA16" s="131"/>
    </row>
    <row r="17" spans="2:27" ht="15" thickBot="1" x14ac:dyDescent="0.4">
      <c r="B17" s="25">
        <v>7</v>
      </c>
      <c r="C17" s="25">
        <v>8</v>
      </c>
      <c r="D17" s="2">
        <v>22</v>
      </c>
      <c r="E17" s="2">
        <v>16</v>
      </c>
      <c r="F17" s="2">
        <v>19</v>
      </c>
      <c r="G17" s="2">
        <v>24</v>
      </c>
      <c r="H17" s="2">
        <v>9</v>
      </c>
      <c r="I17" s="2">
        <v>14</v>
      </c>
      <c r="J17" s="2">
        <v>10</v>
      </c>
      <c r="K17" s="2">
        <f t="shared" si="0"/>
        <v>114</v>
      </c>
      <c r="L17" s="2">
        <v>1198</v>
      </c>
      <c r="O17" s="131"/>
      <c r="P17" s="131"/>
      <c r="Q17" s="132"/>
      <c r="R17" s="132"/>
      <c r="S17" s="132"/>
      <c r="T17" s="132"/>
      <c r="U17" s="132"/>
      <c r="V17" s="132"/>
      <c r="W17" s="132"/>
      <c r="X17" s="132"/>
      <c r="Y17" s="132"/>
      <c r="Z17" s="132"/>
      <c r="AA17" s="131"/>
    </row>
    <row r="18" spans="2:27" x14ac:dyDescent="0.3">
      <c r="B18" s="25"/>
      <c r="C18" s="25"/>
      <c r="D18" s="2"/>
      <c r="E18" s="2"/>
      <c r="F18" s="2"/>
      <c r="G18" s="2"/>
      <c r="H18" s="2"/>
      <c r="I18" s="2"/>
      <c r="J18" s="2"/>
      <c r="K18" s="2"/>
      <c r="L18" s="2"/>
    </row>
    <row r="19" spans="2:27" x14ac:dyDescent="0.3">
      <c r="B19" s="25">
        <v>8</v>
      </c>
      <c r="C19" s="25">
        <v>9</v>
      </c>
      <c r="D19" s="2">
        <v>2</v>
      </c>
      <c r="E19" s="2">
        <v>0</v>
      </c>
      <c r="F19" s="2">
        <v>2</v>
      </c>
      <c r="G19" s="2">
        <v>1</v>
      </c>
      <c r="H19" s="2">
        <v>0</v>
      </c>
      <c r="I19" s="2">
        <v>0</v>
      </c>
      <c r="J19" s="2">
        <v>0</v>
      </c>
      <c r="K19" s="2">
        <f t="shared" si="0"/>
        <v>5</v>
      </c>
      <c r="L19" s="2">
        <v>1192</v>
      </c>
    </row>
    <row r="20" spans="2:27" x14ac:dyDescent="0.3">
      <c r="B20" s="25"/>
      <c r="C20" s="25"/>
      <c r="D20" s="2"/>
      <c r="E20" s="2"/>
      <c r="F20" s="2"/>
      <c r="G20" s="2"/>
      <c r="H20" s="2"/>
      <c r="I20" s="2"/>
      <c r="J20" s="2"/>
      <c r="K20" s="2"/>
      <c r="L20" s="2"/>
    </row>
    <row r="21" spans="2:27" x14ac:dyDescent="0.3">
      <c r="B21" s="25">
        <v>9</v>
      </c>
      <c r="C21" s="25">
        <v>10</v>
      </c>
      <c r="D21" s="2">
        <v>0</v>
      </c>
      <c r="E21" s="2">
        <v>4</v>
      </c>
      <c r="F21" s="2">
        <v>3</v>
      </c>
      <c r="G21" s="2">
        <v>6</v>
      </c>
      <c r="H21" s="2">
        <v>2</v>
      </c>
      <c r="I21" s="2">
        <v>18</v>
      </c>
      <c r="J21" s="2">
        <v>0</v>
      </c>
      <c r="K21" s="2">
        <f t="shared" si="0"/>
        <v>33</v>
      </c>
      <c r="L21" s="2">
        <v>1188</v>
      </c>
    </row>
    <row r="37" spans="3:3" x14ac:dyDescent="0.3">
      <c r="C37"/>
    </row>
  </sheetData>
  <mergeCells count="1">
    <mergeCell ref="Q7:Z7"/>
  </mergeCells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B1:AF227"/>
  <sheetViews>
    <sheetView topLeftCell="A61" zoomScaleNormal="100" workbookViewId="0">
      <selection activeCell="R24" sqref="R24"/>
    </sheetView>
  </sheetViews>
  <sheetFormatPr baseColWidth="10" defaultColWidth="10.6328125" defaultRowHeight="13" x14ac:dyDescent="0.3"/>
  <cols>
    <col min="1" max="1" width="2.36328125" style="1" customWidth="1"/>
    <col min="2" max="2" width="37.36328125" style="1" bestFit="1" customWidth="1"/>
    <col min="3" max="3" width="6" style="1" customWidth="1"/>
    <col min="4" max="10" width="5" style="1" customWidth="1"/>
    <col min="11" max="11" width="7.81640625" style="1" bestFit="1" customWidth="1"/>
    <col min="12" max="12" width="6.1796875" style="1" customWidth="1"/>
    <col min="13" max="16" width="7.81640625" style="1" bestFit="1" customWidth="1"/>
    <col min="17" max="17" width="8" style="1" bestFit="1" customWidth="1"/>
    <col min="18" max="26" width="7.81640625" style="1" bestFit="1" customWidth="1"/>
    <col min="27" max="27" width="10.6328125" style="1"/>
    <col min="28" max="28" width="7.81640625" style="1" bestFit="1" customWidth="1"/>
    <col min="29" max="29" width="10.6328125" style="1"/>
    <col min="30" max="31" width="9.453125" style="1" bestFit="1" customWidth="1"/>
    <col min="32" max="16384" width="10.6328125" style="1"/>
  </cols>
  <sheetData>
    <row r="1" spans="2:32" x14ac:dyDescent="0.3">
      <c r="D1" s="36">
        <v>1</v>
      </c>
      <c r="E1" s="36">
        <v>2</v>
      </c>
      <c r="F1" s="36">
        <v>3</v>
      </c>
      <c r="G1" s="36">
        <v>4</v>
      </c>
      <c r="H1" s="36">
        <v>5</v>
      </c>
      <c r="I1" s="36">
        <v>6</v>
      </c>
      <c r="J1" s="36">
        <v>7</v>
      </c>
    </row>
    <row r="2" spans="2:32" ht="81.75" customHeight="1" x14ac:dyDescent="0.3">
      <c r="B2" s="15" t="s">
        <v>16</v>
      </c>
      <c r="C2" s="16" t="s">
        <v>17</v>
      </c>
      <c r="D2" s="16" t="s">
        <v>27</v>
      </c>
      <c r="E2" s="17" t="s">
        <v>30</v>
      </c>
      <c r="F2" s="16" t="s">
        <v>13</v>
      </c>
      <c r="G2" s="17" t="s">
        <v>35</v>
      </c>
      <c r="H2" s="16" t="s">
        <v>38</v>
      </c>
      <c r="I2" s="17" t="s">
        <v>41</v>
      </c>
      <c r="J2" s="16" t="s">
        <v>44</v>
      </c>
      <c r="K2" s="18" t="s">
        <v>70</v>
      </c>
      <c r="L2" s="18" t="s">
        <v>1340</v>
      </c>
      <c r="M2" s="18" t="s">
        <v>1341</v>
      </c>
      <c r="N2" s="18" t="s">
        <v>1342</v>
      </c>
      <c r="O2" s="18" t="s">
        <v>1343</v>
      </c>
      <c r="P2" s="18" t="s">
        <v>1344</v>
      </c>
      <c r="Q2" s="18" t="s">
        <v>1345</v>
      </c>
      <c r="R2" s="18" t="s">
        <v>1346</v>
      </c>
      <c r="S2" s="18" t="s">
        <v>1347</v>
      </c>
      <c r="T2" s="18" t="s">
        <v>1348</v>
      </c>
      <c r="U2" s="18" t="s">
        <v>1349</v>
      </c>
      <c r="V2" s="18" t="s">
        <v>1350</v>
      </c>
      <c r="W2" s="18" t="s">
        <v>1351</v>
      </c>
      <c r="X2" s="18" t="s">
        <v>1352</v>
      </c>
      <c r="Y2" s="18" t="s">
        <v>1353</v>
      </c>
      <c r="Z2" s="18" t="s">
        <v>1354</v>
      </c>
      <c r="AB2" s="18" t="s">
        <v>1355</v>
      </c>
      <c r="AC2" s="19"/>
      <c r="AD2" s="7" t="s">
        <v>1356</v>
      </c>
      <c r="AE2" s="7" t="s">
        <v>1357</v>
      </c>
      <c r="AF2" s="19"/>
    </row>
    <row r="3" spans="2:32" hidden="1" x14ac:dyDescent="0.3">
      <c r="B3" s="1" t="s">
        <v>86</v>
      </c>
      <c r="C3" s="1" t="s">
        <v>32</v>
      </c>
      <c r="D3" s="1">
        <v>6</v>
      </c>
      <c r="E3" s="1">
        <v>6</v>
      </c>
      <c r="F3" s="1">
        <v>8</v>
      </c>
      <c r="G3" s="1">
        <v>4</v>
      </c>
      <c r="K3" s="1">
        <v>48</v>
      </c>
      <c r="L3" s="2"/>
      <c r="M3" s="37">
        <v>27009</v>
      </c>
      <c r="N3" s="37" t="s">
        <v>1358</v>
      </c>
      <c r="O3" s="37" t="s">
        <v>1359</v>
      </c>
      <c r="P3" s="37" t="s">
        <v>1360</v>
      </c>
      <c r="Q3" s="38"/>
      <c r="R3" s="38"/>
      <c r="S3" s="38"/>
      <c r="T3" s="1">
        <v>6</v>
      </c>
      <c r="U3" s="1">
        <v>6</v>
      </c>
      <c r="V3" s="1">
        <v>6</v>
      </c>
      <c r="W3" s="1">
        <v>6</v>
      </c>
      <c r="AB3" s="20">
        <v>1</v>
      </c>
      <c r="AD3" s="35">
        <v>0.29166666666666669</v>
      </c>
      <c r="AE3" s="35">
        <v>0.3125</v>
      </c>
    </row>
    <row r="4" spans="2:32" hidden="1" x14ac:dyDescent="0.3">
      <c r="B4" s="1" t="s">
        <v>1361</v>
      </c>
      <c r="C4" s="1" t="s">
        <v>32</v>
      </c>
      <c r="D4" s="1">
        <v>7</v>
      </c>
      <c r="K4" s="1">
        <v>32</v>
      </c>
      <c r="L4" s="2"/>
      <c r="M4" s="37">
        <v>27015</v>
      </c>
      <c r="N4" s="38"/>
      <c r="O4" s="38"/>
      <c r="P4" s="38"/>
      <c r="Q4" s="38"/>
      <c r="R4" s="38"/>
      <c r="S4" s="38"/>
      <c r="T4" s="1">
        <v>4</v>
      </c>
      <c r="AB4" s="21">
        <v>2</v>
      </c>
      <c r="AD4" s="35">
        <v>0.3125</v>
      </c>
      <c r="AE4" s="35">
        <v>0.33333333333333298</v>
      </c>
    </row>
    <row r="5" spans="2:32" x14ac:dyDescent="0.3">
      <c r="B5" s="1" t="s">
        <v>1362</v>
      </c>
      <c r="C5" s="1" t="s">
        <v>40</v>
      </c>
      <c r="I5" s="1">
        <v>9</v>
      </c>
      <c r="K5" s="1">
        <v>48</v>
      </c>
      <c r="L5" s="2" t="s">
        <v>90</v>
      </c>
      <c r="M5" s="38"/>
      <c r="N5" s="38"/>
      <c r="O5" s="38"/>
      <c r="P5" s="38"/>
      <c r="Q5" s="38"/>
      <c r="R5" s="37" t="s">
        <v>1363</v>
      </c>
      <c r="S5" s="38"/>
      <c r="AB5" s="20">
        <v>3</v>
      </c>
      <c r="AD5" s="35">
        <v>0.33333333333333298</v>
      </c>
      <c r="AE5" s="35">
        <v>0.35416666666666602</v>
      </c>
    </row>
    <row r="6" spans="2:32" hidden="1" x14ac:dyDescent="0.3">
      <c r="B6" s="1" t="s">
        <v>101</v>
      </c>
      <c r="C6" s="1" t="s">
        <v>43</v>
      </c>
      <c r="H6" s="1">
        <v>6</v>
      </c>
      <c r="K6" s="1">
        <v>80</v>
      </c>
      <c r="L6" s="2"/>
      <c r="M6" s="38"/>
      <c r="N6" s="38"/>
      <c r="O6" s="38"/>
      <c r="P6" s="38"/>
      <c r="Q6" s="37" t="s">
        <v>1364</v>
      </c>
      <c r="R6" s="38"/>
      <c r="S6" s="38"/>
      <c r="X6" s="1">
        <v>9</v>
      </c>
      <c r="AB6" s="21">
        <v>4</v>
      </c>
      <c r="AD6" s="35">
        <v>0.35416666666666702</v>
      </c>
      <c r="AE6" s="35">
        <v>0.374999999999999</v>
      </c>
    </row>
    <row r="7" spans="2:32" hidden="1" x14ac:dyDescent="0.3">
      <c r="B7" s="1" t="s">
        <v>1365</v>
      </c>
      <c r="C7" s="1" t="s">
        <v>29</v>
      </c>
      <c r="G7" s="1">
        <v>7</v>
      </c>
      <c r="K7" s="1">
        <v>48</v>
      </c>
      <c r="L7" s="2"/>
      <c r="M7" s="38"/>
      <c r="N7" s="38"/>
      <c r="O7" s="38"/>
      <c r="P7" s="37" t="s">
        <v>1366</v>
      </c>
      <c r="Q7" s="38"/>
      <c r="R7" s="38"/>
      <c r="S7" s="38"/>
      <c r="W7" s="1">
        <v>6</v>
      </c>
      <c r="AB7" s="20">
        <v>5</v>
      </c>
      <c r="AD7" s="35">
        <v>0.375</v>
      </c>
      <c r="AE7" s="35">
        <v>0.39583333333333198</v>
      </c>
    </row>
    <row r="8" spans="2:32" hidden="1" x14ac:dyDescent="0.3">
      <c r="B8" s="1" t="s">
        <v>105</v>
      </c>
      <c r="C8" s="1" t="s">
        <v>43</v>
      </c>
      <c r="I8" s="1">
        <v>6</v>
      </c>
      <c r="K8" s="1">
        <v>64</v>
      </c>
      <c r="L8" s="2"/>
      <c r="M8" s="38"/>
      <c r="N8" s="38"/>
      <c r="O8" s="38"/>
      <c r="P8" s="38"/>
      <c r="Q8" s="38"/>
      <c r="R8" s="37" t="s">
        <v>1367</v>
      </c>
      <c r="S8" s="38"/>
      <c r="Y8" s="1">
        <v>8</v>
      </c>
      <c r="AB8" s="21">
        <v>6</v>
      </c>
      <c r="AD8" s="35">
        <v>0.39583333333333398</v>
      </c>
      <c r="AE8" s="35">
        <v>0.41666666666666502</v>
      </c>
    </row>
    <row r="9" spans="2:32" hidden="1" x14ac:dyDescent="0.3">
      <c r="B9" s="1" t="s">
        <v>108</v>
      </c>
      <c r="C9" s="1" t="s">
        <v>48</v>
      </c>
      <c r="D9" s="1">
        <v>1</v>
      </c>
      <c r="E9" s="1">
        <v>1</v>
      </c>
      <c r="F9" s="1">
        <v>1</v>
      </c>
      <c r="G9" s="1">
        <v>1</v>
      </c>
      <c r="H9" s="1">
        <v>1</v>
      </c>
      <c r="I9" s="1">
        <v>1</v>
      </c>
      <c r="J9" s="1">
        <v>1</v>
      </c>
      <c r="K9" s="1">
        <v>64</v>
      </c>
      <c r="L9" s="2"/>
      <c r="M9" s="37" t="s">
        <v>1368</v>
      </c>
      <c r="N9" s="37" t="s">
        <v>1368</v>
      </c>
      <c r="O9" s="37" t="s">
        <v>1368</v>
      </c>
      <c r="P9" s="37" t="s">
        <v>1369</v>
      </c>
      <c r="Q9" s="37" t="s">
        <v>1370</v>
      </c>
      <c r="R9" s="37" t="s">
        <v>1368</v>
      </c>
      <c r="S9" s="37" t="s">
        <v>1369</v>
      </c>
      <c r="T9" s="1">
        <v>8</v>
      </c>
      <c r="U9" s="1">
        <v>8</v>
      </c>
      <c r="V9" s="1">
        <v>8</v>
      </c>
      <c r="W9" s="1">
        <v>8</v>
      </c>
      <c r="X9" s="1">
        <v>8</v>
      </c>
      <c r="Y9" s="1">
        <v>8</v>
      </c>
      <c r="Z9" s="1">
        <v>8</v>
      </c>
      <c r="AB9" s="20">
        <v>7</v>
      </c>
      <c r="AD9" s="35">
        <v>0.41666666666666702</v>
      </c>
      <c r="AE9" s="35">
        <v>0.437499999999998</v>
      </c>
    </row>
    <row r="10" spans="2:32" hidden="1" x14ac:dyDescent="0.3">
      <c r="B10" s="1" t="s">
        <v>112</v>
      </c>
      <c r="C10" s="1" t="s">
        <v>48</v>
      </c>
      <c r="D10" s="1">
        <v>2</v>
      </c>
      <c r="E10" s="1">
        <v>2</v>
      </c>
      <c r="G10" s="1">
        <v>2</v>
      </c>
      <c r="H10" s="1">
        <v>2</v>
      </c>
      <c r="I10" s="1">
        <v>2</v>
      </c>
      <c r="J10" s="1">
        <v>2</v>
      </c>
      <c r="K10" s="1">
        <v>64</v>
      </c>
      <c r="L10" s="2"/>
      <c r="M10" s="37" t="s">
        <v>1371</v>
      </c>
      <c r="N10" s="37" t="s">
        <v>1371</v>
      </c>
      <c r="O10" s="38"/>
      <c r="P10" s="37" t="s">
        <v>1372</v>
      </c>
      <c r="Q10" s="37" t="s">
        <v>1373</v>
      </c>
      <c r="R10" s="37" t="s">
        <v>1371</v>
      </c>
      <c r="S10" s="37" t="s">
        <v>1372</v>
      </c>
      <c r="T10" s="1">
        <v>8</v>
      </c>
      <c r="U10" s="1">
        <v>8</v>
      </c>
      <c r="W10" s="1">
        <v>8</v>
      </c>
      <c r="X10" s="1">
        <v>8</v>
      </c>
      <c r="Y10" s="1">
        <v>8</v>
      </c>
      <c r="Z10" s="1">
        <v>8</v>
      </c>
      <c r="AB10" s="21">
        <v>8</v>
      </c>
      <c r="AD10" s="35">
        <v>0.4375</v>
      </c>
      <c r="AE10" s="35">
        <v>0.45833333333333098</v>
      </c>
    </row>
    <row r="11" spans="2:32" hidden="1" x14ac:dyDescent="0.3">
      <c r="B11" s="1" t="s">
        <v>124</v>
      </c>
      <c r="C11" s="1" t="s">
        <v>43</v>
      </c>
      <c r="H11" s="1">
        <v>6</v>
      </c>
      <c r="K11" s="1">
        <v>80</v>
      </c>
      <c r="L11" s="2"/>
      <c r="M11" s="38"/>
      <c r="N11" s="38"/>
      <c r="O11" s="38"/>
      <c r="P11" s="38"/>
      <c r="Q11" s="37" t="s">
        <v>1374</v>
      </c>
      <c r="R11" s="38"/>
      <c r="S11" s="38"/>
      <c r="X11" s="1">
        <v>8</v>
      </c>
      <c r="AB11" s="20">
        <v>9</v>
      </c>
      <c r="AD11" s="35">
        <v>0.45833333333333398</v>
      </c>
      <c r="AE11" s="35">
        <v>0.47916666666666402</v>
      </c>
    </row>
    <row r="12" spans="2:32" ht="26" hidden="1" x14ac:dyDescent="0.3">
      <c r="B12" s="1" t="s">
        <v>129</v>
      </c>
      <c r="C12" s="1" t="s">
        <v>37</v>
      </c>
      <c r="D12" s="1">
        <v>4</v>
      </c>
      <c r="I12" s="1">
        <v>11</v>
      </c>
      <c r="K12" s="1">
        <v>48</v>
      </c>
      <c r="L12" s="2"/>
      <c r="M12" s="37" t="s">
        <v>1375</v>
      </c>
      <c r="N12" s="38"/>
      <c r="O12" s="38"/>
      <c r="P12" s="38"/>
      <c r="Q12" s="38"/>
      <c r="R12" s="38"/>
      <c r="S12" s="38"/>
      <c r="T12" s="1">
        <v>6</v>
      </c>
      <c r="AB12" s="22">
        <v>10</v>
      </c>
      <c r="AD12" s="35">
        <v>0.47916666666666702</v>
      </c>
      <c r="AE12" s="35">
        <v>0.499999999999997</v>
      </c>
    </row>
    <row r="13" spans="2:32" x14ac:dyDescent="0.3">
      <c r="B13" s="1" t="s">
        <v>131</v>
      </c>
      <c r="C13" s="1" t="s">
        <v>40</v>
      </c>
      <c r="I13" s="1">
        <v>6</v>
      </c>
      <c r="K13" s="1">
        <v>64</v>
      </c>
      <c r="L13" s="2"/>
      <c r="M13" s="38"/>
      <c r="N13" s="38"/>
      <c r="O13" s="38"/>
      <c r="P13" s="38"/>
      <c r="Q13" s="38"/>
      <c r="R13" s="37" t="s">
        <v>1376</v>
      </c>
      <c r="S13" s="38"/>
      <c r="Y13" s="1">
        <v>8</v>
      </c>
      <c r="AD13" s="35">
        <v>0.5</v>
      </c>
      <c r="AE13" s="35">
        <v>0.52083333333333004</v>
      </c>
    </row>
    <row r="14" spans="2:32" hidden="1" x14ac:dyDescent="0.3">
      <c r="B14" s="1" t="s">
        <v>135</v>
      </c>
      <c r="C14" s="1" t="s">
        <v>43</v>
      </c>
      <c r="H14" s="1">
        <v>2</v>
      </c>
      <c r="K14" s="1">
        <v>48</v>
      </c>
      <c r="L14" s="2"/>
      <c r="M14" s="38"/>
      <c r="N14" s="38"/>
      <c r="O14" s="38"/>
      <c r="P14" s="38"/>
      <c r="Q14" s="37" t="s">
        <v>1377</v>
      </c>
      <c r="R14" s="38"/>
      <c r="S14" s="38"/>
      <c r="X14" s="1">
        <v>6</v>
      </c>
      <c r="AD14" s="35">
        <v>0.52083333333333304</v>
      </c>
      <c r="AE14" s="35">
        <v>0.54166666666666297</v>
      </c>
    </row>
    <row r="15" spans="2:32" ht="39" hidden="1" x14ac:dyDescent="0.3">
      <c r="B15" s="1" t="s">
        <v>137</v>
      </c>
      <c r="C15" s="1" t="s">
        <v>29</v>
      </c>
      <c r="D15" s="1">
        <v>1</v>
      </c>
      <c r="E15" s="1">
        <v>1</v>
      </c>
      <c r="F15" s="1">
        <v>3</v>
      </c>
      <c r="G15" s="1">
        <v>1</v>
      </c>
      <c r="H15" s="11">
        <v>1</v>
      </c>
      <c r="I15" s="1">
        <v>1</v>
      </c>
      <c r="J15" s="1">
        <v>1</v>
      </c>
      <c r="K15" s="1">
        <v>64</v>
      </c>
      <c r="L15" s="2"/>
      <c r="M15" s="37" t="s">
        <v>1378</v>
      </c>
      <c r="N15" s="37" t="s">
        <v>1378</v>
      </c>
      <c r="O15" s="37" t="s">
        <v>1378</v>
      </c>
      <c r="P15" s="37" t="s">
        <v>1379</v>
      </c>
      <c r="Q15" s="37" t="s">
        <v>1380</v>
      </c>
      <c r="R15" s="37" t="s">
        <v>1381</v>
      </c>
      <c r="S15" s="37" t="s">
        <v>1379</v>
      </c>
      <c r="T15" s="1">
        <v>8</v>
      </c>
      <c r="U15" s="1">
        <v>8</v>
      </c>
      <c r="V15" s="1">
        <v>8</v>
      </c>
      <c r="W15" s="1">
        <v>8</v>
      </c>
      <c r="X15" s="1">
        <v>8</v>
      </c>
      <c r="Y15" s="1">
        <v>7</v>
      </c>
      <c r="Z15" s="1">
        <v>8</v>
      </c>
      <c r="AD15" s="35">
        <v>0.54166666666666696</v>
      </c>
      <c r="AE15" s="35">
        <v>0.562499999999996</v>
      </c>
    </row>
    <row r="16" spans="2:32" hidden="1" x14ac:dyDescent="0.3">
      <c r="B16" s="1" t="s">
        <v>141</v>
      </c>
      <c r="C16" s="1" t="s">
        <v>45</v>
      </c>
      <c r="D16" s="1">
        <v>4</v>
      </c>
      <c r="E16" s="1">
        <v>4</v>
      </c>
      <c r="F16" s="1">
        <v>4</v>
      </c>
      <c r="G16" s="1">
        <v>4</v>
      </c>
      <c r="H16" s="11">
        <v>4</v>
      </c>
      <c r="I16" s="1">
        <v>4</v>
      </c>
      <c r="J16" s="1">
        <v>4</v>
      </c>
      <c r="K16" s="1">
        <v>32</v>
      </c>
      <c r="L16" s="2"/>
      <c r="M16" s="37" t="s">
        <v>1382</v>
      </c>
      <c r="N16" s="37" t="s">
        <v>1382</v>
      </c>
      <c r="O16" s="37" t="s">
        <v>1382</v>
      </c>
      <c r="P16" s="37" t="s">
        <v>1383</v>
      </c>
      <c r="Q16" s="37" t="s">
        <v>1384</v>
      </c>
      <c r="R16" s="37" t="s">
        <v>1385</v>
      </c>
      <c r="S16" s="37" t="s">
        <v>1383</v>
      </c>
      <c r="T16" s="1">
        <v>4</v>
      </c>
      <c r="U16" s="1">
        <v>4</v>
      </c>
      <c r="V16" s="1">
        <v>4</v>
      </c>
      <c r="W16" s="1">
        <v>4</v>
      </c>
      <c r="X16" s="1">
        <v>4</v>
      </c>
      <c r="Y16" s="1">
        <v>4</v>
      </c>
      <c r="Z16" s="1">
        <v>4</v>
      </c>
      <c r="AD16" s="35">
        <v>0.5625</v>
      </c>
      <c r="AE16" s="35">
        <v>0.58333333333332904</v>
      </c>
    </row>
    <row r="17" spans="2:31" hidden="1" x14ac:dyDescent="0.3">
      <c r="B17" s="1" t="s">
        <v>147</v>
      </c>
      <c r="C17" s="1" t="s">
        <v>45</v>
      </c>
      <c r="D17" s="1">
        <v>5</v>
      </c>
      <c r="E17" s="1">
        <v>5</v>
      </c>
      <c r="F17" s="1">
        <v>5</v>
      </c>
      <c r="G17" s="1">
        <v>5</v>
      </c>
      <c r="H17" s="11">
        <v>5</v>
      </c>
      <c r="I17" s="1">
        <v>5</v>
      </c>
      <c r="J17" s="1">
        <v>5</v>
      </c>
      <c r="K17" s="1">
        <v>32</v>
      </c>
      <c r="L17" s="2"/>
      <c r="M17" s="37" t="s">
        <v>1386</v>
      </c>
      <c r="N17" s="37" t="s">
        <v>1386</v>
      </c>
      <c r="O17" s="37" t="s">
        <v>1386</v>
      </c>
      <c r="P17" s="37" t="s">
        <v>1387</v>
      </c>
      <c r="Q17" s="37" t="s">
        <v>1388</v>
      </c>
      <c r="R17" s="37" t="s">
        <v>1389</v>
      </c>
      <c r="S17" s="37" t="s">
        <v>1387</v>
      </c>
      <c r="T17" s="1">
        <v>4</v>
      </c>
      <c r="U17" s="1">
        <v>4</v>
      </c>
      <c r="V17" s="1">
        <v>4</v>
      </c>
      <c r="W17" s="1">
        <v>4</v>
      </c>
      <c r="X17" s="1">
        <v>4</v>
      </c>
      <c r="Y17" s="1">
        <v>4</v>
      </c>
      <c r="Z17" s="1">
        <v>4</v>
      </c>
      <c r="AD17" s="35">
        <v>0.58333333333333304</v>
      </c>
      <c r="AE17" s="35">
        <v>0.60416666666666197</v>
      </c>
    </row>
    <row r="18" spans="2:31" hidden="1" x14ac:dyDescent="0.3">
      <c r="B18" s="1" t="s">
        <v>151</v>
      </c>
      <c r="C18" s="1" t="s">
        <v>29</v>
      </c>
      <c r="G18" s="1">
        <v>6</v>
      </c>
      <c r="K18" s="1">
        <v>48</v>
      </c>
      <c r="L18" s="2"/>
      <c r="M18" s="38"/>
      <c r="N18" s="38"/>
      <c r="O18" s="38"/>
      <c r="P18" s="37" t="s">
        <v>1390</v>
      </c>
      <c r="Q18" s="38"/>
      <c r="R18" s="38"/>
      <c r="S18" s="38"/>
      <c r="W18" s="1">
        <v>6</v>
      </c>
      <c r="AD18" s="35">
        <v>0.60416666666666696</v>
      </c>
      <c r="AE18" s="35">
        <v>0.624999999999995</v>
      </c>
    </row>
    <row r="19" spans="2:31" hidden="1" x14ac:dyDescent="0.3">
      <c r="B19" s="1" t="s">
        <v>154</v>
      </c>
      <c r="C19" s="1" t="s">
        <v>29</v>
      </c>
      <c r="G19" s="1">
        <v>8</v>
      </c>
      <c r="K19" s="1">
        <v>48</v>
      </c>
      <c r="L19" s="2"/>
      <c r="M19" s="38"/>
      <c r="N19" s="38"/>
      <c r="O19" s="38"/>
      <c r="P19" s="37" t="s">
        <v>1391</v>
      </c>
      <c r="Q19" s="38"/>
      <c r="R19" s="38"/>
      <c r="S19" s="38"/>
      <c r="W19" s="1">
        <v>6</v>
      </c>
      <c r="AD19" s="35">
        <v>0.625</v>
      </c>
      <c r="AE19" s="35">
        <v>0.64583333333332804</v>
      </c>
    </row>
    <row r="20" spans="2:31" x14ac:dyDescent="0.3">
      <c r="B20" s="1" t="s">
        <v>1392</v>
      </c>
      <c r="C20" s="1" t="s">
        <v>496</v>
      </c>
      <c r="I20" s="1">
        <v>9</v>
      </c>
      <c r="K20" s="1">
        <v>48</v>
      </c>
      <c r="L20" s="2" t="s">
        <v>90</v>
      </c>
      <c r="M20" s="38"/>
      <c r="N20" s="38"/>
      <c r="O20" s="38"/>
      <c r="P20" s="38"/>
      <c r="Q20" s="38"/>
      <c r="R20" s="37" t="s">
        <v>1393</v>
      </c>
      <c r="S20" s="38"/>
      <c r="Y20" s="1">
        <v>6</v>
      </c>
      <c r="AD20" s="35">
        <v>0.64583333333333304</v>
      </c>
      <c r="AE20" s="35">
        <v>0.66666666666666097</v>
      </c>
    </row>
    <row r="21" spans="2:31" hidden="1" x14ac:dyDescent="0.3">
      <c r="B21" s="1" t="s">
        <v>156</v>
      </c>
      <c r="C21" s="1" t="s">
        <v>29</v>
      </c>
      <c r="G21" s="1">
        <v>6</v>
      </c>
      <c r="K21" s="1">
        <v>48</v>
      </c>
      <c r="L21" s="2"/>
      <c r="M21" s="38"/>
      <c r="N21" s="38"/>
      <c r="O21" s="38"/>
      <c r="P21" s="37" t="s">
        <v>1394</v>
      </c>
      <c r="Q21" s="38"/>
      <c r="R21" s="38"/>
      <c r="S21" s="38"/>
      <c r="W21" s="1">
        <v>6</v>
      </c>
      <c r="AD21" s="35">
        <v>0.66666666666666696</v>
      </c>
      <c r="AE21" s="35">
        <v>0.687499999999994</v>
      </c>
    </row>
    <row r="22" spans="2:31" x14ac:dyDescent="0.3">
      <c r="B22" s="1" t="s">
        <v>1395</v>
      </c>
      <c r="C22" s="1" t="s">
        <v>40</v>
      </c>
      <c r="I22" s="1">
        <v>9</v>
      </c>
      <c r="K22" s="1">
        <v>48</v>
      </c>
      <c r="L22" s="2"/>
      <c r="M22" s="38"/>
      <c r="N22" s="38"/>
      <c r="O22" s="38"/>
      <c r="P22" s="38"/>
      <c r="Q22" s="38"/>
      <c r="R22" s="37" t="s">
        <v>1396</v>
      </c>
      <c r="S22" s="38"/>
      <c r="Y22" s="1">
        <v>6</v>
      </c>
      <c r="AD22" s="35">
        <v>0.6875</v>
      </c>
      <c r="AE22" s="35">
        <v>0.70833333333332704</v>
      </c>
    </row>
    <row r="23" spans="2:31" x14ac:dyDescent="0.3">
      <c r="B23" s="1" t="s">
        <v>1397</v>
      </c>
      <c r="C23" s="1" t="s">
        <v>40</v>
      </c>
      <c r="I23" s="1">
        <v>7</v>
      </c>
      <c r="K23" s="1">
        <v>48</v>
      </c>
      <c r="L23" s="2"/>
      <c r="M23" s="38"/>
      <c r="N23" s="38"/>
      <c r="O23" s="38"/>
      <c r="P23" s="38"/>
      <c r="Q23" s="38"/>
      <c r="R23" s="37" t="s">
        <v>1398</v>
      </c>
      <c r="S23" s="38"/>
      <c r="Y23" s="1">
        <v>6</v>
      </c>
      <c r="AD23" s="35">
        <v>0.70833333333333304</v>
      </c>
      <c r="AE23" s="35">
        <v>0.72916666666665997</v>
      </c>
    </row>
    <row r="24" spans="2:31" x14ac:dyDescent="0.3">
      <c r="B24" s="1" t="s">
        <v>159</v>
      </c>
      <c r="C24" s="1" t="s">
        <v>40</v>
      </c>
      <c r="I24" s="1">
        <v>8</v>
      </c>
      <c r="K24" s="1">
        <v>48</v>
      </c>
      <c r="L24" s="2"/>
      <c r="M24" s="38"/>
      <c r="N24" s="38"/>
      <c r="O24" s="38"/>
      <c r="P24" s="38"/>
      <c r="Q24" s="38"/>
      <c r="R24" s="37" t="s">
        <v>1399</v>
      </c>
      <c r="S24" s="38"/>
      <c r="Y24" s="1">
        <v>6</v>
      </c>
      <c r="AD24" s="35">
        <v>0.72916666666666696</v>
      </c>
      <c r="AE24" s="35">
        <v>0.74999999999999301</v>
      </c>
    </row>
    <row r="25" spans="2:31" hidden="1" x14ac:dyDescent="0.3">
      <c r="B25" s="1" t="s">
        <v>162</v>
      </c>
      <c r="C25" s="1" t="s">
        <v>26</v>
      </c>
      <c r="J25" s="1">
        <v>8</v>
      </c>
      <c r="K25" s="1">
        <v>64</v>
      </c>
      <c r="L25" s="2"/>
      <c r="M25" s="38"/>
      <c r="N25" s="38"/>
      <c r="O25" s="38"/>
      <c r="P25" s="38"/>
      <c r="Q25" s="38"/>
      <c r="R25" s="38"/>
      <c r="S25" s="37" t="s">
        <v>1400</v>
      </c>
      <c r="Z25" s="1">
        <v>6</v>
      </c>
      <c r="AD25" s="35">
        <v>0.75</v>
      </c>
      <c r="AE25" s="35">
        <v>0.77083333333332604</v>
      </c>
    </row>
    <row r="26" spans="2:31" hidden="1" x14ac:dyDescent="0.3">
      <c r="B26" s="1" t="s">
        <v>1401</v>
      </c>
      <c r="C26" s="1" t="s">
        <v>26</v>
      </c>
      <c r="J26" s="1">
        <v>3</v>
      </c>
      <c r="K26" s="1">
        <v>64</v>
      </c>
      <c r="L26" s="2"/>
      <c r="M26" s="38"/>
      <c r="N26" s="38"/>
      <c r="O26" s="38"/>
      <c r="P26" s="38"/>
      <c r="Q26" s="38"/>
      <c r="R26" s="38"/>
      <c r="S26" s="37" t="s">
        <v>1402</v>
      </c>
      <c r="Z26" s="1">
        <v>5</v>
      </c>
      <c r="AD26" s="35">
        <v>0.77083333333333304</v>
      </c>
      <c r="AE26" s="35">
        <v>0.79166666666665897</v>
      </c>
    </row>
    <row r="27" spans="2:31" hidden="1" x14ac:dyDescent="0.3">
      <c r="B27" s="1" t="s">
        <v>1403</v>
      </c>
      <c r="C27" s="1" t="s">
        <v>26</v>
      </c>
      <c r="J27" s="1">
        <v>5</v>
      </c>
      <c r="K27" s="1">
        <v>64</v>
      </c>
      <c r="L27" s="2"/>
      <c r="M27" s="38"/>
      <c r="N27" s="38"/>
      <c r="O27" s="38"/>
      <c r="P27" s="38"/>
      <c r="Q27" s="38"/>
      <c r="R27" s="38"/>
      <c r="S27" s="37" t="s">
        <v>1404</v>
      </c>
      <c r="Z27" s="1">
        <v>6</v>
      </c>
      <c r="AD27" s="35">
        <v>0.79166666666666696</v>
      </c>
      <c r="AE27" s="35">
        <v>0.81249999999999201</v>
      </c>
    </row>
    <row r="28" spans="2:31" hidden="1" x14ac:dyDescent="0.3">
      <c r="B28" s="1" t="s">
        <v>1405</v>
      </c>
      <c r="C28" s="1" t="s">
        <v>26</v>
      </c>
      <c r="J28" s="1">
        <v>7</v>
      </c>
      <c r="K28" s="1">
        <v>64</v>
      </c>
      <c r="L28" s="2"/>
      <c r="M28" s="38"/>
      <c r="N28" s="38"/>
      <c r="O28" s="38"/>
      <c r="P28" s="38"/>
      <c r="Q28" s="38"/>
      <c r="R28" s="38"/>
      <c r="S28" s="37" t="s">
        <v>1406</v>
      </c>
      <c r="Z28" s="1">
        <v>6</v>
      </c>
      <c r="AD28" s="35">
        <v>0.8125</v>
      </c>
      <c r="AE28" s="35">
        <v>0.83333333333332504</v>
      </c>
    </row>
    <row r="29" spans="2:31" hidden="1" x14ac:dyDescent="0.3">
      <c r="B29" s="1" t="s">
        <v>1407</v>
      </c>
      <c r="C29" s="1" t="s">
        <v>43</v>
      </c>
      <c r="H29" s="1">
        <v>7</v>
      </c>
      <c r="K29" s="1">
        <v>64</v>
      </c>
      <c r="L29" s="2"/>
      <c r="M29" s="38"/>
      <c r="N29" s="38"/>
      <c r="O29" s="38"/>
      <c r="P29" s="38"/>
      <c r="Q29" s="37" t="s">
        <v>1408</v>
      </c>
      <c r="R29" s="38"/>
      <c r="S29" s="38"/>
      <c r="X29" s="1">
        <v>6</v>
      </c>
      <c r="AD29" s="35">
        <v>0.83333333333333304</v>
      </c>
      <c r="AE29" s="35">
        <v>0.85416666666665797</v>
      </c>
    </row>
    <row r="30" spans="2:31" x14ac:dyDescent="0.3">
      <c r="B30" s="1" t="s">
        <v>1409</v>
      </c>
      <c r="C30" s="1" t="s">
        <v>40</v>
      </c>
      <c r="I30" s="1">
        <v>1</v>
      </c>
      <c r="K30" s="1">
        <v>48</v>
      </c>
      <c r="L30" s="2"/>
      <c r="M30" s="38"/>
      <c r="N30" s="38"/>
      <c r="O30" s="38"/>
      <c r="P30" s="38"/>
      <c r="Q30" s="38"/>
      <c r="R30" s="37" t="s">
        <v>1410</v>
      </c>
      <c r="S30" s="38"/>
      <c r="Y30" s="1">
        <v>4</v>
      </c>
      <c r="AD30" s="35">
        <v>0.85416666666666696</v>
      </c>
      <c r="AE30" s="35">
        <v>0.87499999999999001</v>
      </c>
    </row>
    <row r="31" spans="2:31" x14ac:dyDescent="0.3">
      <c r="B31" s="1" t="s">
        <v>1411</v>
      </c>
      <c r="C31" s="1" t="s">
        <v>40</v>
      </c>
      <c r="I31" s="1">
        <v>11</v>
      </c>
      <c r="K31" s="1">
        <v>64</v>
      </c>
      <c r="L31" s="2" t="s">
        <v>90</v>
      </c>
      <c r="M31" s="38"/>
      <c r="N31" s="38"/>
      <c r="O31" s="38"/>
      <c r="P31" s="38"/>
      <c r="Q31" s="38"/>
      <c r="R31" s="37" t="s">
        <v>1412</v>
      </c>
      <c r="S31" s="38"/>
      <c r="Y31" s="1">
        <v>7</v>
      </c>
      <c r="AD31" s="35">
        <v>0.875</v>
      </c>
      <c r="AE31" s="35">
        <v>0.89583333333332305</v>
      </c>
    </row>
    <row r="32" spans="2:31" hidden="1" x14ac:dyDescent="0.3">
      <c r="B32" s="1" t="s">
        <v>166</v>
      </c>
      <c r="C32" s="1" t="s">
        <v>48</v>
      </c>
      <c r="D32" s="1">
        <v>1</v>
      </c>
      <c r="E32" s="1">
        <v>1</v>
      </c>
      <c r="F32" s="1">
        <v>3</v>
      </c>
      <c r="G32" s="1">
        <v>1</v>
      </c>
      <c r="H32" s="1">
        <v>1</v>
      </c>
      <c r="I32" s="1">
        <v>1</v>
      </c>
      <c r="J32" s="1">
        <v>1</v>
      </c>
      <c r="K32" s="1">
        <v>64</v>
      </c>
      <c r="L32" s="2"/>
      <c r="M32" s="37" t="s">
        <v>1413</v>
      </c>
      <c r="N32" s="37" t="s">
        <v>1413</v>
      </c>
      <c r="O32" s="37" t="s">
        <v>1413</v>
      </c>
      <c r="P32" s="37" t="s">
        <v>1414</v>
      </c>
      <c r="Q32" s="37" t="s">
        <v>1415</v>
      </c>
      <c r="R32" s="37" t="s">
        <v>1413</v>
      </c>
      <c r="S32" s="37" t="s">
        <v>1414</v>
      </c>
      <c r="T32" s="1">
        <v>8</v>
      </c>
      <c r="U32" s="1">
        <v>8</v>
      </c>
      <c r="V32" s="1">
        <v>8</v>
      </c>
      <c r="W32" s="1">
        <v>8</v>
      </c>
      <c r="X32" s="1">
        <v>8</v>
      </c>
      <c r="Y32" s="1">
        <v>8</v>
      </c>
      <c r="Z32" s="1">
        <v>8</v>
      </c>
      <c r="AD32" s="35">
        <v>0.89583333333333304</v>
      </c>
      <c r="AE32" s="35">
        <v>0.91666666666665697</v>
      </c>
    </row>
    <row r="33" spans="2:26" hidden="1" x14ac:dyDescent="0.3">
      <c r="B33" s="1" t="s">
        <v>174</v>
      </c>
      <c r="C33" s="1" t="s">
        <v>48</v>
      </c>
      <c r="D33" s="1">
        <v>2</v>
      </c>
      <c r="E33" s="1">
        <v>2</v>
      </c>
      <c r="F33" s="1">
        <v>4</v>
      </c>
      <c r="G33" s="1">
        <v>2</v>
      </c>
      <c r="H33" s="1">
        <v>2</v>
      </c>
      <c r="I33" s="1">
        <v>2</v>
      </c>
      <c r="J33" s="1">
        <v>2</v>
      </c>
      <c r="K33" s="1">
        <v>64</v>
      </c>
      <c r="L33" s="2"/>
      <c r="M33" s="37" t="s">
        <v>1416</v>
      </c>
      <c r="N33" s="37" t="s">
        <v>1416</v>
      </c>
      <c r="O33" s="37" t="s">
        <v>1417</v>
      </c>
      <c r="P33" s="37" t="s">
        <v>1418</v>
      </c>
      <c r="Q33" s="37" t="s">
        <v>1419</v>
      </c>
      <c r="R33" s="37" t="s">
        <v>1416</v>
      </c>
      <c r="S33" s="37" t="s">
        <v>1418</v>
      </c>
      <c r="T33" s="1">
        <v>8</v>
      </c>
      <c r="V33" s="1">
        <v>8</v>
      </c>
      <c r="W33" s="1">
        <v>8</v>
      </c>
      <c r="X33" s="1">
        <v>6</v>
      </c>
      <c r="Y33" s="1">
        <v>8</v>
      </c>
      <c r="Z33" s="1">
        <v>8</v>
      </c>
    </row>
    <row r="34" spans="2:26" ht="13.5" hidden="1" customHeight="1" x14ac:dyDescent="0.3">
      <c r="B34" s="1" t="s">
        <v>182</v>
      </c>
      <c r="C34" s="1" t="s">
        <v>48</v>
      </c>
      <c r="G34" s="1">
        <v>4</v>
      </c>
      <c r="K34" s="1">
        <v>64</v>
      </c>
      <c r="L34" s="2"/>
      <c r="M34" s="38"/>
      <c r="N34" s="38"/>
      <c r="O34" s="38"/>
      <c r="P34" s="37" t="s">
        <v>1420</v>
      </c>
      <c r="Q34" s="38"/>
      <c r="R34" s="38"/>
      <c r="S34" s="38"/>
      <c r="W34" s="1">
        <v>8</v>
      </c>
    </row>
    <row r="35" spans="2:26" hidden="1" x14ac:dyDescent="0.3">
      <c r="B35" s="1" t="s">
        <v>183</v>
      </c>
      <c r="C35" s="1" t="s">
        <v>48</v>
      </c>
      <c r="D35" s="1">
        <v>3</v>
      </c>
      <c r="E35" s="1">
        <v>3</v>
      </c>
      <c r="F35" s="1">
        <v>5</v>
      </c>
      <c r="G35" s="1">
        <v>3</v>
      </c>
      <c r="H35" s="1">
        <v>3</v>
      </c>
      <c r="I35" s="1">
        <v>3</v>
      </c>
      <c r="J35" s="1">
        <v>3</v>
      </c>
      <c r="K35" s="1">
        <v>64</v>
      </c>
      <c r="L35" s="2"/>
      <c r="M35" s="37" t="s">
        <v>1421</v>
      </c>
      <c r="N35" s="37" t="s">
        <v>1421</v>
      </c>
      <c r="O35" s="37" t="s">
        <v>1422</v>
      </c>
      <c r="P35" s="37" t="s">
        <v>1423</v>
      </c>
      <c r="Q35" s="37" t="s">
        <v>1424</v>
      </c>
      <c r="R35" s="37" t="s">
        <v>1421</v>
      </c>
      <c r="S35" s="37" t="s">
        <v>1423</v>
      </c>
      <c r="T35" s="1">
        <v>8</v>
      </c>
      <c r="U35" s="1">
        <v>8</v>
      </c>
      <c r="V35" s="1">
        <v>8</v>
      </c>
      <c r="W35" s="1">
        <v>8</v>
      </c>
      <c r="X35" s="1">
        <v>8</v>
      </c>
      <c r="Y35" s="1">
        <v>8</v>
      </c>
      <c r="Z35" s="1">
        <v>8</v>
      </c>
    </row>
    <row r="36" spans="2:26" hidden="1" x14ac:dyDescent="0.3">
      <c r="B36" s="1" t="s">
        <v>1425</v>
      </c>
      <c r="K36" s="1">
        <v>64</v>
      </c>
      <c r="L36" s="2" t="s">
        <v>90</v>
      </c>
      <c r="M36" s="38"/>
      <c r="N36" s="38"/>
      <c r="O36" s="38"/>
      <c r="P36" s="37"/>
      <c r="Q36" s="38"/>
      <c r="R36" s="37" t="s">
        <v>1426</v>
      </c>
      <c r="S36" s="38"/>
      <c r="Y36" s="1">
        <v>8</v>
      </c>
    </row>
    <row r="37" spans="2:26" ht="26" x14ac:dyDescent="0.3">
      <c r="B37" s="1" t="s">
        <v>186</v>
      </c>
      <c r="C37" s="11" t="s">
        <v>496</v>
      </c>
      <c r="I37" s="12">
        <v>10</v>
      </c>
      <c r="K37" s="1">
        <v>48</v>
      </c>
      <c r="L37" s="2" t="s">
        <v>90</v>
      </c>
      <c r="M37" s="38"/>
      <c r="N37" s="38"/>
      <c r="O37" s="38"/>
      <c r="P37" s="38"/>
      <c r="Q37" s="38"/>
      <c r="R37" s="37" t="s">
        <v>1427</v>
      </c>
      <c r="S37" s="38"/>
      <c r="Y37" s="1">
        <v>8</v>
      </c>
    </row>
    <row r="38" spans="2:26" hidden="1" x14ac:dyDescent="0.3">
      <c r="B38" s="1" t="s">
        <v>189</v>
      </c>
      <c r="C38" s="1" t="s">
        <v>34</v>
      </c>
      <c r="E38" s="1">
        <v>3</v>
      </c>
      <c r="G38" s="1">
        <v>3</v>
      </c>
      <c r="H38" s="11">
        <v>4</v>
      </c>
      <c r="J38" s="1">
        <v>3</v>
      </c>
      <c r="K38" s="1">
        <v>48</v>
      </c>
      <c r="L38" s="2"/>
      <c r="M38" s="38"/>
      <c r="N38" s="37" t="s">
        <v>1428</v>
      </c>
      <c r="O38" s="38"/>
      <c r="P38" s="37" t="s">
        <v>1429</v>
      </c>
      <c r="Q38" s="37" t="s">
        <v>1430</v>
      </c>
      <c r="R38" s="38"/>
      <c r="S38" s="37" t="s">
        <v>1429</v>
      </c>
      <c r="U38" s="1">
        <v>6</v>
      </c>
      <c r="W38" s="1">
        <v>6</v>
      </c>
      <c r="X38" s="1">
        <v>7</v>
      </c>
      <c r="Z38" s="1">
        <v>6</v>
      </c>
    </row>
    <row r="39" spans="2:26" hidden="1" x14ac:dyDescent="0.3">
      <c r="B39" s="1" t="s">
        <v>193</v>
      </c>
      <c r="C39" s="1" t="s">
        <v>34</v>
      </c>
      <c r="E39" s="1">
        <v>4</v>
      </c>
      <c r="H39" s="11">
        <v>5</v>
      </c>
      <c r="J39" s="1">
        <v>4</v>
      </c>
      <c r="K39" s="1">
        <v>64</v>
      </c>
      <c r="L39" s="2"/>
      <c r="M39" s="38"/>
      <c r="N39" s="37" t="s">
        <v>1431</v>
      </c>
      <c r="O39" s="38"/>
      <c r="P39" s="38"/>
      <c r="Q39" s="37" t="s">
        <v>1432</v>
      </c>
      <c r="R39" s="38"/>
      <c r="S39" s="37" t="s">
        <v>1433</v>
      </c>
      <c r="U39" s="1">
        <v>6</v>
      </c>
      <c r="X39" s="1">
        <v>7</v>
      </c>
      <c r="Z39" s="1">
        <v>6</v>
      </c>
    </row>
    <row r="40" spans="2:26" hidden="1" x14ac:dyDescent="0.3">
      <c r="B40" s="1" t="s">
        <v>197</v>
      </c>
      <c r="C40" s="1" t="s">
        <v>34</v>
      </c>
      <c r="F40" s="1">
        <v>6</v>
      </c>
      <c r="K40" s="1">
        <v>64</v>
      </c>
      <c r="L40" s="2"/>
      <c r="M40" s="38"/>
      <c r="N40" s="38"/>
      <c r="O40" s="37" t="s">
        <v>1434</v>
      </c>
      <c r="P40" s="38"/>
      <c r="Q40" s="38"/>
      <c r="R40" s="38"/>
      <c r="S40" s="38"/>
      <c r="V40" s="1">
        <v>5</v>
      </c>
    </row>
    <row r="41" spans="2:26" hidden="1" x14ac:dyDescent="0.3">
      <c r="B41" s="1" t="s">
        <v>1435</v>
      </c>
      <c r="C41" s="1" t="s">
        <v>34</v>
      </c>
      <c r="D41" s="1">
        <v>5</v>
      </c>
      <c r="E41" s="1">
        <v>3</v>
      </c>
      <c r="H41" s="1">
        <v>3</v>
      </c>
      <c r="J41" s="1">
        <v>3</v>
      </c>
      <c r="K41" s="1">
        <v>64</v>
      </c>
      <c r="L41" s="2"/>
      <c r="M41" s="37" t="s">
        <v>1436</v>
      </c>
      <c r="N41" s="37" t="s">
        <v>1437</v>
      </c>
      <c r="O41" s="38"/>
      <c r="P41" s="38"/>
      <c r="Q41" s="37" t="s">
        <v>1438</v>
      </c>
      <c r="R41" s="38"/>
      <c r="S41" s="37" t="s">
        <v>1439</v>
      </c>
      <c r="T41" s="1">
        <v>7</v>
      </c>
      <c r="U41" s="1">
        <v>7</v>
      </c>
      <c r="X41" s="1">
        <v>6</v>
      </c>
      <c r="Z41" s="1">
        <v>8</v>
      </c>
    </row>
    <row r="42" spans="2:26" hidden="1" x14ac:dyDescent="0.3">
      <c r="B42" s="1" t="s">
        <v>199</v>
      </c>
      <c r="C42" s="1" t="s">
        <v>34</v>
      </c>
      <c r="J42" s="1">
        <v>4</v>
      </c>
      <c r="K42" s="1">
        <v>48</v>
      </c>
      <c r="L42" s="2"/>
      <c r="M42" s="38"/>
      <c r="N42" s="38"/>
      <c r="O42" s="38"/>
      <c r="P42" s="38"/>
      <c r="Q42" s="38"/>
      <c r="R42" s="38"/>
      <c r="S42" s="37" t="s">
        <v>1440</v>
      </c>
      <c r="Z42" s="1">
        <v>5</v>
      </c>
    </row>
    <row r="43" spans="2:26" x14ac:dyDescent="0.3">
      <c r="B43" s="1" t="s">
        <v>201</v>
      </c>
      <c r="C43" s="1" t="s">
        <v>40</v>
      </c>
      <c r="I43" s="1">
        <v>6</v>
      </c>
      <c r="K43" s="1">
        <v>80</v>
      </c>
      <c r="L43" s="2"/>
      <c r="M43" s="38"/>
      <c r="N43" s="38"/>
      <c r="O43" s="38"/>
      <c r="P43" s="38"/>
      <c r="Q43" s="38"/>
      <c r="R43" s="37" t="s">
        <v>1441</v>
      </c>
      <c r="S43" s="38"/>
      <c r="Y43" s="1">
        <v>7</v>
      </c>
    </row>
    <row r="44" spans="2:26" hidden="1" x14ac:dyDescent="0.3">
      <c r="B44" s="1" t="s">
        <v>1442</v>
      </c>
      <c r="C44" s="1" t="s">
        <v>29</v>
      </c>
      <c r="G44" s="1">
        <v>7</v>
      </c>
      <c r="K44" s="1">
        <v>48</v>
      </c>
      <c r="L44" s="2"/>
      <c r="M44" s="38"/>
      <c r="N44" s="38"/>
      <c r="O44" s="38"/>
      <c r="P44" s="37" t="s">
        <v>1443</v>
      </c>
      <c r="Q44" s="38"/>
      <c r="R44" s="38"/>
      <c r="S44" s="38"/>
      <c r="W44" s="1">
        <v>6</v>
      </c>
    </row>
    <row r="45" spans="2:26" hidden="1" x14ac:dyDescent="0.3">
      <c r="B45" s="1" t="s">
        <v>204</v>
      </c>
      <c r="C45" s="1" t="s">
        <v>34</v>
      </c>
      <c r="E45" s="12">
        <v>8</v>
      </c>
      <c r="J45" s="1">
        <v>8</v>
      </c>
      <c r="K45" s="1">
        <v>48</v>
      </c>
      <c r="L45" s="2" t="s">
        <v>90</v>
      </c>
      <c r="M45" s="38"/>
      <c r="N45" s="37" t="s">
        <v>1444</v>
      </c>
      <c r="O45" s="38"/>
      <c r="P45" s="38"/>
      <c r="Q45" s="38"/>
      <c r="R45" s="38"/>
      <c r="S45" s="37" t="s">
        <v>1445</v>
      </c>
      <c r="U45" s="1">
        <v>6</v>
      </c>
      <c r="Z45" s="1">
        <v>6</v>
      </c>
    </row>
    <row r="46" spans="2:26" ht="26" x14ac:dyDescent="0.3">
      <c r="B46" s="1" t="s">
        <v>1446</v>
      </c>
      <c r="C46" s="1" t="s">
        <v>40</v>
      </c>
      <c r="K46" s="1">
        <v>48</v>
      </c>
      <c r="L46" s="2" t="s">
        <v>90</v>
      </c>
      <c r="M46" s="38"/>
      <c r="N46" s="38"/>
      <c r="O46" s="38"/>
      <c r="P46" s="38"/>
      <c r="Q46" s="38"/>
      <c r="R46" s="37" t="s">
        <v>1447</v>
      </c>
      <c r="S46" s="38"/>
      <c r="Y46" s="1">
        <v>6</v>
      </c>
    </row>
    <row r="47" spans="2:26" hidden="1" x14ac:dyDescent="0.3">
      <c r="B47" s="1" t="s">
        <v>206</v>
      </c>
      <c r="C47" s="1" t="s">
        <v>37</v>
      </c>
      <c r="D47" s="1">
        <v>2</v>
      </c>
      <c r="I47" s="1">
        <v>8</v>
      </c>
      <c r="K47" s="1">
        <v>48</v>
      </c>
      <c r="L47" s="2"/>
      <c r="M47" s="37" t="s">
        <v>1448</v>
      </c>
      <c r="N47" s="38"/>
      <c r="O47" s="38"/>
      <c r="P47" s="38"/>
      <c r="Q47" s="38"/>
      <c r="R47" s="37" t="s">
        <v>1449</v>
      </c>
      <c r="S47" s="38"/>
      <c r="T47" s="1">
        <v>6</v>
      </c>
      <c r="Y47" s="1">
        <v>6</v>
      </c>
    </row>
    <row r="48" spans="2:26" hidden="1" x14ac:dyDescent="0.3">
      <c r="B48" s="1" t="s">
        <v>1450</v>
      </c>
      <c r="C48" s="1" t="s">
        <v>32</v>
      </c>
      <c r="D48" s="1">
        <v>5</v>
      </c>
      <c r="E48" s="12">
        <v>7</v>
      </c>
      <c r="K48" s="1">
        <v>48</v>
      </c>
      <c r="L48" s="2" t="s">
        <v>90</v>
      </c>
      <c r="M48" s="37" t="s">
        <v>1451</v>
      </c>
      <c r="N48" s="37" t="s">
        <v>1452</v>
      </c>
      <c r="O48" s="38"/>
      <c r="P48" s="38"/>
      <c r="Q48" s="38"/>
      <c r="R48" s="38"/>
      <c r="S48" s="38"/>
      <c r="T48" s="1">
        <v>6</v>
      </c>
      <c r="U48" s="1">
        <v>6</v>
      </c>
    </row>
    <row r="49" spans="2:26" hidden="1" x14ac:dyDescent="0.3">
      <c r="B49" s="1" t="s">
        <v>212</v>
      </c>
      <c r="C49" s="1" t="s">
        <v>34</v>
      </c>
      <c r="I49" s="1">
        <v>4</v>
      </c>
      <c r="K49" s="1">
        <v>64</v>
      </c>
      <c r="L49" s="2" t="s">
        <v>90</v>
      </c>
      <c r="M49" s="38"/>
      <c r="N49" s="38"/>
      <c r="O49" s="38"/>
      <c r="P49" s="38"/>
      <c r="Q49" s="38"/>
      <c r="R49" s="37" t="s">
        <v>1453</v>
      </c>
      <c r="S49" s="38"/>
      <c r="Y49" s="1">
        <v>7</v>
      </c>
    </row>
    <row r="50" spans="2:26" hidden="1" x14ac:dyDescent="0.3">
      <c r="B50" s="1" t="s">
        <v>1454</v>
      </c>
      <c r="C50" s="1" t="s">
        <v>37</v>
      </c>
      <c r="I50" s="1">
        <v>5</v>
      </c>
      <c r="K50" s="1">
        <v>48</v>
      </c>
      <c r="L50" s="2" t="s">
        <v>90</v>
      </c>
      <c r="M50" s="38"/>
      <c r="N50" s="38"/>
      <c r="O50" s="38"/>
      <c r="P50" s="38"/>
      <c r="Q50" s="38"/>
      <c r="R50" s="37" t="s">
        <v>1455</v>
      </c>
      <c r="S50" s="38"/>
      <c r="Y50" s="1">
        <v>4</v>
      </c>
    </row>
    <row r="51" spans="2:26" hidden="1" x14ac:dyDescent="0.3">
      <c r="B51" s="1" t="s">
        <v>214</v>
      </c>
      <c r="C51" s="1" t="s">
        <v>29</v>
      </c>
      <c r="G51" s="1">
        <v>8</v>
      </c>
      <c r="K51" s="1">
        <v>48</v>
      </c>
      <c r="L51" s="2"/>
      <c r="M51" s="38"/>
      <c r="N51" s="38"/>
      <c r="O51" s="38"/>
      <c r="P51" s="37" t="s">
        <v>1456</v>
      </c>
      <c r="Q51" s="38"/>
      <c r="R51" s="38"/>
      <c r="S51" s="38"/>
      <c r="W51" s="1">
        <v>6</v>
      </c>
    </row>
    <row r="52" spans="2:26" ht="26" hidden="1" x14ac:dyDescent="0.3">
      <c r="B52" s="1" t="s">
        <v>1457</v>
      </c>
      <c r="C52" s="1" t="s">
        <v>29</v>
      </c>
      <c r="G52" s="1">
        <v>7</v>
      </c>
      <c r="J52" s="1">
        <v>7</v>
      </c>
      <c r="K52" s="1">
        <v>48</v>
      </c>
      <c r="L52" s="2"/>
      <c r="M52" s="38"/>
      <c r="N52" s="38"/>
      <c r="O52" s="38"/>
      <c r="P52" s="37" t="s">
        <v>1458</v>
      </c>
      <c r="Q52" s="38"/>
      <c r="R52" s="38"/>
      <c r="S52" s="37" t="s">
        <v>1458</v>
      </c>
      <c r="W52" s="1">
        <v>6</v>
      </c>
      <c r="Z52" s="1">
        <v>6</v>
      </c>
    </row>
    <row r="53" spans="2:26" hidden="1" x14ac:dyDescent="0.3">
      <c r="B53" s="1" t="s">
        <v>1459</v>
      </c>
      <c r="C53" s="1" t="s">
        <v>29</v>
      </c>
      <c r="G53" s="1">
        <v>5</v>
      </c>
      <c r="J53" s="1">
        <v>5</v>
      </c>
      <c r="K53" s="1">
        <v>48</v>
      </c>
      <c r="L53" s="2"/>
      <c r="M53" s="38"/>
      <c r="N53" s="38"/>
      <c r="O53" s="38"/>
      <c r="P53" s="37" t="s">
        <v>1460</v>
      </c>
      <c r="Q53" s="38"/>
      <c r="R53" s="38"/>
      <c r="S53" s="37" t="s">
        <v>1460</v>
      </c>
      <c r="W53" s="1">
        <v>6</v>
      </c>
      <c r="Z53" s="1">
        <v>6</v>
      </c>
    </row>
    <row r="54" spans="2:26" hidden="1" x14ac:dyDescent="0.3">
      <c r="B54" s="1" t="s">
        <v>1461</v>
      </c>
      <c r="C54" s="1" t="s">
        <v>34</v>
      </c>
      <c r="E54" s="12">
        <v>7</v>
      </c>
      <c r="J54" s="1">
        <v>7</v>
      </c>
      <c r="K54" s="1">
        <v>64</v>
      </c>
      <c r="L54" s="2" t="s">
        <v>90</v>
      </c>
      <c r="M54" s="38"/>
      <c r="N54" s="37" t="s">
        <v>1462</v>
      </c>
      <c r="O54" s="38"/>
      <c r="P54" s="38"/>
      <c r="Q54" s="38"/>
      <c r="R54" s="38"/>
      <c r="S54" s="37" t="s">
        <v>1463</v>
      </c>
      <c r="U54" s="1">
        <v>6</v>
      </c>
      <c r="Z54" s="1">
        <v>6</v>
      </c>
    </row>
    <row r="55" spans="2:26" hidden="1" x14ac:dyDescent="0.3">
      <c r="B55" s="1" t="s">
        <v>1464</v>
      </c>
      <c r="C55" s="1" t="s">
        <v>49</v>
      </c>
      <c r="E55" s="1">
        <v>3</v>
      </c>
      <c r="I55" s="1">
        <v>3</v>
      </c>
      <c r="K55" s="1">
        <v>64</v>
      </c>
      <c r="L55" s="2"/>
      <c r="M55" s="38"/>
      <c r="N55" s="37" t="s">
        <v>1465</v>
      </c>
      <c r="O55" s="38"/>
      <c r="P55" s="38"/>
      <c r="Q55" s="38"/>
      <c r="R55" s="37" t="s">
        <v>1466</v>
      </c>
      <c r="S55" s="38"/>
      <c r="U55" s="1">
        <v>8</v>
      </c>
      <c r="Y55" s="1">
        <v>8</v>
      </c>
    </row>
    <row r="56" spans="2:26" hidden="1" x14ac:dyDescent="0.3">
      <c r="B56" s="1" t="s">
        <v>217</v>
      </c>
      <c r="C56" s="1" t="s">
        <v>34</v>
      </c>
      <c r="E56" s="1">
        <v>6</v>
      </c>
      <c r="J56" s="1">
        <v>6</v>
      </c>
      <c r="K56" s="1">
        <v>48</v>
      </c>
      <c r="L56" s="2"/>
      <c r="M56" s="38"/>
      <c r="N56" s="37" t="s">
        <v>1467</v>
      </c>
      <c r="O56" s="38"/>
      <c r="P56" s="38"/>
      <c r="Q56" s="38"/>
      <c r="R56" s="38"/>
      <c r="S56" s="37" t="s">
        <v>1468</v>
      </c>
      <c r="U56" s="1">
        <v>6</v>
      </c>
      <c r="Z56" s="1">
        <v>6</v>
      </c>
    </row>
    <row r="57" spans="2:26" hidden="1" x14ac:dyDescent="0.3">
      <c r="B57" s="1" t="s">
        <v>220</v>
      </c>
      <c r="C57" s="1" t="s">
        <v>37</v>
      </c>
      <c r="D57" s="1">
        <v>8</v>
      </c>
      <c r="E57" s="1">
        <v>8</v>
      </c>
      <c r="G57" s="1">
        <v>8</v>
      </c>
      <c r="H57" s="1">
        <v>8</v>
      </c>
      <c r="J57" s="1">
        <v>8</v>
      </c>
      <c r="K57" s="1">
        <v>32</v>
      </c>
      <c r="L57" s="2" t="s">
        <v>90</v>
      </c>
      <c r="M57" s="37" t="s">
        <v>1469</v>
      </c>
      <c r="N57" s="37" t="s">
        <v>1469</v>
      </c>
      <c r="O57" s="37" t="s">
        <v>1470</v>
      </c>
      <c r="P57" s="37" t="s">
        <v>1471</v>
      </c>
      <c r="Q57" s="37" t="s">
        <v>1472</v>
      </c>
      <c r="R57" s="38"/>
      <c r="S57" s="37" t="s">
        <v>1471</v>
      </c>
      <c r="T57" s="1">
        <v>4</v>
      </c>
      <c r="U57" s="1">
        <v>4</v>
      </c>
      <c r="V57" s="1">
        <v>4</v>
      </c>
      <c r="W57" s="1">
        <v>4</v>
      </c>
      <c r="X57" s="1">
        <v>6</v>
      </c>
      <c r="Z57" s="1">
        <v>4</v>
      </c>
    </row>
    <row r="58" spans="2:26" hidden="1" x14ac:dyDescent="0.3">
      <c r="B58" s="1" t="s">
        <v>228</v>
      </c>
      <c r="C58" s="1" t="s">
        <v>49</v>
      </c>
      <c r="D58" s="1">
        <v>2</v>
      </c>
      <c r="E58" s="1">
        <v>5</v>
      </c>
      <c r="F58" s="1">
        <v>2</v>
      </c>
      <c r="H58" s="1">
        <v>3</v>
      </c>
      <c r="K58" s="1">
        <v>64</v>
      </c>
      <c r="L58" s="2"/>
      <c r="M58" s="37" t="s">
        <v>1473</v>
      </c>
      <c r="N58" s="37" t="s">
        <v>1474</v>
      </c>
      <c r="O58" s="37" t="s">
        <v>1473</v>
      </c>
      <c r="P58" s="38"/>
      <c r="Q58" s="37" t="s">
        <v>1475</v>
      </c>
      <c r="R58" s="38"/>
      <c r="S58" s="38"/>
      <c r="T58" s="1">
        <v>8</v>
      </c>
      <c r="U58" s="1">
        <v>8</v>
      </c>
      <c r="V58" s="1">
        <v>8</v>
      </c>
      <c r="X58" s="1">
        <v>7</v>
      </c>
    </row>
    <row r="59" spans="2:26" hidden="1" x14ac:dyDescent="0.3">
      <c r="B59" s="1" t="s">
        <v>1476</v>
      </c>
      <c r="C59" s="1" t="s">
        <v>49</v>
      </c>
      <c r="E59" s="1">
        <v>7</v>
      </c>
      <c r="K59" s="1">
        <v>48</v>
      </c>
      <c r="L59" s="2"/>
      <c r="M59" s="38"/>
      <c r="N59" s="37" t="s">
        <v>1477</v>
      </c>
      <c r="O59" s="38"/>
      <c r="P59" s="38"/>
      <c r="Q59" s="38"/>
      <c r="R59" s="38"/>
      <c r="S59" s="38"/>
      <c r="U59" s="1">
        <v>6</v>
      </c>
    </row>
    <row r="60" spans="2:26" x14ac:dyDescent="0.3">
      <c r="B60" s="1" t="s">
        <v>1478</v>
      </c>
      <c r="C60" s="1" t="s">
        <v>40</v>
      </c>
      <c r="I60" s="1">
        <v>7</v>
      </c>
      <c r="K60" s="1">
        <v>64</v>
      </c>
      <c r="L60" s="2"/>
      <c r="M60" s="38"/>
      <c r="N60" s="38"/>
      <c r="O60" s="38"/>
      <c r="P60" s="38"/>
      <c r="Q60" s="38"/>
      <c r="R60" s="37" t="s">
        <v>1479</v>
      </c>
      <c r="S60" s="38"/>
      <c r="Y60" s="1">
        <v>8</v>
      </c>
    </row>
    <row r="61" spans="2:26" x14ac:dyDescent="0.3">
      <c r="B61" s="1" t="s">
        <v>234</v>
      </c>
      <c r="C61" s="1" t="s">
        <v>40</v>
      </c>
      <c r="I61" s="1">
        <v>8</v>
      </c>
      <c r="K61" s="1">
        <v>64</v>
      </c>
      <c r="L61" s="2"/>
      <c r="M61" s="38"/>
      <c r="N61" s="38"/>
      <c r="O61" s="38"/>
      <c r="P61" s="38"/>
      <c r="Q61" s="38"/>
      <c r="R61" s="37" t="s">
        <v>1480</v>
      </c>
      <c r="S61" s="38"/>
      <c r="Y61" s="1">
        <v>8</v>
      </c>
    </row>
    <row r="62" spans="2:26" x14ac:dyDescent="0.3">
      <c r="B62" s="1" t="s">
        <v>1481</v>
      </c>
      <c r="C62" s="1" t="s">
        <v>40</v>
      </c>
      <c r="I62" s="1">
        <v>7</v>
      </c>
      <c r="K62" s="1">
        <v>64</v>
      </c>
      <c r="L62" s="2"/>
      <c r="M62" s="38"/>
      <c r="N62" s="38"/>
      <c r="O62" s="38"/>
      <c r="P62" s="38"/>
      <c r="Q62" s="38"/>
      <c r="R62" s="37" t="s">
        <v>1482</v>
      </c>
      <c r="S62" s="38"/>
      <c r="Y62" s="1">
        <v>8</v>
      </c>
    </row>
    <row r="63" spans="2:26" x14ac:dyDescent="0.3">
      <c r="B63" s="1" t="s">
        <v>237</v>
      </c>
      <c r="C63" s="1" t="s">
        <v>40</v>
      </c>
      <c r="I63" s="1">
        <v>8</v>
      </c>
      <c r="K63" s="1">
        <v>64</v>
      </c>
      <c r="L63" s="2"/>
      <c r="M63" s="38"/>
      <c r="N63" s="38"/>
      <c r="O63" s="38"/>
      <c r="P63" s="38"/>
      <c r="Q63" s="38"/>
      <c r="R63" s="37" t="s">
        <v>1483</v>
      </c>
      <c r="S63" s="38"/>
      <c r="Y63" s="1">
        <v>8</v>
      </c>
    </row>
    <row r="64" spans="2:26" hidden="1" x14ac:dyDescent="0.3">
      <c r="B64" s="1" t="s">
        <v>1484</v>
      </c>
      <c r="C64" s="1" t="s">
        <v>32</v>
      </c>
      <c r="D64" s="1">
        <v>5</v>
      </c>
      <c r="K64" s="1">
        <v>48</v>
      </c>
      <c r="L64" s="2"/>
      <c r="M64" s="37" t="s">
        <v>1485</v>
      </c>
      <c r="N64" s="38"/>
      <c r="O64" s="38"/>
      <c r="P64" s="38"/>
      <c r="Q64" s="38"/>
      <c r="R64" s="38"/>
      <c r="S64" s="38"/>
      <c r="T64" s="1">
        <v>6</v>
      </c>
    </row>
    <row r="65" spans="2:26" hidden="1" x14ac:dyDescent="0.3">
      <c r="B65" s="1" t="s">
        <v>241</v>
      </c>
      <c r="C65" s="1" t="s">
        <v>32</v>
      </c>
      <c r="D65" s="1">
        <v>8</v>
      </c>
      <c r="K65" s="1">
        <v>64</v>
      </c>
      <c r="L65" s="2"/>
      <c r="M65" s="37" t="s">
        <v>1486</v>
      </c>
      <c r="N65" s="38"/>
      <c r="O65" s="38"/>
      <c r="P65" s="38"/>
      <c r="Q65" s="38"/>
      <c r="R65" s="38"/>
      <c r="S65" s="38"/>
      <c r="T65" s="1">
        <v>8</v>
      </c>
    </row>
    <row r="66" spans="2:26" hidden="1" x14ac:dyDescent="0.3">
      <c r="B66" s="1" t="s">
        <v>244</v>
      </c>
      <c r="C66" s="1" t="s">
        <v>49</v>
      </c>
      <c r="E66" s="1">
        <v>8</v>
      </c>
      <c r="K66" s="1">
        <v>64</v>
      </c>
      <c r="L66" s="2"/>
      <c r="M66" s="38"/>
      <c r="N66" s="37" t="s">
        <v>1487</v>
      </c>
      <c r="O66" s="38"/>
      <c r="P66" s="38"/>
      <c r="Q66" s="38"/>
      <c r="R66" s="37"/>
      <c r="S66" s="38"/>
      <c r="U66" s="1">
        <v>7</v>
      </c>
    </row>
    <row r="67" spans="2:26" x14ac:dyDescent="0.3">
      <c r="B67" s="1" t="s">
        <v>247</v>
      </c>
      <c r="C67" s="1" t="s">
        <v>40</v>
      </c>
      <c r="I67" s="12">
        <v>10</v>
      </c>
      <c r="K67" s="1">
        <v>64</v>
      </c>
      <c r="L67" s="2" t="s">
        <v>90</v>
      </c>
      <c r="M67" s="38"/>
      <c r="N67" s="38"/>
      <c r="O67" s="38"/>
      <c r="P67" s="38"/>
      <c r="Q67" s="38"/>
      <c r="R67" s="37" t="s">
        <v>1488</v>
      </c>
      <c r="S67" s="38"/>
      <c r="Y67" s="1">
        <v>6</v>
      </c>
    </row>
    <row r="68" spans="2:26" hidden="1" x14ac:dyDescent="0.3">
      <c r="B68" s="1" t="s">
        <v>1489</v>
      </c>
      <c r="C68" s="1" t="s">
        <v>32</v>
      </c>
      <c r="D68" s="1">
        <v>7</v>
      </c>
      <c r="K68" s="1">
        <v>64</v>
      </c>
      <c r="L68" s="2"/>
      <c r="M68" s="37" t="s">
        <v>1490</v>
      </c>
      <c r="N68" s="38"/>
      <c r="O68" s="38"/>
      <c r="P68" s="38"/>
      <c r="Q68" s="38"/>
      <c r="R68" s="38"/>
      <c r="S68" s="38"/>
      <c r="T68" s="1">
        <v>8</v>
      </c>
    </row>
    <row r="69" spans="2:26" hidden="1" x14ac:dyDescent="0.3">
      <c r="B69" s="1" t="s">
        <v>250</v>
      </c>
      <c r="C69" s="1" t="s">
        <v>43</v>
      </c>
      <c r="H69" s="1">
        <v>8</v>
      </c>
      <c r="K69" s="1">
        <v>80</v>
      </c>
      <c r="L69" s="2"/>
      <c r="M69" s="38"/>
      <c r="N69" s="38"/>
      <c r="O69" s="38"/>
      <c r="P69" s="38"/>
      <c r="Q69" s="37" t="s">
        <v>1491</v>
      </c>
      <c r="R69" s="38"/>
      <c r="S69" s="38"/>
      <c r="X69" s="1">
        <v>8</v>
      </c>
    </row>
    <row r="70" spans="2:26" x14ac:dyDescent="0.3">
      <c r="B70" s="1" t="s">
        <v>253</v>
      </c>
      <c r="C70" s="11" t="s">
        <v>40</v>
      </c>
      <c r="I70" s="1">
        <v>2</v>
      </c>
      <c r="K70" s="1">
        <v>48</v>
      </c>
      <c r="L70" s="2"/>
      <c r="M70" s="38"/>
      <c r="N70" s="38"/>
      <c r="O70" s="38"/>
      <c r="P70" s="38"/>
      <c r="Q70" s="38"/>
      <c r="R70" s="37" t="s">
        <v>1492</v>
      </c>
      <c r="S70" s="38"/>
      <c r="Y70" s="1">
        <v>4</v>
      </c>
    </row>
    <row r="71" spans="2:26" hidden="1" x14ac:dyDescent="0.3">
      <c r="B71" s="1" t="s">
        <v>1493</v>
      </c>
      <c r="C71" s="1" t="s">
        <v>29</v>
      </c>
      <c r="I71" s="1">
        <v>5</v>
      </c>
      <c r="K71" s="1">
        <v>64</v>
      </c>
      <c r="L71" s="2" t="s">
        <v>90</v>
      </c>
      <c r="M71" s="38"/>
      <c r="N71" s="38"/>
      <c r="O71" s="38"/>
      <c r="P71" s="38"/>
      <c r="Q71" s="38"/>
      <c r="R71" s="37" t="s">
        <v>1494</v>
      </c>
      <c r="S71" s="38"/>
      <c r="Y71" s="1">
        <v>8</v>
      </c>
    </row>
    <row r="72" spans="2:26" hidden="1" x14ac:dyDescent="0.3">
      <c r="B72" s="1" t="s">
        <v>1495</v>
      </c>
      <c r="C72" s="1" t="s">
        <v>34</v>
      </c>
      <c r="I72" s="1">
        <v>11</v>
      </c>
      <c r="K72" s="1">
        <v>64</v>
      </c>
      <c r="L72" s="2" t="s">
        <v>90</v>
      </c>
      <c r="M72" s="38"/>
      <c r="N72" s="38"/>
      <c r="O72" s="38"/>
      <c r="P72" s="38"/>
      <c r="Q72" s="38"/>
      <c r="R72" s="37" t="s">
        <v>1496</v>
      </c>
      <c r="S72" s="38"/>
      <c r="Y72" s="1">
        <v>8</v>
      </c>
    </row>
    <row r="73" spans="2:26" hidden="1" x14ac:dyDescent="0.3">
      <c r="B73" s="1" t="s">
        <v>255</v>
      </c>
      <c r="C73" s="1" t="s">
        <v>48</v>
      </c>
      <c r="D73" s="1">
        <v>3</v>
      </c>
      <c r="E73" s="1">
        <v>3</v>
      </c>
      <c r="G73" s="1">
        <v>4</v>
      </c>
      <c r="H73" s="1">
        <v>4</v>
      </c>
      <c r="I73" s="1">
        <v>4</v>
      </c>
      <c r="J73" s="1">
        <v>3</v>
      </c>
      <c r="K73" s="1">
        <v>48</v>
      </c>
      <c r="L73" s="2"/>
      <c r="M73" s="37" t="s">
        <v>1497</v>
      </c>
      <c r="N73" s="37" t="s">
        <v>1497</v>
      </c>
      <c r="O73" s="38"/>
      <c r="P73" s="37" t="s">
        <v>1498</v>
      </c>
      <c r="Q73" s="37" t="s">
        <v>1499</v>
      </c>
      <c r="R73" s="37" t="s">
        <v>1500</v>
      </c>
      <c r="S73" s="37" t="s">
        <v>1501</v>
      </c>
      <c r="T73" s="1">
        <v>6</v>
      </c>
      <c r="U73" s="1">
        <v>6</v>
      </c>
      <c r="W73" s="1">
        <v>6</v>
      </c>
      <c r="X73" s="1">
        <v>6</v>
      </c>
      <c r="Y73" s="1">
        <v>6</v>
      </c>
      <c r="Z73" s="1">
        <v>6</v>
      </c>
    </row>
    <row r="74" spans="2:26" hidden="1" x14ac:dyDescent="0.3">
      <c r="B74" s="1" t="s">
        <v>1502</v>
      </c>
      <c r="C74" s="1" t="s">
        <v>43</v>
      </c>
      <c r="E74" s="1">
        <v>7</v>
      </c>
      <c r="K74" s="1">
        <v>48</v>
      </c>
      <c r="L74" s="2" t="s">
        <v>90</v>
      </c>
      <c r="M74" s="38"/>
      <c r="N74" s="37" t="s">
        <v>1503</v>
      </c>
      <c r="O74" s="38"/>
      <c r="P74" s="38"/>
      <c r="Q74" s="38"/>
      <c r="R74" s="38"/>
      <c r="S74" s="38"/>
      <c r="U74" s="1">
        <v>6</v>
      </c>
    </row>
    <row r="75" spans="2:26" hidden="1" x14ac:dyDescent="0.3">
      <c r="B75" s="1" t="s">
        <v>260</v>
      </c>
      <c r="C75" s="1" t="s">
        <v>34</v>
      </c>
      <c r="D75" s="1">
        <v>4</v>
      </c>
      <c r="E75" s="1">
        <v>4</v>
      </c>
      <c r="F75" s="1">
        <v>5</v>
      </c>
      <c r="H75" s="1">
        <v>3</v>
      </c>
      <c r="J75" s="1">
        <v>4</v>
      </c>
      <c r="K75" s="1">
        <v>64</v>
      </c>
      <c r="L75" s="2"/>
      <c r="M75" s="37" t="s">
        <v>1504</v>
      </c>
      <c r="N75" s="37" t="s">
        <v>1504</v>
      </c>
      <c r="O75" s="37" t="s">
        <v>1505</v>
      </c>
      <c r="P75" s="38"/>
      <c r="Q75" s="37" t="s">
        <v>1506</v>
      </c>
      <c r="R75" s="38"/>
      <c r="S75" s="37" t="s">
        <v>1507</v>
      </c>
      <c r="T75" s="1">
        <v>7</v>
      </c>
      <c r="U75" s="1">
        <v>7</v>
      </c>
      <c r="V75" s="1">
        <v>7</v>
      </c>
      <c r="X75" s="1">
        <v>7</v>
      </c>
      <c r="Z75" s="1">
        <v>7</v>
      </c>
    </row>
    <row r="76" spans="2:26" hidden="1" x14ac:dyDescent="0.3">
      <c r="B76" s="1" t="s">
        <v>194</v>
      </c>
      <c r="C76" s="1" t="s">
        <v>34</v>
      </c>
      <c r="E76" s="1">
        <v>6</v>
      </c>
      <c r="H76" s="1">
        <v>5</v>
      </c>
      <c r="J76" s="1">
        <v>6</v>
      </c>
      <c r="K76" s="1">
        <v>64</v>
      </c>
      <c r="L76" s="2"/>
      <c r="M76" s="38"/>
      <c r="N76" s="37" t="s">
        <v>1508</v>
      </c>
      <c r="O76" s="38"/>
      <c r="P76" s="38"/>
      <c r="Q76" s="37" t="s">
        <v>1509</v>
      </c>
      <c r="R76" s="38"/>
      <c r="S76" s="37" t="s">
        <v>1510</v>
      </c>
      <c r="U76" s="1">
        <v>7</v>
      </c>
      <c r="X76" s="1">
        <v>7</v>
      </c>
      <c r="Z76" s="1">
        <v>7</v>
      </c>
    </row>
    <row r="77" spans="2:26" hidden="1" x14ac:dyDescent="0.3">
      <c r="B77" s="1" t="s">
        <v>1511</v>
      </c>
      <c r="C77" s="1" t="s">
        <v>34</v>
      </c>
      <c r="J77" s="1">
        <v>7</v>
      </c>
      <c r="K77" s="1">
        <v>64</v>
      </c>
      <c r="L77" s="2"/>
      <c r="M77" s="38"/>
      <c r="N77" s="38"/>
      <c r="O77" s="38"/>
      <c r="P77" s="38"/>
      <c r="Q77" s="38"/>
      <c r="R77" s="38"/>
      <c r="S77" s="37" t="s">
        <v>1512</v>
      </c>
      <c r="Z77" s="1">
        <v>7</v>
      </c>
    </row>
    <row r="78" spans="2:26" hidden="1" x14ac:dyDescent="0.3">
      <c r="B78" s="1" t="s">
        <v>266</v>
      </c>
      <c r="C78" s="1" t="s">
        <v>34</v>
      </c>
      <c r="E78" s="50">
        <v>8</v>
      </c>
      <c r="H78" s="1">
        <v>8</v>
      </c>
      <c r="J78" s="1">
        <v>8</v>
      </c>
      <c r="K78" s="1">
        <v>64</v>
      </c>
      <c r="L78" s="2"/>
      <c r="M78" s="38"/>
      <c r="N78" s="37" t="s">
        <v>1513</v>
      </c>
      <c r="O78" s="38"/>
      <c r="P78" s="38"/>
      <c r="Q78" s="37" t="s">
        <v>1514</v>
      </c>
      <c r="R78" s="38"/>
      <c r="S78" s="37" t="s">
        <v>1515</v>
      </c>
      <c r="U78" s="1">
        <v>7</v>
      </c>
      <c r="X78" s="1">
        <v>6</v>
      </c>
      <c r="Z78" s="1">
        <v>7</v>
      </c>
    </row>
    <row r="79" spans="2:26" hidden="1" x14ac:dyDescent="0.3">
      <c r="B79" s="1" t="s">
        <v>1516</v>
      </c>
      <c r="C79" s="1" t="s">
        <v>34</v>
      </c>
      <c r="H79" s="1">
        <v>7</v>
      </c>
      <c r="K79" s="1">
        <v>64</v>
      </c>
      <c r="L79" s="2"/>
      <c r="M79" s="38"/>
      <c r="N79" s="38"/>
      <c r="O79" s="38"/>
      <c r="P79" s="38"/>
      <c r="Q79" s="37" t="s">
        <v>1517</v>
      </c>
      <c r="R79" s="38"/>
      <c r="S79" s="38"/>
      <c r="X79" s="1">
        <v>7</v>
      </c>
    </row>
    <row r="80" spans="2:26" ht="13.5" hidden="1" customHeight="1" x14ac:dyDescent="0.3">
      <c r="B80" s="1" t="s">
        <v>1518</v>
      </c>
      <c r="C80" s="1" t="s">
        <v>37</v>
      </c>
      <c r="D80" s="1">
        <v>7</v>
      </c>
      <c r="F80" s="12">
        <v>7</v>
      </c>
      <c r="G80" s="12">
        <v>9</v>
      </c>
      <c r="I80" s="1">
        <v>11</v>
      </c>
      <c r="K80" s="1">
        <v>48</v>
      </c>
      <c r="L80" s="2"/>
      <c r="M80" s="37" t="s">
        <v>1519</v>
      </c>
      <c r="N80" s="38"/>
      <c r="O80" s="37" t="s">
        <v>1520</v>
      </c>
      <c r="P80" s="37" t="s">
        <v>1521</v>
      </c>
      <c r="Q80" s="38"/>
      <c r="R80" s="37" t="s">
        <v>1522</v>
      </c>
      <c r="S80" s="38"/>
      <c r="T80" s="1">
        <v>6</v>
      </c>
      <c r="V80" s="1">
        <v>6</v>
      </c>
      <c r="W80" s="1">
        <v>3</v>
      </c>
    </row>
    <row r="81" spans="2:26" hidden="1" x14ac:dyDescent="0.3">
      <c r="B81" s="1" t="s">
        <v>1523</v>
      </c>
      <c r="C81" s="1" t="s">
        <v>43</v>
      </c>
      <c r="H81" s="1">
        <v>5</v>
      </c>
      <c r="K81" s="1">
        <v>80</v>
      </c>
      <c r="L81" s="2"/>
      <c r="M81" s="38"/>
      <c r="N81" s="38"/>
      <c r="O81" s="38"/>
      <c r="P81" s="38"/>
      <c r="Q81" s="37" t="s">
        <v>1524</v>
      </c>
      <c r="R81" s="38"/>
      <c r="S81" s="38"/>
      <c r="X81" s="1">
        <v>9</v>
      </c>
    </row>
    <row r="82" spans="2:26" hidden="1" x14ac:dyDescent="0.3">
      <c r="B82" s="1" t="s">
        <v>1525</v>
      </c>
      <c r="C82" s="1" t="s">
        <v>43</v>
      </c>
      <c r="H82" s="1">
        <v>5</v>
      </c>
      <c r="K82" s="1">
        <v>64</v>
      </c>
      <c r="L82" s="2"/>
      <c r="M82" s="38"/>
      <c r="N82" s="38"/>
      <c r="O82" s="38"/>
      <c r="P82" s="38"/>
      <c r="Q82" s="37" t="s">
        <v>1526</v>
      </c>
      <c r="R82" s="38"/>
      <c r="S82" s="38"/>
      <c r="X82" s="1">
        <v>8</v>
      </c>
    </row>
    <row r="83" spans="2:26" hidden="1" x14ac:dyDescent="0.3">
      <c r="B83" s="1" t="s">
        <v>1527</v>
      </c>
      <c r="C83" s="1" t="s">
        <v>43</v>
      </c>
      <c r="H83" s="1">
        <v>5</v>
      </c>
      <c r="K83" s="1">
        <v>64</v>
      </c>
      <c r="L83" s="2"/>
      <c r="M83" s="38"/>
      <c r="N83" s="38"/>
      <c r="O83" s="38"/>
      <c r="P83" s="38"/>
      <c r="Q83" s="37" t="s">
        <v>1528</v>
      </c>
      <c r="R83" s="38"/>
      <c r="S83" s="38"/>
      <c r="X83" s="1">
        <v>8</v>
      </c>
    </row>
    <row r="84" spans="2:26" hidden="1" x14ac:dyDescent="0.3">
      <c r="B84" s="1" t="s">
        <v>1529</v>
      </c>
      <c r="C84" s="1" t="s">
        <v>43</v>
      </c>
      <c r="I84" s="1">
        <v>9</v>
      </c>
      <c r="K84" s="1">
        <v>48</v>
      </c>
      <c r="L84" s="2" t="s">
        <v>90</v>
      </c>
      <c r="M84" s="38"/>
      <c r="N84" s="38"/>
      <c r="O84" s="38"/>
      <c r="P84" s="38"/>
      <c r="Q84" s="38"/>
      <c r="R84" s="37" t="s">
        <v>1530</v>
      </c>
      <c r="S84" s="38"/>
      <c r="Y84" s="1">
        <v>6</v>
      </c>
    </row>
    <row r="85" spans="2:26" hidden="1" x14ac:dyDescent="0.3">
      <c r="B85" s="1" t="s">
        <v>269</v>
      </c>
      <c r="C85" s="1" t="s">
        <v>43</v>
      </c>
      <c r="H85" s="1">
        <v>4</v>
      </c>
      <c r="K85" s="1">
        <v>64</v>
      </c>
      <c r="L85" s="2"/>
      <c r="M85" s="38"/>
      <c r="N85" s="38"/>
      <c r="O85" s="38"/>
      <c r="P85" s="38"/>
      <c r="Q85" s="37" t="s">
        <v>1531</v>
      </c>
      <c r="R85" s="38"/>
      <c r="S85" s="38"/>
      <c r="X85" s="1">
        <v>6</v>
      </c>
    </row>
    <row r="86" spans="2:26" hidden="1" x14ac:dyDescent="0.3">
      <c r="B86" s="1" t="s">
        <v>272</v>
      </c>
      <c r="C86" s="1" t="s">
        <v>43</v>
      </c>
      <c r="H86" s="1">
        <v>4</v>
      </c>
      <c r="K86" s="1">
        <v>64</v>
      </c>
      <c r="L86" s="2"/>
      <c r="M86" s="38"/>
      <c r="N86" s="38"/>
      <c r="O86" s="38"/>
      <c r="P86" s="38"/>
      <c r="Q86" s="37" t="s">
        <v>1532</v>
      </c>
      <c r="R86" s="38"/>
      <c r="S86" s="38"/>
      <c r="X86" s="1">
        <v>8</v>
      </c>
    </row>
    <row r="87" spans="2:26" hidden="1" x14ac:dyDescent="0.3">
      <c r="B87" s="1" t="s">
        <v>274</v>
      </c>
      <c r="C87" s="1" t="s">
        <v>43</v>
      </c>
      <c r="H87" s="1">
        <v>2</v>
      </c>
      <c r="I87" s="12">
        <v>4</v>
      </c>
      <c r="K87" s="1">
        <v>48</v>
      </c>
      <c r="L87" s="2" t="s">
        <v>90</v>
      </c>
      <c r="M87" s="38"/>
      <c r="N87" s="38"/>
      <c r="O87" s="38"/>
      <c r="P87" s="38"/>
      <c r="Q87" s="37" t="s">
        <v>1533</v>
      </c>
      <c r="R87" s="37" t="s">
        <v>1534</v>
      </c>
      <c r="S87" s="38"/>
      <c r="X87" s="1">
        <v>6</v>
      </c>
      <c r="Y87" s="1">
        <v>6</v>
      </c>
    </row>
    <row r="88" spans="2:26" hidden="1" x14ac:dyDescent="0.3">
      <c r="B88" s="1" t="s">
        <v>277</v>
      </c>
      <c r="C88" s="1" t="s">
        <v>37</v>
      </c>
      <c r="E88" s="1">
        <v>2</v>
      </c>
      <c r="G88" s="1">
        <v>6</v>
      </c>
      <c r="J88" s="1">
        <v>2</v>
      </c>
      <c r="K88" s="1">
        <v>48</v>
      </c>
      <c r="L88" s="2" t="s">
        <v>1535</v>
      </c>
      <c r="M88" s="38"/>
      <c r="N88" s="37" t="s">
        <v>1536</v>
      </c>
      <c r="O88" s="38"/>
      <c r="P88" s="37" t="s">
        <v>1537</v>
      </c>
      <c r="Q88" s="38"/>
      <c r="R88" s="37" t="s">
        <v>1538</v>
      </c>
      <c r="S88" s="37" t="s">
        <v>1539</v>
      </c>
      <c r="U88" s="1">
        <v>6</v>
      </c>
      <c r="W88" s="1">
        <v>6</v>
      </c>
      <c r="Y88" s="1">
        <v>6</v>
      </c>
      <c r="Z88" s="1">
        <v>6</v>
      </c>
    </row>
    <row r="89" spans="2:26" hidden="1" x14ac:dyDescent="0.3">
      <c r="B89" s="1" t="s">
        <v>282</v>
      </c>
      <c r="C89" s="1" t="s">
        <v>46</v>
      </c>
      <c r="F89" s="1">
        <v>2</v>
      </c>
      <c r="K89" s="1">
        <v>48</v>
      </c>
      <c r="L89" s="2"/>
      <c r="M89" s="38"/>
      <c r="N89" s="38"/>
      <c r="O89" s="37" t="s">
        <v>1540</v>
      </c>
      <c r="P89" s="38"/>
      <c r="Q89" s="38"/>
      <c r="R89" s="38"/>
      <c r="S89" s="38"/>
      <c r="V89" s="1">
        <v>6</v>
      </c>
    </row>
    <row r="90" spans="2:26" hidden="1" x14ac:dyDescent="0.3">
      <c r="B90" s="1" t="s">
        <v>283</v>
      </c>
      <c r="C90" s="1" t="s">
        <v>48</v>
      </c>
      <c r="D90" s="1">
        <v>4</v>
      </c>
      <c r="K90" s="1">
        <v>48</v>
      </c>
      <c r="L90" s="2"/>
      <c r="M90" s="37" t="s">
        <v>1541</v>
      </c>
      <c r="N90" s="38"/>
      <c r="O90" s="38"/>
      <c r="P90" s="38"/>
      <c r="Q90" s="38"/>
      <c r="R90" s="38"/>
      <c r="S90" s="38"/>
      <c r="U90" s="1">
        <v>6</v>
      </c>
    </row>
    <row r="91" spans="2:26" hidden="1" x14ac:dyDescent="0.3">
      <c r="B91" s="1" t="s">
        <v>285</v>
      </c>
      <c r="C91" s="1" t="s">
        <v>49</v>
      </c>
      <c r="E91" s="1">
        <v>2</v>
      </c>
      <c r="I91" s="1">
        <v>2</v>
      </c>
      <c r="K91" s="1">
        <v>48</v>
      </c>
      <c r="L91" s="2"/>
      <c r="M91" s="38"/>
      <c r="N91" s="37" t="s">
        <v>1542</v>
      </c>
      <c r="O91" s="38"/>
      <c r="P91" s="38"/>
      <c r="Q91" s="38"/>
      <c r="R91" s="37" t="s">
        <v>1543</v>
      </c>
      <c r="S91" s="38"/>
      <c r="U91" s="1">
        <v>6</v>
      </c>
      <c r="Y91" s="1">
        <v>6</v>
      </c>
    </row>
    <row r="92" spans="2:26" hidden="1" x14ac:dyDescent="0.3">
      <c r="B92" s="1" t="s">
        <v>289</v>
      </c>
      <c r="C92" s="1" t="s">
        <v>46</v>
      </c>
      <c r="F92" s="1">
        <v>6</v>
      </c>
      <c r="K92" s="1">
        <v>48</v>
      </c>
      <c r="L92" s="2"/>
      <c r="M92" s="38"/>
      <c r="N92" s="38"/>
      <c r="O92" s="37" t="s">
        <v>1544</v>
      </c>
      <c r="P92" s="38"/>
      <c r="Q92" s="38"/>
      <c r="R92" s="38"/>
      <c r="S92" s="38"/>
      <c r="V92" s="1">
        <v>6</v>
      </c>
    </row>
    <row r="93" spans="2:26" hidden="1" x14ac:dyDescent="0.3">
      <c r="B93" s="1" t="s">
        <v>292</v>
      </c>
      <c r="C93" s="1" t="s">
        <v>29</v>
      </c>
      <c r="G93" s="1">
        <v>2</v>
      </c>
      <c r="K93" s="1">
        <v>64</v>
      </c>
      <c r="L93" s="2"/>
      <c r="M93" s="38"/>
      <c r="N93" s="38"/>
      <c r="O93" s="38"/>
      <c r="P93" s="37" t="s">
        <v>1545</v>
      </c>
      <c r="Q93" s="38"/>
      <c r="R93" s="38"/>
      <c r="S93" s="38"/>
      <c r="W93" s="1">
        <v>8</v>
      </c>
    </row>
    <row r="94" spans="2:26" hidden="1" x14ac:dyDescent="0.3">
      <c r="B94" s="1" t="s">
        <v>1546</v>
      </c>
      <c r="C94" s="1" t="s">
        <v>29</v>
      </c>
      <c r="G94" s="1">
        <v>3</v>
      </c>
      <c r="K94" s="1">
        <v>64</v>
      </c>
      <c r="L94" s="2"/>
      <c r="M94" s="38"/>
      <c r="N94" s="38"/>
      <c r="O94" s="38"/>
      <c r="P94" s="37" t="s">
        <v>1547</v>
      </c>
      <c r="Q94" s="38"/>
      <c r="R94" s="38"/>
      <c r="S94" s="38"/>
      <c r="W94" s="1">
        <v>8</v>
      </c>
    </row>
    <row r="95" spans="2:26" hidden="1" x14ac:dyDescent="0.3">
      <c r="B95" s="1" t="s">
        <v>294</v>
      </c>
      <c r="C95" s="1" t="s">
        <v>29</v>
      </c>
      <c r="G95" s="1">
        <v>4</v>
      </c>
      <c r="K95" s="1">
        <v>64</v>
      </c>
      <c r="L95" s="2"/>
      <c r="M95" s="38"/>
      <c r="N95" s="38"/>
      <c r="O95" s="38"/>
      <c r="P95" s="37" t="s">
        <v>1548</v>
      </c>
      <c r="Q95" s="38"/>
      <c r="R95" s="38"/>
      <c r="S95" s="38"/>
      <c r="W95" s="1">
        <v>8</v>
      </c>
    </row>
    <row r="96" spans="2:26" hidden="1" x14ac:dyDescent="0.3">
      <c r="B96" s="1" t="s">
        <v>296</v>
      </c>
      <c r="C96" s="1" t="s">
        <v>46</v>
      </c>
      <c r="F96" s="1">
        <v>4</v>
      </c>
      <c r="K96" s="1">
        <v>64</v>
      </c>
      <c r="L96" s="2"/>
      <c r="M96" s="38"/>
      <c r="N96" s="38"/>
      <c r="O96" s="37" t="s">
        <v>1549</v>
      </c>
      <c r="P96" s="38"/>
      <c r="Q96" s="38"/>
      <c r="R96" s="38"/>
      <c r="S96" s="38"/>
      <c r="V96" s="1">
        <v>6</v>
      </c>
    </row>
    <row r="97" spans="2:26" x14ac:dyDescent="0.3">
      <c r="B97" s="1" t="s">
        <v>1550</v>
      </c>
      <c r="C97" s="1" t="s">
        <v>40</v>
      </c>
      <c r="I97" s="1">
        <v>3</v>
      </c>
      <c r="K97" s="1">
        <v>64</v>
      </c>
      <c r="L97" s="2"/>
      <c r="M97" s="38"/>
      <c r="N97" s="38"/>
      <c r="O97" s="38"/>
      <c r="P97" s="38"/>
      <c r="Q97" s="38"/>
      <c r="R97" s="37" t="s">
        <v>1551</v>
      </c>
      <c r="S97" s="38"/>
      <c r="Y97" s="1">
        <v>8</v>
      </c>
    </row>
    <row r="98" spans="2:26" hidden="1" x14ac:dyDescent="0.3">
      <c r="B98" s="1" t="s">
        <v>299</v>
      </c>
      <c r="C98" s="1" t="s">
        <v>49</v>
      </c>
      <c r="F98" s="11">
        <v>6</v>
      </c>
      <c r="K98" s="1">
        <v>64</v>
      </c>
      <c r="L98" s="2"/>
      <c r="M98" s="37"/>
      <c r="N98" s="38"/>
      <c r="O98" s="37" t="s">
        <v>1552</v>
      </c>
      <c r="P98" s="38"/>
      <c r="Q98" s="38"/>
      <c r="R98" s="38"/>
      <c r="S98" s="38"/>
      <c r="V98" s="1">
        <v>7</v>
      </c>
    </row>
    <row r="99" spans="2:26" hidden="1" x14ac:dyDescent="0.3">
      <c r="B99" s="1" t="s">
        <v>301</v>
      </c>
      <c r="C99" s="1" t="s">
        <v>45</v>
      </c>
      <c r="D99" s="1">
        <v>8</v>
      </c>
      <c r="E99" s="1">
        <v>8</v>
      </c>
      <c r="F99" s="1">
        <v>8</v>
      </c>
      <c r="G99" s="1">
        <v>8</v>
      </c>
      <c r="H99" s="1">
        <v>8</v>
      </c>
      <c r="I99" s="1">
        <v>10</v>
      </c>
      <c r="J99" s="1">
        <v>8</v>
      </c>
      <c r="K99" s="1">
        <v>48</v>
      </c>
      <c r="L99" s="2" t="s">
        <v>90</v>
      </c>
      <c r="M99" s="37" t="s">
        <v>1553</v>
      </c>
      <c r="N99" s="37" t="s">
        <v>1553</v>
      </c>
      <c r="O99" s="37" t="s">
        <v>1553</v>
      </c>
      <c r="P99" s="37" t="s">
        <v>1554</v>
      </c>
      <c r="Q99" s="37" t="s">
        <v>1555</v>
      </c>
      <c r="R99" s="37" t="s">
        <v>1556</v>
      </c>
      <c r="S99" s="37" t="s">
        <v>1554</v>
      </c>
      <c r="T99" s="1">
        <v>6</v>
      </c>
      <c r="U99" s="1">
        <v>6</v>
      </c>
      <c r="V99" s="1">
        <v>6</v>
      </c>
      <c r="W99" s="1">
        <v>6</v>
      </c>
      <c r="X99" s="1">
        <v>6</v>
      </c>
      <c r="Y99" s="1">
        <v>6</v>
      </c>
      <c r="Z99" s="1">
        <v>6</v>
      </c>
    </row>
    <row r="100" spans="2:26" hidden="1" x14ac:dyDescent="0.3">
      <c r="B100" s="1" t="s">
        <v>309</v>
      </c>
      <c r="C100" s="1" t="s">
        <v>45</v>
      </c>
      <c r="D100" s="1">
        <v>3</v>
      </c>
      <c r="E100" s="1">
        <v>3</v>
      </c>
      <c r="F100" s="1">
        <v>3</v>
      </c>
      <c r="G100" s="1">
        <v>3</v>
      </c>
      <c r="H100" s="1">
        <v>3</v>
      </c>
      <c r="I100" s="1">
        <v>3</v>
      </c>
      <c r="J100" s="1">
        <v>3</v>
      </c>
      <c r="K100" s="1">
        <v>48</v>
      </c>
      <c r="L100" s="2"/>
      <c r="M100" s="37" t="s">
        <v>1557</v>
      </c>
      <c r="N100" s="37" t="s">
        <v>1557</v>
      </c>
      <c r="O100" s="37" t="s">
        <v>1557</v>
      </c>
      <c r="P100" s="37" t="s">
        <v>1558</v>
      </c>
      <c r="Q100" s="37" t="s">
        <v>1559</v>
      </c>
      <c r="R100" s="37" t="s">
        <v>1560</v>
      </c>
      <c r="S100" s="37" t="s">
        <v>1558</v>
      </c>
      <c r="T100" s="1">
        <v>6</v>
      </c>
      <c r="U100" s="1">
        <v>6</v>
      </c>
      <c r="V100" s="1">
        <v>6</v>
      </c>
      <c r="W100" s="1">
        <v>6</v>
      </c>
      <c r="X100" s="1">
        <v>6</v>
      </c>
      <c r="Y100" s="1">
        <v>6</v>
      </c>
      <c r="Z100" s="1">
        <v>6</v>
      </c>
    </row>
    <row r="101" spans="2:26" ht="26" x14ac:dyDescent="0.3">
      <c r="B101" s="1" t="s">
        <v>1561</v>
      </c>
      <c r="C101" s="1" t="s">
        <v>40</v>
      </c>
      <c r="I101" s="1">
        <v>9</v>
      </c>
      <c r="L101" s="2" t="s">
        <v>90</v>
      </c>
      <c r="M101" s="38"/>
      <c r="N101" s="38"/>
      <c r="O101" s="38"/>
      <c r="P101" s="38"/>
      <c r="Q101" s="38"/>
      <c r="R101" s="37" t="s">
        <v>1562</v>
      </c>
      <c r="S101" s="38"/>
      <c r="Y101" s="1">
        <v>6</v>
      </c>
    </row>
    <row r="102" spans="2:26" hidden="1" x14ac:dyDescent="0.3">
      <c r="B102" s="1" t="s">
        <v>1563</v>
      </c>
      <c r="C102" s="1" t="s">
        <v>37</v>
      </c>
      <c r="H102" s="1">
        <v>7</v>
      </c>
      <c r="K102" s="1">
        <v>64</v>
      </c>
      <c r="L102" s="2"/>
      <c r="M102" s="38"/>
      <c r="N102" s="38"/>
      <c r="O102" s="38"/>
      <c r="P102" s="38"/>
      <c r="Q102" s="37" t="s">
        <v>1564</v>
      </c>
      <c r="R102" s="38"/>
      <c r="S102" s="38"/>
      <c r="X102" s="1">
        <v>6</v>
      </c>
    </row>
    <row r="103" spans="2:26" hidden="1" x14ac:dyDescent="0.3">
      <c r="B103" s="1" t="s">
        <v>311</v>
      </c>
      <c r="C103" s="1" t="s">
        <v>37</v>
      </c>
      <c r="I103" s="1">
        <v>10</v>
      </c>
      <c r="K103" s="1">
        <v>48</v>
      </c>
      <c r="L103" s="2"/>
      <c r="M103" s="38"/>
      <c r="N103" s="38"/>
      <c r="O103" s="38"/>
      <c r="P103" s="38"/>
      <c r="Q103" s="38"/>
      <c r="R103" s="37" t="s">
        <v>1565</v>
      </c>
      <c r="S103" s="38"/>
      <c r="Y103" s="1">
        <v>6</v>
      </c>
    </row>
    <row r="104" spans="2:26" hidden="1" x14ac:dyDescent="0.3">
      <c r="B104" s="1" t="s">
        <v>313</v>
      </c>
      <c r="C104" s="1" t="s">
        <v>45</v>
      </c>
      <c r="D104" s="1">
        <v>6</v>
      </c>
      <c r="E104" s="1">
        <v>6</v>
      </c>
      <c r="F104" s="1">
        <v>6</v>
      </c>
      <c r="G104" s="1">
        <v>6</v>
      </c>
      <c r="H104" s="1">
        <v>6</v>
      </c>
      <c r="I104" s="1">
        <v>6</v>
      </c>
      <c r="J104" s="1">
        <v>6</v>
      </c>
      <c r="K104" s="1">
        <v>48</v>
      </c>
      <c r="L104" s="2"/>
      <c r="M104" s="37" t="s">
        <v>1566</v>
      </c>
      <c r="N104" s="37" t="s">
        <v>1566</v>
      </c>
      <c r="O104" s="37" t="s">
        <v>1566</v>
      </c>
      <c r="P104" s="37" t="s">
        <v>1567</v>
      </c>
      <c r="Q104" s="37" t="s">
        <v>1568</v>
      </c>
      <c r="R104" s="37" t="s">
        <v>1569</v>
      </c>
      <c r="S104" s="37" t="s">
        <v>1567</v>
      </c>
      <c r="T104" s="1">
        <v>6</v>
      </c>
      <c r="U104" s="1">
        <v>6</v>
      </c>
      <c r="V104" s="1">
        <v>6</v>
      </c>
      <c r="W104" s="1">
        <v>6</v>
      </c>
      <c r="X104" s="1">
        <v>6</v>
      </c>
      <c r="Y104" s="1">
        <v>6</v>
      </c>
      <c r="Z104" s="1">
        <v>6</v>
      </c>
    </row>
    <row r="105" spans="2:26" hidden="1" x14ac:dyDescent="0.3">
      <c r="B105" s="1" t="s">
        <v>320</v>
      </c>
      <c r="C105" s="1" t="s">
        <v>49</v>
      </c>
      <c r="D105" s="1">
        <v>1</v>
      </c>
      <c r="E105" s="1">
        <v>1</v>
      </c>
      <c r="F105" s="1">
        <v>1</v>
      </c>
      <c r="G105" s="1">
        <v>1</v>
      </c>
      <c r="H105" s="1">
        <v>2</v>
      </c>
      <c r="I105" s="1">
        <v>1</v>
      </c>
      <c r="J105" s="1">
        <v>1</v>
      </c>
      <c r="K105" s="1">
        <v>64</v>
      </c>
      <c r="L105" s="2"/>
      <c r="M105" s="37" t="s">
        <v>1570</v>
      </c>
      <c r="N105" s="37" t="s">
        <v>1570</v>
      </c>
      <c r="O105" s="37" t="s">
        <v>1570</v>
      </c>
      <c r="P105" s="37" t="s">
        <v>1571</v>
      </c>
      <c r="Q105" s="37" t="s">
        <v>1572</v>
      </c>
      <c r="R105" s="37" t="s">
        <v>1570</v>
      </c>
      <c r="S105" s="37" t="s">
        <v>1571</v>
      </c>
      <c r="T105" s="1">
        <v>7</v>
      </c>
      <c r="U105" s="1">
        <v>7</v>
      </c>
      <c r="V105" s="1">
        <v>7</v>
      </c>
      <c r="W105" s="1">
        <v>7</v>
      </c>
      <c r="X105" s="1">
        <v>6</v>
      </c>
      <c r="Y105" s="1">
        <v>7</v>
      </c>
      <c r="Z105" s="1">
        <v>7</v>
      </c>
    </row>
    <row r="106" spans="2:26" hidden="1" x14ac:dyDescent="0.3">
      <c r="B106" s="1" t="s">
        <v>322</v>
      </c>
      <c r="C106" s="1" t="s">
        <v>26</v>
      </c>
      <c r="J106" s="1">
        <v>2</v>
      </c>
      <c r="K106" s="1">
        <v>32</v>
      </c>
      <c r="L106" s="2"/>
      <c r="M106" s="38"/>
      <c r="N106" s="38"/>
      <c r="O106" s="38"/>
      <c r="P106" s="38"/>
      <c r="Q106" s="38"/>
      <c r="R106" s="38"/>
      <c r="S106" s="37" t="s">
        <v>1573</v>
      </c>
      <c r="Z106" s="1">
        <v>4</v>
      </c>
    </row>
    <row r="107" spans="2:26" hidden="1" x14ac:dyDescent="0.3">
      <c r="B107" s="1" t="s">
        <v>1574</v>
      </c>
      <c r="C107" s="1" t="s">
        <v>34</v>
      </c>
      <c r="I107" s="1">
        <v>3</v>
      </c>
      <c r="K107" s="1">
        <v>64</v>
      </c>
      <c r="L107" s="2"/>
      <c r="M107" s="37"/>
      <c r="N107" s="37"/>
      <c r="O107" s="37"/>
      <c r="P107" s="38"/>
      <c r="Q107" s="37"/>
      <c r="R107" s="37" t="s">
        <v>1575</v>
      </c>
      <c r="S107" s="37"/>
      <c r="Y107" s="1">
        <v>7</v>
      </c>
    </row>
    <row r="108" spans="2:26" hidden="1" x14ac:dyDescent="0.3">
      <c r="B108" s="1" t="s">
        <v>1576</v>
      </c>
      <c r="C108" s="1" t="s">
        <v>34</v>
      </c>
      <c r="E108" s="1">
        <v>5</v>
      </c>
      <c r="J108" s="1">
        <v>5</v>
      </c>
      <c r="K108" s="1">
        <v>48</v>
      </c>
      <c r="L108" s="2"/>
      <c r="M108" s="38"/>
      <c r="N108" s="37" t="s">
        <v>1577</v>
      </c>
      <c r="O108" s="38"/>
      <c r="P108" s="38"/>
      <c r="Q108" s="38"/>
      <c r="R108" s="38"/>
      <c r="S108" s="37" t="s">
        <v>1578</v>
      </c>
      <c r="U108" s="1">
        <v>6</v>
      </c>
      <c r="Z108" s="1">
        <v>6</v>
      </c>
    </row>
    <row r="109" spans="2:26" hidden="1" x14ac:dyDescent="0.3">
      <c r="B109" s="1" t="s">
        <v>1579</v>
      </c>
      <c r="C109" s="1" t="s">
        <v>43</v>
      </c>
      <c r="I109" s="1">
        <v>5</v>
      </c>
      <c r="K109" s="1">
        <v>64</v>
      </c>
      <c r="L109" s="2"/>
      <c r="M109" s="38"/>
      <c r="N109" s="38"/>
      <c r="O109" s="38"/>
      <c r="P109" s="38"/>
      <c r="Q109" s="38"/>
      <c r="R109" s="37" t="s">
        <v>1580</v>
      </c>
      <c r="S109" s="38"/>
      <c r="Y109" s="1">
        <v>8</v>
      </c>
    </row>
    <row r="110" spans="2:26" hidden="1" x14ac:dyDescent="0.3">
      <c r="B110" s="1" t="s">
        <v>1581</v>
      </c>
      <c r="C110" s="1" t="s">
        <v>37</v>
      </c>
      <c r="D110" s="1">
        <v>5</v>
      </c>
      <c r="K110" s="1">
        <v>48</v>
      </c>
      <c r="L110" s="2"/>
      <c r="M110" s="37" t="s">
        <v>1582</v>
      </c>
      <c r="N110" s="38"/>
      <c r="O110" s="38"/>
      <c r="P110" s="38"/>
      <c r="Q110" s="38"/>
      <c r="R110" s="38"/>
      <c r="S110" s="38"/>
      <c r="T110" s="1">
        <v>6</v>
      </c>
    </row>
    <row r="111" spans="2:26" x14ac:dyDescent="0.3">
      <c r="B111" s="1" t="s">
        <v>1583</v>
      </c>
      <c r="C111" s="1" t="s">
        <v>40</v>
      </c>
      <c r="I111" s="1">
        <v>5</v>
      </c>
      <c r="K111" s="1">
        <v>48</v>
      </c>
      <c r="L111" s="2"/>
      <c r="M111" s="38"/>
      <c r="N111" s="38"/>
      <c r="O111" s="38"/>
      <c r="P111" s="38"/>
      <c r="Q111" s="38"/>
      <c r="R111" s="37" t="s">
        <v>1584</v>
      </c>
      <c r="S111" s="38"/>
      <c r="Y111" s="1">
        <v>6</v>
      </c>
    </row>
    <row r="112" spans="2:26" hidden="1" x14ac:dyDescent="0.3">
      <c r="B112" s="1" t="s">
        <v>1585</v>
      </c>
      <c r="C112" s="1" t="s">
        <v>46</v>
      </c>
      <c r="F112" s="1">
        <v>1</v>
      </c>
      <c r="K112" s="1">
        <v>48</v>
      </c>
      <c r="L112" s="2"/>
      <c r="M112" s="38"/>
      <c r="N112" s="38"/>
      <c r="O112" s="37" t="s">
        <v>1586</v>
      </c>
      <c r="P112" s="38"/>
      <c r="Q112" s="38"/>
      <c r="R112" s="38"/>
      <c r="S112" s="38"/>
      <c r="V112" s="1">
        <v>5</v>
      </c>
    </row>
    <row r="113" spans="2:26" hidden="1" x14ac:dyDescent="0.3">
      <c r="B113" s="1" t="s">
        <v>324</v>
      </c>
      <c r="C113" s="1" t="s">
        <v>48</v>
      </c>
      <c r="F113" s="1">
        <v>2</v>
      </c>
      <c r="K113" s="1">
        <v>48</v>
      </c>
      <c r="L113" s="2"/>
      <c r="M113" s="38"/>
      <c r="N113" s="38"/>
      <c r="O113" s="37" t="s">
        <v>1587</v>
      </c>
      <c r="P113" s="38"/>
      <c r="Q113" s="38"/>
      <c r="R113" s="38"/>
      <c r="S113" s="38"/>
      <c r="V113" s="1">
        <v>6</v>
      </c>
    </row>
    <row r="114" spans="2:26" hidden="1" x14ac:dyDescent="0.3">
      <c r="B114" s="1" t="s">
        <v>1588</v>
      </c>
      <c r="C114" s="1" t="s">
        <v>32</v>
      </c>
      <c r="D114" s="1">
        <v>7</v>
      </c>
      <c r="K114" s="1">
        <v>48</v>
      </c>
      <c r="L114" s="2"/>
      <c r="M114" s="38"/>
      <c r="N114" s="38"/>
      <c r="O114" s="37" t="s">
        <v>1589</v>
      </c>
      <c r="P114" s="38"/>
      <c r="Q114" s="38"/>
      <c r="R114" s="38"/>
      <c r="S114" s="38"/>
      <c r="T114" s="1">
        <v>6</v>
      </c>
    </row>
    <row r="115" spans="2:26" hidden="1" x14ac:dyDescent="0.3">
      <c r="B115" s="1" t="s">
        <v>326</v>
      </c>
      <c r="C115" s="1" t="s">
        <v>32</v>
      </c>
      <c r="D115" s="1">
        <v>6</v>
      </c>
      <c r="E115" s="1">
        <v>8</v>
      </c>
      <c r="F115" s="1">
        <v>8</v>
      </c>
      <c r="K115" s="1">
        <v>48</v>
      </c>
      <c r="L115" s="2" t="s">
        <v>90</v>
      </c>
      <c r="M115" s="37" t="s">
        <v>1590</v>
      </c>
      <c r="N115" s="37" t="s">
        <v>1591</v>
      </c>
      <c r="O115" s="37" t="s">
        <v>1592</v>
      </c>
      <c r="P115" s="38"/>
      <c r="Q115" s="38"/>
      <c r="R115" s="38"/>
      <c r="S115" s="38"/>
      <c r="T115" s="1">
        <v>6</v>
      </c>
      <c r="U115" s="1">
        <v>6</v>
      </c>
      <c r="V115" s="1">
        <v>6</v>
      </c>
    </row>
    <row r="116" spans="2:26" x14ac:dyDescent="0.3">
      <c r="B116" s="1" t="s">
        <v>330</v>
      </c>
      <c r="C116" s="1" t="s">
        <v>496</v>
      </c>
      <c r="I116" s="12">
        <v>10</v>
      </c>
      <c r="K116" s="1">
        <v>48</v>
      </c>
      <c r="L116" s="2" t="s">
        <v>90</v>
      </c>
      <c r="M116" s="38"/>
      <c r="N116" s="38"/>
      <c r="O116" s="38"/>
      <c r="P116" s="38"/>
      <c r="Q116" s="38"/>
      <c r="R116" s="37" t="s">
        <v>1593</v>
      </c>
      <c r="S116" s="38"/>
      <c r="Y116" s="1">
        <v>6</v>
      </c>
    </row>
    <row r="117" spans="2:26" hidden="1" x14ac:dyDescent="0.3">
      <c r="B117" s="1" t="s">
        <v>1594</v>
      </c>
      <c r="C117" s="1" t="s">
        <v>43</v>
      </c>
      <c r="I117" s="1">
        <v>9</v>
      </c>
      <c r="K117" s="1">
        <v>48</v>
      </c>
      <c r="L117" s="2" t="s">
        <v>90</v>
      </c>
      <c r="M117" s="38"/>
      <c r="N117" s="38"/>
      <c r="O117" s="38"/>
      <c r="P117" s="38"/>
      <c r="Q117" s="38"/>
      <c r="R117" s="37" t="s">
        <v>1595</v>
      </c>
      <c r="S117" s="38"/>
      <c r="Y117" s="1">
        <v>6</v>
      </c>
    </row>
    <row r="118" spans="2:26" hidden="1" x14ac:dyDescent="0.3">
      <c r="B118" s="1" t="s">
        <v>331</v>
      </c>
      <c r="C118" s="1" t="s">
        <v>45</v>
      </c>
      <c r="D118" s="1">
        <v>1</v>
      </c>
      <c r="E118" s="1">
        <v>1</v>
      </c>
      <c r="F118" s="1">
        <v>1</v>
      </c>
      <c r="G118" s="1">
        <v>1</v>
      </c>
      <c r="H118" s="11">
        <v>1</v>
      </c>
      <c r="I118" s="1">
        <v>1</v>
      </c>
      <c r="J118" s="1">
        <v>1</v>
      </c>
      <c r="K118" s="1">
        <v>48</v>
      </c>
      <c r="L118" s="2"/>
      <c r="M118" s="37" t="s">
        <v>1596</v>
      </c>
      <c r="N118" s="37" t="s">
        <v>1596</v>
      </c>
      <c r="O118" s="37" t="s">
        <v>1596</v>
      </c>
      <c r="P118" s="37" t="s">
        <v>1597</v>
      </c>
      <c r="Q118" s="37" t="s">
        <v>1598</v>
      </c>
      <c r="R118" s="37" t="s">
        <v>1599</v>
      </c>
      <c r="S118" s="37" t="s">
        <v>1597</v>
      </c>
      <c r="T118" s="1">
        <v>6</v>
      </c>
      <c r="U118" s="1">
        <v>6</v>
      </c>
      <c r="V118" s="1">
        <v>6</v>
      </c>
      <c r="W118" s="1">
        <v>6</v>
      </c>
      <c r="X118" s="1">
        <v>6</v>
      </c>
      <c r="Y118" s="1">
        <v>6</v>
      </c>
      <c r="Z118" s="1">
        <v>6</v>
      </c>
    </row>
    <row r="119" spans="2:26" hidden="1" x14ac:dyDescent="0.3">
      <c r="B119" s="1" t="s">
        <v>1600</v>
      </c>
      <c r="C119" s="1" t="s">
        <v>45</v>
      </c>
      <c r="D119" s="1">
        <v>7</v>
      </c>
      <c r="E119" s="1">
        <v>7</v>
      </c>
      <c r="F119" s="1">
        <v>7</v>
      </c>
      <c r="G119" s="1">
        <v>7</v>
      </c>
      <c r="H119" s="11">
        <v>7</v>
      </c>
      <c r="I119" s="1">
        <v>7</v>
      </c>
      <c r="J119" s="1">
        <v>7</v>
      </c>
      <c r="K119" s="1">
        <v>48</v>
      </c>
      <c r="L119" s="2"/>
      <c r="M119" s="37" t="s">
        <v>1601</v>
      </c>
      <c r="N119" s="37" t="s">
        <v>1601</v>
      </c>
      <c r="O119" s="37" t="s">
        <v>1601</v>
      </c>
      <c r="P119" s="37" t="s">
        <v>1602</v>
      </c>
      <c r="Q119" s="37" t="s">
        <v>1603</v>
      </c>
      <c r="R119" s="37" t="s">
        <v>1604</v>
      </c>
      <c r="S119" s="37" t="s">
        <v>1602</v>
      </c>
      <c r="T119" s="1">
        <v>6</v>
      </c>
      <c r="U119" s="1">
        <v>6</v>
      </c>
      <c r="V119" s="1">
        <v>6</v>
      </c>
      <c r="W119" s="1">
        <v>6</v>
      </c>
      <c r="X119" s="1">
        <v>6</v>
      </c>
      <c r="Y119" s="1">
        <v>6</v>
      </c>
      <c r="Z119" s="1">
        <v>6</v>
      </c>
    </row>
    <row r="120" spans="2:26" hidden="1" x14ac:dyDescent="0.3">
      <c r="B120" s="1" t="s">
        <v>1605</v>
      </c>
      <c r="C120" s="1" t="s">
        <v>43</v>
      </c>
      <c r="I120" s="1">
        <v>5</v>
      </c>
      <c r="K120" s="1">
        <v>32</v>
      </c>
      <c r="L120" s="2" t="s">
        <v>90</v>
      </c>
      <c r="M120" s="38"/>
      <c r="N120" s="38"/>
      <c r="O120" s="38"/>
      <c r="P120" s="37"/>
      <c r="Q120" s="37"/>
      <c r="R120" s="37" t="s">
        <v>1606</v>
      </c>
      <c r="S120" s="38"/>
      <c r="Y120" s="1">
        <v>3</v>
      </c>
    </row>
    <row r="121" spans="2:26" x14ac:dyDescent="0.3">
      <c r="B121" s="1" t="s">
        <v>334</v>
      </c>
      <c r="C121" s="1" t="s">
        <v>40</v>
      </c>
      <c r="I121" s="1">
        <v>8</v>
      </c>
      <c r="K121" s="1">
        <v>48</v>
      </c>
      <c r="L121" s="2"/>
      <c r="M121" s="38"/>
      <c r="N121" s="38"/>
      <c r="O121" s="38"/>
      <c r="P121" s="38"/>
      <c r="Q121" s="38"/>
      <c r="R121" s="37" t="s">
        <v>1607</v>
      </c>
      <c r="S121" s="38"/>
      <c r="Y121" s="1">
        <v>6</v>
      </c>
    </row>
    <row r="122" spans="2:26" hidden="1" x14ac:dyDescent="0.3">
      <c r="B122" s="1" t="s">
        <v>336</v>
      </c>
      <c r="C122" s="1" t="s">
        <v>49</v>
      </c>
      <c r="D122" s="1">
        <v>4</v>
      </c>
      <c r="K122" s="1">
        <v>64</v>
      </c>
      <c r="L122" s="2"/>
      <c r="M122" s="37" t="s">
        <v>1608</v>
      </c>
      <c r="N122" s="38"/>
      <c r="O122" s="38"/>
      <c r="P122" s="38"/>
      <c r="Q122" s="38"/>
      <c r="R122" s="38"/>
      <c r="S122" s="38"/>
      <c r="T122" s="1">
        <v>7</v>
      </c>
    </row>
    <row r="123" spans="2:26" hidden="1" x14ac:dyDescent="0.3">
      <c r="B123" s="1" t="s">
        <v>338</v>
      </c>
      <c r="C123" s="1" t="s">
        <v>32</v>
      </c>
      <c r="D123" s="1">
        <v>4</v>
      </c>
      <c r="K123" s="1">
        <v>64</v>
      </c>
      <c r="L123" s="2"/>
      <c r="M123" s="37" t="s">
        <v>1609</v>
      </c>
      <c r="N123" s="38"/>
      <c r="O123" s="38"/>
      <c r="P123" s="38"/>
      <c r="Q123" s="38"/>
      <c r="R123" s="38"/>
      <c r="S123" s="38"/>
      <c r="T123" s="1">
        <v>7</v>
      </c>
    </row>
    <row r="124" spans="2:26" hidden="1" x14ac:dyDescent="0.3">
      <c r="B124" s="1" t="s">
        <v>342</v>
      </c>
      <c r="C124" s="1" t="s">
        <v>29</v>
      </c>
      <c r="G124" s="1">
        <v>8</v>
      </c>
      <c r="K124" s="1">
        <v>48</v>
      </c>
      <c r="L124" s="2"/>
      <c r="M124" s="38"/>
      <c r="N124" s="38"/>
      <c r="O124" s="38"/>
      <c r="P124" s="37" t="s">
        <v>1610</v>
      </c>
      <c r="Q124" s="38"/>
      <c r="R124" s="38"/>
      <c r="S124" s="38"/>
      <c r="W124" s="1">
        <v>6</v>
      </c>
    </row>
    <row r="125" spans="2:26" ht="26" x14ac:dyDescent="0.3">
      <c r="B125" s="1" t="s">
        <v>1611</v>
      </c>
      <c r="C125" s="1" t="s">
        <v>496</v>
      </c>
      <c r="I125" s="1">
        <v>9</v>
      </c>
      <c r="K125" s="1">
        <v>64</v>
      </c>
      <c r="L125" s="2" t="s">
        <v>90</v>
      </c>
      <c r="M125" s="38"/>
      <c r="N125" s="38"/>
      <c r="O125" s="38"/>
      <c r="P125" s="38"/>
      <c r="Q125" s="38"/>
      <c r="R125" s="37" t="s">
        <v>1612</v>
      </c>
      <c r="S125" s="38"/>
      <c r="Y125" s="1">
        <v>8</v>
      </c>
    </row>
    <row r="126" spans="2:26" x14ac:dyDescent="0.3">
      <c r="B126" s="1" t="s">
        <v>1613</v>
      </c>
      <c r="C126" s="1" t="s">
        <v>40</v>
      </c>
      <c r="K126" s="1">
        <v>64</v>
      </c>
      <c r="L126" s="2" t="s">
        <v>90</v>
      </c>
      <c r="M126" s="38"/>
      <c r="N126" s="38"/>
      <c r="O126" s="38"/>
      <c r="P126" s="38"/>
      <c r="Q126" s="38"/>
      <c r="R126" s="39" t="s">
        <v>1614</v>
      </c>
      <c r="S126" s="38"/>
      <c r="Y126" s="1">
        <v>7</v>
      </c>
    </row>
    <row r="127" spans="2:26" x14ac:dyDescent="0.3">
      <c r="B127" s="1" t="s">
        <v>343</v>
      </c>
      <c r="C127" s="1" t="s">
        <v>40</v>
      </c>
      <c r="I127" s="1">
        <v>8</v>
      </c>
      <c r="K127" s="1">
        <v>64</v>
      </c>
      <c r="L127" s="2"/>
      <c r="M127" s="38"/>
      <c r="N127" s="38"/>
      <c r="O127" s="38"/>
      <c r="P127" s="38"/>
      <c r="Q127" s="38"/>
      <c r="R127" s="37" t="s">
        <v>1615</v>
      </c>
      <c r="S127" s="38"/>
      <c r="Y127" s="1">
        <v>8</v>
      </c>
    </row>
    <row r="128" spans="2:26" hidden="1" x14ac:dyDescent="0.3">
      <c r="B128" s="1" t="s">
        <v>346</v>
      </c>
      <c r="C128" s="1" t="s">
        <v>29</v>
      </c>
      <c r="H128" s="1">
        <v>6</v>
      </c>
      <c r="K128" s="1">
        <v>64</v>
      </c>
      <c r="L128" s="2"/>
      <c r="M128" s="38"/>
      <c r="N128" s="38"/>
      <c r="O128" s="38"/>
      <c r="P128" s="38"/>
      <c r="Q128" s="37" t="s">
        <v>1616</v>
      </c>
      <c r="R128" s="38"/>
      <c r="S128" s="38"/>
      <c r="X128" s="1">
        <v>7</v>
      </c>
    </row>
    <row r="129" spans="2:26" hidden="1" x14ac:dyDescent="0.3">
      <c r="B129" s="1" t="s">
        <v>1617</v>
      </c>
      <c r="C129" s="1" t="s">
        <v>29</v>
      </c>
      <c r="I129" s="1">
        <v>7</v>
      </c>
      <c r="K129" s="1">
        <v>48</v>
      </c>
      <c r="L129" s="2" t="s">
        <v>90</v>
      </c>
      <c r="M129" s="38"/>
      <c r="N129" s="38"/>
      <c r="O129" s="38"/>
      <c r="P129" s="38"/>
      <c r="Q129" s="38"/>
      <c r="R129" s="37" t="s">
        <v>1618</v>
      </c>
      <c r="S129" s="38"/>
      <c r="Y129" s="1">
        <v>6</v>
      </c>
    </row>
    <row r="130" spans="2:26" x14ac:dyDescent="0.3">
      <c r="B130" s="1" t="s">
        <v>1619</v>
      </c>
      <c r="C130" s="1" t="s">
        <v>496</v>
      </c>
      <c r="L130" s="2" t="s">
        <v>90</v>
      </c>
      <c r="M130" s="38"/>
      <c r="N130" s="38"/>
      <c r="O130" s="38"/>
      <c r="P130" s="38"/>
      <c r="Q130" s="38"/>
      <c r="R130" s="38"/>
      <c r="S130" s="38"/>
    </row>
    <row r="131" spans="2:26" hidden="1" x14ac:dyDescent="0.3">
      <c r="B131" s="1" t="s">
        <v>1620</v>
      </c>
      <c r="C131" s="1" t="s">
        <v>46</v>
      </c>
      <c r="H131" s="1">
        <v>1</v>
      </c>
      <c r="K131" s="1">
        <v>32</v>
      </c>
      <c r="L131" s="2"/>
      <c r="M131" s="38"/>
      <c r="N131" s="38"/>
      <c r="O131" s="38"/>
      <c r="P131" s="38"/>
      <c r="Q131" s="37" t="s">
        <v>1621</v>
      </c>
      <c r="R131" s="38"/>
      <c r="S131" s="38"/>
      <c r="X131" s="1">
        <v>4</v>
      </c>
    </row>
    <row r="132" spans="2:26" x14ac:dyDescent="0.3">
      <c r="B132" s="1" t="s">
        <v>1622</v>
      </c>
      <c r="C132" s="1" t="s">
        <v>40</v>
      </c>
      <c r="I132" s="1">
        <v>1</v>
      </c>
      <c r="K132" s="1">
        <v>48</v>
      </c>
      <c r="L132" s="2"/>
      <c r="M132" s="38"/>
      <c r="N132" s="38"/>
      <c r="O132" s="38"/>
      <c r="P132" s="38"/>
      <c r="Q132" s="38"/>
      <c r="R132" s="37" t="s">
        <v>1623</v>
      </c>
      <c r="S132" s="38"/>
      <c r="Y132" s="1">
        <v>6</v>
      </c>
    </row>
    <row r="133" spans="2:26" hidden="1" x14ac:dyDescent="0.3">
      <c r="B133" s="1" t="s">
        <v>1624</v>
      </c>
      <c r="C133" s="1" t="s">
        <v>32</v>
      </c>
      <c r="D133" s="1">
        <v>5</v>
      </c>
      <c r="K133" s="1">
        <v>48</v>
      </c>
      <c r="L133" s="2"/>
      <c r="M133" s="37" t="s">
        <v>1625</v>
      </c>
      <c r="N133" s="38"/>
      <c r="O133" s="38"/>
      <c r="P133" s="38"/>
      <c r="Q133" s="38"/>
      <c r="R133" s="38"/>
      <c r="S133" s="38"/>
      <c r="T133" s="1">
        <v>6</v>
      </c>
    </row>
    <row r="134" spans="2:26" hidden="1" x14ac:dyDescent="0.3">
      <c r="B134" s="1" t="s">
        <v>1626</v>
      </c>
      <c r="C134" s="1" t="s">
        <v>29</v>
      </c>
      <c r="G134" s="1">
        <v>5</v>
      </c>
      <c r="K134" s="1">
        <v>48</v>
      </c>
      <c r="L134" s="2"/>
      <c r="M134" s="38"/>
      <c r="N134" s="38"/>
      <c r="O134" s="38"/>
      <c r="P134" s="37" t="s">
        <v>1627</v>
      </c>
      <c r="Q134" s="38"/>
      <c r="R134" s="38"/>
      <c r="S134" s="38"/>
      <c r="W134" s="1">
        <v>6</v>
      </c>
    </row>
    <row r="135" spans="2:26" hidden="1" x14ac:dyDescent="0.3">
      <c r="B135" s="1" t="s">
        <v>1628</v>
      </c>
      <c r="C135" s="1" t="s">
        <v>32</v>
      </c>
      <c r="D135" s="1">
        <v>4</v>
      </c>
      <c r="K135" s="1">
        <v>48</v>
      </c>
      <c r="L135" s="2" t="s">
        <v>90</v>
      </c>
      <c r="M135" s="37" t="s">
        <v>1629</v>
      </c>
      <c r="N135" s="38"/>
      <c r="O135" s="38"/>
      <c r="P135" s="38"/>
      <c r="Q135" s="38"/>
      <c r="R135" s="39" t="s">
        <v>1630</v>
      </c>
      <c r="S135" s="38"/>
      <c r="T135" s="1">
        <v>6</v>
      </c>
      <c r="Y135" s="1">
        <v>6</v>
      </c>
    </row>
    <row r="136" spans="2:26" hidden="1" x14ac:dyDescent="0.3">
      <c r="B136" s="1" t="s">
        <v>1631</v>
      </c>
      <c r="C136" s="1" t="s">
        <v>46</v>
      </c>
      <c r="F136" s="1">
        <v>3</v>
      </c>
      <c r="K136" s="1">
        <v>80</v>
      </c>
      <c r="L136" s="2"/>
      <c r="M136" s="38"/>
      <c r="N136" s="38"/>
      <c r="O136" s="37" t="s">
        <v>1632</v>
      </c>
      <c r="P136" s="38"/>
      <c r="Q136" s="38"/>
      <c r="R136" s="38"/>
      <c r="S136" s="38"/>
      <c r="V136" s="1">
        <v>6</v>
      </c>
    </row>
    <row r="137" spans="2:26" hidden="1" x14ac:dyDescent="0.3">
      <c r="B137" s="1" t="s">
        <v>1633</v>
      </c>
      <c r="C137" s="1" t="s">
        <v>46</v>
      </c>
      <c r="F137" s="1">
        <v>5</v>
      </c>
      <c r="K137" s="1">
        <v>80</v>
      </c>
      <c r="L137" s="2"/>
      <c r="M137" s="38"/>
      <c r="N137" s="38"/>
      <c r="O137" s="37" t="s">
        <v>1632</v>
      </c>
      <c r="P137" s="38"/>
      <c r="Q137" s="38"/>
      <c r="R137" s="38"/>
      <c r="S137" s="38"/>
      <c r="V137" s="1">
        <v>6</v>
      </c>
    </row>
    <row r="138" spans="2:26" hidden="1" x14ac:dyDescent="0.3">
      <c r="B138" s="1" t="s">
        <v>1634</v>
      </c>
      <c r="C138" s="1" t="s">
        <v>49</v>
      </c>
      <c r="E138" s="1">
        <v>7</v>
      </c>
      <c r="K138" s="1">
        <v>48</v>
      </c>
      <c r="L138" s="2"/>
      <c r="M138" s="38"/>
      <c r="N138" s="37" t="s">
        <v>1635</v>
      </c>
      <c r="O138" s="38"/>
      <c r="P138" s="38"/>
      <c r="Q138" s="38"/>
      <c r="R138" s="38"/>
      <c r="S138" s="38"/>
      <c r="U138" s="1">
        <v>5</v>
      </c>
    </row>
    <row r="139" spans="2:26" hidden="1" x14ac:dyDescent="0.3">
      <c r="B139" s="1" t="s">
        <v>1636</v>
      </c>
      <c r="C139" s="1" t="s">
        <v>32</v>
      </c>
      <c r="D139" s="1">
        <v>7</v>
      </c>
      <c r="K139" s="1">
        <v>48</v>
      </c>
      <c r="L139" s="2"/>
      <c r="M139" s="37" t="s">
        <v>1637</v>
      </c>
      <c r="N139" s="38"/>
      <c r="O139" s="38"/>
      <c r="P139" s="38"/>
      <c r="Q139" s="38"/>
      <c r="R139" s="38"/>
      <c r="S139" s="38"/>
      <c r="T139" s="1">
        <v>6</v>
      </c>
    </row>
    <row r="140" spans="2:26" hidden="1" x14ac:dyDescent="0.3">
      <c r="B140" s="1" t="s">
        <v>351</v>
      </c>
      <c r="C140" s="1" t="s">
        <v>49</v>
      </c>
      <c r="E140" s="1">
        <v>2</v>
      </c>
      <c r="K140" s="1">
        <v>48</v>
      </c>
      <c r="L140" s="2"/>
      <c r="M140" s="38"/>
      <c r="N140" s="37" t="s">
        <v>1638</v>
      </c>
      <c r="O140" s="38"/>
      <c r="P140" s="38"/>
      <c r="Q140" s="38"/>
      <c r="R140" s="38"/>
      <c r="S140" s="38"/>
      <c r="U140" s="1">
        <v>4</v>
      </c>
    </row>
    <row r="141" spans="2:26" hidden="1" x14ac:dyDescent="0.3">
      <c r="B141" s="1" t="s">
        <v>354</v>
      </c>
      <c r="C141" s="1" t="s">
        <v>46</v>
      </c>
      <c r="D141" s="12">
        <v>8</v>
      </c>
      <c r="F141" s="1">
        <v>8</v>
      </c>
      <c r="K141" s="1">
        <v>32</v>
      </c>
      <c r="L141" s="2" t="s">
        <v>90</v>
      </c>
      <c r="M141" s="37" t="s">
        <v>1639</v>
      </c>
      <c r="N141" s="38"/>
      <c r="O141" s="37" t="s">
        <v>1640</v>
      </c>
      <c r="P141" s="38"/>
      <c r="Q141" s="38"/>
      <c r="R141" s="38"/>
      <c r="S141" s="38"/>
      <c r="T141" s="1">
        <v>4</v>
      </c>
      <c r="V141" s="1">
        <v>4</v>
      </c>
    </row>
    <row r="142" spans="2:26" ht="13.5" hidden="1" customHeight="1" x14ac:dyDescent="0.3">
      <c r="B142" s="1" t="s">
        <v>359</v>
      </c>
      <c r="C142" s="1" t="s">
        <v>48</v>
      </c>
      <c r="E142" s="1">
        <v>4</v>
      </c>
      <c r="J142" s="1">
        <v>4</v>
      </c>
      <c r="K142" s="1">
        <v>48</v>
      </c>
      <c r="L142" s="2"/>
      <c r="M142" s="37"/>
      <c r="N142" s="37" t="s">
        <v>1641</v>
      </c>
      <c r="O142" s="37"/>
      <c r="P142" s="37"/>
      <c r="Q142" s="38"/>
      <c r="R142" s="38"/>
      <c r="S142" s="37" t="s">
        <v>1642</v>
      </c>
      <c r="U142" s="1">
        <v>6</v>
      </c>
      <c r="Z142" s="1">
        <v>6</v>
      </c>
    </row>
    <row r="143" spans="2:26" hidden="1" x14ac:dyDescent="0.3">
      <c r="B143" s="1" t="s">
        <v>1643</v>
      </c>
      <c r="C143" s="1" t="s">
        <v>48</v>
      </c>
      <c r="G143" s="1">
        <v>3</v>
      </c>
      <c r="K143" s="1">
        <v>64</v>
      </c>
      <c r="L143" s="2"/>
      <c r="M143" s="38"/>
      <c r="N143" s="38"/>
      <c r="O143" s="38"/>
      <c r="P143" s="37" t="s">
        <v>1644</v>
      </c>
      <c r="Q143" s="38"/>
      <c r="R143" s="38"/>
      <c r="S143" s="38"/>
      <c r="W143" s="1">
        <v>8</v>
      </c>
    </row>
    <row r="144" spans="2:26" x14ac:dyDescent="0.3">
      <c r="B144" s="1" t="s">
        <v>362</v>
      </c>
      <c r="C144" s="1" t="s">
        <v>40</v>
      </c>
      <c r="I144" s="1">
        <v>4</v>
      </c>
      <c r="K144" s="1">
        <v>64</v>
      </c>
      <c r="L144" s="2"/>
      <c r="M144" s="38"/>
      <c r="N144" s="38"/>
      <c r="O144" s="38"/>
      <c r="P144" s="38"/>
      <c r="Q144" s="38"/>
      <c r="R144" s="37" t="s">
        <v>1645</v>
      </c>
      <c r="S144" s="38"/>
      <c r="Y144" s="1">
        <v>8</v>
      </c>
    </row>
    <row r="145" spans="2:26" hidden="1" x14ac:dyDescent="0.3">
      <c r="B145" s="1" t="s">
        <v>364</v>
      </c>
      <c r="C145" s="1" t="s">
        <v>49</v>
      </c>
      <c r="D145" s="1">
        <v>2</v>
      </c>
      <c r="G145" s="1">
        <v>2</v>
      </c>
      <c r="H145" s="1">
        <v>4</v>
      </c>
      <c r="J145" s="1">
        <v>2</v>
      </c>
      <c r="K145" s="1">
        <v>48</v>
      </c>
      <c r="L145" s="2"/>
      <c r="M145" s="37" t="s">
        <v>1646</v>
      </c>
      <c r="N145" s="38"/>
      <c r="O145" s="38"/>
      <c r="P145" s="37" t="s">
        <v>1647</v>
      </c>
      <c r="Q145" s="37" t="s">
        <v>1648</v>
      </c>
      <c r="R145" s="38"/>
      <c r="S145" s="37" t="s">
        <v>1647</v>
      </c>
      <c r="T145" s="1">
        <v>6</v>
      </c>
      <c r="W145" s="1">
        <v>6</v>
      </c>
      <c r="X145" s="1">
        <v>7</v>
      </c>
      <c r="Z145" s="1">
        <v>6</v>
      </c>
    </row>
    <row r="146" spans="2:26" x14ac:dyDescent="0.3">
      <c r="B146" s="1" t="s">
        <v>368</v>
      </c>
      <c r="C146" s="1" t="s">
        <v>40</v>
      </c>
      <c r="I146" s="1">
        <v>4</v>
      </c>
      <c r="K146" s="1">
        <v>64</v>
      </c>
      <c r="L146" s="2"/>
      <c r="M146" s="38"/>
      <c r="N146" s="38"/>
      <c r="O146" s="38"/>
      <c r="P146" s="38"/>
      <c r="Q146" s="38"/>
      <c r="R146" s="37" t="s">
        <v>1649</v>
      </c>
      <c r="S146" s="38"/>
      <c r="Y146" s="1">
        <v>8</v>
      </c>
    </row>
    <row r="147" spans="2:26" x14ac:dyDescent="0.3">
      <c r="B147" s="1" t="s">
        <v>1650</v>
      </c>
      <c r="C147" s="1" t="s">
        <v>40</v>
      </c>
      <c r="I147" s="1">
        <v>7</v>
      </c>
      <c r="K147" s="1">
        <v>64</v>
      </c>
      <c r="L147" s="2"/>
      <c r="M147" s="38"/>
      <c r="N147" s="38"/>
      <c r="O147" s="38"/>
      <c r="P147" s="38"/>
      <c r="Q147" s="38"/>
      <c r="R147" s="37" t="s">
        <v>1651</v>
      </c>
      <c r="S147" s="38"/>
      <c r="Y147" s="1">
        <v>7</v>
      </c>
    </row>
    <row r="148" spans="2:26" hidden="1" x14ac:dyDescent="0.3">
      <c r="B148" s="1" t="s">
        <v>370</v>
      </c>
      <c r="C148" s="1" t="s">
        <v>49</v>
      </c>
      <c r="E148" s="1">
        <v>6</v>
      </c>
      <c r="K148" s="1">
        <v>48</v>
      </c>
      <c r="L148" s="2"/>
      <c r="M148" s="38"/>
      <c r="N148" s="37" t="s">
        <v>1652</v>
      </c>
      <c r="O148" s="38"/>
      <c r="P148" s="38"/>
      <c r="Q148" s="38"/>
      <c r="R148" s="38"/>
      <c r="S148" s="38"/>
      <c r="U148" s="1">
        <v>6</v>
      </c>
    </row>
    <row r="149" spans="2:26" ht="26" x14ac:dyDescent="0.3">
      <c r="B149" s="1" t="s">
        <v>1653</v>
      </c>
      <c r="C149" s="1" t="s">
        <v>496</v>
      </c>
      <c r="I149" s="12">
        <v>11</v>
      </c>
      <c r="K149" s="1">
        <v>48</v>
      </c>
      <c r="L149" s="2" t="s">
        <v>1535</v>
      </c>
      <c r="M149" s="38"/>
      <c r="N149" s="38"/>
      <c r="O149" s="38"/>
      <c r="P149" s="38"/>
      <c r="Q149" s="38"/>
      <c r="R149" s="37" t="s">
        <v>1654</v>
      </c>
      <c r="S149" s="38"/>
      <c r="Y149" s="1">
        <v>6</v>
      </c>
    </row>
    <row r="150" spans="2:26" hidden="1" x14ac:dyDescent="0.3">
      <c r="B150" s="1" t="s">
        <v>371</v>
      </c>
      <c r="C150" s="1" t="s">
        <v>46</v>
      </c>
      <c r="F150" s="1">
        <v>4</v>
      </c>
      <c r="K150" s="1">
        <v>80</v>
      </c>
      <c r="L150" s="2"/>
      <c r="M150" s="38"/>
      <c r="N150" s="38"/>
      <c r="O150" s="37" t="s">
        <v>1655</v>
      </c>
      <c r="P150" s="38"/>
      <c r="Q150" s="38"/>
      <c r="R150" s="38"/>
      <c r="S150" s="38"/>
      <c r="V150" s="1">
        <v>6</v>
      </c>
    </row>
    <row r="151" spans="2:26" hidden="1" x14ac:dyDescent="0.3">
      <c r="B151" s="1" t="s">
        <v>374</v>
      </c>
      <c r="C151" s="1" t="s">
        <v>34</v>
      </c>
      <c r="E151" s="1">
        <v>5</v>
      </c>
      <c r="G151" s="1">
        <v>5</v>
      </c>
      <c r="H151" s="11">
        <v>6</v>
      </c>
      <c r="J151" s="1">
        <v>5</v>
      </c>
      <c r="K151" s="1">
        <v>64</v>
      </c>
      <c r="L151" s="2"/>
      <c r="M151" s="38"/>
      <c r="N151" s="37" t="s">
        <v>1656</v>
      </c>
      <c r="O151" s="38"/>
      <c r="P151" s="37" t="s">
        <v>1657</v>
      </c>
      <c r="Q151" s="37" t="s">
        <v>1658</v>
      </c>
      <c r="R151" s="38"/>
      <c r="S151" s="37" t="s">
        <v>1657</v>
      </c>
      <c r="U151" s="1">
        <v>7</v>
      </c>
      <c r="W151" s="1">
        <v>7</v>
      </c>
      <c r="X151" s="1">
        <v>7</v>
      </c>
      <c r="Z151" s="1">
        <v>7</v>
      </c>
    </row>
    <row r="152" spans="2:26" hidden="1" x14ac:dyDescent="0.3">
      <c r="B152" s="1" t="s">
        <v>376</v>
      </c>
      <c r="C152" s="1" t="s">
        <v>34</v>
      </c>
      <c r="E152" s="1">
        <v>6</v>
      </c>
      <c r="G152" s="1">
        <v>6</v>
      </c>
      <c r="H152" s="11">
        <v>7</v>
      </c>
      <c r="J152" s="1">
        <v>6</v>
      </c>
      <c r="K152" s="1">
        <v>48</v>
      </c>
      <c r="L152" s="2"/>
      <c r="M152" s="38"/>
      <c r="N152" s="37" t="s">
        <v>1659</v>
      </c>
      <c r="O152" s="38"/>
      <c r="P152" s="37" t="s">
        <v>1660</v>
      </c>
      <c r="Q152" s="37" t="s">
        <v>1661</v>
      </c>
      <c r="R152" s="38"/>
      <c r="S152" s="37" t="s">
        <v>1660</v>
      </c>
      <c r="U152" s="1">
        <v>6</v>
      </c>
      <c r="W152" s="1">
        <v>6</v>
      </c>
      <c r="X152" s="1">
        <v>8</v>
      </c>
      <c r="Z152" s="1">
        <v>6</v>
      </c>
    </row>
    <row r="153" spans="2:26" hidden="1" x14ac:dyDescent="0.3">
      <c r="B153" s="1" t="s">
        <v>1662</v>
      </c>
      <c r="C153" s="1" t="s">
        <v>34</v>
      </c>
      <c r="J153" s="1">
        <v>7</v>
      </c>
      <c r="K153" s="1">
        <v>64</v>
      </c>
      <c r="L153" s="2"/>
      <c r="M153" s="38"/>
      <c r="N153" s="38"/>
      <c r="O153" s="38"/>
      <c r="P153" s="38"/>
      <c r="Q153" s="38"/>
      <c r="R153" s="38"/>
      <c r="S153" s="37" t="s">
        <v>1663</v>
      </c>
      <c r="Z153" s="1">
        <v>6</v>
      </c>
    </row>
    <row r="154" spans="2:26" hidden="1" x14ac:dyDescent="0.3">
      <c r="B154" s="1" t="s">
        <v>1664</v>
      </c>
      <c r="C154" s="1" t="s">
        <v>29</v>
      </c>
      <c r="G154" s="1">
        <v>5</v>
      </c>
      <c r="K154" s="1">
        <v>48</v>
      </c>
      <c r="L154" s="2"/>
      <c r="M154" s="38"/>
      <c r="N154" s="38"/>
      <c r="O154" s="38"/>
      <c r="P154" s="37" t="s">
        <v>1665</v>
      </c>
      <c r="Q154" s="38"/>
      <c r="R154" s="38"/>
      <c r="S154" s="38"/>
      <c r="W154" s="1">
        <v>6</v>
      </c>
    </row>
    <row r="155" spans="2:26" hidden="1" x14ac:dyDescent="0.3">
      <c r="B155" s="1" t="s">
        <v>1666</v>
      </c>
      <c r="C155" s="1" t="s">
        <v>29</v>
      </c>
      <c r="F155" s="1">
        <v>3</v>
      </c>
      <c r="K155" s="1">
        <v>64</v>
      </c>
      <c r="L155" s="2"/>
      <c r="M155" s="38"/>
      <c r="N155" s="38"/>
      <c r="O155" s="37" t="s">
        <v>1667</v>
      </c>
      <c r="P155" s="38"/>
      <c r="Q155" s="38"/>
      <c r="R155" s="38"/>
      <c r="S155" s="38"/>
      <c r="V155" s="1">
        <v>5</v>
      </c>
    </row>
    <row r="156" spans="2:26" hidden="1" x14ac:dyDescent="0.3">
      <c r="B156" s="1" t="s">
        <v>380</v>
      </c>
      <c r="C156" s="1" t="s">
        <v>29</v>
      </c>
      <c r="F156" s="1">
        <v>4</v>
      </c>
      <c r="K156" s="1">
        <v>64</v>
      </c>
      <c r="L156" s="2"/>
      <c r="M156" s="38"/>
      <c r="N156" s="38"/>
      <c r="O156" s="37" t="s">
        <v>1668</v>
      </c>
      <c r="P156" s="38"/>
      <c r="Q156" s="38"/>
      <c r="R156" s="38"/>
      <c r="S156" s="38"/>
      <c r="V156" s="1">
        <v>5</v>
      </c>
    </row>
    <row r="157" spans="2:26" hidden="1" x14ac:dyDescent="0.3">
      <c r="B157" s="1" t="s">
        <v>382</v>
      </c>
      <c r="C157" s="1" t="s">
        <v>46</v>
      </c>
      <c r="F157" s="1">
        <v>4</v>
      </c>
      <c r="K157" s="1">
        <v>64</v>
      </c>
      <c r="L157" s="2"/>
      <c r="M157" s="38"/>
      <c r="N157" s="38"/>
      <c r="O157" s="37" t="s">
        <v>1669</v>
      </c>
      <c r="P157" s="38"/>
      <c r="Q157" s="38"/>
      <c r="R157" s="38"/>
      <c r="S157" s="38"/>
      <c r="V157" s="1">
        <v>6</v>
      </c>
    </row>
    <row r="158" spans="2:26" hidden="1" x14ac:dyDescent="0.3">
      <c r="B158" s="1" t="s">
        <v>1670</v>
      </c>
      <c r="C158" s="1" t="s">
        <v>46</v>
      </c>
      <c r="F158" s="1">
        <v>5</v>
      </c>
      <c r="K158" s="1">
        <v>64</v>
      </c>
      <c r="L158" s="2"/>
      <c r="M158" s="38"/>
      <c r="N158" s="38"/>
      <c r="O158" s="37">
        <v>26974</v>
      </c>
      <c r="P158" s="38"/>
      <c r="Q158" s="38"/>
      <c r="R158" s="38"/>
      <c r="S158" s="38"/>
      <c r="V158" s="1">
        <v>6</v>
      </c>
    </row>
    <row r="159" spans="2:26" hidden="1" x14ac:dyDescent="0.3">
      <c r="B159" s="1" t="s">
        <v>1671</v>
      </c>
      <c r="C159" s="1" t="s">
        <v>46</v>
      </c>
      <c r="F159" s="1">
        <v>7</v>
      </c>
      <c r="K159" s="1">
        <v>64</v>
      </c>
      <c r="L159" s="2"/>
      <c r="M159" s="38"/>
      <c r="N159" s="38"/>
      <c r="O159" s="37" t="s">
        <v>1672</v>
      </c>
      <c r="P159" s="38"/>
      <c r="Q159" s="38"/>
      <c r="R159" s="38"/>
      <c r="S159" s="38"/>
      <c r="V159" s="1">
        <v>6</v>
      </c>
    </row>
    <row r="160" spans="2:26" hidden="1" x14ac:dyDescent="0.3">
      <c r="B160" s="1" t="s">
        <v>1673</v>
      </c>
      <c r="C160" s="1" t="s">
        <v>32</v>
      </c>
      <c r="D160" s="1">
        <v>5</v>
      </c>
      <c r="K160" s="1">
        <v>48</v>
      </c>
      <c r="L160" s="2"/>
      <c r="M160" s="37" t="s">
        <v>1674</v>
      </c>
      <c r="N160" s="38"/>
      <c r="O160" s="38"/>
      <c r="P160" s="38"/>
      <c r="Q160" s="38"/>
      <c r="R160" s="38"/>
      <c r="S160" s="38"/>
      <c r="T160" s="1">
        <v>6</v>
      </c>
    </row>
    <row r="161" spans="2:26" hidden="1" x14ac:dyDescent="0.3">
      <c r="B161" s="1" t="s">
        <v>1675</v>
      </c>
      <c r="C161" s="1" t="s">
        <v>43</v>
      </c>
      <c r="K161" s="1">
        <v>48</v>
      </c>
      <c r="L161" s="2" t="s">
        <v>1535</v>
      </c>
      <c r="M161" s="38"/>
      <c r="N161" s="38"/>
      <c r="O161" s="38"/>
      <c r="P161" s="38"/>
      <c r="Q161" s="38"/>
      <c r="R161" s="37" t="s">
        <v>1676</v>
      </c>
      <c r="S161" s="38"/>
      <c r="Y161" s="1">
        <v>6</v>
      </c>
    </row>
    <row r="162" spans="2:26" hidden="1" x14ac:dyDescent="0.3">
      <c r="B162" s="1" t="s">
        <v>1677</v>
      </c>
      <c r="C162" s="1" t="s">
        <v>43</v>
      </c>
      <c r="D162" s="12">
        <v>7</v>
      </c>
      <c r="H162" s="1">
        <v>7</v>
      </c>
      <c r="K162" s="1">
        <v>64</v>
      </c>
      <c r="L162" s="2" t="s">
        <v>90</v>
      </c>
      <c r="M162" s="37" t="s">
        <v>1678</v>
      </c>
      <c r="N162" s="38"/>
      <c r="O162" s="38"/>
      <c r="P162" s="38"/>
      <c r="Q162" s="37" t="s">
        <v>1679</v>
      </c>
      <c r="R162" s="38"/>
      <c r="S162" s="38"/>
      <c r="T162" s="1">
        <v>6</v>
      </c>
      <c r="X162" s="1">
        <v>6</v>
      </c>
    </row>
    <row r="163" spans="2:26" hidden="1" x14ac:dyDescent="0.3">
      <c r="B163" s="1" t="s">
        <v>1680</v>
      </c>
      <c r="C163" s="1" t="s">
        <v>29</v>
      </c>
      <c r="G163" s="1">
        <v>5</v>
      </c>
      <c r="K163" s="1">
        <v>48</v>
      </c>
      <c r="L163" s="2"/>
      <c r="M163" s="38"/>
      <c r="N163" s="38"/>
      <c r="O163" s="38"/>
      <c r="P163" s="37" t="s">
        <v>1681</v>
      </c>
      <c r="Q163" s="38"/>
      <c r="R163" s="38"/>
      <c r="S163" s="38"/>
      <c r="W163" s="1">
        <v>6</v>
      </c>
    </row>
    <row r="164" spans="2:26" hidden="1" x14ac:dyDescent="0.3">
      <c r="B164" s="1" t="s">
        <v>1682</v>
      </c>
      <c r="C164" s="1" t="s">
        <v>29</v>
      </c>
      <c r="G164" s="1">
        <v>7</v>
      </c>
      <c r="K164" s="1">
        <v>48</v>
      </c>
      <c r="L164" s="2"/>
      <c r="M164" s="38"/>
      <c r="N164" s="38"/>
      <c r="O164" s="38"/>
      <c r="P164" s="37" t="s">
        <v>1683</v>
      </c>
      <c r="Q164" s="38"/>
      <c r="R164" s="38"/>
      <c r="S164" s="38"/>
      <c r="W164" s="1">
        <v>6</v>
      </c>
    </row>
    <row r="165" spans="2:26" hidden="1" x14ac:dyDescent="0.3">
      <c r="B165" s="1" t="s">
        <v>384</v>
      </c>
      <c r="C165" s="1" t="s">
        <v>29</v>
      </c>
      <c r="G165" s="1">
        <v>6</v>
      </c>
      <c r="K165" s="1">
        <v>64</v>
      </c>
      <c r="L165" s="2"/>
      <c r="M165" s="38"/>
      <c r="N165" s="38"/>
      <c r="O165" s="38"/>
      <c r="P165" s="37" t="s">
        <v>1684</v>
      </c>
      <c r="Q165" s="38"/>
      <c r="R165" s="38"/>
      <c r="S165" s="38"/>
      <c r="W165" s="1">
        <v>8</v>
      </c>
    </row>
    <row r="166" spans="2:26" hidden="1" x14ac:dyDescent="0.3">
      <c r="B166" s="1" t="s">
        <v>387</v>
      </c>
      <c r="C166" s="1" t="s">
        <v>45</v>
      </c>
      <c r="D166" s="1">
        <v>2</v>
      </c>
      <c r="E166" s="1">
        <v>2</v>
      </c>
      <c r="F166" s="1">
        <v>2</v>
      </c>
      <c r="G166" s="1">
        <v>2</v>
      </c>
      <c r="H166" s="11">
        <v>2</v>
      </c>
      <c r="I166" s="1">
        <v>2</v>
      </c>
      <c r="J166" s="1">
        <v>2</v>
      </c>
      <c r="K166" s="1">
        <v>48</v>
      </c>
      <c r="L166" s="2"/>
      <c r="M166" s="37" t="s">
        <v>1685</v>
      </c>
      <c r="N166" s="37" t="s">
        <v>1685</v>
      </c>
      <c r="O166" s="37" t="s">
        <v>1685</v>
      </c>
      <c r="P166" s="37" t="s">
        <v>1686</v>
      </c>
      <c r="Q166" s="37" t="s">
        <v>1687</v>
      </c>
      <c r="R166" s="37" t="s">
        <v>1688</v>
      </c>
      <c r="S166" s="37" t="s">
        <v>1686</v>
      </c>
      <c r="T166" s="1">
        <v>6</v>
      </c>
      <c r="U166" s="1">
        <v>6</v>
      </c>
      <c r="V166" s="1">
        <v>6</v>
      </c>
      <c r="W166" s="1">
        <v>6</v>
      </c>
      <c r="X166" s="1">
        <v>6</v>
      </c>
      <c r="Y166" s="1">
        <v>6</v>
      </c>
      <c r="Z166" s="1">
        <v>6</v>
      </c>
    </row>
    <row r="167" spans="2:26" ht="26" x14ac:dyDescent="0.3">
      <c r="B167" s="1" t="s">
        <v>1689</v>
      </c>
      <c r="C167" s="96" t="s">
        <v>496</v>
      </c>
      <c r="K167" s="1">
        <v>48</v>
      </c>
      <c r="L167" s="2" t="s">
        <v>1535</v>
      </c>
      <c r="M167" s="38"/>
      <c r="N167" s="38"/>
      <c r="O167" s="38"/>
      <c r="P167" s="38"/>
      <c r="Q167" s="38"/>
      <c r="R167" s="37" t="s">
        <v>1690</v>
      </c>
      <c r="S167" s="38"/>
      <c r="Y167" s="1">
        <v>6</v>
      </c>
    </row>
    <row r="168" spans="2:26" x14ac:dyDescent="0.3">
      <c r="B168" s="1" t="s">
        <v>395</v>
      </c>
      <c r="C168" s="1" t="s">
        <v>40</v>
      </c>
      <c r="I168" s="1">
        <v>6</v>
      </c>
      <c r="K168" s="1">
        <v>64</v>
      </c>
      <c r="L168" s="2"/>
      <c r="M168" s="38"/>
      <c r="N168" s="38"/>
      <c r="O168" s="38"/>
      <c r="P168" s="38"/>
      <c r="Q168" s="38"/>
      <c r="R168" s="37" t="s">
        <v>1691</v>
      </c>
      <c r="S168" s="38"/>
      <c r="Y168" s="1">
        <v>8</v>
      </c>
    </row>
    <row r="169" spans="2:26" hidden="1" x14ac:dyDescent="0.3">
      <c r="B169" s="1" t="s">
        <v>1692</v>
      </c>
      <c r="C169" s="1" t="s">
        <v>46</v>
      </c>
      <c r="F169" s="1">
        <v>5</v>
      </c>
      <c r="K169" s="1">
        <v>80</v>
      </c>
      <c r="L169" s="2"/>
      <c r="M169" s="38"/>
      <c r="N169" s="38"/>
      <c r="O169" s="37" t="s">
        <v>1693</v>
      </c>
      <c r="P169" s="38"/>
      <c r="Q169" s="38"/>
      <c r="R169" s="38"/>
      <c r="S169" s="38"/>
      <c r="V169" s="1">
        <v>6</v>
      </c>
    </row>
    <row r="170" spans="2:26" hidden="1" x14ac:dyDescent="0.3">
      <c r="B170" s="1" t="s">
        <v>1694</v>
      </c>
      <c r="C170" s="1" t="s">
        <v>37</v>
      </c>
      <c r="D170" s="1">
        <v>7</v>
      </c>
      <c r="F170" s="13">
        <v>7</v>
      </c>
      <c r="K170" s="1">
        <v>48</v>
      </c>
      <c r="L170" s="2" t="s">
        <v>90</v>
      </c>
      <c r="M170" s="37" t="s">
        <v>1695</v>
      </c>
      <c r="N170" s="38"/>
      <c r="O170" s="37" t="s">
        <v>1695</v>
      </c>
      <c r="P170" s="38"/>
      <c r="Q170" s="38"/>
      <c r="R170" s="38"/>
      <c r="S170" s="38"/>
      <c r="T170" s="1">
        <v>6</v>
      </c>
      <c r="V170" s="1">
        <v>6</v>
      </c>
    </row>
    <row r="171" spans="2:26" hidden="1" x14ac:dyDescent="0.3">
      <c r="B171" s="1" t="s">
        <v>1696</v>
      </c>
      <c r="C171" s="1" t="s">
        <v>46</v>
      </c>
      <c r="F171" s="1">
        <v>1</v>
      </c>
      <c r="K171" s="1">
        <v>48</v>
      </c>
      <c r="L171" s="2"/>
      <c r="M171" s="38"/>
      <c r="N171" s="38"/>
      <c r="O171" s="37" t="s">
        <v>1697</v>
      </c>
      <c r="P171" s="38"/>
      <c r="Q171" s="38"/>
      <c r="R171" s="38"/>
      <c r="S171" s="38"/>
      <c r="V171" s="1">
        <v>6</v>
      </c>
    </row>
    <row r="172" spans="2:26" hidden="1" x14ac:dyDescent="0.3">
      <c r="B172" s="1" t="s">
        <v>1698</v>
      </c>
      <c r="C172" s="1" t="s">
        <v>48</v>
      </c>
      <c r="D172" s="1">
        <v>3</v>
      </c>
      <c r="K172" s="1">
        <v>48</v>
      </c>
      <c r="L172" s="2"/>
      <c r="M172" s="37" t="s">
        <v>1699</v>
      </c>
      <c r="N172" s="38"/>
      <c r="O172" s="38"/>
      <c r="P172" s="38"/>
      <c r="Q172" s="38"/>
      <c r="R172" s="38"/>
      <c r="S172" s="38"/>
      <c r="T172" s="1">
        <v>6</v>
      </c>
    </row>
    <row r="173" spans="2:26" hidden="1" x14ac:dyDescent="0.3">
      <c r="B173" s="1" t="s">
        <v>397</v>
      </c>
      <c r="C173" s="1" t="s">
        <v>48</v>
      </c>
      <c r="E173" s="1">
        <v>5</v>
      </c>
      <c r="F173" s="1">
        <v>6</v>
      </c>
      <c r="G173" s="1">
        <v>5</v>
      </c>
      <c r="H173" s="1">
        <v>4</v>
      </c>
      <c r="I173" s="1">
        <v>4</v>
      </c>
      <c r="J173" s="1">
        <v>5</v>
      </c>
      <c r="K173" s="1">
        <v>64</v>
      </c>
      <c r="L173" s="2"/>
      <c r="M173" s="38"/>
      <c r="N173" s="37" t="s">
        <v>1700</v>
      </c>
      <c r="O173" s="37" t="s">
        <v>1700</v>
      </c>
      <c r="P173" s="37" t="s">
        <v>1701</v>
      </c>
      <c r="Q173" s="37" t="s">
        <v>1702</v>
      </c>
      <c r="R173" s="37" t="s">
        <v>1703</v>
      </c>
      <c r="S173" s="37" t="s">
        <v>1701</v>
      </c>
      <c r="U173" s="1">
        <v>8</v>
      </c>
      <c r="V173" s="1">
        <v>8</v>
      </c>
      <c r="W173" s="1">
        <v>8</v>
      </c>
      <c r="X173" s="1">
        <v>8</v>
      </c>
      <c r="Y173" s="1">
        <v>8</v>
      </c>
      <c r="Z173" s="1">
        <v>8</v>
      </c>
    </row>
    <row r="174" spans="2:26" hidden="1" x14ac:dyDescent="0.3">
      <c r="B174" s="1" t="s">
        <v>400</v>
      </c>
      <c r="C174" s="1" t="s">
        <v>29</v>
      </c>
      <c r="G174" s="1">
        <v>8</v>
      </c>
      <c r="K174" s="1">
        <v>48</v>
      </c>
      <c r="L174" s="2"/>
      <c r="M174" s="38"/>
      <c r="N174" s="38"/>
      <c r="O174" s="38"/>
      <c r="P174" s="37" t="s">
        <v>1704</v>
      </c>
      <c r="Q174" s="38"/>
      <c r="R174" s="38"/>
      <c r="S174" s="38"/>
      <c r="W174" s="1">
        <v>6</v>
      </c>
    </row>
    <row r="175" spans="2:26" hidden="1" x14ac:dyDescent="0.3">
      <c r="B175" s="1" t="s">
        <v>401</v>
      </c>
      <c r="C175" s="1" t="s">
        <v>49</v>
      </c>
      <c r="D175" s="1">
        <v>6</v>
      </c>
      <c r="E175" s="1">
        <v>6</v>
      </c>
      <c r="F175" s="1">
        <v>7</v>
      </c>
      <c r="K175" s="1">
        <v>64</v>
      </c>
      <c r="L175" s="2"/>
      <c r="M175" s="37" t="s">
        <v>1705</v>
      </c>
      <c r="N175" s="37" t="s">
        <v>1705</v>
      </c>
      <c r="O175" s="37" t="s">
        <v>1706</v>
      </c>
      <c r="P175" s="38"/>
      <c r="Q175" s="38"/>
      <c r="R175" s="38"/>
      <c r="S175" s="38"/>
      <c r="T175" s="1">
        <v>7</v>
      </c>
      <c r="U175" s="1">
        <v>7</v>
      </c>
      <c r="V175" s="1">
        <v>7</v>
      </c>
    </row>
    <row r="176" spans="2:26" hidden="1" x14ac:dyDescent="0.3">
      <c r="B176" s="1" t="s">
        <v>1707</v>
      </c>
      <c r="C176" s="1" t="s">
        <v>29</v>
      </c>
      <c r="E176" s="1">
        <v>3</v>
      </c>
      <c r="G176" s="1">
        <v>3</v>
      </c>
      <c r="J176" s="1">
        <v>3</v>
      </c>
      <c r="K176" s="1">
        <v>64</v>
      </c>
      <c r="L176" s="2"/>
      <c r="M176" s="38"/>
      <c r="N176" s="37" t="s">
        <v>1708</v>
      </c>
      <c r="O176" s="38"/>
      <c r="P176" s="37" t="s">
        <v>1709</v>
      </c>
      <c r="Q176" s="38"/>
      <c r="R176" s="38"/>
      <c r="S176" s="37" t="s">
        <v>1709</v>
      </c>
      <c r="U176" s="1">
        <v>8</v>
      </c>
      <c r="W176" s="1">
        <v>8</v>
      </c>
      <c r="Z176" s="1">
        <v>8</v>
      </c>
    </row>
    <row r="177" spans="2:26" ht="26" hidden="1" x14ac:dyDescent="0.3">
      <c r="B177" s="1" t="s">
        <v>406</v>
      </c>
      <c r="C177" s="1" t="s">
        <v>29</v>
      </c>
      <c r="G177" s="1">
        <v>6</v>
      </c>
      <c r="K177" s="1">
        <v>48</v>
      </c>
      <c r="L177" s="2"/>
      <c r="M177" s="38"/>
      <c r="N177" s="38"/>
      <c r="O177" s="38"/>
      <c r="P177" s="37" t="s">
        <v>1710</v>
      </c>
      <c r="Q177" s="38"/>
      <c r="R177" s="38"/>
      <c r="S177" s="38"/>
      <c r="W177" s="1">
        <v>6</v>
      </c>
    </row>
    <row r="178" spans="2:26" hidden="1" x14ac:dyDescent="0.3">
      <c r="B178" s="1" t="s">
        <v>408</v>
      </c>
      <c r="C178" s="1" t="s">
        <v>29</v>
      </c>
      <c r="D178" s="1">
        <v>2</v>
      </c>
      <c r="E178" s="1">
        <v>2</v>
      </c>
      <c r="G178" s="1">
        <v>2</v>
      </c>
      <c r="H178" s="11">
        <v>2</v>
      </c>
      <c r="J178" s="1">
        <v>2</v>
      </c>
      <c r="K178" s="1">
        <v>64</v>
      </c>
      <c r="L178" s="2"/>
      <c r="M178" s="37" t="s">
        <v>1711</v>
      </c>
      <c r="N178" s="37" t="s">
        <v>1711</v>
      </c>
      <c r="O178" s="38"/>
      <c r="P178" s="37" t="s">
        <v>1712</v>
      </c>
      <c r="Q178" s="37" t="s">
        <v>1713</v>
      </c>
      <c r="R178" s="38"/>
      <c r="S178" s="37" t="s">
        <v>1712</v>
      </c>
      <c r="T178" s="1">
        <v>8</v>
      </c>
      <c r="U178" s="1">
        <v>8</v>
      </c>
      <c r="W178" s="1">
        <v>8</v>
      </c>
      <c r="X178" s="1">
        <v>6</v>
      </c>
      <c r="Z178" s="1">
        <v>8</v>
      </c>
    </row>
    <row r="179" spans="2:26" x14ac:dyDescent="0.3">
      <c r="B179" s="1" t="s">
        <v>415</v>
      </c>
      <c r="C179" s="1" t="s">
        <v>40</v>
      </c>
      <c r="I179" s="1">
        <v>6</v>
      </c>
      <c r="K179" s="1">
        <v>64</v>
      </c>
      <c r="L179" s="2"/>
      <c r="M179" s="38"/>
      <c r="N179" s="38"/>
      <c r="O179" s="38"/>
      <c r="P179" s="38"/>
      <c r="Q179" s="38"/>
      <c r="R179" s="37" t="s">
        <v>1714</v>
      </c>
      <c r="S179" s="38"/>
      <c r="Y179" s="1">
        <v>7</v>
      </c>
    </row>
    <row r="180" spans="2:26" hidden="1" x14ac:dyDescent="0.3">
      <c r="B180" s="1" t="s">
        <v>1715</v>
      </c>
      <c r="C180" s="1" t="s">
        <v>34</v>
      </c>
      <c r="E180" s="1">
        <v>7</v>
      </c>
      <c r="K180" s="1">
        <v>64</v>
      </c>
      <c r="L180" s="2"/>
      <c r="M180" s="38"/>
      <c r="N180" s="37" t="s">
        <v>1716</v>
      </c>
      <c r="O180" s="38"/>
      <c r="P180" s="38"/>
      <c r="Q180" s="38"/>
      <c r="R180" s="38"/>
      <c r="S180" s="38"/>
      <c r="U180" s="1">
        <v>7</v>
      </c>
    </row>
    <row r="181" spans="2:26" hidden="1" x14ac:dyDescent="0.3">
      <c r="B181" s="1" t="s">
        <v>416</v>
      </c>
      <c r="C181" s="1" t="s">
        <v>34</v>
      </c>
      <c r="E181" s="1">
        <v>8</v>
      </c>
      <c r="K181" s="1">
        <v>48</v>
      </c>
      <c r="L181" s="2"/>
      <c r="M181" s="38"/>
      <c r="N181" s="37" t="s">
        <v>1717</v>
      </c>
      <c r="O181" s="38"/>
      <c r="P181" s="38"/>
      <c r="Q181" s="38"/>
      <c r="R181" s="38"/>
      <c r="S181" s="38"/>
      <c r="U181" s="1">
        <v>6</v>
      </c>
    </row>
    <row r="182" spans="2:26" hidden="1" x14ac:dyDescent="0.3">
      <c r="B182" s="1" t="s">
        <v>417</v>
      </c>
      <c r="C182" s="1" t="s">
        <v>43</v>
      </c>
      <c r="H182" s="1">
        <v>8</v>
      </c>
      <c r="K182" s="5">
        <v>80</v>
      </c>
      <c r="L182" s="2"/>
      <c r="M182" s="38"/>
      <c r="N182" s="38"/>
      <c r="O182" s="38"/>
      <c r="P182" s="38"/>
      <c r="Q182" s="37" t="s">
        <v>1718</v>
      </c>
      <c r="R182" s="38"/>
      <c r="S182" s="38"/>
      <c r="X182" s="1">
        <v>8</v>
      </c>
    </row>
    <row r="183" spans="2:26" ht="26" hidden="1" x14ac:dyDescent="0.3">
      <c r="B183" s="1" t="s">
        <v>419</v>
      </c>
      <c r="C183" s="1" t="s">
        <v>37</v>
      </c>
      <c r="D183" s="1">
        <v>6</v>
      </c>
      <c r="E183" s="1">
        <v>7</v>
      </c>
      <c r="F183" s="1">
        <v>7</v>
      </c>
      <c r="G183" s="1">
        <v>7</v>
      </c>
      <c r="I183" s="1">
        <v>9</v>
      </c>
      <c r="J183" s="1">
        <v>5</v>
      </c>
      <c r="K183" s="1">
        <v>48</v>
      </c>
      <c r="L183" s="2" t="s">
        <v>90</v>
      </c>
      <c r="M183" s="37" t="s">
        <v>1719</v>
      </c>
      <c r="N183" s="37" t="s">
        <v>1720</v>
      </c>
      <c r="O183" s="37" t="s">
        <v>1720</v>
      </c>
      <c r="P183" s="37" t="s">
        <v>1721</v>
      </c>
      <c r="Q183" s="38"/>
      <c r="R183" s="37" t="s">
        <v>1722</v>
      </c>
      <c r="S183" s="37" t="s">
        <v>1723</v>
      </c>
      <c r="T183" s="1">
        <v>6</v>
      </c>
      <c r="U183" s="1">
        <v>6</v>
      </c>
      <c r="V183" s="1">
        <v>6</v>
      </c>
      <c r="W183" s="1">
        <v>6</v>
      </c>
      <c r="Y183" s="1">
        <v>6</v>
      </c>
      <c r="Z183" s="1">
        <v>6</v>
      </c>
    </row>
    <row r="184" spans="2:26" hidden="1" x14ac:dyDescent="0.3">
      <c r="B184" s="1" t="s">
        <v>1724</v>
      </c>
      <c r="C184" s="1" t="s">
        <v>46</v>
      </c>
      <c r="F184" s="1">
        <v>7</v>
      </c>
      <c r="K184" s="1">
        <v>48</v>
      </c>
      <c r="L184" s="2"/>
      <c r="M184" s="38"/>
      <c r="N184" s="38"/>
      <c r="O184" s="37" t="s">
        <v>1725</v>
      </c>
      <c r="P184" s="38"/>
      <c r="Q184" s="38"/>
      <c r="R184" s="38"/>
      <c r="S184" s="38"/>
      <c r="V184" s="1">
        <v>6</v>
      </c>
    </row>
    <row r="185" spans="2:26" hidden="1" x14ac:dyDescent="0.3">
      <c r="B185" s="1" t="s">
        <v>422</v>
      </c>
      <c r="C185" s="1" t="s">
        <v>37</v>
      </c>
      <c r="F185" s="1">
        <v>8</v>
      </c>
      <c r="K185" s="1">
        <v>48</v>
      </c>
      <c r="L185" s="2"/>
      <c r="M185" s="38"/>
      <c r="N185" s="38"/>
      <c r="O185" s="37" t="s">
        <v>1726</v>
      </c>
      <c r="P185" s="38"/>
      <c r="Q185" s="38"/>
      <c r="R185" s="38"/>
      <c r="S185" s="38"/>
      <c r="V185" s="1">
        <v>6</v>
      </c>
    </row>
    <row r="186" spans="2:26" hidden="1" x14ac:dyDescent="0.3">
      <c r="B186" s="1" t="s">
        <v>127</v>
      </c>
      <c r="C186" s="1" t="s">
        <v>43</v>
      </c>
      <c r="D186" s="1">
        <v>1</v>
      </c>
      <c r="E186" s="1">
        <v>1</v>
      </c>
      <c r="F186" s="1">
        <v>2</v>
      </c>
      <c r="G186" s="1">
        <v>1</v>
      </c>
      <c r="H186" s="1">
        <v>1</v>
      </c>
      <c r="J186" s="1">
        <v>1</v>
      </c>
      <c r="K186" s="1">
        <v>64</v>
      </c>
      <c r="L186" s="2"/>
      <c r="M186" s="37" t="s">
        <v>1727</v>
      </c>
      <c r="N186" s="37" t="s">
        <v>1727</v>
      </c>
      <c r="O186" s="37" t="s">
        <v>1727</v>
      </c>
      <c r="P186" s="37" t="s">
        <v>1728</v>
      </c>
      <c r="Q186" s="37" t="s">
        <v>1729</v>
      </c>
      <c r="R186" s="37"/>
      <c r="S186" s="37" t="s">
        <v>1728</v>
      </c>
      <c r="T186" s="1">
        <v>7</v>
      </c>
      <c r="U186" s="1">
        <v>7</v>
      </c>
      <c r="V186" s="1">
        <v>7</v>
      </c>
      <c r="W186" s="1">
        <v>7</v>
      </c>
      <c r="X186" s="1">
        <v>7</v>
      </c>
      <c r="Y186" s="1">
        <v>7</v>
      </c>
      <c r="Z186" s="1">
        <v>7</v>
      </c>
    </row>
    <row r="187" spans="2:26" hidden="1" x14ac:dyDescent="0.3">
      <c r="B187" s="1" t="s">
        <v>425</v>
      </c>
      <c r="C187" s="1" t="s">
        <v>37</v>
      </c>
      <c r="D187" s="1">
        <v>8</v>
      </c>
      <c r="K187" s="1">
        <v>48</v>
      </c>
      <c r="L187" s="2"/>
      <c r="M187" s="37" t="s">
        <v>1730</v>
      </c>
      <c r="N187" s="38"/>
      <c r="O187" s="38"/>
      <c r="P187" s="38"/>
      <c r="Q187" s="38"/>
      <c r="R187" s="38"/>
      <c r="S187" s="38"/>
      <c r="T187" s="1">
        <v>6</v>
      </c>
    </row>
    <row r="188" spans="2:26" hidden="1" x14ac:dyDescent="0.3">
      <c r="B188" s="1" t="s">
        <v>427</v>
      </c>
      <c r="C188" s="1" t="s">
        <v>37</v>
      </c>
      <c r="D188" s="1">
        <v>3</v>
      </c>
      <c r="E188" s="1">
        <v>4</v>
      </c>
      <c r="G188" s="1">
        <v>4</v>
      </c>
      <c r="J188" s="1">
        <v>4</v>
      </c>
      <c r="K188" s="1">
        <v>48</v>
      </c>
      <c r="L188" s="2"/>
      <c r="M188" s="37" t="s">
        <v>1731</v>
      </c>
      <c r="N188" s="37" t="s">
        <v>1732</v>
      </c>
      <c r="O188" s="38"/>
      <c r="P188" s="37" t="s">
        <v>1733</v>
      </c>
      <c r="Q188" s="38"/>
      <c r="R188" s="38"/>
      <c r="S188" s="37" t="s">
        <v>1734</v>
      </c>
      <c r="T188" s="1">
        <v>6</v>
      </c>
      <c r="U188" s="1">
        <v>6</v>
      </c>
      <c r="W188" s="1">
        <v>6</v>
      </c>
      <c r="Z188" s="1">
        <v>6</v>
      </c>
    </row>
    <row r="189" spans="2:26" hidden="1" x14ac:dyDescent="0.3">
      <c r="B189" s="1" t="s">
        <v>430</v>
      </c>
      <c r="C189" s="1" t="s">
        <v>49</v>
      </c>
      <c r="E189" s="1">
        <v>4</v>
      </c>
      <c r="K189" s="1">
        <v>48</v>
      </c>
      <c r="L189" s="2"/>
      <c r="M189" s="38"/>
      <c r="N189" s="37" t="s">
        <v>1735</v>
      </c>
      <c r="O189" s="38"/>
      <c r="P189" s="38"/>
      <c r="Q189" s="38"/>
      <c r="R189" s="38"/>
      <c r="S189" s="38"/>
      <c r="U189" s="1">
        <v>6</v>
      </c>
    </row>
    <row r="190" spans="2:26" hidden="1" x14ac:dyDescent="0.3">
      <c r="B190" s="1" t="s">
        <v>432</v>
      </c>
      <c r="C190" s="1" t="s">
        <v>26</v>
      </c>
      <c r="J190" s="1">
        <v>6</v>
      </c>
      <c r="K190" s="1">
        <v>48</v>
      </c>
      <c r="L190" s="2"/>
      <c r="M190" s="38"/>
      <c r="N190" s="38"/>
      <c r="O190" s="38"/>
      <c r="P190" s="38"/>
      <c r="Q190" s="38"/>
      <c r="R190" s="38"/>
      <c r="S190" s="37" t="s">
        <v>1736</v>
      </c>
      <c r="Z190" s="1">
        <v>5</v>
      </c>
    </row>
    <row r="191" spans="2:26" hidden="1" x14ac:dyDescent="0.3">
      <c r="B191" s="1" t="s">
        <v>1737</v>
      </c>
      <c r="C191" s="1" t="s">
        <v>49</v>
      </c>
      <c r="E191" s="1">
        <v>9</v>
      </c>
      <c r="K191" s="1">
        <v>48</v>
      </c>
      <c r="L191" s="2" t="s">
        <v>90</v>
      </c>
      <c r="M191" s="38"/>
      <c r="N191" s="37" t="s">
        <v>1738</v>
      </c>
      <c r="O191" s="38"/>
      <c r="P191" s="38"/>
      <c r="Q191" s="38"/>
      <c r="R191" s="38"/>
      <c r="S191" s="38"/>
      <c r="U191" s="1">
        <v>6</v>
      </c>
    </row>
    <row r="192" spans="2:26" hidden="1" x14ac:dyDescent="0.3">
      <c r="B192" s="1" t="s">
        <v>435</v>
      </c>
      <c r="C192" s="1" t="s">
        <v>32</v>
      </c>
      <c r="D192" s="1">
        <v>6</v>
      </c>
      <c r="K192" s="1">
        <v>48</v>
      </c>
      <c r="L192" s="2"/>
      <c r="M192" s="37" t="s">
        <v>1739</v>
      </c>
      <c r="N192" s="38"/>
      <c r="O192" s="38"/>
      <c r="P192" s="38"/>
      <c r="Q192" s="38"/>
      <c r="R192" s="38"/>
      <c r="S192" s="38"/>
      <c r="T192" s="1">
        <v>6</v>
      </c>
    </row>
    <row r="193" spans="2:26" hidden="1" x14ac:dyDescent="0.3">
      <c r="B193" s="1" t="s">
        <v>436</v>
      </c>
      <c r="C193" s="1" t="s">
        <v>29</v>
      </c>
      <c r="F193" s="1">
        <v>7</v>
      </c>
      <c r="G193" s="12">
        <v>8</v>
      </c>
      <c r="K193" s="1">
        <v>64</v>
      </c>
      <c r="L193" s="2" t="s">
        <v>90</v>
      </c>
      <c r="M193" s="38"/>
      <c r="N193" s="38"/>
      <c r="O193" s="37" t="s">
        <v>1740</v>
      </c>
      <c r="P193" s="37" t="s">
        <v>1741</v>
      </c>
      <c r="Q193" s="38"/>
      <c r="R193" s="38"/>
      <c r="S193" s="38"/>
      <c r="V193" s="1">
        <v>6</v>
      </c>
      <c r="W193" s="1">
        <v>6</v>
      </c>
    </row>
    <row r="194" spans="2:26" hidden="1" x14ac:dyDescent="0.3">
      <c r="B194" s="1" t="s">
        <v>1742</v>
      </c>
      <c r="C194" s="1" t="s">
        <v>43</v>
      </c>
      <c r="I194" s="1">
        <v>9</v>
      </c>
      <c r="K194" s="1">
        <v>48</v>
      </c>
      <c r="L194" s="2" t="s">
        <v>90</v>
      </c>
      <c r="M194" s="38"/>
      <c r="N194" s="38"/>
      <c r="O194" s="38"/>
      <c r="P194" s="38"/>
      <c r="Q194" s="38"/>
      <c r="R194" s="37" t="s">
        <v>1743</v>
      </c>
      <c r="S194" s="38"/>
      <c r="Y194" s="1">
        <v>6</v>
      </c>
    </row>
    <row r="195" spans="2:26" hidden="1" x14ac:dyDescent="0.3">
      <c r="B195" s="1" t="s">
        <v>438</v>
      </c>
      <c r="C195" s="1" t="s">
        <v>34</v>
      </c>
      <c r="J195" s="1">
        <v>6</v>
      </c>
      <c r="K195" s="1">
        <v>64</v>
      </c>
      <c r="L195" s="2"/>
      <c r="M195" s="38"/>
      <c r="N195" s="38"/>
      <c r="O195" s="38"/>
      <c r="P195" s="38"/>
      <c r="Q195" s="38"/>
      <c r="R195" s="38"/>
      <c r="S195" s="37" t="s">
        <v>1744</v>
      </c>
      <c r="Z195" s="1">
        <v>6</v>
      </c>
    </row>
    <row r="196" spans="2:26" hidden="1" x14ac:dyDescent="0.3">
      <c r="B196" s="1" t="s">
        <v>1745</v>
      </c>
      <c r="C196" s="1" t="s">
        <v>34</v>
      </c>
      <c r="E196" s="1">
        <v>7</v>
      </c>
      <c r="J196" s="1">
        <v>7</v>
      </c>
      <c r="K196" s="1">
        <v>64</v>
      </c>
      <c r="L196" s="2"/>
      <c r="M196" s="38"/>
      <c r="N196" s="37" t="s">
        <v>1746</v>
      </c>
      <c r="O196" s="38"/>
      <c r="P196" s="38"/>
      <c r="Q196" s="38"/>
      <c r="R196" s="38"/>
      <c r="S196" s="37" t="s">
        <v>1747</v>
      </c>
      <c r="U196" s="1">
        <v>7</v>
      </c>
      <c r="Z196" s="1">
        <v>7</v>
      </c>
    </row>
    <row r="197" spans="2:26" hidden="1" x14ac:dyDescent="0.3">
      <c r="B197" s="1" t="s">
        <v>440</v>
      </c>
      <c r="C197" s="1" t="s">
        <v>37</v>
      </c>
      <c r="F197" s="1">
        <v>6</v>
      </c>
      <c r="K197" s="1">
        <v>48</v>
      </c>
      <c r="L197" s="2"/>
      <c r="M197" s="38"/>
      <c r="N197" s="38"/>
      <c r="O197" s="37" t="s">
        <v>1748</v>
      </c>
      <c r="P197" s="38"/>
      <c r="Q197" s="38"/>
      <c r="R197" s="38"/>
      <c r="S197" s="38"/>
      <c r="V197" s="1">
        <v>6</v>
      </c>
    </row>
    <row r="198" spans="2:26" hidden="1" x14ac:dyDescent="0.3">
      <c r="B198" s="1" t="s">
        <v>1749</v>
      </c>
      <c r="C198" s="1" t="s">
        <v>29</v>
      </c>
      <c r="D198" s="1">
        <v>3</v>
      </c>
      <c r="I198" s="1">
        <v>3</v>
      </c>
      <c r="K198" s="1">
        <v>48</v>
      </c>
      <c r="L198" s="2"/>
      <c r="M198" s="37" t="s">
        <v>1750</v>
      </c>
      <c r="N198" s="38"/>
      <c r="O198" s="38"/>
      <c r="P198" s="38"/>
      <c r="Q198" s="38"/>
      <c r="R198" s="37" t="s">
        <v>1751</v>
      </c>
      <c r="S198" s="38"/>
      <c r="T198" s="1">
        <v>6</v>
      </c>
      <c r="Y198" s="1">
        <v>6</v>
      </c>
    </row>
    <row r="199" spans="2:26" hidden="1" x14ac:dyDescent="0.3">
      <c r="B199" s="1" t="s">
        <v>1752</v>
      </c>
      <c r="C199" s="1" t="s">
        <v>43</v>
      </c>
      <c r="I199" s="12"/>
      <c r="K199" s="1">
        <v>48</v>
      </c>
      <c r="L199" s="2" t="s">
        <v>1535</v>
      </c>
      <c r="M199" s="38"/>
      <c r="N199" s="38"/>
      <c r="O199" s="38"/>
      <c r="P199" s="38"/>
      <c r="Q199" s="38"/>
      <c r="R199" s="37" t="s">
        <v>1753</v>
      </c>
      <c r="S199" s="38"/>
      <c r="Y199" s="1">
        <v>6</v>
      </c>
    </row>
    <row r="200" spans="2:26" hidden="1" x14ac:dyDescent="0.3">
      <c r="B200" s="1" t="s">
        <v>1754</v>
      </c>
      <c r="C200" s="1" t="s">
        <v>43</v>
      </c>
      <c r="H200" s="1">
        <v>7</v>
      </c>
      <c r="K200" s="1">
        <v>64</v>
      </c>
      <c r="L200" s="2"/>
      <c r="M200" s="38"/>
      <c r="N200" s="38"/>
      <c r="O200" s="38"/>
      <c r="P200" s="38"/>
      <c r="Q200" s="37" t="s">
        <v>1755</v>
      </c>
      <c r="R200" s="38"/>
      <c r="S200" s="38"/>
      <c r="X200" s="1">
        <v>6</v>
      </c>
    </row>
    <row r="201" spans="2:26" hidden="1" x14ac:dyDescent="0.3">
      <c r="B201" s="1" t="s">
        <v>441</v>
      </c>
      <c r="C201" s="1" t="s">
        <v>43</v>
      </c>
      <c r="H201" s="1">
        <v>8</v>
      </c>
      <c r="K201" s="1">
        <v>80</v>
      </c>
      <c r="L201" s="2"/>
      <c r="M201" s="38"/>
      <c r="N201" s="38"/>
      <c r="O201" s="38"/>
      <c r="P201" s="38"/>
      <c r="Q201" s="37" t="s">
        <v>1756</v>
      </c>
      <c r="R201" s="38"/>
      <c r="S201" s="38"/>
      <c r="X201" s="1">
        <v>8</v>
      </c>
    </row>
    <row r="202" spans="2:26" hidden="1" x14ac:dyDescent="0.3">
      <c r="B202" s="1" t="s">
        <v>443</v>
      </c>
      <c r="C202" s="1" t="s">
        <v>49</v>
      </c>
      <c r="D202" s="1">
        <v>8</v>
      </c>
      <c r="K202" s="1">
        <v>64</v>
      </c>
      <c r="L202" s="2"/>
      <c r="M202" s="37" t="s">
        <v>1757</v>
      </c>
      <c r="N202" s="38"/>
      <c r="O202" s="38"/>
      <c r="P202" s="38"/>
      <c r="Q202" s="38"/>
      <c r="R202" s="38"/>
      <c r="S202" s="38"/>
      <c r="T202" s="1">
        <v>7</v>
      </c>
    </row>
    <row r="203" spans="2:26" hidden="1" x14ac:dyDescent="0.3">
      <c r="B203" s="1" t="s">
        <v>445</v>
      </c>
      <c r="C203" s="1" t="s">
        <v>29</v>
      </c>
      <c r="G203" s="1">
        <v>4</v>
      </c>
      <c r="K203" s="1">
        <v>48</v>
      </c>
      <c r="L203" s="2"/>
      <c r="M203" s="38"/>
      <c r="N203" s="38"/>
      <c r="O203" s="38"/>
      <c r="P203" s="37" t="s">
        <v>1758</v>
      </c>
      <c r="Q203" s="38"/>
      <c r="R203" s="38"/>
      <c r="S203" s="38"/>
      <c r="W203" s="1">
        <v>6</v>
      </c>
    </row>
    <row r="204" spans="2:26" hidden="1" x14ac:dyDescent="0.3">
      <c r="B204" s="1" t="s">
        <v>447</v>
      </c>
      <c r="C204" s="1" t="s">
        <v>43</v>
      </c>
      <c r="D204" s="12">
        <v>8</v>
      </c>
      <c r="F204" s="14">
        <v>8</v>
      </c>
      <c r="K204" s="1">
        <v>32</v>
      </c>
      <c r="L204" s="2" t="s">
        <v>90</v>
      </c>
      <c r="M204" s="37" t="s">
        <v>1759</v>
      </c>
      <c r="N204" s="38"/>
      <c r="O204" s="37" t="s">
        <v>1759</v>
      </c>
      <c r="P204" s="38"/>
      <c r="Q204" s="38"/>
      <c r="R204" s="38"/>
      <c r="S204" s="38"/>
      <c r="T204" s="1">
        <v>4</v>
      </c>
      <c r="V204" s="1">
        <v>4</v>
      </c>
    </row>
    <row r="205" spans="2:26" hidden="1" x14ac:dyDescent="0.3">
      <c r="B205" s="1" t="s">
        <v>449</v>
      </c>
      <c r="C205" s="1" t="s">
        <v>46</v>
      </c>
      <c r="F205" s="11">
        <v>8</v>
      </c>
      <c r="K205" s="1">
        <v>80</v>
      </c>
      <c r="L205" s="2"/>
      <c r="M205" s="38"/>
      <c r="N205" s="38"/>
      <c r="O205" s="37" t="s">
        <v>1760</v>
      </c>
      <c r="P205" s="38"/>
      <c r="Q205" s="38"/>
      <c r="R205" s="38"/>
      <c r="S205" s="38"/>
      <c r="V205" s="1">
        <v>8</v>
      </c>
    </row>
    <row r="206" spans="2:26" hidden="1" x14ac:dyDescent="0.3">
      <c r="B206" s="1" t="s">
        <v>1761</v>
      </c>
      <c r="C206" s="1" t="s">
        <v>46</v>
      </c>
      <c r="F206" s="1">
        <v>1</v>
      </c>
      <c r="K206" s="1">
        <v>80</v>
      </c>
      <c r="L206" s="2"/>
      <c r="M206" s="38"/>
      <c r="N206" s="38"/>
      <c r="O206" s="37" t="s">
        <v>1762</v>
      </c>
      <c r="P206" s="38"/>
      <c r="Q206" s="38"/>
      <c r="R206" s="38"/>
      <c r="S206" s="38"/>
      <c r="V206" s="1">
        <v>7</v>
      </c>
    </row>
    <row r="207" spans="2:26" hidden="1" x14ac:dyDescent="0.3">
      <c r="B207" s="1" t="s">
        <v>1763</v>
      </c>
      <c r="C207" s="1" t="s">
        <v>46</v>
      </c>
      <c r="F207" s="1">
        <v>5</v>
      </c>
      <c r="K207" s="1">
        <v>80</v>
      </c>
      <c r="L207" s="2"/>
      <c r="M207" s="38"/>
      <c r="N207" s="38"/>
      <c r="O207" s="37" t="s">
        <v>1764</v>
      </c>
      <c r="P207" s="38"/>
      <c r="Q207" s="38"/>
      <c r="R207" s="38"/>
      <c r="S207" s="38"/>
      <c r="V207" s="1">
        <v>7</v>
      </c>
    </row>
    <row r="208" spans="2:26" ht="12" hidden="1" customHeight="1" x14ac:dyDescent="0.3">
      <c r="B208" s="1" t="s">
        <v>450</v>
      </c>
      <c r="C208" s="1" t="s">
        <v>46</v>
      </c>
      <c r="F208" s="1">
        <v>4</v>
      </c>
      <c r="K208" s="1">
        <v>80</v>
      </c>
      <c r="L208" s="2"/>
      <c r="M208" s="38"/>
      <c r="N208" s="38"/>
      <c r="O208" s="37" t="s">
        <v>1765</v>
      </c>
      <c r="P208" s="38"/>
      <c r="Q208" s="38"/>
      <c r="R208" s="38"/>
      <c r="S208" s="38"/>
      <c r="V208" s="1">
        <v>7</v>
      </c>
    </row>
    <row r="209" spans="2:26" hidden="1" x14ac:dyDescent="0.3">
      <c r="B209" s="1" t="s">
        <v>1766</v>
      </c>
      <c r="C209" s="1" t="s">
        <v>46</v>
      </c>
      <c r="F209" s="1">
        <v>3</v>
      </c>
      <c r="K209" s="1">
        <v>80</v>
      </c>
      <c r="L209" s="2"/>
      <c r="M209" s="38"/>
      <c r="N209" s="38"/>
      <c r="O209" s="37" t="s">
        <v>1767</v>
      </c>
      <c r="P209" s="38"/>
      <c r="Q209" s="38"/>
      <c r="R209" s="38"/>
      <c r="S209" s="38"/>
      <c r="V209" s="1">
        <v>7</v>
      </c>
    </row>
    <row r="210" spans="2:26" hidden="1" x14ac:dyDescent="0.3">
      <c r="B210" s="1" t="s">
        <v>1768</v>
      </c>
      <c r="C210" s="1" t="s">
        <v>46</v>
      </c>
      <c r="F210" s="1">
        <v>5</v>
      </c>
      <c r="K210" s="1">
        <v>80</v>
      </c>
      <c r="L210" s="2"/>
      <c r="M210" s="38"/>
      <c r="N210" s="38"/>
      <c r="O210" s="37" t="s">
        <v>1767</v>
      </c>
      <c r="P210" s="38"/>
      <c r="Q210" s="38"/>
      <c r="R210" s="38"/>
      <c r="S210" s="38"/>
      <c r="V210" s="1">
        <v>7</v>
      </c>
    </row>
    <row r="211" spans="2:26" hidden="1" x14ac:dyDescent="0.3">
      <c r="B211" s="1" t="s">
        <v>1769</v>
      </c>
      <c r="C211" s="1" t="s">
        <v>46</v>
      </c>
      <c r="F211" s="1">
        <v>7</v>
      </c>
      <c r="K211" s="1">
        <v>80</v>
      </c>
      <c r="L211" s="2"/>
      <c r="M211" s="38"/>
      <c r="N211" s="38"/>
      <c r="O211" s="37" t="s">
        <v>1770</v>
      </c>
      <c r="P211" s="38"/>
      <c r="Q211" s="38"/>
      <c r="R211" s="38"/>
      <c r="S211" s="38"/>
      <c r="V211" s="1">
        <v>8</v>
      </c>
    </row>
    <row r="212" spans="2:26" hidden="1" x14ac:dyDescent="0.3">
      <c r="B212" s="1" t="s">
        <v>452</v>
      </c>
      <c r="C212" s="1" t="s">
        <v>46</v>
      </c>
      <c r="F212" s="1">
        <v>6</v>
      </c>
      <c r="K212" s="1">
        <v>80</v>
      </c>
      <c r="L212" s="2"/>
      <c r="M212" s="38"/>
      <c r="N212" s="38"/>
      <c r="O212" s="37" t="s">
        <v>1771</v>
      </c>
      <c r="P212" s="38"/>
      <c r="Q212" s="38"/>
      <c r="R212" s="38"/>
      <c r="S212" s="38"/>
      <c r="V212" s="1">
        <v>7</v>
      </c>
    </row>
    <row r="213" spans="2:26" x14ac:dyDescent="0.3">
      <c r="B213" s="1" t="s">
        <v>1772</v>
      </c>
      <c r="C213" s="1" t="s">
        <v>40</v>
      </c>
      <c r="K213" s="1">
        <v>48</v>
      </c>
      <c r="L213" s="2" t="s">
        <v>1535</v>
      </c>
      <c r="M213" s="38"/>
      <c r="N213" s="38"/>
      <c r="O213" s="38"/>
      <c r="P213" s="38"/>
      <c r="Q213" s="38"/>
      <c r="R213" s="37" t="s">
        <v>1773</v>
      </c>
      <c r="S213" s="38"/>
      <c r="Y213" s="1">
        <v>6</v>
      </c>
    </row>
    <row r="214" spans="2:26" hidden="1" x14ac:dyDescent="0.3">
      <c r="B214" s="1" t="s">
        <v>454</v>
      </c>
      <c r="C214" s="1" t="s">
        <v>46</v>
      </c>
      <c r="F214" s="1">
        <v>2</v>
      </c>
      <c r="K214" s="1">
        <v>80</v>
      </c>
      <c r="L214" s="2"/>
      <c r="M214" s="38"/>
      <c r="N214" s="38"/>
      <c r="O214" s="37" t="s">
        <v>1774</v>
      </c>
      <c r="P214" s="38"/>
      <c r="Q214" s="38"/>
      <c r="R214" s="38"/>
      <c r="S214" s="38"/>
      <c r="V214" s="1">
        <v>7</v>
      </c>
    </row>
    <row r="215" spans="2:26" hidden="1" x14ac:dyDescent="0.3">
      <c r="B215" s="1" t="s">
        <v>1775</v>
      </c>
      <c r="C215" s="1" t="s">
        <v>46</v>
      </c>
      <c r="F215" s="1">
        <v>3</v>
      </c>
      <c r="K215" s="1">
        <v>64</v>
      </c>
      <c r="L215" s="2"/>
      <c r="M215" s="38"/>
      <c r="N215" s="38"/>
      <c r="O215" s="37" t="s">
        <v>1776</v>
      </c>
      <c r="P215" s="38"/>
      <c r="Q215" s="38"/>
      <c r="R215" s="38"/>
      <c r="S215" s="38"/>
      <c r="V215" s="1">
        <v>5</v>
      </c>
    </row>
    <row r="216" spans="2:26" hidden="1" x14ac:dyDescent="0.3">
      <c r="B216" s="1" t="s">
        <v>455</v>
      </c>
      <c r="C216" s="1" t="s">
        <v>46</v>
      </c>
      <c r="F216" s="1">
        <v>2</v>
      </c>
      <c r="K216" s="1">
        <v>64</v>
      </c>
      <c r="L216" s="2"/>
      <c r="M216" s="38"/>
      <c r="N216" s="38"/>
      <c r="O216" s="37" t="s">
        <v>1777</v>
      </c>
      <c r="P216" s="38"/>
      <c r="Q216" s="38"/>
      <c r="R216" s="38"/>
      <c r="S216" s="38"/>
      <c r="V216" s="1">
        <v>5</v>
      </c>
    </row>
    <row r="217" spans="2:26" hidden="1" x14ac:dyDescent="0.3">
      <c r="B217" s="1" t="s">
        <v>1778</v>
      </c>
      <c r="C217" s="1" t="s">
        <v>49</v>
      </c>
      <c r="E217" s="1">
        <v>5</v>
      </c>
      <c r="K217" s="1">
        <v>64</v>
      </c>
      <c r="L217" s="2"/>
      <c r="M217" s="38"/>
      <c r="N217" s="37">
        <v>26962</v>
      </c>
      <c r="O217" s="38"/>
      <c r="P217" s="38"/>
      <c r="Q217" s="38"/>
      <c r="R217" s="38"/>
      <c r="S217" s="38"/>
      <c r="U217" s="1">
        <v>7</v>
      </c>
    </row>
    <row r="218" spans="2:26" x14ac:dyDescent="0.3">
      <c r="B218" s="1" t="s">
        <v>1779</v>
      </c>
      <c r="C218" s="1" t="s">
        <v>40</v>
      </c>
      <c r="I218" s="1">
        <v>5</v>
      </c>
      <c r="K218" s="1">
        <v>80</v>
      </c>
      <c r="L218" s="2"/>
      <c r="M218" s="38"/>
      <c r="N218" s="38"/>
      <c r="O218" s="38"/>
      <c r="P218" s="38"/>
      <c r="Q218" s="38"/>
      <c r="R218" s="37" t="s">
        <v>1780</v>
      </c>
      <c r="S218" s="38"/>
      <c r="Y218" s="1">
        <v>7</v>
      </c>
    </row>
    <row r="219" spans="2:26" hidden="1" x14ac:dyDescent="0.3">
      <c r="B219" s="1" t="s">
        <v>456</v>
      </c>
      <c r="C219" s="1" t="s">
        <v>26</v>
      </c>
      <c r="J219" s="1">
        <v>8</v>
      </c>
      <c r="K219" s="1">
        <v>64</v>
      </c>
      <c r="L219" s="2"/>
      <c r="M219" s="38"/>
      <c r="N219" s="38"/>
      <c r="O219" s="38"/>
      <c r="P219" s="38"/>
      <c r="Q219" s="38"/>
      <c r="R219" s="38"/>
      <c r="S219" s="37" t="s">
        <v>1781</v>
      </c>
      <c r="Z219" s="1">
        <v>6</v>
      </c>
    </row>
    <row r="220" spans="2:26" hidden="1" x14ac:dyDescent="0.3">
      <c r="B220" s="1" t="s">
        <v>1782</v>
      </c>
      <c r="C220" s="1" t="s">
        <v>34</v>
      </c>
      <c r="K220" s="1">
        <v>64</v>
      </c>
      <c r="L220" s="2" t="s">
        <v>90</v>
      </c>
      <c r="M220" s="38"/>
      <c r="N220" s="38"/>
      <c r="O220" s="38"/>
      <c r="P220" s="38"/>
      <c r="Q220" s="38"/>
      <c r="R220" s="37" t="s">
        <v>1783</v>
      </c>
      <c r="S220" s="38"/>
      <c r="Y220" s="1">
        <v>8</v>
      </c>
    </row>
    <row r="221" spans="2:26" hidden="1" x14ac:dyDescent="0.3">
      <c r="B221" s="1" t="s">
        <v>1784</v>
      </c>
      <c r="C221" s="1" t="s">
        <v>46</v>
      </c>
      <c r="F221" s="1">
        <v>1</v>
      </c>
      <c r="K221" s="1">
        <v>48</v>
      </c>
      <c r="L221" s="2"/>
      <c r="M221" s="38"/>
      <c r="N221" s="38"/>
      <c r="O221" s="37" t="s">
        <v>1785</v>
      </c>
      <c r="P221" s="38"/>
      <c r="Q221" s="38"/>
      <c r="R221" s="38"/>
      <c r="S221" s="38"/>
      <c r="V221" s="1">
        <v>6</v>
      </c>
    </row>
    <row r="222" spans="2:26" hidden="1" x14ac:dyDescent="0.3">
      <c r="B222" s="1" t="s">
        <v>459</v>
      </c>
      <c r="C222" s="1" t="s">
        <v>43</v>
      </c>
      <c r="D222" s="1">
        <v>3</v>
      </c>
      <c r="E222" s="1">
        <v>4</v>
      </c>
      <c r="H222" s="1">
        <v>3</v>
      </c>
      <c r="J222" s="1">
        <v>4</v>
      </c>
      <c r="K222" s="1">
        <v>64</v>
      </c>
      <c r="L222" s="2"/>
      <c r="M222" s="37" t="s">
        <v>1786</v>
      </c>
      <c r="N222" s="37" t="s">
        <v>1787</v>
      </c>
      <c r="O222" s="37"/>
      <c r="P222" s="38"/>
      <c r="Q222" s="37" t="s">
        <v>1788</v>
      </c>
      <c r="R222" s="38"/>
      <c r="S222" s="37" t="s">
        <v>1789</v>
      </c>
      <c r="T222" s="1">
        <v>7</v>
      </c>
      <c r="U222" s="1">
        <v>7</v>
      </c>
      <c r="X222" s="1">
        <v>7</v>
      </c>
      <c r="Z222" s="1">
        <v>7</v>
      </c>
    </row>
    <row r="223" spans="2:26" hidden="1" x14ac:dyDescent="0.3">
      <c r="B223" s="1" t="s">
        <v>462</v>
      </c>
      <c r="C223" s="1" t="s">
        <v>34</v>
      </c>
      <c r="D223" s="1">
        <v>6</v>
      </c>
      <c r="K223" s="1">
        <v>64</v>
      </c>
      <c r="L223" s="2"/>
      <c r="M223" s="37" t="s">
        <v>1790</v>
      </c>
      <c r="N223" s="38"/>
      <c r="O223" s="38"/>
      <c r="P223" s="38"/>
      <c r="Q223" s="38"/>
      <c r="R223" s="38"/>
      <c r="S223" s="38"/>
      <c r="T223" s="1">
        <v>7</v>
      </c>
    </row>
    <row r="224" spans="2:26" x14ac:dyDescent="0.3">
      <c r="B224" s="1" t="s">
        <v>464</v>
      </c>
      <c r="C224" s="1" t="s">
        <v>40</v>
      </c>
      <c r="I224" s="1">
        <v>2</v>
      </c>
      <c r="K224" s="1">
        <v>80</v>
      </c>
      <c r="L224" s="2"/>
      <c r="M224" s="37"/>
      <c r="N224" s="38"/>
      <c r="O224" s="38"/>
      <c r="P224" s="38"/>
      <c r="Q224" s="38"/>
      <c r="R224" s="37" t="s">
        <v>1791</v>
      </c>
      <c r="S224" s="38"/>
      <c r="Y224" s="1">
        <v>7</v>
      </c>
    </row>
    <row r="225" spans="2:25" hidden="1" x14ac:dyDescent="0.3">
      <c r="B225" s="1" t="s">
        <v>467</v>
      </c>
      <c r="C225" s="1" t="s">
        <v>43</v>
      </c>
      <c r="H225" s="1">
        <v>6</v>
      </c>
      <c r="K225" s="1">
        <v>64</v>
      </c>
      <c r="L225" s="2"/>
      <c r="M225" s="38"/>
      <c r="N225" s="38"/>
      <c r="O225" s="38"/>
      <c r="P225" s="38"/>
      <c r="Q225" s="37" t="s">
        <v>1792</v>
      </c>
      <c r="R225" s="38"/>
      <c r="S225" s="38"/>
      <c r="X225" s="1">
        <v>7</v>
      </c>
    </row>
    <row r="226" spans="2:25" x14ac:dyDescent="0.3">
      <c r="B226" s="1" t="s">
        <v>470</v>
      </c>
      <c r="C226" s="11" t="s">
        <v>496</v>
      </c>
      <c r="I226" s="12">
        <v>10</v>
      </c>
      <c r="K226" s="1">
        <v>64</v>
      </c>
      <c r="L226" s="2" t="s">
        <v>90</v>
      </c>
      <c r="M226" s="38"/>
      <c r="N226" s="38"/>
      <c r="O226" s="38"/>
      <c r="P226" s="38"/>
      <c r="Q226" s="38"/>
      <c r="R226" s="37" t="s">
        <v>1793</v>
      </c>
      <c r="S226" s="38"/>
      <c r="Y226" s="1">
        <v>8</v>
      </c>
    </row>
    <row r="227" spans="2:25" x14ac:dyDescent="0.3">
      <c r="B227" s="1" t="s">
        <v>1794</v>
      </c>
      <c r="C227" s="1" t="s">
        <v>40</v>
      </c>
      <c r="I227" s="1">
        <v>7</v>
      </c>
      <c r="K227" s="1">
        <v>64</v>
      </c>
      <c r="L227" s="2"/>
      <c r="M227" s="38"/>
      <c r="N227" s="38"/>
      <c r="O227" s="38"/>
      <c r="P227" s="38"/>
      <c r="Q227" s="38"/>
      <c r="R227" s="37" t="s">
        <v>1795</v>
      </c>
      <c r="S227" s="38"/>
      <c r="Y227" s="1">
        <v>8</v>
      </c>
    </row>
  </sheetData>
  <pageMargins left="0.7" right="0.7" top="0.75" bottom="0.75" header="0.3" footer="0.3"/>
  <pageSetup orientation="portrait" r:id="rId1"/>
  <legacyDrawing r:id="rId2"/>
  <tableParts count="3"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D8568-E850-47E6-865A-0ED82ED0076D}">
  <dimension ref="A1:AA119"/>
  <sheetViews>
    <sheetView topLeftCell="A25" workbookViewId="0">
      <selection activeCell="AH38" sqref="AH38"/>
    </sheetView>
  </sheetViews>
  <sheetFormatPr baseColWidth="10" defaultColWidth="10.6328125" defaultRowHeight="12.5" x14ac:dyDescent="0.25"/>
  <cols>
    <col min="1" max="1" width="25.1796875" customWidth="1"/>
    <col min="3" max="9" width="4.36328125" customWidth="1"/>
    <col min="10" max="10" width="4.453125" customWidth="1"/>
    <col min="11" max="11" width="7.1796875" hidden="1" customWidth="1"/>
    <col min="12" max="18" width="0" hidden="1" customWidth="1"/>
    <col min="19" max="25" width="4" hidden="1" customWidth="1"/>
    <col min="26" max="26" width="11.453125" style="62"/>
    <col min="27" max="27" width="12.36328125" style="61" bestFit="1" customWidth="1"/>
  </cols>
  <sheetData>
    <row r="1" spans="1:27" ht="87" customHeight="1" x14ac:dyDescent="0.25">
      <c r="A1" s="56" t="s">
        <v>16</v>
      </c>
      <c r="B1" s="57" t="s">
        <v>17</v>
      </c>
      <c r="C1" s="58" t="s">
        <v>27</v>
      </c>
      <c r="D1" s="59" t="s">
        <v>30</v>
      </c>
      <c r="E1" s="58" t="s">
        <v>13</v>
      </c>
      <c r="F1" s="59" t="s">
        <v>35</v>
      </c>
      <c r="G1" s="58" t="s">
        <v>38</v>
      </c>
      <c r="H1" s="59" t="s">
        <v>41</v>
      </c>
      <c r="I1" s="58" t="s">
        <v>44</v>
      </c>
      <c r="J1" s="60" t="s">
        <v>70</v>
      </c>
      <c r="K1" s="60" t="s">
        <v>1340</v>
      </c>
      <c r="L1" s="60" t="s">
        <v>1341</v>
      </c>
      <c r="M1" s="60" t="s">
        <v>1342</v>
      </c>
      <c r="N1" s="60" t="s">
        <v>1343</v>
      </c>
      <c r="O1" s="60" t="s">
        <v>1344</v>
      </c>
      <c r="P1" s="60" t="s">
        <v>1345</v>
      </c>
      <c r="Q1" s="60" t="s">
        <v>1346</v>
      </c>
      <c r="R1" s="60" t="s">
        <v>1347</v>
      </c>
      <c r="S1" s="60" t="s">
        <v>1348</v>
      </c>
      <c r="T1" s="60" t="s">
        <v>1349</v>
      </c>
      <c r="U1" s="60" t="s">
        <v>1350</v>
      </c>
      <c r="V1" s="60" t="s">
        <v>1351</v>
      </c>
      <c r="W1" s="60" t="s">
        <v>1352</v>
      </c>
      <c r="X1" s="60" t="s">
        <v>1353</v>
      </c>
      <c r="Y1" s="60" t="s">
        <v>1354</v>
      </c>
      <c r="Z1" s="57" t="s">
        <v>1796</v>
      </c>
      <c r="AA1" s="57" t="s">
        <v>1797</v>
      </c>
    </row>
    <row r="2" spans="1:27" ht="25" x14ac:dyDescent="0.25">
      <c r="A2" t="str" cm="1">
        <f t="array" ref="A2:Y117">_xlfn._xlws.SORT(_xlfn._xlws.FILTER(Planes_de_estudio[],(Industrial=2)+(Industrial=4)+(Industrial=6)+(Industrial=8)+(Mecatrónica=2)+(Mecatrónica=4)+(Mecatrónica=6)+(Mecatrónica=8)+(Innovación_y_Diseño=2)+(Innovación_y_Diseño=4)+(Innovación_y_Diseño=6)+(Innovación_y_Diseño=8)+(Inteligencia_Artificial=2)+(Inteligencia_Artificial=4)+(Inteligencia_Artificial=6)+(Inteligencia_Artificial=8)+(Tecnologías_Energéticas=2)+(Tecnologías_Energéticas=4)+(Tecnologías_Energéticas=6)+(Tecnologías_Energéticas=8)+(Civil_y_Administración=2)+(Civil_y_Administración=4)+(Civil_y_Administración=6)+(Civil_y_Administración=8)+(Civil_y_Administración=10)+(Bioelectrónica=2)+(Bioelectrónica=4)+(Bioelectrónica=6)+(Bioelectrónica=8)),2,1)</f>
        <v>Certificación energética y ambiental de edificios</v>
      </c>
      <c r="B2" t="str">
        <v>AIC</v>
      </c>
      <c r="C2">
        <v>0</v>
      </c>
      <c r="D2">
        <v>0</v>
      </c>
      <c r="E2">
        <v>0</v>
      </c>
      <c r="F2">
        <v>0</v>
      </c>
      <c r="G2">
        <v>0</v>
      </c>
      <c r="H2">
        <v>10</v>
      </c>
      <c r="I2">
        <v>0</v>
      </c>
      <c r="J2">
        <v>48</v>
      </c>
      <c r="K2" t="str">
        <v>x</v>
      </c>
      <c r="L2">
        <v>0</v>
      </c>
      <c r="M2">
        <v>0</v>
      </c>
      <c r="N2">
        <v>0</v>
      </c>
      <c r="O2">
        <v>0</v>
      </c>
      <c r="P2">
        <v>0</v>
      </c>
      <c r="Q2" t="str">
        <v>027099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8</v>
      </c>
      <c r="Y2">
        <v>0</v>
      </c>
      <c r="Z2" s="62">
        <v>1</v>
      </c>
      <c r="AA2" s="61">
        <f ca="1">COUNTIFS(base_de_datos[Materia],A2,base_de_datos[Misma o no],1)</f>
        <v>1</v>
      </c>
    </row>
    <row r="3" spans="1:27" x14ac:dyDescent="0.25">
      <c r="A3" t="str">
        <v>Gestión de recursos humanos</v>
      </c>
      <c r="B3" t="str">
        <v>AIC</v>
      </c>
      <c r="C3">
        <v>0</v>
      </c>
      <c r="D3">
        <v>0</v>
      </c>
      <c r="E3">
        <v>0</v>
      </c>
      <c r="F3">
        <v>0</v>
      </c>
      <c r="G3">
        <v>0</v>
      </c>
      <c r="H3">
        <v>10</v>
      </c>
      <c r="I3">
        <v>0</v>
      </c>
      <c r="J3">
        <v>48</v>
      </c>
      <c r="K3" t="str">
        <v>x</v>
      </c>
      <c r="L3">
        <v>0</v>
      </c>
      <c r="M3">
        <v>0</v>
      </c>
      <c r="N3">
        <v>0</v>
      </c>
      <c r="O3">
        <v>0</v>
      </c>
      <c r="P3">
        <v>0</v>
      </c>
      <c r="Q3" t="str">
        <v>027091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6</v>
      </c>
      <c r="Y3">
        <v>0</v>
      </c>
      <c r="Z3" s="62">
        <v>1</v>
      </c>
      <c r="AA3" s="61">
        <f ca="1">COUNTIFS(base_de_datos[Materia],A3,base_de_datos[Misma o no],1)</f>
        <v>1</v>
      </c>
    </row>
    <row r="4" spans="1:27" x14ac:dyDescent="0.25">
      <c r="A4" t="str">
        <v>Urbótica</v>
      </c>
      <c r="B4" t="str">
        <v>AIC</v>
      </c>
      <c r="C4">
        <v>0</v>
      </c>
      <c r="D4">
        <v>0</v>
      </c>
      <c r="E4">
        <v>0</v>
      </c>
      <c r="F4">
        <v>0</v>
      </c>
      <c r="G4">
        <v>0</v>
      </c>
      <c r="H4">
        <v>10</v>
      </c>
      <c r="I4">
        <v>0</v>
      </c>
      <c r="J4">
        <v>64</v>
      </c>
      <c r="K4" t="str">
        <v>x</v>
      </c>
      <c r="L4">
        <v>0</v>
      </c>
      <c r="M4">
        <v>0</v>
      </c>
      <c r="N4">
        <v>0</v>
      </c>
      <c r="O4">
        <v>0</v>
      </c>
      <c r="P4">
        <v>0</v>
      </c>
      <c r="Q4" t="str">
        <v>027098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8</v>
      </c>
      <c r="Y4">
        <v>0</v>
      </c>
      <c r="Z4" s="62">
        <v>1</v>
      </c>
      <c r="AA4" s="61">
        <f ca="1">COUNTIFS(base_de_datos[Materia],A4,base_de_datos[Misma o no],1)</f>
        <v>1</v>
      </c>
    </row>
    <row r="5" spans="1:27" x14ac:dyDescent="0.25">
      <c r="A5" t="str">
        <v>Bioinstrumentación</v>
      </c>
      <c r="B5" t="str">
        <v>BIO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8</v>
      </c>
      <c r="J5">
        <v>64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 t="str">
        <v>028913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6</v>
      </c>
      <c r="Z5" s="62">
        <v>1</v>
      </c>
      <c r="AA5" s="61">
        <f ca="1">COUNTIFS(base_de_datos[Materia],A5,base_de_datos[Misma o no],1)</f>
        <v>1</v>
      </c>
    </row>
    <row r="6" spans="1:27" ht="25" x14ac:dyDescent="0.25">
      <c r="A6" t="str">
        <v>Fundamentos de bioelectrónica</v>
      </c>
      <c r="B6" t="str">
        <v>BIO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2</v>
      </c>
      <c r="J6">
        <v>32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 t="str">
        <v>028376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4</v>
      </c>
      <c r="Z6" s="62">
        <v>1</v>
      </c>
      <c r="AA6" s="61">
        <f ca="1">COUNTIFS(base_de_datos[Materia],A6,base_de_datos[Misma o no],1)</f>
        <v>1</v>
      </c>
    </row>
    <row r="7" spans="1:27" ht="25" x14ac:dyDescent="0.25">
      <c r="A7" t="str">
        <v>Señales e imágenes biomédicas</v>
      </c>
      <c r="B7" t="str">
        <v>BIO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6</v>
      </c>
      <c r="J7">
        <v>48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 t="str">
        <v>028705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5</v>
      </c>
      <c r="Z7" s="62">
        <v>1</v>
      </c>
      <c r="AA7" s="61">
        <f ca="1">COUNTIFS(base_de_datos[Materia],A7,base_de_datos[Misma o no],1)</f>
        <v>1</v>
      </c>
    </row>
    <row r="8" spans="1:27" x14ac:dyDescent="0.25">
      <c r="A8" t="str">
        <v>Tecnologías de asistencia</v>
      </c>
      <c r="B8" t="str">
        <v>BIO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8</v>
      </c>
      <c r="J8">
        <v>64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 t="str">
        <v>028914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6</v>
      </c>
      <c r="Z8" s="62">
        <v>1</v>
      </c>
      <c r="AA8" s="61">
        <f ca="1">COUNTIFS(base_de_datos[Materia],A8,base_de_datos[Misma o no],1)</f>
        <v>2</v>
      </c>
    </row>
    <row r="9" spans="1:27" x14ac:dyDescent="0.25">
      <c r="A9" t="str">
        <v>Aprendizaje de máquina I</v>
      </c>
      <c r="B9" t="str">
        <v>COM</v>
      </c>
      <c r="C9">
        <v>0</v>
      </c>
      <c r="D9">
        <v>0</v>
      </c>
      <c r="E9">
        <v>0</v>
      </c>
      <c r="F9">
        <v>6</v>
      </c>
      <c r="G9">
        <v>0</v>
      </c>
      <c r="H9">
        <v>0</v>
      </c>
      <c r="I9">
        <v>0</v>
      </c>
      <c r="J9">
        <v>48</v>
      </c>
      <c r="K9">
        <v>0</v>
      </c>
      <c r="L9">
        <v>0</v>
      </c>
      <c r="M9">
        <v>0</v>
      </c>
      <c r="N9">
        <v>0</v>
      </c>
      <c r="O9" t="str">
        <v>029628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6</v>
      </c>
      <c r="W9">
        <v>0</v>
      </c>
      <c r="X9">
        <v>0</v>
      </c>
      <c r="Y9">
        <v>0</v>
      </c>
      <c r="Z9" s="62">
        <v>1</v>
      </c>
      <c r="AA9" s="61">
        <f ca="1">COUNTIFS(base_de_datos[Materia],A9,base_de_datos[Misma o no],1)</f>
        <v>1</v>
      </c>
    </row>
    <row r="10" spans="1:27" x14ac:dyDescent="0.25">
      <c r="A10" t="str">
        <v>Aprendizaje de máquina II</v>
      </c>
      <c r="B10" t="str">
        <v>COM</v>
      </c>
      <c r="C10">
        <v>0</v>
      </c>
      <c r="D10">
        <v>0</v>
      </c>
      <c r="E10">
        <v>0</v>
      </c>
      <c r="F10">
        <v>8</v>
      </c>
      <c r="G10">
        <v>0</v>
      </c>
      <c r="H10">
        <v>0</v>
      </c>
      <c r="I10">
        <v>0</v>
      </c>
      <c r="J10">
        <v>48</v>
      </c>
      <c r="K10">
        <v>0</v>
      </c>
      <c r="L10">
        <v>0</v>
      </c>
      <c r="M10">
        <v>0</v>
      </c>
      <c r="N10">
        <v>0</v>
      </c>
      <c r="O10" t="str">
        <v>029632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6</v>
      </c>
      <c r="W10">
        <v>0</v>
      </c>
      <c r="X10">
        <v>0</v>
      </c>
      <c r="Y10">
        <v>0</v>
      </c>
      <c r="Z10" s="62">
        <v>1</v>
      </c>
      <c r="AA10" s="61">
        <f ca="1">COUNTIFS(base_de_datos[Materia],A10,base_de_datos[Misma o no],1)</f>
        <v>1</v>
      </c>
    </row>
    <row r="11" spans="1:27" x14ac:dyDescent="0.25">
      <c r="A11" t="str">
        <v>Bases de datos avanzadas</v>
      </c>
      <c r="B11" t="str">
        <v>COM</v>
      </c>
      <c r="C11">
        <v>0</v>
      </c>
      <c r="D11">
        <v>0</v>
      </c>
      <c r="E11">
        <v>0</v>
      </c>
      <c r="F11">
        <v>6</v>
      </c>
      <c r="G11">
        <v>0</v>
      </c>
      <c r="H11">
        <v>0</v>
      </c>
      <c r="I11">
        <v>0</v>
      </c>
      <c r="J11">
        <v>48</v>
      </c>
      <c r="K11">
        <v>0</v>
      </c>
      <c r="L11">
        <v>0</v>
      </c>
      <c r="M11">
        <v>0</v>
      </c>
      <c r="N11">
        <v>0</v>
      </c>
      <c r="O11" t="str">
        <v>029623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6</v>
      </c>
      <c r="W11">
        <v>0</v>
      </c>
      <c r="X11">
        <v>0</v>
      </c>
      <c r="Y11">
        <v>0</v>
      </c>
      <c r="Z11" s="62">
        <v>1</v>
      </c>
      <c r="AA11" s="61">
        <f ca="1">COUNTIFS(base_de_datos[Materia],A11,base_de_datos[Misma o no],1)</f>
        <v>1</v>
      </c>
    </row>
    <row r="12" spans="1:27" x14ac:dyDescent="0.25">
      <c r="A12" t="str">
        <v>Datos masivos</v>
      </c>
      <c r="B12" t="str">
        <v>COM</v>
      </c>
      <c r="C12">
        <v>0</v>
      </c>
      <c r="D12">
        <v>0</v>
      </c>
      <c r="E12">
        <v>0</v>
      </c>
      <c r="F12">
        <v>8</v>
      </c>
      <c r="G12">
        <v>0</v>
      </c>
      <c r="H12">
        <v>0</v>
      </c>
      <c r="I12">
        <v>0</v>
      </c>
      <c r="J12">
        <v>48</v>
      </c>
      <c r="K12">
        <v>0</v>
      </c>
      <c r="L12">
        <v>0</v>
      </c>
      <c r="M12">
        <v>0</v>
      </c>
      <c r="N12">
        <v>0</v>
      </c>
      <c r="O12" t="str">
        <v>029630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6</v>
      </c>
      <c r="W12">
        <v>0</v>
      </c>
      <c r="X12">
        <v>0</v>
      </c>
      <c r="Y12">
        <v>0</v>
      </c>
      <c r="Z12" s="62">
        <v>1</v>
      </c>
      <c r="AA12" s="61">
        <f ca="1">COUNTIFS(base_de_datos[Materia],A12,base_de_datos[Misma o no],1)</f>
        <v>1</v>
      </c>
    </row>
    <row r="13" spans="1:27" ht="25" x14ac:dyDescent="0.25">
      <c r="A13" t="str">
        <v>Estructura de datos y algoritmos I</v>
      </c>
      <c r="B13" t="str">
        <v>COM</v>
      </c>
      <c r="C13">
        <v>0</v>
      </c>
      <c r="D13">
        <v>0</v>
      </c>
      <c r="E13">
        <v>0</v>
      </c>
      <c r="F13">
        <v>2</v>
      </c>
      <c r="G13">
        <v>0</v>
      </c>
      <c r="H13">
        <v>0</v>
      </c>
      <c r="I13">
        <v>0</v>
      </c>
      <c r="J13">
        <v>64</v>
      </c>
      <c r="K13">
        <v>0</v>
      </c>
      <c r="L13">
        <v>0</v>
      </c>
      <c r="M13">
        <v>0</v>
      </c>
      <c r="N13">
        <v>0</v>
      </c>
      <c r="O13" t="str">
        <v>029607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8</v>
      </c>
      <c r="W13">
        <v>0</v>
      </c>
      <c r="X13">
        <v>0</v>
      </c>
      <c r="Y13">
        <v>0</v>
      </c>
      <c r="Z13" s="62">
        <v>1</v>
      </c>
      <c r="AA13" s="61">
        <f ca="1">COUNTIFS(base_de_datos[Materia],A13,base_de_datos[Misma o no],1)</f>
        <v>1</v>
      </c>
    </row>
    <row r="14" spans="1:27" ht="25" x14ac:dyDescent="0.25">
      <c r="A14" t="str">
        <v>Estructura de datos y algoritmos III</v>
      </c>
      <c r="B14" t="str">
        <v>COM</v>
      </c>
      <c r="C14">
        <v>0</v>
      </c>
      <c r="D14">
        <v>0</v>
      </c>
      <c r="E14">
        <v>0</v>
      </c>
      <c r="F14">
        <v>4</v>
      </c>
      <c r="G14">
        <v>0</v>
      </c>
      <c r="H14">
        <v>0</v>
      </c>
      <c r="I14">
        <v>0</v>
      </c>
      <c r="J14">
        <v>64</v>
      </c>
      <c r="K14">
        <v>0</v>
      </c>
      <c r="L14">
        <v>0</v>
      </c>
      <c r="M14">
        <v>0</v>
      </c>
      <c r="N14">
        <v>0</v>
      </c>
      <c r="O14" t="str">
        <v>029615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8</v>
      </c>
      <c r="W14">
        <v>0</v>
      </c>
      <c r="X14">
        <v>0</v>
      </c>
      <c r="Y14">
        <v>0</v>
      </c>
      <c r="Z14" s="62">
        <v>1</v>
      </c>
      <c r="AA14" s="61">
        <f ca="1">COUNTIFS(base_de_datos[Materia],A14,base_de_datos[Misma o no],1)</f>
        <v>1</v>
      </c>
    </row>
    <row r="15" spans="1:27" x14ac:dyDescent="0.25">
      <c r="A15" t="str">
        <v>Ingeniería de software</v>
      </c>
      <c r="B15" t="str">
        <v>COM</v>
      </c>
      <c r="C15">
        <v>0</v>
      </c>
      <c r="D15">
        <v>0</v>
      </c>
      <c r="E15">
        <v>0</v>
      </c>
      <c r="F15">
        <v>8</v>
      </c>
      <c r="G15">
        <v>0</v>
      </c>
      <c r="H15">
        <v>0</v>
      </c>
      <c r="I15">
        <v>0</v>
      </c>
      <c r="J15">
        <v>48</v>
      </c>
      <c r="K15">
        <v>0</v>
      </c>
      <c r="L15">
        <v>0</v>
      </c>
      <c r="M15">
        <v>0</v>
      </c>
      <c r="N15">
        <v>0</v>
      </c>
      <c r="O15" t="str">
        <v>029629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6</v>
      </c>
      <c r="W15">
        <v>0</v>
      </c>
      <c r="X15">
        <v>0</v>
      </c>
      <c r="Y15">
        <v>0</v>
      </c>
      <c r="Z15" s="62">
        <v>1</v>
      </c>
      <c r="AA15" s="61">
        <f ca="1">COUNTIFS(base_de_datos[Materia],A15,base_de_datos[Misma o no],1)</f>
        <v>1</v>
      </c>
    </row>
    <row r="16" spans="1:27" x14ac:dyDescent="0.25">
      <c r="A16" t="str">
        <v>Inteligencia artificial I</v>
      </c>
      <c r="B16" t="str">
        <v>COM</v>
      </c>
      <c r="C16">
        <v>0</v>
      </c>
      <c r="D16">
        <v>0</v>
      </c>
      <c r="E16">
        <v>0</v>
      </c>
      <c r="F16">
        <v>0</v>
      </c>
      <c r="G16">
        <v>6</v>
      </c>
      <c r="H16">
        <v>0</v>
      </c>
      <c r="I16">
        <v>0</v>
      </c>
      <c r="J16">
        <v>64</v>
      </c>
      <c r="K16">
        <v>0</v>
      </c>
      <c r="L16">
        <v>0</v>
      </c>
      <c r="M16">
        <v>0</v>
      </c>
      <c r="N16">
        <v>0</v>
      </c>
      <c r="O16">
        <v>0</v>
      </c>
      <c r="P16" t="str">
        <v>018599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7</v>
      </c>
      <c r="X16">
        <v>0</v>
      </c>
      <c r="Y16">
        <v>0</v>
      </c>
      <c r="Z16" s="62">
        <v>1</v>
      </c>
      <c r="AA16" s="61">
        <f ca="1">COUNTIFS(base_de_datos[Materia],A16,base_de_datos[Misma o no],1)</f>
        <v>1</v>
      </c>
    </row>
    <row r="17" spans="1:27" x14ac:dyDescent="0.25">
      <c r="A17" t="str">
        <v>Modelado digital avanzado</v>
      </c>
      <c r="B17" t="str">
        <v>COM</v>
      </c>
      <c r="C17">
        <v>0</v>
      </c>
      <c r="D17">
        <v>0</v>
      </c>
      <c r="E17">
        <v>4</v>
      </c>
      <c r="F17">
        <v>0</v>
      </c>
      <c r="G17">
        <v>0</v>
      </c>
      <c r="H17">
        <v>0</v>
      </c>
      <c r="I17">
        <v>0</v>
      </c>
      <c r="J17">
        <v>64</v>
      </c>
      <c r="K17">
        <v>0</v>
      </c>
      <c r="L17">
        <v>0</v>
      </c>
      <c r="M17">
        <v>0</v>
      </c>
      <c r="N17" t="str">
        <v>026908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5</v>
      </c>
      <c r="V17">
        <v>0</v>
      </c>
      <c r="W17">
        <v>0</v>
      </c>
      <c r="X17">
        <v>0</v>
      </c>
      <c r="Y17">
        <v>0</v>
      </c>
      <c r="Z17" s="62">
        <v>1</v>
      </c>
      <c r="AA17" s="61">
        <f ca="1">COUNTIFS(base_de_datos[Materia],A17,base_de_datos[Misma o no],1)</f>
        <v>1</v>
      </c>
    </row>
    <row r="18" spans="1:27" ht="25" x14ac:dyDescent="0.25">
      <c r="A18" t="str">
        <v>Patrones de diseño y arquitectura de software</v>
      </c>
      <c r="B18" t="str">
        <v>COM</v>
      </c>
      <c r="C18">
        <v>0</v>
      </c>
      <c r="D18">
        <v>0</v>
      </c>
      <c r="E18">
        <v>0</v>
      </c>
      <c r="F18">
        <v>6</v>
      </c>
      <c r="G18">
        <v>0</v>
      </c>
      <c r="H18">
        <v>0</v>
      </c>
      <c r="I18">
        <v>0</v>
      </c>
      <c r="J18">
        <v>64</v>
      </c>
      <c r="K18">
        <v>0</v>
      </c>
      <c r="L18">
        <v>0</v>
      </c>
      <c r="M18">
        <v>0</v>
      </c>
      <c r="N18">
        <v>0</v>
      </c>
      <c r="O18" t="str">
        <v>029620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8</v>
      </c>
      <c r="W18">
        <v>0</v>
      </c>
      <c r="X18">
        <v>0</v>
      </c>
      <c r="Y18">
        <v>0</v>
      </c>
      <c r="Z18" s="62">
        <v>1</v>
      </c>
      <c r="AA18" s="61">
        <f ca="1">COUNTIFS(base_de_datos[Materia],A18,base_de_datos[Misma o no],1)</f>
        <v>2</v>
      </c>
    </row>
    <row r="19" spans="1:27" ht="25" x14ac:dyDescent="0.25">
      <c r="A19" t="str">
        <v>Procesamiento del lenguaje natural</v>
      </c>
      <c r="B19" t="str">
        <v>COM</v>
      </c>
      <c r="C19">
        <v>0</v>
      </c>
      <c r="D19">
        <v>0</v>
      </c>
      <c r="E19">
        <v>0</v>
      </c>
      <c r="F19">
        <v>8</v>
      </c>
      <c r="G19">
        <v>0</v>
      </c>
      <c r="H19">
        <v>0</v>
      </c>
      <c r="I19">
        <v>0</v>
      </c>
      <c r="J19">
        <v>48</v>
      </c>
      <c r="K19">
        <v>0</v>
      </c>
      <c r="L19">
        <v>0</v>
      </c>
      <c r="M19">
        <v>0</v>
      </c>
      <c r="N19">
        <v>0</v>
      </c>
      <c r="O19" t="str">
        <v>029631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6</v>
      </c>
      <c r="W19">
        <v>0</v>
      </c>
      <c r="X19">
        <v>0</v>
      </c>
      <c r="Y19">
        <v>0</v>
      </c>
      <c r="Z19" s="62">
        <v>1</v>
      </c>
      <c r="AA19" s="61">
        <f ca="1">COUNTIFS(base_de_datos[Materia],A19,base_de_datos[Misma o no],1)</f>
        <v>1</v>
      </c>
    </row>
    <row r="20" spans="1:27" ht="25" x14ac:dyDescent="0.25">
      <c r="A20" t="str">
        <v>Programación de agentes para entornos virtuales</v>
      </c>
      <c r="B20" t="str">
        <v>COM</v>
      </c>
      <c r="C20">
        <v>0</v>
      </c>
      <c r="D20">
        <v>0</v>
      </c>
      <c r="E20">
        <v>0</v>
      </c>
      <c r="F20">
        <v>6</v>
      </c>
      <c r="G20">
        <v>0</v>
      </c>
      <c r="H20">
        <v>0</v>
      </c>
      <c r="I20">
        <v>0</v>
      </c>
      <c r="J20">
        <v>48</v>
      </c>
      <c r="K20">
        <v>0</v>
      </c>
      <c r="L20">
        <v>0</v>
      </c>
      <c r="M20">
        <v>0</v>
      </c>
      <c r="N20">
        <v>0</v>
      </c>
      <c r="O20" t="str">
        <v>029621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6</v>
      </c>
      <c r="W20">
        <v>0</v>
      </c>
      <c r="X20">
        <v>0</v>
      </c>
      <c r="Y20">
        <v>0</v>
      </c>
      <c r="Z20" s="62">
        <v>1</v>
      </c>
      <c r="AA20" s="61">
        <f ca="1">COUNTIFS(base_de_datos[Materia],A20,base_de_datos[Misma o no],1)</f>
        <v>1</v>
      </c>
    </row>
    <row r="21" spans="1:27" ht="25" x14ac:dyDescent="0.25">
      <c r="A21" t="str">
        <v>Programación orientada a objetos</v>
      </c>
      <c r="B21" t="str">
        <v>COM</v>
      </c>
      <c r="C21">
        <v>2</v>
      </c>
      <c r="D21">
        <v>2</v>
      </c>
      <c r="E21">
        <v>0</v>
      </c>
      <c r="F21">
        <v>2</v>
      </c>
      <c r="G21">
        <v>2</v>
      </c>
      <c r="H21">
        <v>0</v>
      </c>
      <c r="I21">
        <v>2</v>
      </c>
      <c r="J21">
        <v>64</v>
      </c>
      <c r="K21">
        <v>0</v>
      </c>
      <c r="L21" t="str">
        <v>026934</v>
      </c>
      <c r="M21" t="str">
        <v>026934</v>
      </c>
      <c r="N21">
        <v>0</v>
      </c>
      <c r="O21" t="str">
        <v>028367</v>
      </c>
      <c r="P21" t="str">
        <v>018543</v>
      </c>
      <c r="Q21">
        <v>0</v>
      </c>
      <c r="R21" t="str">
        <v>028367</v>
      </c>
      <c r="S21">
        <v>8</v>
      </c>
      <c r="T21">
        <v>8</v>
      </c>
      <c r="U21">
        <v>0</v>
      </c>
      <c r="V21">
        <v>8</v>
      </c>
      <c r="W21">
        <v>6</v>
      </c>
      <c r="X21">
        <v>0</v>
      </c>
      <c r="Y21">
        <v>8</v>
      </c>
      <c r="Z21" s="62">
        <v>1</v>
      </c>
      <c r="AA21" s="61">
        <f ca="1">COUNTIFS(base_de_datos[Materia],A21,base_de_datos[Misma o no],1)</f>
        <v>3</v>
      </c>
    </row>
    <row r="22" spans="1:27" ht="25" x14ac:dyDescent="0.25">
      <c r="A22" t="str">
        <v>Simulación en 3D (Compiladores)</v>
      </c>
      <c r="B22" t="str">
        <v>COM</v>
      </c>
      <c r="C22">
        <v>0</v>
      </c>
      <c r="D22">
        <v>0</v>
      </c>
      <c r="E22">
        <v>7</v>
      </c>
      <c r="F22">
        <v>8</v>
      </c>
      <c r="G22">
        <v>0</v>
      </c>
      <c r="H22">
        <v>0</v>
      </c>
      <c r="I22">
        <v>0</v>
      </c>
      <c r="J22">
        <v>64</v>
      </c>
      <c r="K22" t="str">
        <v>x</v>
      </c>
      <c r="L22">
        <v>0</v>
      </c>
      <c r="M22">
        <v>0</v>
      </c>
      <c r="N22" t="str">
        <v>026983</v>
      </c>
      <c r="O22" t="str">
        <v>029634</v>
      </c>
      <c r="P22">
        <v>0</v>
      </c>
      <c r="Q22">
        <v>0</v>
      </c>
      <c r="R22">
        <v>0</v>
      </c>
      <c r="S22">
        <v>0</v>
      </c>
      <c r="T22">
        <v>0</v>
      </c>
      <c r="U22">
        <v>6</v>
      </c>
      <c r="V22">
        <v>6</v>
      </c>
      <c r="W22">
        <v>0</v>
      </c>
      <c r="X22">
        <v>0</v>
      </c>
      <c r="Y22">
        <v>0</v>
      </c>
      <c r="Z22" s="62">
        <v>4</v>
      </c>
      <c r="AA22" s="61">
        <f ca="1">COUNTIFS(base_de_datos[Materia],A22,base_de_datos[Misma o no],1)</f>
        <v>2</v>
      </c>
    </row>
    <row r="23" spans="1:27" x14ac:dyDescent="0.25">
      <c r="A23" t="str">
        <v>Sistemas operativos</v>
      </c>
      <c r="B23" t="str">
        <v>COM</v>
      </c>
      <c r="C23">
        <v>0</v>
      </c>
      <c r="D23">
        <v>0</v>
      </c>
      <c r="E23">
        <v>0</v>
      </c>
      <c r="F23">
        <v>4</v>
      </c>
      <c r="G23">
        <v>0</v>
      </c>
      <c r="H23">
        <v>0</v>
      </c>
      <c r="I23">
        <v>0</v>
      </c>
      <c r="J23">
        <v>48</v>
      </c>
      <c r="K23">
        <v>0</v>
      </c>
      <c r="L23">
        <v>0</v>
      </c>
      <c r="M23">
        <v>0</v>
      </c>
      <c r="N23">
        <v>0</v>
      </c>
      <c r="O23" t="str">
        <v>029614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6</v>
      </c>
      <c r="W23">
        <v>0</v>
      </c>
      <c r="X23">
        <v>0</v>
      </c>
      <c r="Y23">
        <v>0</v>
      </c>
      <c r="Z23" s="62">
        <v>1</v>
      </c>
      <c r="AA23" s="61">
        <f ca="1">COUNTIFS(base_de_datos[Materia],A23,base_de_datos[Misma o no],1)</f>
        <v>1</v>
      </c>
    </row>
    <row r="24" spans="1:27" ht="25" x14ac:dyDescent="0.25">
      <c r="A24" t="str">
        <v>Administración de operaciones</v>
      </c>
      <c r="B24" t="str">
        <v>DOP</v>
      </c>
      <c r="C24">
        <v>6</v>
      </c>
      <c r="D24">
        <v>6</v>
      </c>
      <c r="E24">
        <v>8</v>
      </c>
      <c r="F24">
        <v>4</v>
      </c>
      <c r="G24">
        <v>0</v>
      </c>
      <c r="H24">
        <v>0</v>
      </c>
      <c r="I24">
        <v>0</v>
      </c>
      <c r="J24">
        <v>48</v>
      </c>
      <c r="K24">
        <v>0</v>
      </c>
      <c r="L24">
        <v>27009</v>
      </c>
      <c r="M24" t="str">
        <v>027009</v>
      </c>
      <c r="N24" t="str">
        <v>026987</v>
      </c>
      <c r="O24" t="str">
        <v>029613</v>
      </c>
      <c r="P24">
        <v>0</v>
      </c>
      <c r="Q24">
        <v>0</v>
      </c>
      <c r="R24">
        <v>0</v>
      </c>
      <c r="S24">
        <v>6</v>
      </c>
      <c r="T24">
        <v>6</v>
      </c>
      <c r="U24">
        <v>6</v>
      </c>
      <c r="V24">
        <v>6</v>
      </c>
      <c r="W24">
        <v>0</v>
      </c>
      <c r="X24">
        <v>0</v>
      </c>
      <c r="Y24">
        <v>0</v>
      </c>
      <c r="Z24" s="62">
        <v>2</v>
      </c>
      <c r="AA24" s="61">
        <f ca="1">COUNTIFS(base_de_datos[Materia],A24,base_de_datos[Misma o no],1)</f>
        <v>4</v>
      </c>
    </row>
    <row r="25" spans="1:27" ht="25" x14ac:dyDescent="0.25">
      <c r="A25" t="str">
        <v>Diseño de instalaciones industriales y servicios</v>
      </c>
      <c r="B25" t="str">
        <v>DOP</v>
      </c>
      <c r="C25">
        <v>8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64</v>
      </c>
      <c r="K25">
        <v>0</v>
      </c>
      <c r="L25" t="str">
        <v>027018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8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 s="62">
        <v>1</v>
      </c>
      <c r="AA25" s="61">
        <f ca="1">COUNTIFS(base_de_datos[Materia],A25,base_de_datos[Misma o no],1)</f>
        <v>1</v>
      </c>
    </row>
    <row r="26" spans="1:27" x14ac:dyDescent="0.25">
      <c r="A26" t="str">
        <v>Gestión de la calidad</v>
      </c>
      <c r="B26" t="str">
        <v>DOP</v>
      </c>
      <c r="C26">
        <v>6</v>
      </c>
      <c r="D26">
        <v>8</v>
      </c>
      <c r="E26">
        <v>8</v>
      </c>
      <c r="F26">
        <v>0</v>
      </c>
      <c r="G26">
        <v>0</v>
      </c>
      <c r="H26">
        <v>0</v>
      </c>
      <c r="I26">
        <v>0</v>
      </c>
      <c r="J26">
        <v>48</v>
      </c>
      <c r="K26" t="str">
        <v>x</v>
      </c>
      <c r="L26" t="str">
        <v>027007</v>
      </c>
      <c r="M26" t="str">
        <v>027045</v>
      </c>
      <c r="N26" t="str">
        <v>026989</v>
      </c>
      <c r="O26">
        <v>0</v>
      </c>
      <c r="P26">
        <v>0</v>
      </c>
      <c r="Q26">
        <v>0</v>
      </c>
      <c r="R26">
        <v>0</v>
      </c>
      <c r="S26">
        <v>6</v>
      </c>
      <c r="T26">
        <v>6</v>
      </c>
      <c r="U26">
        <v>6</v>
      </c>
      <c r="V26">
        <v>0</v>
      </c>
      <c r="W26">
        <v>0</v>
      </c>
      <c r="X26">
        <v>0</v>
      </c>
      <c r="Y26">
        <v>0</v>
      </c>
      <c r="Z26" s="62">
        <v>1</v>
      </c>
      <c r="AA26" s="61">
        <f ca="1">COUNTIFS(base_de_datos[Materia],A26,base_de_datos[Misma o no],1)</f>
        <v>2</v>
      </c>
    </row>
    <row r="27" spans="1:27" x14ac:dyDescent="0.25">
      <c r="A27" t="str">
        <v>Ingeniería de métodos</v>
      </c>
      <c r="B27" t="str">
        <v>DOP</v>
      </c>
      <c r="C27">
        <v>4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64</v>
      </c>
      <c r="K27">
        <v>0</v>
      </c>
      <c r="L27" t="str">
        <v>027000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7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 s="62">
        <v>1</v>
      </c>
      <c r="AA27" s="61">
        <f ca="1">COUNTIFS(base_de_datos[Materia],A27,base_de_datos[Misma o no],1)</f>
        <v>2</v>
      </c>
    </row>
    <row r="28" spans="1:27" x14ac:dyDescent="0.25">
      <c r="A28" t="str">
        <v>Investigación de operaciones</v>
      </c>
      <c r="B28" t="str">
        <v>DOP</v>
      </c>
      <c r="C28">
        <v>4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48</v>
      </c>
      <c r="K28" t="str">
        <v>x</v>
      </c>
      <c r="L28" t="str">
        <v>026999</v>
      </c>
      <c r="M28">
        <v>0</v>
      </c>
      <c r="N28">
        <v>0</v>
      </c>
      <c r="O28">
        <v>0</v>
      </c>
      <c r="P28">
        <v>0</v>
      </c>
      <c r="Q28" t="str">
        <v>032359</v>
      </c>
      <c r="R28">
        <v>0</v>
      </c>
      <c r="S28">
        <v>6</v>
      </c>
      <c r="T28">
        <v>0</v>
      </c>
      <c r="U28">
        <v>0</v>
      </c>
      <c r="V28">
        <v>0</v>
      </c>
      <c r="W28">
        <v>0</v>
      </c>
      <c r="X28">
        <v>6</v>
      </c>
      <c r="Y28">
        <v>0</v>
      </c>
      <c r="Z28" s="62">
        <v>1</v>
      </c>
      <c r="AA28" s="61">
        <f ca="1">COUNTIFS(base_de_datos[Materia],A28,base_de_datos[Misma o no],1)</f>
        <v>1</v>
      </c>
    </row>
    <row r="29" spans="1:27" x14ac:dyDescent="0.25">
      <c r="A29" t="str">
        <v>Simulación discreta</v>
      </c>
      <c r="B29" t="str">
        <v>DOP</v>
      </c>
      <c r="C29">
        <v>6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48</v>
      </c>
      <c r="K29">
        <v>0</v>
      </c>
      <c r="L29" t="str">
        <v>027011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6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 s="62">
        <v>1</v>
      </c>
      <c r="AA29" s="61">
        <f ca="1">COUNTIFS(base_de_datos[Materia],A29,base_de_datos[Misma o no],1)</f>
        <v>1</v>
      </c>
    </row>
    <row r="30" spans="1:27" ht="25" x14ac:dyDescent="0.25">
      <c r="A30" t="str">
        <v>Circuitos digitales I o Diseño lógico</v>
      </c>
      <c r="B30" t="str">
        <v>EEC</v>
      </c>
      <c r="C30">
        <v>0</v>
      </c>
      <c r="D30">
        <v>3</v>
      </c>
      <c r="E30">
        <v>0</v>
      </c>
      <c r="F30">
        <v>3</v>
      </c>
      <c r="G30">
        <v>4</v>
      </c>
      <c r="H30">
        <v>0</v>
      </c>
      <c r="I30">
        <v>3</v>
      </c>
      <c r="J30">
        <v>48</v>
      </c>
      <c r="K30">
        <v>0</v>
      </c>
      <c r="L30">
        <v>0</v>
      </c>
      <c r="M30" t="str">
        <v>026939</v>
      </c>
      <c r="N30">
        <v>0</v>
      </c>
      <c r="O30" t="str">
        <v>028373</v>
      </c>
      <c r="P30" t="str">
        <v>018518</v>
      </c>
      <c r="Q30">
        <v>0</v>
      </c>
      <c r="R30" t="str">
        <v>028373</v>
      </c>
      <c r="S30">
        <v>0</v>
      </c>
      <c r="T30">
        <v>6</v>
      </c>
      <c r="U30">
        <v>0</v>
      </c>
      <c r="V30">
        <v>6</v>
      </c>
      <c r="W30">
        <v>7</v>
      </c>
      <c r="X30">
        <v>0</v>
      </c>
      <c r="Y30">
        <v>6</v>
      </c>
      <c r="Z30" s="62">
        <v>1</v>
      </c>
      <c r="AA30" s="61">
        <f ca="1">COUNTIFS(base_de_datos[Materia],A30,base_de_datos[Misma o no],1)</f>
        <v>2</v>
      </c>
    </row>
    <row r="31" spans="1:27" ht="25" x14ac:dyDescent="0.25">
      <c r="A31" t="str">
        <v>Circuitos digitales o Circuitos digitales II</v>
      </c>
      <c r="B31" t="str">
        <v>EEC</v>
      </c>
      <c r="C31">
        <v>0</v>
      </c>
      <c r="D31">
        <v>4</v>
      </c>
      <c r="E31">
        <v>0</v>
      </c>
      <c r="F31">
        <v>0</v>
      </c>
      <c r="G31">
        <v>5</v>
      </c>
      <c r="H31">
        <v>0</v>
      </c>
      <c r="I31">
        <v>4</v>
      </c>
      <c r="J31">
        <v>64</v>
      </c>
      <c r="K31">
        <v>0</v>
      </c>
      <c r="L31">
        <v>0</v>
      </c>
      <c r="M31" t="str">
        <v>026958</v>
      </c>
      <c r="N31">
        <v>0</v>
      </c>
      <c r="O31">
        <v>0</v>
      </c>
      <c r="P31" t="str">
        <v>018575</v>
      </c>
      <c r="Q31">
        <v>0</v>
      </c>
      <c r="R31" t="str">
        <v>028689</v>
      </c>
      <c r="S31">
        <v>0</v>
      </c>
      <c r="T31">
        <v>6</v>
      </c>
      <c r="U31">
        <v>0</v>
      </c>
      <c r="V31">
        <v>0</v>
      </c>
      <c r="W31">
        <v>7</v>
      </c>
      <c r="X31">
        <v>0</v>
      </c>
      <c r="Y31">
        <v>6</v>
      </c>
      <c r="Z31" s="62">
        <v>1</v>
      </c>
      <c r="AA31" s="61">
        <f ca="1">COUNTIFS(base_de_datos[Materia],A31,base_de_datos[Misma o no],1)</f>
        <v>1</v>
      </c>
    </row>
    <row r="32" spans="1:27" x14ac:dyDescent="0.25">
      <c r="A32" t="str">
        <v>Circuitos digitales y eléctricos</v>
      </c>
      <c r="B32" t="str">
        <v>EEC</v>
      </c>
      <c r="C32">
        <v>0</v>
      </c>
      <c r="D32">
        <v>0</v>
      </c>
      <c r="E32">
        <v>6</v>
      </c>
      <c r="F32">
        <v>0</v>
      </c>
      <c r="G32">
        <v>0</v>
      </c>
      <c r="H32">
        <v>0</v>
      </c>
      <c r="I32">
        <v>0</v>
      </c>
      <c r="J32">
        <v>64</v>
      </c>
      <c r="K32">
        <v>0</v>
      </c>
      <c r="L32">
        <v>0</v>
      </c>
      <c r="M32">
        <v>0</v>
      </c>
      <c r="N32" t="str">
        <v>026976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5</v>
      </c>
      <c r="V32">
        <v>0</v>
      </c>
      <c r="W32">
        <v>0</v>
      </c>
      <c r="X32">
        <v>0</v>
      </c>
      <c r="Y32">
        <v>0</v>
      </c>
      <c r="Z32" s="62">
        <v>1</v>
      </c>
      <c r="AA32" s="61">
        <f ca="1">COUNTIFS(base_de_datos[Materia],A32,base_de_datos[Misma o no],1)</f>
        <v>1</v>
      </c>
    </row>
    <row r="33" spans="1:27" x14ac:dyDescent="0.25">
      <c r="A33" t="str">
        <v>Circuitos eléctricos II</v>
      </c>
      <c r="B33" t="str">
        <v>EEC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4</v>
      </c>
      <c r="J33">
        <v>48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 t="str">
        <v>028485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5</v>
      </c>
      <c r="Z33" s="62">
        <v>1</v>
      </c>
      <c r="AA33" s="61">
        <f ca="1">COUNTIFS(base_de_datos[Materia],A33,base_de_datos[Misma o no],1)</f>
        <v>1</v>
      </c>
    </row>
    <row r="34" spans="1:27" x14ac:dyDescent="0.25">
      <c r="A34" t="str">
        <v>Comunicación de datos</v>
      </c>
      <c r="B34" t="str">
        <v>EEC</v>
      </c>
      <c r="C34">
        <v>0</v>
      </c>
      <c r="D34">
        <v>8</v>
      </c>
      <c r="E34">
        <v>0</v>
      </c>
      <c r="F34">
        <v>0</v>
      </c>
      <c r="G34">
        <v>0</v>
      </c>
      <c r="H34">
        <v>0</v>
      </c>
      <c r="I34">
        <v>8</v>
      </c>
      <c r="J34">
        <v>48</v>
      </c>
      <c r="K34" t="str">
        <v>x</v>
      </c>
      <c r="L34">
        <v>0</v>
      </c>
      <c r="M34" t="str">
        <v>027043</v>
      </c>
      <c r="N34">
        <v>0</v>
      </c>
      <c r="O34">
        <v>0</v>
      </c>
      <c r="P34">
        <v>0</v>
      </c>
      <c r="Q34">
        <v>0</v>
      </c>
      <c r="R34" t="str">
        <v>028911</v>
      </c>
      <c r="S34">
        <v>0</v>
      </c>
      <c r="T34">
        <v>6</v>
      </c>
      <c r="U34">
        <v>0</v>
      </c>
      <c r="V34">
        <v>0</v>
      </c>
      <c r="W34">
        <v>0</v>
      </c>
      <c r="X34">
        <v>0</v>
      </c>
      <c r="Y34">
        <v>6</v>
      </c>
      <c r="Z34" s="62">
        <v>1</v>
      </c>
      <c r="AA34" s="61">
        <f ca="1">COUNTIFS(base_de_datos[Materia],A34,base_de_datos[Misma o no],1)</f>
        <v>1</v>
      </c>
    </row>
    <row r="35" spans="1:27" x14ac:dyDescent="0.25">
      <c r="A35" t="str">
        <v>Control inteligente</v>
      </c>
      <c r="B35" t="str">
        <v>EEC</v>
      </c>
      <c r="C35">
        <v>0</v>
      </c>
      <c r="D35">
        <v>0</v>
      </c>
      <c r="E35">
        <v>0</v>
      </c>
      <c r="F35">
        <v>0</v>
      </c>
      <c r="G35">
        <v>0</v>
      </c>
      <c r="H35">
        <v>4</v>
      </c>
      <c r="I35">
        <v>0</v>
      </c>
      <c r="J35">
        <v>64</v>
      </c>
      <c r="K35" t="str">
        <v>x</v>
      </c>
      <c r="L35">
        <v>0</v>
      </c>
      <c r="M35">
        <v>0</v>
      </c>
      <c r="N35">
        <v>0</v>
      </c>
      <c r="O35">
        <v>0</v>
      </c>
      <c r="P35">
        <v>0</v>
      </c>
      <c r="Q35" t="str">
        <v>027086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7</v>
      </c>
      <c r="Y35">
        <v>0</v>
      </c>
      <c r="Z35" s="62">
        <v>1</v>
      </c>
      <c r="AA35" s="61">
        <f ca="1">COUNTIFS(base_de_datos[Materia],A35,base_de_datos[Misma o no],1)</f>
        <v>2</v>
      </c>
    </row>
    <row r="36" spans="1:27" x14ac:dyDescent="0.25">
      <c r="A36" t="str">
        <v>Dinámica de sistemas físicos</v>
      </c>
      <c r="B36" t="str">
        <v>EEC</v>
      </c>
      <c r="C36">
        <v>0</v>
      </c>
      <c r="D36">
        <v>6</v>
      </c>
      <c r="E36">
        <v>0</v>
      </c>
      <c r="F36">
        <v>0</v>
      </c>
      <c r="G36">
        <v>0</v>
      </c>
      <c r="H36">
        <v>0</v>
      </c>
      <c r="I36">
        <v>6</v>
      </c>
      <c r="J36">
        <v>48</v>
      </c>
      <c r="K36">
        <v>0</v>
      </c>
      <c r="L36">
        <v>0</v>
      </c>
      <c r="M36" t="str">
        <v>027030</v>
      </c>
      <c r="N36">
        <v>0</v>
      </c>
      <c r="O36">
        <v>0</v>
      </c>
      <c r="P36">
        <v>0</v>
      </c>
      <c r="Q36">
        <v>0</v>
      </c>
      <c r="R36" t="str">
        <v>028707</v>
      </c>
      <c r="S36">
        <v>0</v>
      </c>
      <c r="T36">
        <v>6</v>
      </c>
      <c r="U36">
        <v>0</v>
      </c>
      <c r="V36">
        <v>0</v>
      </c>
      <c r="W36">
        <v>0</v>
      </c>
      <c r="X36">
        <v>0</v>
      </c>
      <c r="Y36">
        <v>6</v>
      </c>
      <c r="Z36" s="62">
        <v>1</v>
      </c>
      <c r="AA36" s="61">
        <f ca="1">COUNTIFS(base_de_datos[Materia],A36,base_de_datos[Misma o no],1)</f>
        <v>1</v>
      </c>
    </row>
    <row r="37" spans="1:27" x14ac:dyDescent="0.25">
      <c r="A37" t="str">
        <v>Electricidad y magnetismo</v>
      </c>
      <c r="B37" t="str">
        <v>EEC</v>
      </c>
      <c r="C37">
        <v>4</v>
      </c>
      <c r="D37">
        <v>4</v>
      </c>
      <c r="E37">
        <v>5</v>
      </c>
      <c r="F37">
        <v>0</v>
      </c>
      <c r="G37">
        <v>3</v>
      </c>
      <c r="H37">
        <v>0</v>
      </c>
      <c r="I37">
        <v>4</v>
      </c>
      <c r="J37">
        <v>64</v>
      </c>
      <c r="K37">
        <v>0</v>
      </c>
      <c r="L37" t="str">
        <v>026957</v>
      </c>
      <c r="M37" t="str">
        <v>026957</v>
      </c>
      <c r="N37" t="str">
        <v>026971</v>
      </c>
      <c r="O37">
        <v>0</v>
      </c>
      <c r="P37" t="str">
        <v>020643</v>
      </c>
      <c r="Q37">
        <v>0</v>
      </c>
      <c r="R37" t="str">
        <v>028486</v>
      </c>
      <c r="S37">
        <v>7</v>
      </c>
      <c r="T37">
        <v>7</v>
      </c>
      <c r="U37">
        <v>7</v>
      </c>
      <c r="V37">
        <v>0</v>
      </c>
      <c r="W37">
        <v>7</v>
      </c>
      <c r="X37">
        <v>0</v>
      </c>
      <c r="Y37">
        <v>7</v>
      </c>
      <c r="Z37" s="62">
        <v>1</v>
      </c>
      <c r="AA37" s="61">
        <f ca="1">COUNTIFS(base_de_datos[Materia],A37,base_de_datos[Misma o no],1)</f>
        <v>2</v>
      </c>
    </row>
    <row r="38" spans="1:27" x14ac:dyDescent="0.25">
      <c r="A38" t="str">
        <v>Electrónica</v>
      </c>
      <c r="B38" t="str">
        <v>EEC</v>
      </c>
      <c r="C38">
        <v>0</v>
      </c>
      <c r="D38">
        <v>6</v>
      </c>
      <c r="E38">
        <v>0</v>
      </c>
      <c r="F38">
        <v>0</v>
      </c>
      <c r="G38">
        <v>5</v>
      </c>
      <c r="H38">
        <v>0</v>
      </c>
      <c r="I38">
        <v>6</v>
      </c>
      <c r="J38">
        <v>64</v>
      </c>
      <c r="K38">
        <v>0</v>
      </c>
      <c r="L38">
        <v>0</v>
      </c>
      <c r="M38" t="str">
        <v>027031</v>
      </c>
      <c r="N38">
        <v>0</v>
      </c>
      <c r="O38">
        <v>0</v>
      </c>
      <c r="P38" t="str">
        <v>018583</v>
      </c>
      <c r="Q38">
        <v>0</v>
      </c>
      <c r="R38" t="str">
        <v>028708</v>
      </c>
      <c r="S38">
        <v>0</v>
      </c>
      <c r="T38">
        <v>7</v>
      </c>
      <c r="U38">
        <v>0</v>
      </c>
      <c r="V38">
        <v>0</v>
      </c>
      <c r="W38">
        <v>7</v>
      </c>
      <c r="X38">
        <v>0</v>
      </c>
      <c r="Y38">
        <v>7</v>
      </c>
      <c r="Z38" s="62">
        <v>1</v>
      </c>
      <c r="AA38" s="61">
        <f ca="1">COUNTIFS(base_de_datos[Materia],A38,base_de_datos[Misma o no],1)</f>
        <v>1</v>
      </c>
    </row>
    <row r="39" spans="1:27" x14ac:dyDescent="0.25">
      <c r="A39" t="str">
        <v>Electrónica de potencia</v>
      </c>
      <c r="B39" t="str">
        <v>EEC</v>
      </c>
      <c r="C39">
        <v>0</v>
      </c>
      <c r="D39">
        <v>8</v>
      </c>
      <c r="E39">
        <v>0</v>
      </c>
      <c r="F39">
        <v>0</v>
      </c>
      <c r="G39">
        <v>8</v>
      </c>
      <c r="H39">
        <v>0</v>
      </c>
      <c r="I39">
        <v>8</v>
      </c>
      <c r="J39">
        <v>64</v>
      </c>
      <c r="K39">
        <v>0</v>
      </c>
      <c r="L39">
        <v>0</v>
      </c>
      <c r="M39" t="str">
        <v>027038</v>
      </c>
      <c r="N39">
        <v>0</v>
      </c>
      <c r="O39">
        <v>0</v>
      </c>
      <c r="P39" t="str">
        <v>020644</v>
      </c>
      <c r="Q39">
        <v>0</v>
      </c>
      <c r="R39" t="str">
        <v>028910</v>
      </c>
      <c r="S39">
        <v>0</v>
      </c>
      <c r="T39">
        <v>7</v>
      </c>
      <c r="U39">
        <v>0</v>
      </c>
      <c r="V39">
        <v>0</v>
      </c>
      <c r="W39">
        <v>6</v>
      </c>
      <c r="X39">
        <v>0</v>
      </c>
      <c r="Y39">
        <v>7</v>
      </c>
      <c r="Z39" s="62">
        <v>1</v>
      </c>
      <c r="AA39" s="61">
        <f ca="1">COUNTIFS(base_de_datos[Materia],A39,base_de_datos[Misma o no],1)</f>
        <v>1</v>
      </c>
    </row>
    <row r="40" spans="1:27" x14ac:dyDescent="0.25">
      <c r="A40" t="str">
        <v>Microcontroladores I</v>
      </c>
      <c r="B40" t="str">
        <v>EEC</v>
      </c>
      <c r="C40">
        <v>0</v>
      </c>
      <c r="D40">
        <v>5</v>
      </c>
      <c r="E40">
        <v>0</v>
      </c>
      <c r="F40">
        <v>5</v>
      </c>
      <c r="G40">
        <v>6</v>
      </c>
      <c r="H40">
        <v>0</v>
      </c>
      <c r="I40">
        <v>5</v>
      </c>
      <c r="J40">
        <v>64</v>
      </c>
      <c r="K40">
        <v>0</v>
      </c>
      <c r="L40">
        <v>0</v>
      </c>
      <c r="M40" t="str">
        <v>026964</v>
      </c>
      <c r="N40">
        <v>0</v>
      </c>
      <c r="O40" t="str">
        <v>028488</v>
      </c>
      <c r="P40" t="str">
        <v>018584</v>
      </c>
      <c r="Q40">
        <v>0</v>
      </c>
      <c r="R40" t="str">
        <v>028488</v>
      </c>
      <c r="S40">
        <v>0</v>
      </c>
      <c r="T40">
        <v>7</v>
      </c>
      <c r="U40">
        <v>0</v>
      </c>
      <c r="V40">
        <v>7</v>
      </c>
      <c r="W40">
        <v>7</v>
      </c>
      <c r="X40">
        <v>0</v>
      </c>
      <c r="Y40">
        <v>7</v>
      </c>
      <c r="Z40" s="62">
        <v>1</v>
      </c>
      <c r="AA40" s="61">
        <f ca="1">COUNTIFS(base_de_datos[Materia],A40,base_de_datos[Misma o no],1)</f>
        <v>1</v>
      </c>
    </row>
    <row r="41" spans="1:27" x14ac:dyDescent="0.25">
      <c r="A41" t="str">
        <v>Microcontroladores II</v>
      </c>
      <c r="B41" t="str">
        <v>EEC</v>
      </c>
      <c r="C41">
        <v>0</v>
      </c>
      <c r="D41">
        <v>6</v>
      </c>
      <c r="E41">
        <v>0</v>
      </c>
      <c r="F41">
        <v>6</v>
      </c>
      <c r="G41">
        <v>7</v>
      </c>
      <c r="H41">
        <v>0</v>
      </c>
      <c r="I41">
        <v>6</v>
      </c>
      <c r="J41">
        <v>48</v>
      </c>
      <c r="K41">
        <v>0</v>
      </c>
      <c r="L41">
        <v>0</v>
      </c>
      <c r="M41" t="str">
        <v>027032</v>
      </c>
      <c r="N41">
        <v>0</v>
      </c>
      <c r="O41" t="str">
        <v>028709</v>
      </c>
      <c r="P41" t="str">
        <v>018578</v>
      </c>
      <c r="Q41">
        <v>0</v>
      </c>
      <c r="R41" t="str">
        <v>028709</v>
      </c>
      <c r="S41">
        <v>0</v>
      </c>
      <c r="T41">
        <v>6</v>
      </c>
      <c r="U41">
        <v>0</v>
      </c>
      <c r="V41">
        <v>6</v>
      </c>
      <c r="W41">
        <v>8</v>
      </c>
      <c r="X41">
        <v>0</v>
      </c>
      <c r="Y41">
        <v>6</v>
      </c>
      <c r="Z41" s="62">
        <v>1</v>
      </c>
      <c r="AA41" s="61">
        <f ca="1">COUNTIFS(base_de_datos[Materia],A41,base_de_datos[Misma o no],1)</f>
        <v>2</v>
      </c>
    </row>
    <row r="42" spans="1:27" x14ac:dyDescent="0.25">
      <c r="A42" t="str">
        <v>Proyecto mecatrónico II</v>
      </c>
      <c r="B42" t="str">
        <v>EEC</v>
      </c>
      <c r="C42">
        <v>0</v>
      </c>
      <c r="D42">
        <v>8</v>
      </c>
      <c r="E42">
        <v>0</v>
      </c>
      <c r="F42">
        <v>0</v>
      </c>
      <c r="G42">
        <v>0</v>
      </c>
      <c r="H42">
        <v>0</v>
      </c>
      <c r="I42">
        <v>0</v>
      </c>
      <c r="J42">
        <v>48</v>
      </c>
      <c r="K42">
        <v>0</v>
      </c>
      <c r="L42">
        <v>0</v>
      </c>
      <c r="M42" t="str">
        <v>027039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6</v>
      </c>
      <c r="U42">
        <v>0</v>
      </c>
      <c r="V42">
        <v>0</v>
      </c>
      <c r="W42">
        <v>0</v>
      </c>
      <c r="X42">
        <v>0</v>
      </c>
      <c r="Y42">
        <v>0</v>
      </c>
      <c r="Z42" s="62">
        <v>1</v>
      </c>
      <c r="AA42" s="61">
        <f ca="1">COUNTIFS(base_de_datos[Materia],A42,base_de_datos[Misma o no],1)</f>
        <v>1</v>
      </c>
    </row>
    <row r="43" spans="1:27" x14ac:dyDescent="0.25">
      <c r="A43" t="str">
        <v>Sistemas de comunicación</v>
      </c>
      <c r="B43" t="str">
        <v>EEC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6</v>
      </c>
      <c r="J43">
        <v>64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 t="str">
        <v>028706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6</v>
      </c>
      <c r="Z43" s="62">
        <v>1</v>
      </c>
      <c r="AA43" s="61">
        <f ca="1">COUNTIFS(base_de_datos[Materia],A43,base_de_datos[Misma o no],1)</f>
        <v>2</v>
      </c>
    </row>
    <row r="44" spans="1:27" ht="25" x14ac:dyDescent="0.25">
      <c r="A44" t="str">
        <v>Tópicos en instalaciones industriales</v>
      </c>
      <c r="B44" t="str">
        <v>EEC</v>
      </c>
      <c r="C44">
        <v>6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64</v>
      </c>
      <c r="K44">
        <v>0</v>
      </c>
      <c r="L44" t="str">
        <v>027010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7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 s="62">
        <v>1</v>
      </c>
      <c r="AA44" s="61">
        <f ca="1">COUNTIFS(base_de_datos[Materia],A44,base_de_datos[Misma o no],1)</f>
        <v>1</v>
      </c>
    </row>
    <row r="45" spans="1:27" ht="25" x14ac:dyDescent="0.25">
      <c r="A45" t="str">
        <v>Análisis e interpretación de la información financiera</v>
      </c>
      <c r="B45" t="str">
        <v>EMP</v>
      </c>
      <c r="C45">
        <v>4</v>
      </c>
      <c r="D45">
        <v>0</v>
      </c>
      <c r="E45">
        <v>0</v>
      </c>
      <c r="F45">
        <v>0</v>
      </c>
      <c r="G45">
        <v>0</v>
      </c>
      <c r="H45">
        <v>11</v>
      </c>
      <c r="I45">
        <v>0</v>
      </c>
      <c r="J45">
        <v>48</v>
      </c>
      <c r="K45">
        <v>0</v>
      </c>
      <c r="L45" t="str">
        <v>026996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6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 s="62">
        <v>1</v>
      </c>
      <c r="AA45" s="61">
        <f ca="1">COUNTIFS(base_de_datos[Materia],A45,base_de_datos[Misma o no],1)</f>
        <v>1</v>
      </c>
    </row>
    <row r="46" spans="1:27" x14ac:dyDescent="0.25">
      <c r="A46" t="str">
        <v>Contabilidad y costos</v>
      </c>
      <c r="B46" t="str">
        <v>EMP</v>
      </c>
      <c r="C46">
        <v>2</v>
      </c>
      <c r="D46">
        <v>0</v>
      </c>
      <c r="E46">
        <v>0</v>
      </c>
      <c r="F46">
        <v>0</v>
      </c>
      <c r="G46">
        <v>0</v>
      </c>
      <c r="H46">
        <v>8</v>
      </c>
      <c r="I46">
        <v>0</v>
      </c>
      <c r="J46">
        <v>48</v>
      </c>
      <c r="K46">
        <v>0</v>
      </c>
      <c r="L46" t="str">
        <v>027023</v>
      </c>
      <c r="M46">
        <v>0</v>
      </c>
      <c r="N46">
        <v>0</v>
      </c>
      <c r="O46">
        <v>0</v>
      </c>
      <c r="P46">
        <v>0</v>
      </c>
      <c r="Q46" t="str">
        <v>027065</v>
      </c>
      <c r="R46">
        <v>0</v>
      </c>
      <c r="S46">
        <v>6</v>
      </c>
      <c r="T46">
        <v>0</v>
      </c>
      <c r="U46">
        <v>0</v>
      </c>
      <c r="V46">
        <v>0</v>
      </c>
      <c r="W46">
        <v>0</v>
      </c>
      <c r="X46">
        <v>6</v>
      </c>
      <c r="Y46">
        <v>0</v>
      </c>
      <c r="Z46" s="62">
        <v>1</v>
      </c>
      <c r="AA46" s="61">
        <f ca="1">COUNTIFS(base_de_datos[Materia],A46,base_de_datos[Misma o no],1)</f>
        <v>2</v>
      </c>
    </row>
    <row r="47" spans="1:27" x14ac:dyDescent="0.25">
      <c r="A47" t="str">
        <v>Dirección de empresas</v>
      </c>
      <c r="B47" t="str">
        <v>EMP</v>
      </c>
      <c r="C47">
        <v>8</v>
      </c>
      <c r="D47">
        <v>8</v>
      </c>
      <c r="E47">
        <v>0</v>
      </c>
      <c r="F47">
        <v>8</v>
      </c>
      <c r="G47">
        <v>8</v>
      </c>
      <c r="H47">
        <v>0</v>
      </c>
      <c r="I47">
        <v>8</v>
      </c>
      <c r="J47">
        <v>32</v>
      </c>
      <c r="K47" t="str">
        <v>x</v>
      </c>
      <c r="L47" t="str">
        <v>027019</v>
      </c>
      <c r="M47" t="str">
        <v>027019</v>
      </c>
      <c r="N47" t="str">
        <v>026994</v>
      </c>
      <c r="O47" t="str">
        <v>028909</v>
      </c>
      <c r="P47" t="str">
        <v>018935</v>
      </c>
      <c r="Q47">
        <v>0</v>
      </c>
      <c r="R47" t="str">
        <v>028909</v>
      </c>
      <c r="S47">
        <v>4</v>
      </c>
      <c r="T47">
        <v>4</v>
      </c>
      <c r="U47">
        <v>4</v>
      </c>
      <c r="V47">
        <v>4</v>
      </c>
      <c r="W47">
        <v>6</v>
      </c>
      <c r="X47">
        <v>0</v>
      </c>
      <c r="Y47">
        <v>4</v>
      </c>
      <c r="Z47" s="62">
        <v>1</v>
      </c>
      <c r="AA47" s="61">
        <f ca="1">COUNTIFS(base_de_datos[Materia],A47,base_de_datos[Misma o no],1)</f>
        <v>3</v>
      </c>
    </row>
    <row r="48" spans="1:27" x14ac:dyDescent="0.25">
      <c r="A48" t="str">
        <v>Entorno económico</v>
      </c>
      <c r="B48" t="str">
        <v>EMP</v>
      </c>
      <c r="C48">
        <v>0</v>
      </c>
      <c r="D48">
        <v>2</v>
      </c>
      <c r="E48">
        <v>0</v>
      </c>
      <c r="F48">
        <v>6</v>
      </c>
      <c r="G48">
        <v>0</v>
      </c>
      <c r="H48">
        <v>0</v>
      </c>
      <c r="I48">
        <v>2</v>
      </c>
      <c r="J48">
        <v>48</v>
      </c>
      <c r="K48" t="str">
        <v>X</v>
      </c>
      <c r="L48">
        <v>0</v>
      </c>
      <c r="M48" t="str">
        <v>026935</v>
      </c>
      <c r="N48">
        <v>0</v>
      </c>
      <c r="O48" t="str">
        <v>029616</v>
      </c>
      <c r="P48">
        <v>0</v>
      </c>
      <c r="Q48" t="str">
        <v>032365</v>
      </c>
      <c r="R48" t="str">
        <v>028368</v>
      </c>
      <c r="S48">
        <v>0</v>
      </c>
      <c r="T48">
        <v>6</v>
      </c>
      <c r="U48">
        <v>0</v>
      </c>
      <c r="V48">
        <v>6</v>
      </c>
      <c r="W48">
        <v>0</v>
      </c>
      <c r="X48">
        <v>6</v>
      </c>
      <c r="Y48">
        <v>6</v>
      </c>
      <c r="Z48" s="62">
        <v>1</v>
      </c>
      <c r="AA48" s="61">
        <f ca="1">COUNTIFS(base_de_datos[Materia],A48,base_de_datos[Misma o no],1)</f>
        <v>2</v>
      </c>
    </row>
    <row r="49" spans="1:27" ht="25" x14ac:dyDescent="0.25">
      <c r="A49" t="str">
        <v>Evaluación financiera de proyectos</v>
      </c>
      <c r="B49" t="str">
        <v>EMP</v>
      </c>
      <c r="C49">
        <v>0</v>
      </c>
      <c r="D49">
        <v>0</v>
      </c>
      <c r="E49">
        <v>0</v>
      </c>
      <c r="F49">
        <v>0</v>
      </c>
      <c r="G49">
        <v>0</v>
      </c>
      <c r="H49">
        <v>10</v>
      </c>
      <c r="I49">
        <v>0</v>
      </c>
      <c r="J49">
        <v>48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 t="str">
        <v>027081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6</v>
      </c>
      <c r="Y49">
        <v>0</v>
      </c>
      <c r="Z49" s="62">
        <v>1</v>
      </c>
      <c r="AA49" s="61">
        <f ca="1">COUNTIFS(base_de_datos[Materia],A49,base_de_datos[Misma o no],1)</f>
        <v>1</v>
      </c>
    </row>
    <row r="50" spans="1:27" ht="37.5" x14ac:dyDescent="0.25">
      <c r="A50" t="str">
        <v>Proyectos de inversión e introducción a la valuación de empresas</v>
      </c>
      <c r="B50" t="str">
        <v>EMP</v>
      </c>
      <c r="C50">
        <v>6</v>
      </c>
      <c r="D50">
        <v>7</v>
      </c>
      <c r="E50">
        <v>7</v>
      </c>
      <c r="F50">
        <v>7</v>
      </c>
      <c r="G50">
        <v>0</v>
      </c>
      <c r="H50">
        <v>9</v>
      </c>
      <c r="I50">
        <v>5</v>
      </c>
      <c r="J50">
        <v>48</v>
      </c>
      <c r="K50" t="str">
        <v>x</v>
      </c>
      <c r="L50" t="str">
        <v>027008</v>
      </c>
      <c r="M50" t="str">
        <v>026981</v>
      </c>
      <c r="N50" t="str">
        <v>026981</v>
      </c>
      <c r="O50" t="str">
        <v>029625</v>
      </c>
      <c r="P50">
        <v>0</v>
      </c>
      <c r="Q50" t="str">
        <v>027101</v>
      </c>
      <c r="R50" t="str">
        <v>028692</v>
      </c>
      <c r="S50">
        <v>6</v>
      </c>
      <c r="T50">
        <v>6</v>
      </c>
      <c r="U50">
        <v>6</v>
      </c>
      <c r="V50">
        <v>6</v>
      </c>
      <c r="W50">
        <v>0</v>
      </c>
      <c r="X50">
        <v>6</v>
      </c>
      <c r="Y50">
        <v>6</v>
      </c>
      <c r="Z50" s="62">
        <v>1</v>
      </c>
      <c r="AA50" s="61">
        <f ca="1">COUNTIFS(base_de_datos[Materia],A50,base_de_datos[Misma o no],1)</f>
        <v>2</v>
      </c>
    </row>
    <row r="51" spans="1:27" x14ac:dyDescent="0.25">
      <c r="A51" t="str">
        <v>Psicología del consumidor</v>
      </c>
      <c r="B51" t="str">
        <v>EMP</v>
      </c>
      <c r="C51">
        <v>0</v>
      </c>
      <c r="D51">
        <v>0</v>
      </c>
      <c r="E51">
        <v>8</v>
      </c>
      <c r="F51">
        <v>0</v>
      </c>
      <c r="G51">
        <v>0</v>
      </c>
      <c r="H51">
        <v>0</v>
      </c>
      <c r="I51">
        <v>0</v>
      </c>
      <c r="J51">
        <v>48</v>
      </c>
      <c r="K51">
        <v>0</v>
      </c>
      <c r="L51">
        <v>0</v>
      </c>
      <c r="M51">
        <v>0</v>
      </c>
      <c r="N51" t="str">
        <v>026990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6</v>
      </c>
      <c r="V51">
        <v>0</v>
      </c>
      <c r="W51">
        <v>0</v>
      </c>
      <c r="X51">
        <v>0</v>
      </c>
      <c r="Y51">
        <v>0</v>
      </c>
      <c r="Z51" s="62">
        <v>1</v>
      </c>
      <c r="AA51" s="61">
        <f ca="1">COUNTIFS(base_de_datos[Materia],A51,base_de_datos[Misma o no],1)</f>
        <v>1</v>
      </c>
    </row>
    <row r="52" spans="1:27" x14ac:dyDescent="0.25">
      <c r="A52" t="str">
        <v>Recursos humanos</v>
      </c>
      <c r="B52" t="str">
        <v>EMP</v>
      </c>
      <c r="C52">
        <v>8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48</v>
      </c>
      <c r="K52">
        <v>0</v>
      </c>
      <c r="L52" t="str">
        <v>027020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6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 s="62">
        <v>1</v>
      </c>
      <c r="AA52" s="61">
        <f ca="1">COUNTIFS(base_de_datos[Materia],A52,base_de_datos[Misma o no],1)</f>
        <v>1</v>
      </c>
    </row>
    <row r="53" spans="1:27" x14ac:dyDescent="0.25">
      <c r="A53" t="str">
        <v>Redacción</v>
      </c>
      <c r="B53" t="str">
        <v>EMP</v>
      </c>
      <c r="C53">
        <v>3</v>
      </c>
      <c r="D53">
        <v>4</v>
      </c>
      <c r="E53">
        <v>0</v>
      </c>
      <c r="F53">
        <v>4</v>
      </c>
      <c r="G53">
        <v>0</v>
      </c>
      <c r="H53">
        <v>0</v>
      </c>
      <c r="I53">
        <v>4</v>
      </c>
      <c r="J53">
        <v>48</v>
      </c>
      <c r="K53">
        <v>0</v>
      </c>
      <c r="L53" t="str">
        <v>027024</v>
      </c>
      <c r="M53" t="str">
        <v>026959</v>
      </c>
      <c r="N53">
        <v>0</v>
      </c>
      <c r="O53" t="str">
        <v>029610</v>
      </c>
      <c r="P53">
        <v>0</v>
      </c>
      <c r="Q53">
        <v>0</v>
      </c>
      <c r="R53" t="str">
        <v>028690</v>
      </c>
      <c r="S53">
        <v>6</v>
      </c>
      <c r="T53">
        <v>6</v>
      </c>
      <c r="U53">
        <v>0</v>
      </c>
      <c r="V53">
        <v>6</v>
      </c>
      <c r="W53">
        <v>0</v>
      </c>
      <c r="X53">
        <v>0</v>
      </c>
      <c r="Y53">
        <v>6</v>
      </c>
      <c r="Z53" s="62">
        <v>1</v>
      </c>
      <c r="AA53" s="61">
        <f ca="1">COUNTIFS(base_de_datos[Materia],A53,base_de_datos[Misma o no],1)</f>
        <v>2</v>
      </c>
    </row>
    <row r="54" spans="1:27" ht="25" x14ac:dyDescent="0.25">
      <c r="A54" t="str">
        <v>Sistemas de costos y presupuestos</v>
      </c>
      <c r="B54" t="str">
        <v>EMP</v>
      </c>
      <c r="C54">
        <v>0</v>
      </c>
      <c r="D54">
        <v>0</v>
      </c>
      <c r="E54">
        <v>6</v>
      </c>
      <c r="F54">
        <v>0</v>
      </c>
      <c r="G54">
        <v>0</v>
      </c>
      <c r="H54">
        <v>0</v>
      </c>
      <c r="I54">
        <v>0</v>
      </c>
      <c r="J54">
        <v>48</v>
      </c>
      <c r="K54">
        <v>0</v>
      </c>
      <c r="L54">
        <v>0</v>
      </c>
      <c r="M54">
        <v>0</v>
      </c>
      <c r="N54" t="str">
        <v>026978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6</v>
      </c>
      <c r="V54">
        <v>0</v>
      </c>
      <c r="W54">
        <v>0</v>
      </c>
      <c r="X54">
        <v>0</v>
      </c>
      <c r="Y54">
        <v>0</v>
      </c>
      <c r="Z54" s="62">
        <v>1</v>
      </c>
      <c r="AA54" s="61">
        <f ca="1">COUNTIFS(base_de_datos[Materia],A54,base_de_datos[Misma o no],1)</f>
        <v>2</v>
      </c>
    </row>
    <row r="55" spans="1:27" x14ac:dyDescent="0.25">
      <c r="A55" t="str">
        <v>Análisis estructural</v>
      </c>
      <c r="B55" t="str">
        <v>ESC</v>
      </c>
      <c r="C55">
        <v>0</v>
      </c>
      <c r="D55">
        <v>0</v>
      </c>
      <c r="E55">
        <v>0</v>
      </c>
      <c r="F55">
        <v>0</v>
      </c>
      <c r="G55">
        <v>0</v>
      </c>
      <c r="H55">
        <v>6</v>
      </c>
      <c r="I55">
        <v>0</v>
      </c>
      <c r="J55">
        <v>64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 t="str">
        <v>027066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8</v>
      </c>
      <c r="Y55">
        <v>0</v>
      </c>
      <c r="Z55" s="62">
        <v>1</v>
      </c>
      <c r="AA55" s="61">
        <f ca="1">COUNTIFS(base_de_datos[Materia],A55,base_de_datos[Misma o no],1)</f>
        <v>1</v>
      </c>
    </row>
    <row r="56" spans="1:27" x14ac:dyDescent="0.25">
      <c r="A56" t="str">
        <v>BIM planeación de obra</v>
      </c>
      <c r="B56" t="str">
        <v>ESC</v>
      </c>
      <c r="C56">
        <v>0</v>
      </c>
      <c r="D56">
        <v>0</v>
      </c>
      <c r="E56">
        <v>0</v>
      </c>
      <c r="F56">
        <v>0</v>
      </c>
      <c r="G56">
        <v>0</v>
      </c>
      <c r="H56">
        <v>8</v>
      </c>
      <c r="I56">
        <v>0</v>
      </c>
      <c r="J56">
        <v>48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 t="str">
        <v>027079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6</v>
      </c>
      <c r="Y56">
        <v>0</v>
      </c>
      <c r="Z56" s="62">
        <v>1</v>
      </c>
      <c r="AA56" s="61">
        <f ca="1">COUNTIFS(base_de_datos[Materia],A56,base_de_datos[Misma o no],1)</f>
        <v>1</v>
      </c>
    </row>
    <row r="57" spans="1:27" ht="25" x14ac:dyDescent="0.25">
      <c r="A57" t="str">
        <v>Comportamiento de materiales</v>
      </c>
      <c r="B57" t="str">
        <v>ESC</v>
      </c>
      <c r="C57">
        <v>0</v>
      </c>
      <c r="D57">
        <v>0</v>
      </c>
      <c r="E57">
        <v>0</v>
      </c>
      <c r="F57">
        <v>0</v>
      </c>
      <c r="G57">
        <v>0</v>
      </c>
      <c r="H57">
        <v>6</v>
      </c>
      <c r="I57">
        <v>0</v>
      </c>
      <c r="J57">
        <v>80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 t="str">
        <v>027067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7</v>
      </c>
      <c r="Y57">
        <v>0</v>
      </c>
      <c r="Z57" s="62">
        <v>1</v>
      </c>
      <c r="AA57" s="61">
        <f ca="1">COUNTIFS(base_de_datos[Materia],A57,base_de_datos[Misma o no],1)</f>
        <v>2</v>
      </c>
    </row>
    <row r="58" spans="1:27" ht="25" x14ac:dyDescent="0.25">
      <c r="A58" t="str">
        <v>Diseño de estructuras de acero II</v>
      </c>
      <c r="B58" t="str">
        <v>ESC</v>
      </c>
      <c r="C58">
        <v>0</v>
      </c>
      <c r="D58">
        <v>0</v>
      </c>
      <c r="E58">
        <v>0</v>
      </c>
      <c r="F58">
        <v>0</v>
      </c>
      <c r="G58">
        <v>0</v>
      </c>
      <c r="H58">
        <v>8</v>
      </c>
      <c r="I58">
        <v>0</v>
      </c>
      <c r="J58">
        <v>64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 t="str">
        <v>027077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8</v>
      </c>
      <c r="Y58">
        <v>0</v>
      </c>
      <c r="Z58" s="62">
        <v>1</v>
      </c>
      <c r="AA58" s="61">
        <f ca="1">COUNTIFS(base_de_datos[Materia],A58,base_de_datos[Misma o no],1)</f>
        <v>1</v>
      </c>
    </row>
    <row r="59" spans="1:27" ht="25" x14ac:dyDescent="0.25">
      <c r="A59" t="str">
        <v>Diseño de estructuras de concreto II</v>
      </c>
      <c r="B59" t="str">
        <v>ESC</v>
      </c>
      <c r="C59">
        <v>0</v>
      </c>
      <c r="D59">
        <v>0</v>
      </c>
      <c r="E59">
        <v>0</v>
      </c>
      <c r="F59">
        <v>0</v>
      </c>
      <c r="G59">
        <v>0</v>
      </c>
      <c r="H59">
        <v>8</v>
      </c>
      <c r="I59">
        <v>0</v>
      </c>
      <c r="J59">
        <v>64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 t="str">
        <v>027078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8</v>
      </c>
      <c r="Y59">
        <v>0</v>
      </c>
      <c r="Z59" s="62">
        <v>1</v>
      </c>
      <c r="AA59" s="61">
        <f ca="1">COUNTIFS(base_de_datos[Materia],A59,base_de_datos[Misma o no],1)</f>
        <v>1</v>
      </c>
    </row>
    <row r="60" spans="1:27" x14ac:dyDescent="0.25">
      <c r="A60" t="str">
        <v>Diseño de pavimentos</v>
      </c>
      <c r="B60" t="str">
        <v>ESC</v>
      </c>
      <c r="C60">
        <v>0</v>
      </c>
      <c r="D60">
        <v>0</v>
      </c>
      <c r="E60">
        <v>0</v>
      </c>
      <c r="F60">
        <v>0</v>
      </c>
      <c r="G60">
        <v>0</v>
      </c>
      <c r="H60">
        <v>10</v>
      </c>
      <c r="I60">
        <v>0</v>
      </c>
      <c r="J60">
        <v>64</v>
      </c>
      <c r="K60" t="str">
        <v>x</v>
      </c>
      <c r="L60">
        <v>0</v>
      </c>
      <c r="M60">
        <v>0</v>
      </c>
      <c r="N60">
        <v>0</v>
      </c>
      <c r="O60">
        <v>0</v>
      </c>
      <c r="P60">
        <v>0</v>
      </c>
      <c r="Q60" t="str">
        <v>032371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6</v>
      </c>
      <c r="Y60">
        <v>0</v>
      </c>
      <c r="Z60" s="62">
        <v>1</v>
      </c>
      <c r="AA60" s="61">
        <f ca="1">COUNTIFS(base_de_datos[Materia],A60,base_de_datos[Misma o no],1)</f>
        <v>2</v>
      </c>
    </row>
    <row r="61" spans="1:27" x14ac:dyDescent="0.25">
      <c r="A61" t="str">
        <v>Diseño para la ingeniería civil</v>
      </c>
      <c r="B61" t="str">
        <v>ESC</v>
      </c>
      <c r="C61">
        <v>0</v>
      </c>
      <c r="D61">
        <v>0</v>
      </c>
      <c r="E61">
        <v>0</v>
      </c>
      <c r="F61">
        <v>0</v>
      </c>
      <c r="G61">
        <v>0</v>
      </c>
      <c r="H61">
        <v>2</v>
      </c>
      <c r="I61">
        <v>0</v>
      </c>
      <c r="J61">
        <v>48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 t="str">
        <v>026786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4</v>
      </c>
      <c r="Y61">
        <v>0</v>
      </c>
      <c r="Z61" s="62">
        <v>1</v>
      </c>
      <c r="AA61" s="61">
        <f ca="1">COUNTIFS(base_de_datos[Materia],A61,base_de_datos[Misma o no],1)</f>
        <v>1</v>
      </c>
    </row>
    <row r="62" spans="1:27" x14ac:dyDescent="0.25">
      <c r="A62" t="str">
        <v>Ingeniería de cimentaciones</v>
      </c>
      <c r="B62" t="str">
        <v>ESC</v>
      </c>
      <c r="C62">
        <v>0</v>
      </c>
      <c r="D62">
        <v>0</v>
      </c>
      <c r="E62">
        <v>0</v>
      </c>
      <c r="F62">
        <v>0</v>
      </c>
      <c r="G62">
        <v>0</v>
      </c>
      <c r="H62">
        <v>8</v>
      </c>
      <c r="I62">
        <v>0</v>
      </c>
      <c r="J62">
        <v>48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 t="str">
        <v>027080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6</v>
      </c>
      <c r="Y62">
        <v>0</v>
      </c>
      <c r="Z62" s="62">
        <v>1</v>
      </c>
      <c r="AA62" s="61">
        <f ca="1">COUNTIFS(base_de_datos[Materia],A62,base_de_datos[Misma o no],1)</f>
        <v>1</v>
      </c>
    </row>
    <row r="63" spans="1:27" x14ac:dyDescent="0.25">
      <c r="A63" t="str">
        <v>Instalaciones en edificios</v>
      </c>
      <c r="B63" t="str">
        <v>ESC</v>
      </c>
      <c r="C63">
        <v>0</v>
      </c>
      <c r="D63">
        <v>0</v>
      </c>
      <c r="E63">
        <v>0</v>
      </c>
      <c r="F63">
        <v>0</v>
      </c>
      <c r="G63">
        <v>0</v>
      </c>
      <c r="H63">
        <v>8</v>
      </c>
      <c r="I63">
        <v>0</v>
      </c>
      <c r="J63">
        <v>64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 t="str">
        <v>027058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8</v>
      </c>
      <c r="Y63">
        <v>0</v>
      </c>
      <c r="Z63" s="62">
        <v>1</v>
      </c>
      <c r="AA63" s="61">
        <f ca="1">COUNTIFS(base_de_datos[Materia],A63,base_de_datos[Misma o no],1)</f>
        <v>2</v>
      </c>
    </row>
    <row r="64" spans="1:27" ht="25" x14ac:dyDescent="0.25">
      <c r="A64" t="str">
        <v>Materiales y procesos constructivos</v>
      </c>
      <c r="B64" t="str">
        <v>ESC</v>
      </c>
      <c r="C64">
        <v>0</v>
      </c>
      <c r="D64">
        <v>0</v>
      </c>
      <c r="E64">
        <v>0</v>
      </c>
      <c r="F64">
        <v>0</v>
      </c>
      <c r="G64">
        <v>0</v>
      </c>
      <c r="H64">
        <v>4</v>
      </c>
      <c r="I64">
        <v>0</v>
      </c>
      <c r="J64">
        <v>64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 t="str">
        <v>027053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8</v>
      </c>
      <c r="Y64">
        <v>0</v>
      </c>
      <c r="Z64" s="62">
        <v>1</v>
      </c>
      <c r="AA64" s="61">
        <f ca="1">COUNTIFS(base_de_datos[Materia],A64,base_de_datos[Misma o no],1)</f>
        <v>2</v>
      </c>
    </row>
    <row r="65" spans="1:27" x14ac:dyDescent="0.25">
      <c r="A65" t="str">
        <v>Mecánica de materiales</v>
      </c>
      <c r="B65" t="str">
        <v>ESC</v>
      </c>
      <c r="C65">
        <v>0</v>
      </c>
      <c r="D65">
        <v>0</v>
      </c>
      <c r="E65">
        <v>0</v>
      </c>
      <c r="F65">
        <v>0</v>
      </c>
      <c r="G65">
        <v>0</v>
      </c>
      <c r="H65">
        <v>4</v>
      </c>
      <c r="I65">
        <v>0</v>
      </c>
      <c r="J65">
        <v>64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 t="str">
        <v>027057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8</v>
      </c>
      <c r="Y65">
        <v>0</v>
      </c>
      <c r="Z65" s="62">
        <v>1</v>
      </c>
      <c r="AA65" s="61">
        <f ca="1">COUNTIFS(base_de_datos[Materia],A65,base_de_datos[Misma o no],1)</f>
        <v>2</v>
      </c>
    </row>
    <row r="66" spans="1:27" ht="25" x14ac:dyDescent="0.25">
      <c r="A66" t="str">
        <v>Planeación y control de proyectos</v>
      </c>
      <c r="B66" t="str">
        <v>ESC</v>
      </c>
      <c r="C66">
        <v>0</v>
      </c>
      <c r="D66">
        <v>0</v>
      </c>
      <c r="E66">
        <v>0</v>
      </c>
      <c r="F66">
        <v>0</v>
      </c>
      <c r="G66">
        <v>0</v>
      </c>
      <c r="H66">
        <v>6</v>
      </c>
      <c r="I66">
        <v>0</v>
      </c>
      <c r="J66">
        <v>64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 t="str">
        <v>027068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8</v>
      </c>
      <c r="Y66">
        <v>0</v>
      </c>
      <c r="Z66" s="62">
        <v>1</v>
      </c>
      <c r="AA66" s="61">
        <f ca="1">COUNTIFS(base_de_datos[Materia],A66,base_de_datos[Misma o no],1)</f>
        <v>1</v>
      </c>
    </row>
    <row r="67" spans="1:27" x14ac:dyDescent="0.25">
      <c r="A67" t="str">
        <v>Propiedades de los suelos</v>
      </c>
      <c r="B67" t="str">
        <v>ESC</v>
      </c>
      <c r="C67">
        <v>0</v>
      </c>
      <c r="D67">
        <v>0</v>
      </c>
      <c r="E67">
        <v>0</v>
      </c>
      <c r="F67">
        <v>0</v>
      </c>
      <c r="G67">
        <v>0</v>
      </c>
      <c r="H67">
        <v>6</v>
      </c>
      <c r="I67">
        <v>0</v>
      </c>
      <c r="J67">
        <v>64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 t="str">
        <v>027063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7</v>
      </c>
      <c r="Y67">
        <v>0</v>
      </c>
      <c r="Z67" s="62">
        <v>1</v>
      </c>
      <c r="AA67" s="61">
        <f ca="1">COUNTIFS(base_de_datos[Materia],A67,base_de_datos[Misma o no],1)</f>
        <v>1</v>
      </c>
    </row>
    <row r="68" spans="1:27" x14ac:dyDescent="0.25">
      <c r="A68" t="str">
        <v>Topografía</v>
      </c>
      <c r="B68" t="str">
        <v>ESC</v>
      </c>
      <c r="C68">
        <v>0</v>
      </c>
      <c r="D68">
        <v>0</v>
      </c>
      <c r="E68">
        <v>0</v>
      </c>
      <c r="F68">
        <v>0</v>
      </c>
      <c r="G68">
        <v>0</v>
      </c>
      <c r="H68">
        <v>2</v>
      </c>
      <c r="I68">
        <v>0</v>
      </c>
      <c r="J68">
        <v>80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 t="str">
        <v>026880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7</v>
      </c>
      <c r="Y68">
        <v>0</v>
      </c>
      <c r="Z68" s="62">
        <v>1</v>
      </c>
      <c r="AA68" s="61">
        <f ca="1">COUNTIFS(base_de_datos[Materia],A68,base_de_datos[Misma o no],1)</f>
        <v>2</v>
      </c>
    </row>
    <row r="69" spans="1:27" x14ac:dyDescent="0.25">
      <c r="A69" t="str">
        <v>Aerogeneradores</v>
      </c>
      <c r="B69" t="str">
        <v>ETF</v>
      </c>
      <c r="C69">
        <v>0</v>
      </c>
      <c r="D69">
        <v>0</v>
      </c>
      <c r="E69">
        <v>0</v>
      </c>
      <c r="F69">
        <v>0</v>
      </c>
      <c r="G69">
        <v>6</v>
      </c>
      <c r="H69">
        <v>0</v>
      </c>
      <c r="I69">
        <v>0</v>
      </c>
      <c r="J69">
        <v>80</v>
      </c>
      <c r="K69">
        <v>0</v>
      </c>
      <c r="L69">
        <v>0</v>
      </c>
      <c r="M69">
        <v>0</v>
      </c>
      <c r="N69">
        <v>0</v>
      </c>
      <c r="O69">
        <v>0</v>
      </c>
      <c r="P69" t="str">
        <v>018601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9</v>
      </c>
      <c r="X69">
        <v>0</v>
      </c>
      <c r="Y69">
        <v>0</v>
      </c>
      <c r="Z69" s="62">
        <v>1</v>
      </c>
      <c r="AA69" s="61">
        <f ca="1">COUNTIFS(base_de_datos[Materia],A69,base_de_datos[Misma o no],1)</f>
        <v>1</v>
      </c>
    </row>
    <row r="70" spans="1:27" x14ac:dyDescent="0.25">
      <c r="A70" t="str">
        <v>Agua potable y alcantarillado</v>
      </c>
      <c r="B70" t="str">
        <v>ETF</v>
      </c>
      <c r="C70">
        <v>0</v>
      </c>
      <c r="D70">
        <v>0</v>
      </c>
      <c r="E70">
        <v>0</v>
      </c>
      <c r="F70">
        <v>0</v>
      </c>
      <c r="G70">
        <v>0</v>
      </c>
      <c r="H70">
        <v>6</v>
      </c>
      <c r="I70">
        <v>0</v>
      </c>
      <c r="J70">
        <v>64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 t="str">
        <v>027071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8</v>
      </c>
      <c r="Y70">
        <v>0</v>
      </c>
      <c r="Z70" s="62">
        <v>1</v>
      </c>
      <c r="AA70" s="61">
        <f ca="1">COUNTIFS(base_de_datos[Materia],A70,base_de_datos[Misma o no],1)</f>
        <v>1</v>
      </c>
    </row>
    <row r="71" spans="1:27" x14ac:dyDescent="0.25">
      <c r="A71" t="str">
        <v>Almacenamiento energético</v>
      </c>
      <c r="B71" t="str">
        <v>ETF</v>
      </c>
      <c r="C71">
        <v>0</v>
      </c>
      <c r="D71">
        <v>0</v>
      </c>
      <c r="E71">
        <v>0</v>
      </c>
      <c r="F71">
        <v>0</v>
      </c>
      <c r="G71">
        <v>6</v>
      </c>
      <c r="H71">
        <v>0</v>
      </c>
      <c r="I71">
        <v>0</v>
      </c>
      <c r="J71">
        <v>80</v>
      </c>
      <c r="K71">
        <v>0</v>
      </c>
      <c r="L71">
        <v>0</v>
      </c>
      <c r="M71">
        <v>0</v>
      </c>
      <c r="N71">
        <v>0</v>
      </c>
      <c r="O71">
        <v>0</v>
      </c>
      <c r="P71" t="str">
        <v>018602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8</v>
      </c>
      <c r="X71">
        <v>0</v>
      </c>
      <c r="Y71">
        <v>0</v>
      </c>
      <c r="Z71" s="62">
        <v>1</v>
      </c>
      <c r="AA71" s="61">
        <f ca="1">COUNTIFS(base_de_datos[Materia],A71,base_de_datos[Misma o no],1)</f>
        <v>1</v>
      </c>
    </row>
    <row r="72" spans="1:27" x14ac:dyDescent="0.25">
      <c r="A72" t="str">
        <v>Análisis medioambiental</v>
      </c>
      <c r="B72" t="str">
        <v>ETF</v>
      </c>
      <c r="C72">
        <v>0</v>
      </c>
      <c r="D72">
        <v>0</v>
      </c>
      <c r="E72">
        <v>0</v>
      </c>
      <c r="F72">
        <v>0</v>
      </c>
      <c r="G72">
        <v>2</v>
      </c>
      <c r="H72">
        <v>0</v>
      </c>
      <c r="I72">
        <v>0</v>
      </c>
      <c r="J72">
        <v>48</v>
      </c>
      <c r="K72">
        <v>0</v>
      </c>
      <c r="L72">
        <v>0</v>
      </c>
      <c r="M72">
        <v>0</v>
      </c>
      <c r="N72">
        <v>0</v>
      </c>
      <c r="O72">
        <v>0</v>
      </c>
      <c r="P72" t="str">
        <v>018570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6</v>
      </c>
      <c r="X72">
        <v>0</v>
      </c>
      <c r="Y72">
        <v>0</v>
      </c>
      <c r="Z72" s="62">
        <v>1</v>
      </c>
      <c r="AA72" s="61">
        <f ca="1">COUNTIFS(base_de_datos[Materia],A72,base_de_datos[Misma o no],1)</f>
        <v>1</v>
      </c>
    </row>
    <row r="73" spans="1:27" ht="25" x14ac:dyDescent="0.25">
      <c r="A73" t="str">
        <v>Diseño de sistemas energéticos</v>
      </c>
      <c r="B73" t="str">
        <v>ETF</v>
      </c>
      <c r="C73">
        <v>0</v>
      </c>
      <c r="D73">
        <v>0</v>
      </c>
      <c r="E73">
        <v>0</v>
      </c>
      <c r="F73">
        <v>0</v>
      </c>
      <c r="G73">
        <v>8</v>
      </c>
      <c r="H73">
        <v>0</v>
      </c>
      <c r="I73">
        <v>0</v>
      </c>
      <c r="J73">
        <v>80</v>
      </c>
      <c r="K73">
        <v>0</v>
      </c>
      <c r="L73">
        <v>0</v>
      </c>
      <c r="M73">
        <v>0</v>
      </c>
      <c r="N73">
        <v>0</v>
      </c>
      <c r="O73">
        <v>0</v>
      </c>
      <c r="P73" t="str">
        <v>018941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8</v>
      </c>
      <c r="X73">
        <v>0</v>
      </c>
      <c r="Y73">
        <v>0</v>
      </c>
      <c r="Z73" s="62">
        <v>1</v>
      </c>
      <c r="AA73" s="61">
        <f ca="1">COUNTIFS(base_de_datos[Materia],A73,base_de_datos[Misma o no],1)</f>
        <v>1</v>
      </c>
    </row>
    <row r="74" spans="1:27" x14ac:dyDescent="0.25">
      <c r="A74" t="str">
        <v>Energía solar fotovoltáica</v>
      </c>
      <c r="B74" t="str">
        <v>ETF</v>
      </c>
      <c r="C74">
        <v>0</v>
      </c>
      <c r="D74">
        <v>0</v>
      </c>
      <c r="E74">
        <v>0</v>
      </c>
      <c r="F74">
        <v>0</v>
      </c>
      <c r="G74">
        <v>4</v>
      </c>
      <c r="H74">
        <v>0</v>
      </c>
      <c r="I74">
        <v>0</v>
      </c>
      <c r="J74">
        <v>64</v>
      </c>
      <c r="K74">
        <v>0</v>
      </c>
      <c r="L74">
        <v>0</v>
      </c>
      <c r="M74">
        <v>0</v>
      </c>
      <c r="N74">
        <v>0</v>
      </c>
      <c r="O74">
        <v>0</v>
      </c>
      <c r="P74" t="str">
        <v>018595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6</v>
      </c>
      <c r="X74">
        <v>0</v>
      </c>
      <c r="Y74">
        <v>0</v>
      </c>
      <c r="Z74" s="62">
        <v>1</v>
      </c>
      <c r="AA74" s="61">
        <f ca="1">COUNTIFS(base_de_datos[Materia],A74,base_de_datos[Misma o no],1)</f>
        <v>1</v>
      </c>
    </row>
    <row r="75" spans="1:27" x14ac:dyDescent="0.25">
      <c r="A75" t="str">
        <v>Energía solar térmica</v>
      </c>
      <c r="B75" t="str">
        <v>ETF</v>
      </c>
      <c r="C75">
        <v>0</v>
      </c>
      <c r="D75">
        <v>0</v>
      </c>
      <c r="E75">
        <v>0</v>
      </c>
      <c r="F75">
        <v>0</v>
      </c>
      <c r="G75">
        <v>4</v>
      </c>
      <c r="H75">
        <v>0</v>
      </c>
      <c r="I75">
        <v>0</v>
      </c>
      <c r="J75">
        <v>64</v>
      </c>
      <c r="K75">
        <v>0</v>
      </c>
      <c r="L75">
        <v>0</v>
      </c>
      <c r="M75">
        <v>0</v>
      </c>
      <c r="N75">
        <v>0</v>
      </c>
      <c r="O75">
        <v>0</v>
      </c>
      <c r="P75" t="str">
        <v>018572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8</v>
      </c>
      <c r="X75">
        <v>0</v>
      </c>
      <c r="Y75">
        <v>0</v>
      </c>
      <c r="Z75" s="62">
        <v>1</v>
      </c>
      <c r="AA75" s="61">
        <f ca="1">COUNTIFS(base_de_datos[Materia],A75,base_de_datos[Misma o no],1)</f>
        <v>1</v>
      </c>
    </row>
    <row r="76" spans="1:27" x14ac:dyDescent="0.25">
      <c r="A76" t="str">
        <v>Energías alternativas</v>
      </c>
      <c r="B76" t="str">
        <v>ETF</v>
      </c>
      <c r="C76">
        <v>0</v>
      </c>
      <c r="D76">
        <v>0</v>
      </c>
      <c r="E76">
        <v>0</v>
      </c>
      <c r="F76">
        <v>0</v>
      </c>
      <c r="G76">
        <v>2</v>
      </c>
      <c r="H76">
        <v>4</v>
      </c>
      <c r="I76">
        <v>0</v>
      </c>
      <c r="J76">
        <v>48</v>
      </c>
      <c r="K76" t="str">
        <v>x</v>
      </c>
      <c r="L76">
        <v>0</v>
      </c>
      <c r="M76">
        <v>0</v>
      </c>
      <c r="N76">
        <v>0</v>
      </c>
      <c r="O76">
        <v>0</v>
      </c>
      <c r="P76" t="str">
        <v>018571</v>
      </c>
      <c r="Q76" t="str">
        <v>027087</v>
      </c>
      <c r="R76">
        <v>0</v>
      </c>
      <c r="S76">
        <v>0</v>
      </c>
      <c r="T76">
        <v>0</v>
      </c>
      <c r="U76">
        <v>0</v>
      </c>
      <c r="V76">
        <v>0</v>
      </c>
      <c r="W76">
        <v>6</v>
      </c>
      <c r="X76">
        <v>6</v>
      </c>
      <c r="Y76">
        <v>0</v>
      </c>
      <c r="Z76" s="62">
        <v>1</v>
      </c>
      <c r="AA76" s="61">
        <f ca="1">COUNTIFS(base_de_datos[Materia],A76,base_de_datos[Misma o no],1)</f>
        <v>1</v>
      </c>
    </row>
    <row r="77" spans="1:27" x14ac:dyDescent="0.25">
      <c r="A77" t="str">
        <v>Proyectos biosostenibles</v>
      </c>
      <c r="B77" t="str">
        <v>ETF</v>
      </c>
      <c r="C77">
        <v>0</v>
      </c>
      <c r="D77">
        <v>0</v>
      </c>
      <c r="E77">
        <v>0</v>
      </c>
      <c r="F77">
        <v>0</v>
      </c>
      <c r="G77">
        <v>8</v>
      </c>
      <c r="H77">
        <v>0</v>
      </c>
      <c r="I77">
        <v>0</v>
      </c>
      <c r="J77">
        <v>80</v>
      </c>
      <c r="K77">
        <v>0</v>
      </c>
      <c r="L77">
        <v>0</v>
      </c>
      <c r="M77">
        <v>0</v>
      </c>
      <c r="N77">
        <v>0</v>
      </c>
      <c r="O77">
        <v>0</v>
      </c>
      <c r="P77" t="str">
        <v>018942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8</v>
      </c>
      <c r="X77">
        <v>0</v>
      </c>
      <c r="Y77">
        <v>0</v>
      </c>
      <c r="Z77" s="62">
        <v>1</v>
      </c>
      <c r="AA77" s="61">
        <f ca="1">COUNTIFS(base_de_datos[Materia],A77,base_de_datos[Misma o no],1)</f>
        <v>2</v>
      </c>
    </row>
    <row r="78" spans="1:27" x14ac:dyDescent="0.25">
      <c r="A78" t="str">
        <v>Química</v>
      </c>
      <c r="B78" t="str">
        <v>ETF</v>
      </c>
      <c r="C78">
        <v>1</v>
      </c>
      <c r="D78">
        <v>1</v>
      </c>
      <c r="E78">
        <v>2</v>
      </c>
      <c r="F78">
        <v>1</v>
      </c>
      <c r="G78">
        <v>1</v>
      </c>
      <c r="H78">
        <v>0</v>
      </c>
      <c r="I78">
        <v>1</v>
      </c>
      <c r="J78">
        <v>64</v>
      </c>
      <c r="K78">
        <v>0</v>
      </c>
      <c r="L78" t="str">
        <v>026778</v>
      </c>
      <c r="M78" t="str">
        <v>026778</v>
      </c>
      <c r="N78" t="str">
        <v>026778</v>
      </c>
      <c r="O78" t="str">
        <v>028103</v>
      </c>
      <c r="P78" t="str">
        <v>018262</v>
      </c>
      <c r="Q78">
        <v>0</v>
      </c>
      <c r="R78" t="str">
        <v>028103</v>
      </c>
      <c r="S78">
        <v>7</v>
      </c>
      <c r="T78">
        <v>7</v>
      </c>
      <c r="U78">
        <v>7</v>
      </c>
      <c r="V78">
        <v>7</v>
      </c>
      <c r="W78">
        <v>7</v>
      </c>
      <c r="X78">
        <v>7</v>
      </c>
      <c r="Y78">
        <v>7</v>
      </c>
      <c r="Z78" s="62">
        <v>1</v>
      </c>
      <c r="AA78" s="61">
        <f ca="1">COUNTIFS(base_de_datos[Materia],A78,base_de_datos[Misma o no],1)</f>
        <v>1</v>
      </c>
    </row>
    <row r="79" spans="1:27" x14ac:dyDescent="0.25">
      <c r="A79" t="str">
        <v>Sistemas energéticos II</v>
      </c>
      <c r="B79" t="str">
        <v>ETF</v>
      </c>
      <c r="C79">
        <v>0</v>
      </c>
      <c r="D79">
        <v>0</v>
      </c>
      <c r="E79">
        <v>0</v>
      </c>
      <c r="F79">
        <v>0</v>
      </c>
      <c r="G79">
        <v>8</v>
      </c>
      <c r="H79">
        <v>0</v>
      </c>
      <c r="I79">
        <v>0</v>
      </c>
      <c r="J79">
        <v>80</v>
      </c>
      <c r="K79">
        <v>0</v>
      </c>
      <c r="L79">
        <v>0</v>
      </c>
      <c r="M79">
        <v>0</v>
      </c>
      <c r="N79">
        <v>0</v>
      </c>
      <c r="O79">
        <v>0</v>
      </c>
      <c r="P79" t="str">
        <v>018943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8</v>
      </c>
      <c r="X79">
        <v>0</v>
      </c>
      <c r="Y79">
        <v>0</v>
      </c>
      <c r="Z79" s="62">
        <v>1</v>
      </c>
      <c r="AA79" s="61">
        <f ca="1">COUNTIFS(base_de_datos[Materia],A79,base_de_datos[Misma o no],1)</f>
        <v>2</v>
      </c>
    </row>
    <row r="80" spans="1:27" ht="25" x14ac:dyDescent="0.25">
      <c r="A80" t="str">
        <v>Sustentabilidad y normatividad energética</v>
      </c>
      <c r="B80" t="str">
        <v>ETF</v>
      </c>
      <c r="C80">
        <v>8</v>
      </c>
      <c r="D80">
        <v>0</v>
      </c>
      <c r="E80">
        <v>8</v>
      </c>
      <c r="F80">
        <v>0</v>
      </c>
      <c r="G80">
        <v>0</v>
      </c>
      <c r="H80">
        <v>0</v>
      </c>
      <c r="I80">
        <v>0</v>
      </c>
      <c r="J80">
        <v>32</v>
      </c>
      <c r="K80" t="str">
        <v>x</v>
      </c>
      <c r="L80" t="str">
        <v>026995</v>
      </c>
      <c r="M80">
        <v>0</v>
      </c>
      <c r="N80" t="str">
        <v>026995</v>
      </c>
      <c r="O80">
        <v>0</v>
      </c>
      <c r="P80">
        <v>0</v>
      </c>
      <c r="Q80">
        <v>0</v>
      </c>
      <c r="R80">
        <v>0</v>
      </c>
      <c r="S80">
        <v>4</v>
      </c>
      <c r="T80">
        <v>0</v>
      </c>
      <c r="U80">
        <v>4</v>
      </c>
      <c r="V80">
        <v>0</v>
      </c>
      <c r="W80">
        <v>0</v>
      </c>
      <c r="X80">
        <v>0</v>
      </c>
      <c r="Y80">
        <v>0</v>
      </c>
      <c r="Z80" s="62">
        <v>1</v>
      </c>
      <c r="AA80" s="61">
        <f ca="1">COUNTIFS(base_de_datos[Materia],A80,base_de_datos[Misma o no],1)</f>
        <v>1</v>
      </c>
    </row>
    <row r="81" spans="1:27" x14ac:dyDescent="0.25">
      <c r="A81" t="str">
        <v>Termodinámica</v>
      </c>
      <c r="B81" t="str">
        <v>ETF</v>
      </c>
      <c r="C81">
        <v>3</v>
      </c>
      <c r="D81">
        <v>4</v>
      </c>
      <c r="E81">
        <v>0</v>
      </c>
      <c r="F81">
        <v>0</v>
      </c>
      <c r="G81">
        <v>3</v>
      </c>
      <c r="H81">
        <v>0</v>
      </c>
      <c r="I81">
        <v>4</v>
      </c>
      <c r="J81">
        <v>64</v>
      </c>
      <c r="K81">
        <v>0</v>
      </c>
      <c r="L81" t="str">
        <v>027026</v>
      </c>
      <c r="M81" t="str">
        <v>026955</v>
      </c>
      <c r="N81">
        <v>0</v>
      </c>
      <c r="O81">
        <v>0</v>
      </c>
      <c r="P81" t="str">
        <v>018545</v>
      </c>
      <c r="Q81">
        <v>0</v>
      </c>
      <c r="R81" t="str">
        <v>028484</v>
      </c>
      <c r="S81">
        <v>7</v>
      </c>
      <c r="T81">
        <v>7</v>
      </c>
      <c r="U81">
        <v>0</v>
      </c>
      <c r="V81">
        <v>0</v>
      </c>
      <c r="W81">
        <v>7</v>
      </c>
      <c r="X81">
        <v>0</v>
      </c>
      <c r="Y81">
        <v>7</v>
      </c>
      <c r="Z81" s="62">
        <v>1</v>
      </c>
      <c r="AA81" s="61">
        <f ca="1">COUNTIFS(base_de_datos[Materia],A81,base_de_datos[Misma o no],1)</f>
        <v>2</v>
      </c>
    </row>
    <row r="82" spans="1:27" ht="25" x14ac:dyDescent="0.25">
      <c r="A82" t="str">
        <v>Tratamiento de aguas, suelos y atmósferas</v>
      </c>
      <c r="B82" t="str">
        <v>ETF</v>
      </c>
      <c r="C82">
        <v>0</v>
      </c>
      <c r="D82">
        <v>0</v>
      </c>
      <c r="E82">
        <v>0</v>
      </c>
      <c r="F82">
        <v>0</v>
      </c>
      <c r="G82">
        <v>6</v>
      </c>
      <c r="H82">
        <v>0</v>
      </c>
      <c r="I82">
        <v>0</v>
      </c>
      <c r="J82">
        <v>64</v>
      </c>
      <c r="K82">
        <v>0</v>
      </c>
      <c r="L82">
        <v>0</v>
      </c>
      <c r="M82">
        <v>0</v>
      </c>
      <c r="N82">
        <v>0</v>
      </c>
      <c r="O82">
        <v>0</v>
      </c>
      <c r="P82" t="str">
        <v>018600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7</v>
      </c>
      <c r="X82">
        <v>0</v>
      </c>
      <c r="Y82">
        <v>0</v>
      </c>
      <c r="Z82" s="62">
        <v>1</v>
      </c>
      <c r="AA82" s="61">
        <f ca="1">COUNTIFS(base_de_datos[Materia],A82,base_de_datos[Misma o no],1)</f>
        <v>1</v>
      </c>
    </row>
    <row r="83" spans="1:27" ht="25" x14ac:dyDescent="0.25">
      <c r="A83" t="str">
        <v>Antropología teológica I/Teología Dogmática</v>
      </c>
      <c r="B83" t="str">
        <v>HUM</v>
      </c>
      <c r="C83">
        <v>4</v>
      </c>
      <c r="D83">
        <v>4</v>
      </c>
      <c r="E83">
        <v>4</v>
      </c>
      <c r="F83">
        <v>4</v>
      </c>
      <c r="G83">
        <v>4</v>
      </c>
      <c r="H83">
        <v>4</v>
      </c>
      <c r="I83">
        <v>4</v>
      </c>
      <c r="J83">
        <v>32</v>
      </c>
      <c r="K83">
        <v>0</v>
      </c>
      <c r="L83" t="str">
        <v>026960</v>
      </c>
      <c r="M83" t="str">
        <v>026960</v>
      </c>
      <c r="N83" t="str">
        <v>026960</v>
      </c>
      <c r="O83" t="str">
        <v>028487</v>
      </c>
      <c r="P83" t="str">
        <v>018529</v>
      </c>
      <c r="Q83" t="str">
        <v>027060</v>
      </c>
      <c r="R83" t="str">
        <v>028487</v>
      </c>
      <c r="S83">
        <v>4</v>
      </c>
      <c r="T83">
        <v>4</v>
      </c>
      <c r="U83">
        <v>4</v>
      </c>
      <c r="V83">
        <v>4</v>
      </c>
      <c r="W83">
        <v>4</v>
      </c>
      <c r="X83">
        <v>4</v>
      </c>
      <c r="Y83">
        <v>4</v>
      </c>
      <c r="Z83" s="62">
        <v>1</v>
      </c>
      <c r="AA83" s="61">
        <f ca="1">COUNTIFS(base_de_datos[Materia],A83,base_de_datos[Misma o no],1)</f>
        <v>2</v>
      </c>
    </row>
    <row r="84" spans="1:27" x14ac:dyDescent="0.25">
      <c r="A84" t="str">
        <v>Ética profesional</v>
      </c>
      <c r="B84" t="str">
        <v>HUM</v>
      </c>
      <c r="C84">
        <v>8</v>
      </c>
      <c r="D84">
        <v>8</v>
      </c>
      <c r="E84">
        <v>8</v>
      </c>
      <c r="F84">
        <v>8</v>
      </c>
      <c r="G84">
        <v>8</v>
      </c>
      <c r="H84">
        <v>10</v>
      </c>
      <c r="I84">
        <v>8</v>
      </c>
      <c r="J84">
        <v>48</v>
      </c>
      <c r="K84" t="str">
        <v>x</v>
      </c>
      <c r="L84" t="str">
        <v>026991</v>
      </c>
      <c r="M84" t="str">
        <v>026991</v>
      </c>
      <c r="N84" t="str">
        <v>026991</v>
      </c>
      <c r="O84" t="str">
        <v>028912</v>
      </c>
      <c r="P84" t="str">
        <v>018934</v>
      </c>
      <c r="Q84" t="str">
        <v>032366</v>
      </c>
      <c r="R84" t="str">
        <v>028912</v>
      </c>
      <c r="S84">
        <v>6</v>
      </c>
      <c r="T84">
        <v>6</v>
      </c>
      <c r="U84">
        <v>6</v>
      </c>
      <c r="V84">
        <v>6</v>
      </c>
      <c r="W84">
        <v>6</v>
      </c>
      <c r="X84">
        <v>6</v>
      </c>
      <c r="Y84">
        <v>6</v>
      </c>
      <c r="Z84" s="62">
        <v>1</v>
      </c>
      <c r="AA84" s="61">
        <f ca="1">COUNTIFS(base_de_datos[Materia],A84,base_de_datos[Misma o no],1)</f>
        <v>3</v>
      </c>
    </row>
    <row r="85" spans="1:27" x14ac:dyDescent="0.25">
      <c r="A85" t="str">
        <v>Filosofía social</v>
      </c>
      <c r="B85" t="str">
        <v>HUM</v>
      </c>
      <c r="C85">
        <v>6</v>
      </c>
      <c r="D85">
        <v>6</v>
      </c>
      <c r="E85">
        <v>6</v>
      </c>
      <c r="F85">
        <v>6</v>
      </c>
      <c r="G85">
        <v>6</v>
      </c>
      <c r="H85">
        <v>6</v>
      </c>
      <c r="I85">
        <v>6</v>
      </c>
      <c r="J85">
        <v>48</v>
      </c>
      <c r="K85">
        <v>0</v>
      </c>
      <c r="L85" t="str">
        <v>026979</v>
      </c>
      <c r="M85" t="str">
        <v>026979</v>
      </c>
      <c r="N85" t="str">
        <v>026979</v>
      </c>
      <c r="O85" t="str">
        <v>028694</v>
      </c>
      <c r="P85" t="str">
        <v>018588</v>
      </c>
      <c r="Q85" t="str">
        <v>027070</v>
      </c>
      <c r="R85" t="str">
        <v>028694</v>
      </c>
      <c r="S85">
        <v>6</v>
      </c>
      <c r="T85">
        <v>6</v>
      </c>
      <c r="U85">
        <v>6</v>
      </c>
      <c r="V85">
        <v>6</v>
      </c>
      <c r="W85">
        <v>6</v>
      </c>
      <c r="X85">
        <v>6</v>
      </c>
      <c r="Y85">
        <v>6</v>
      </c>
      <c r="AA85" s="61">
        <f ca="1">COUNTIFS(base_de_datos[Materia],A85,base_de_datos[Misma o no],1)</f>
        <v>3</v>
      </c>
    </row>
    <row r="86" spans="1:27" ht="37.5" x14ac:dyDescent="0.25">
      <c r="A86" t="str">
        <v>Persona y sociedad/Antropología Filosófica II</v>
      </c>
      <c r="B86" t="str">
        <v>HUM</v>
      </c>
      <c r="C86">
        <v>2</v>
      </c>
      <c r="D86">
        <v>2</v>
      </c>
      <c r="E86">
        <v>2</v>
      </c>
      <c r="F86">
        <v>2</v>
      </c>
      <c r="G86">
        <v>2</v>
      </c>
      <c r="H86">
        <v>2</v>
      </c>
      <c r="I86">
        <v>2</v>
      </c>
      <c r="J86">
        <v>48</v>
      </c>
      <c r="K86">
        <v>0</v>
      </c>
      <c r="L86" t="str">
        <v>026898</v>
      </c>
      <c r="M86" t="str">
        <v>026898</v>
      </c>
      <c r="N86" t="str">
        <v>026898</v>
      </c>
      <c r="O86" t="str">
        <v>028369</v>
      </c>
      <c r="P86" t="str">
        <v>018512</v>
      </c>
      <c r="Q86" t="str">
        <v>027049</v>
      </c>
      <c r="R86" t="str">
        <v>028369</v>
      </c>
      <c r="S86">
        <v>6</v>
      </c>
      <c r="T86">
        <v>6</v>
      </c>
      <c r="U86">
        <v>6</v>
      </c>
      <c r="V86">
        <v>6</v>
      </c>
      <c r="W86">
        <v>6</v>
      </c>
      <c r="X86">
        <v>6</v>
      </c>
      <c r="Y86">
        <v>6</v>
      </c>
      <c r="AA86" s="61">
        <f ca="1">COUNTIFS(base_de_datos[Materia],A86,base_de_datos[Misma o no],1)</f>
        <v>6</v>
      </c>
    </row>
    <row r="87" spans="1:27" x14ac:dyDescent="0.25">
      <c r="A87" t="str">
        <v>Ergonomía para el diseño</v>
      </c>
      <c r="B87" t="str">
        <v>IID</v>
      </c>
      <c r="C87">
        <v>0</v>
      </c>
      <c r="D87">
        <v>0</v>
      </c>
      <c r="E87">
        <v>2</v>
      </c>
      <c r="F87">
        <v>0</v>
      </c>
      <c r="G87">
        <v>0</v>
      </c>
      <c r="H87">
        <v>0</v>
      </c>
      <c r="I87">
        <v>0</v>
      </c>
      <c r="J87">
        <v>48</v>
      </c>
      <c r="K87">
        <v>0</v>
      </c>
      <c r="L87">
        <v>0</v>
      </c>
      <c r="M87">
        <v>0</v>
      </c>
      <c r="N87" t="str">
        <v>026896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6</v>
      </c>
      <c r="V87">
        <v>0</v>
      </c>
      <c r="W87">
        <v>0</v>
      </c>
      <c r="X87">
        <v>0</v>
      </c>
      <c r="Y87">
        <v>0</v>
      </c>
      <c r="AA87" s="61">
        <f ca="1">COUNTIFS(base_de_datos[Materia],A87,base_de_datos[Misma o no],1)</f>
        <v>1</v>
      </c>
    </row>
    <row r="88" spans="1:27" x14ac:dyDescent="0.25">
      <c r="A88" t="str">
        <v>Estrategias de mercadotecnia</v>
      </c>
      <c r="B88" t="str">
        <v>IID</v>
      </c>
      <c r="C88">
        <v>0</v>
      </c>
      <c r="D88">
        <v>0</v>
      </c>
      <c r="E88">
        <v>6</v>
      </c>
      <c r="F88">
        <v>0</v>
      </c>
      <c r="G88">
        <v>0</v>
      </c>
      <c r="H88">
        <v>0</v>
      </c>
      <c r="I88">
        <v>0</v>
      </c>
      <c r="J88">
        <v>48</v>
      </c>
      <c r="K88">
        <v>0</v>
      </c>
      <c r="L88">
        <v>0</v>
      </c>
      <c r="M88">
        <v>0</v>
      </c>
      <c r="N88" t="str">
        <v>026904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6</v>
      </c>
      <c r="V88">
        <v>0</v>
      </c>
      <c r="W88">
        <v>0</v>
      </c>
      <c r="X88">
        <v>0</v>
      </c>
      <c r="Y88">
        <v>0</v>
      </c>
      <c r="AA88" s="61">
        <f ca="1">COUNTIFS(base_de_datos[Materia],A88,base_de_datos[Misma o no],1)</f>
        <v>1</v>
      </c>
    </row>
    <row r="89" spans="1:27" ht="25" x14ac:dyDescent="0.25">
      <c r="A89" t="str">
        <v>Estructuras Física para el Diseño del Producto</v>
      </c>
      <c r="B89" t="str">
        <v>IID</v>
      </c>
      <c r="C89">
        <v>0</v>
      </c>
      <c r="D89">
        <v>0</v>
      </c>
      <c r="E89">
        <v>4</v>
      </c>
      <c r="F89">
        <v>0</v>
      </c>
      <c r="G89">
        <v>0</v>
      </c>
      <c r="H89">
        <v>0</v>
      </c>
      <c r="I89">
        <v>0</v>
      </c>
      <c r="J89">
        <v>64</v>
      </c>
      <c r="K89">
        <v>0</v>
      </c>
      <c r="L89">
        <v>0</v>
      </c>
      <c r="M89">
        <v>0</v>
      </c>
      <c r="N89" t="str">
        <v>026967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6</v>
      </c>
      <c r="V89">
        <v>0</v>
      </c>
      <c r="W89">
        <v>0</v>
      </c>
      <c r="X89">
        <v>0</v>
      </c>
      <c r="Y89">
        <v>0</v>
      </c>
      <c r="Z89" s="62">
        <v>1</v>
      </c>
      <c r="AA89" s="61">
        <f ca="1">COUNTIFS(base_de_datos[Materia],A89,base_de_datos[Misma o no],1)</f>
        <v>1</v>
      </c>
    </row>
    <row r="90" spans="1:27" x14ac:dyDescent="0.25">
      <c r="A90" t="str">
        <v>Marco legal de la innovación</v>
      </c>
      <c r="B90" t="str">
        <v>IID</v>
      </c>
      <c r="C90">
        <v>8</v>
      </c>
      <c r="D90">
        <v>0</v>
      </c>
      <c r="E90">
        <v>8</v>
      </c>
      <c r="F90">
        <v>0</v>
      </c>
      <c r="G90">
        <v>0</v>
      </c>
      <c r="H90">
        <v>0</v>
      </c>
      <c r="I90">
        <v>0</v>
      </c>
      <c r="J90">
        <v>32</v>
      </c>
      <c r="K90" t="str">
        <v>x</v>
      </c>
      <c r="L90" t="str">
        <v>027022</v>
      </c>
      <c r="M90">
        <v>0</v>
      </c>
      <c r="N90" t="str">
        <v>026988</v>
      </c>
      <c r="O90">
        <v>0</v>
      </c>
      <c r="P90">
        <v>0</v>
      </c>
      <c r="Q90">
        <v>0</v>
      </c>
      <c r="R90">
        <v>0</v>
      </c>
      <c r="S90">
        <v>4</v>
      </c>
      <c r="T90">
        <v>0</v>
      </c>
      <c r="U90">
        <v>4</v>
      </c>
      <c r="V90">
        <v>0</v>
      </c>
      <c r="W90">
        <v>0</v>
      </c>
      <c r="X90">
        <v>0</v>
      </c>
      <c r="Y90">
        <v>0</v>
      </c>
      <c r="Z90" s="62">
        <v>1</v>
      </c>
      <c r="AA90" s="61">
        <f ca="1">COUNTIFS(base_de_datos[Materia],A90,base_de_datos[Misma o no],1)</f>
        <v>2</v>
      </c>
    </row>
    <row r="91" spans="1:27" x14ac:dyDescent="0.25">
      <c r="A91" t="str">
        <v>Metales para el diseño</v>
      </c>
      <c r="B91" t="str">
        <v>IID</v>
      </c>
      <c r="C91">
        <v>0</v>
      </c>
      <c r="D91">
        <v>0</v>
      </c>
      <c r="E91">
        <v>4</v>
      </c>
      <c r="F91">
        <v>0</v>
      </c>
      <c r="G91">
        <v>0</v>
      </c>
      <c r="H91">
        <v>0</v>
      </c>
      <c r="I91">
        <v>0</v>
      </c>
      <c r="J91">
        <v>80</v>
      </c>
      <c r="K91">
        <v>0</v>
      </c>
      <c r="L91">
        <v>0</v>
      </c>
      <c r="M91">
        <v>0</v>
      </c>
      <c r="N91" t="str">
        <v>026968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6</v>
      </c>
      <c r="V91">
        <v>0</v>
      </c>
      <c r="W91">
        <v>0</v>
      </c>
      <c r="X91">
        <v>0</v>
      </c>
      <c r="Y91">
        <v>0</v>
      </c>
      <c r="Z91" s="62">
        <v>1</v>
      </c>
      <c r="AA91" s="61">
        <f ca="1">COUNTIFS(base_de_datos[Materia],A91,base_de_datos[Misma o no],1)</f>
        <v>2</v>
      </c>
    </row>
    <row r="92" spans="1:27" x14ac:dyDescent="0.25">
      <c r="A92" t="str">
        <v>Modelos físicos</v>
      </c>
      <c r="B92" t="str">
        <v>IID</v>
      </c>
      <c r="C92">
        <v>0</v>
      </c>
      <c r="D92">
        <v>0</v>
      </c>
      <c r="E92">
        <v>4</v>
      </c>
      <c r="F92">
        <v>0</v>
      </c>
      <c r="G92">
        <v>0</v>
      </c>
      <c r="H92">
        <v>0</v>
      </c>
      <c r="I92">
        <v>0</v>
      </c>
      <c r="J92">
        <v>64</v>
      </c>
      <c r="K92">
        <v>0</v>
      </c>
      <c r="L92">
        <v>0</v>
      </c>
      <c r="M92">
        <v>0</v>
      </c>
      <c r="N92" t="str">
        <v>026969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6</v>
      </c>
      <c r="V92">
        <v>0</v>
      </c>
      <c r="W92">
        <v>0</v>
      </c>
      <c r="X92">
        <v>0</v>
      </c>
      <c r="Y92">
        <v>0</v>
      </c>
      <c r="Z92" s="62">
        <v>1</v>
      </c>
      <c r="AA92" s="61">
        <f ca="1">COUNTIFS(base_de_datos[Materia],A92,base_de_datos[Misma o no],1)</f>
        <v>1</v>
      </c>
    </row>
    <row r="93" spans="1:27" ht="25" x14ac:dyDescent="0.25">
      <c r="A93" t="str">
        <v>Taller avanzado de ingeniería para el diseño</v>
      </c>
      <c r="B93" t="str">
        <v>IID</v>
      </c>
      <c r="C93">
        <v>0</v>
      </c>
      <c r="D93">
        <v>0</v>
      </c>
      <c r="E93">
        <v>8</v>
      </c>
      <c r="F93">
        <v>0</v>
      </c>
      <c r="G93">
        <v>0</v>
      </c>
      <c r="H93">
        <v>0</v>
      </c>
      <c r="I93">
        <v>0</v>
      </c>
      <c r="J93">
        <v>80</v>
      </c>
      <c r="K93">
        <v>0</v>
      </c>
      <c r="L93">
        <v>0</v>
      </c>
      <c r="M93">
        <v>0</v>
      </c>
      <c r="N93" t="str">
        <v>026986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8</v>
      </c>
      <c r="V93">
        <v>0</v>
      </c>
      <c r="W93">
        <v>0</v>
      </c>
      <c r="X93">
        <v>0</v>
      </c>
      <c r="Y93">
        <v>0</v>
      </c>
      <c r="Z93" s="62">
        <v>1</v>
      </c>
      <c r="AA93" s="61">
        <f ca="1">COUNTIFS(base_de_datos[Materia],A93,base_de_datos[Misma o no],1)</f>
        <v>1</v>
      </c>
    </row>
    <row r="94" spans="1:27" x14ac:dyDescent="0.25">
      <c r="A94" t="str">
        <v>Taller de diseño funcional</v>
      </c>
      <c r="B94" t="str">
        <v>IID</v>
      </c>
      <c r="C94">
        <v>0</v>
      </c>
      <c r="D94">
        <v>0</v>
      </c>
      <c r="E94">
        <v>4</v>
      </c>
      <c r="F94">
        <v>0</v>
      </c>
      <c r="G94">
        <v>0</v>
      </c>
      <c r="H94">
        <v>0</v>
      </c>
      <c r="I94">
        <v>0</v>
      </c>
      <c r="J94">
        <v>80</v>
      </c>
      <c r="K94">
        <v>0</v>
      </c>
      <c r="L94">
        <v>0</v>
      </c>
      <c r="M94">
        <v>0</v>
      </c>
      <c r="N94" t="str">
        <v>026907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7</v>
      </c>
      <c r="V94">
        <v>0</v>
      </c>
      <c r="W94">
        <v>0</v>
      </c>
      <c r="X94">
        <v>0</v>
      </c>
      <c r="Y94">
        <v>0</v>
      </c>
      <c r="Z94" s="62">
        <v>1</v>
      </c>
      <c r="AA94" s="61">
        <f ca="1">COUNTIFS(base_de_datos[Materia],A94,base_de_datos[Misma o no],1)</f>
        <v>1</v>
      </c>
    </row>
    <row r="95" spans="1:27" ht="25" x14ac:dyDescent="0.25">
      <c r="A95" t="str">
        <v>Taller de estética para el diseño</v>
      </c>
      <c r="B95" t="str">
        <v>IID</v>
      </c>
      <c r="C95">
        <v>0</v>
      </c>
      <c r="D95">
        <v>0</v>
      </c>
      <c r="E95">
        <v>6</v>
      </c>
      <c r="F95">
        <v>0</v>
      </c>
      <c r="G95">
        <v>0</v>
      </c>
      <c r="H95">
        <v>0</v>
      </c>
      <c r="I95">
        <v>0</v>
      </c>
      <c r="J95">
        <v>80</v>
      </c>
      <c r="K95">
        <v>0</v>
      </c>
      <c r="L95">
        <v>0</v>
      </c>
      <c r="M95">
        <v>0</v>
      </c>
      <c r="N95" t="str">
        <v>026975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7</v>
      </c>
      <c r="V95">
        <v>0</v>
      </c>
      <c r="W95">
        <v>0</v>
      </c>
      <c r="X95">
        <v>0</v>
      </c>
      <c r="Y95">
        <v>0</v>
      </c>
      <c r="Z95" s="62">
        <v>1</v>
      </c>
      <c r="AA95" s="61">
        <f ca="1">COUNTIFS(base_de_datos[Materia],A95,base_de_datos[Misma o no],1)</f>
        <v>1</v>
      </c>
    </row>
    <row r="96" spans="1:27" ht="25" x14ac:dyDescent="0.25">
      <c r="A96" t="str">
        <v>Taller de metodología del diseño</v>
      </c>
      <c r="B96" t="str">
        <v>IID</v>
      </c>
      <c r="C96">
        <v>0</v>
      </c>
      <c r="D96">
        <v>0</v>
      </c>
      <c r="E96">
        <v>2</v>
      </c>
      <c r="F96">
        <v>0</v>
      </c>
      <c r="G96">
        <v>0</v>
      </c>
      <c r="H96">
        <v>0</v>
      </c>
      <c r="I96">
        <v>0</v>
      </c>
      <c r="J96">
        <v>80</v>
      </c>
      <c r="K96">
        <v>0</v>
      </c>
      <c r="L96">
        <v>0</v>
      </c>
      <c r="M96">
        <v>0</v>
      </c>
      <c r="N96" t="str">
        <v>026892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7</v>
      </c>
      <c r="V96">
        <v>0</v>
      </c>
      <c r="W96">
        <v>0</v>
      </c>
      <c r="X96">
        <v>0</v>
      </c>
      <c r="Y96">
        <v>0</v>
      </c>
      <c r="Z96" s="62">
        <v>1</v>
      </c>
      <c r="AA96" s="61">
        <f ca="1">COUNTIFS(base_de_datos[Materia],A96,base_de_datos[Misma o no],1)</f>
        <v>2</v>
      </c>
    </row>
    <row r="97" spans="1:27" x14ac:dyDescent="0.25">
      <c r="A97" t="str">
        <v>Técnicas de representación</v>
      </c>
      <c r="B97" t="str">
        <v>IID</v>
      </c>
      <c r="C97">
        <v>0</v>
      </c>
      <c r="D97">
        <v>0</v>
      </c>
      <c r="E97">
        <v>2</v>
      </c>
      <c r="F97">
        <v>0</v>
      </c>
      <c r="G97">
        <v>0</v>
      </c>
      <c r="H97">
        <v>0</v>
      </c>
      <c r="I97">
        <v>0</v>
      </c>
      <c r="J97">
        <v>64</v>
      </c>
      <c r="K97">
        <v>0</v>
      </c>
      <c r="L97">
        <v>0</v>
      </c>
      <c r="M97">
        <v>0</v>
      </c>
      <c r="N97" t="str">
        <v>026897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5</v>
      </c>
      <c r="V97">
        <v>0</v>
      </c>
      <c r="W97">
        <v>0</v>
      </c>
      <c r="X97">
        <v>0</v>
      </c>
      <c r="Y97">
        <v>0</v>
      </c>
      <c r="Z97" s="62">
        <v>1</v>
      </c>
      <c r="AA97" s="61">
        <f ca="1">COUNTIFS(base_de_datos[Materia],A97,base_de_datos[Misma o no],1)</f>
        <v>1</v>
      </c>
    </row>
    <row r="98" spans="1:27" x14ac:dyDescent="0.25">
      <c r="A98" t="str">
        <v>Álgebra lineal</v>
      </c>
      <c r="B98" t="str">
        <v>MAT</v>
      </c>
      <c r="C98">
        <v>2</v>
      </c>
      <c r="D98">
        <v>2</v>
      </c>
      <c r="E98">
        <v>0</v>
      </c>
      <c r="F98">
        <v>2</v>
      </c>
      <c r="G98">
        <v>2</v>
      </c>
      <c r="H98">
        <v>2</v>
      </c>
      <c r="I98">
        <v>2</v>
      </c>
      <c r="J98">
        <v>64</v>
      </c>
      <c r="K98">
        <v>0</v>
      </c>
      <c r="L98" t="str">
        <v>026790</v>
      </c>
      <c r="M98" t="str">
        <v>026790</v>
      </c>
      <c r="N98">
        <v>0</v>
      </c>
      <c r="O98" t="str">
        <v>028365</v>
      </c>
      <c r="P98" t="str">
        <v>018507</v>
      </c>
      <c r="Q98" t="str">
        <v>026790</v>
      </c>
      <c r="R98" t="str">
        <v>028365</v>
      </c>
      <c r="S98">
        <v>8</v>
      </c>
      <c r="T98">
        <v>8</v>
      </c>
      <c r="U98">
        <v>0</v>
      </c>
      <c r="V98">
        <v>8</v>
      </c>
      <c r="W98">
        <v>8</v>
      </c>
      <c r="X98">
        <v>8</v>
      </c>
      <c r="Y98">
        <v>8</v>
      </c>
      <c r="Z98" s="62">
        <v>0</v>
      </c>
      <c r="AA98" s="61">
        <f ca="1">COUNTIFS(base_de_datos[Materia],A98,base_de_datos[Misma o no],1)</f>
        <v>5</v>
      </c>
    </row>
    <row r="99" spans="1:27" x14ac:dyDescent="0.25">
      <c r="A99" t="str">
        <v>Cálculo integral</v>
      </c>
      <c r="B99" t="str">
        <v>MAT</v>
      </c>
      <c r="C99">
        <v>2</v>
      </c>
      <c r="D99">
        <v>2</v>
      </c>
      <c r="E99">
        <v>4</v>
      </c>
      <c r="F99">
        <v>2</v>
      </c>
      <c r="G99">
        <v>2</v>
      </c>
      <c r="H99">
        <v>2</v>
      </c>
      <c r="I99">
        <v>2</v>
      </c>
      <c r="J99">
        <v>64</v>
      </c>
      <c r="K99">
        <v>0</v>
      </c>
      <c r="L99" t="str">
        <v>026788</v>
      </c>
      <c r="M99" t="str">
        <v>026788</v>
      </c>
      <c r="N99" t="str">
        <v>026789</v>
      </c>
      <c r="O99" t="str">
        <v>028362</v>
      </c>
      <c r="P99" t="str">
        <v>018482</v>
      </c>
      <c r="Q99" t="str">
        <v>026788</v>
      </c>
      <c r="R99" t="str">
        <v>028362</v>
      </c>
      <c r="S99">
        <v>8</v>
      </c>
      <c r="T99">
        <v>0</v>
      </c>
      <c r="U99">
        <v>8</v>
      </c>
      <c r="V99">
        <v>8</v>
      </c>
      <c r="W99">
        <v>6</v>
      </c>
      <c r="X99">
        <v>8</v>
      </c>
      <c r="Y99">
        <v>8</v>
      </c>
      <c r="Z99" s="62">
        <v>3</v>
      </c>
      <c r="AA99" s="61">
        <f ca="1">COUNTIFS(base_de_datos[Materia],A99,base_de_datos[Misma o no],1)</f>
        <v>3</v>
      </c>
    </row>
    <row r="100" spans="1:27" ht="25" x14ac:dyDescent="0.25">
      <c r="A100" t="str">
        <v>Cálculo numérico/Métodos numéricos</v>
      </c>
      <c r="B100" t="str">
        <v>MAT</v>
      </c>
      <c r="C100">
        <v>0</v>
      </c>
      <c r="D100">
        <v>0</v>
      </c>
      <c r="E100">
        <v>0</v>
      </c>
      <c r="F100">
        <v>4</v>
      </c>
      <c r="G100">
        <v>0</v>
      </c>
      <c r="H100">
        <v>0</v>
      </c>
      <c r="I100">
        <v>0</v>
      </c>
      <c r="J100">
        <v>64</v>
      </c>
      <c r="K100">
        <v>0</v>
      </c>
      <c r="L100">
        <v>0</v>
      </c>
      <c r="M100">
        <v>0</v>
      </c>
      <c r="N100">
        <v>0</v>
      </c>
      <c r="O100" t="str">
        <v>029612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8</v>
      </c>
      <c r="W100">
        <v>0</v>
      </c>
      <c r="X100">
        <v>0</v>
      </c>
      <c r="Y100">
        <v>0</v>
      </c>
      <c r="Z100" s="62">
        <v>1</v>
      </c>
      <c r="AA100" s="61">
        <f ca="1">COUNTIFS(base_de_datos[Materia],A100,base_de_datos[Misma o no],1)</f>
        <v>1</v>
      </c>
    </row>
    <row r="101" spans="1:27" x14ac:dyDescent="0.25">
      <c r="A101" t="str">
        <v>Ecuaciones diferenciales</v>
      </c>
      <c r="B101" t="str">
        <v>MAT</v>
      </c>
      <c r="C101">
        <v>3</v>
      </c>
      <c r="D101">
        <v>3</v>
      </c>
      <c r="E101">
        <v>0</v>
      </c>
      <c r="F101">
        <v>4</v>
      </c>
      <c r="G101">
        <v>4</v>
      </c>
      <c r="H101">
        <v>4</v>
      </c>
      <c r="I101">
        <v>3</v>
      </c>
      <c r="J101">
        <v>48</v>
      </c>
      <c r="K101">
        <v>0</v>
      </c>
      <c r="L101" t="str">
        <v>026936</v>
      </c>
      <c r="M101" t="str">
        <v>026936</v>
      </c>
      <c r="N101">
        <v>0</v>
      </c>
      <c r="O101" t="str">
        <v>029611</v>
      </c>
      <c r="P101" t="str">
        <v>018513</v>
      </c>
      <c r="Q101" t="str">
        <v>027055</v>
      </c>
      <c r="R101" t="str">
        <v>028371</v>
      </c>
      <c r="S101">
        <v>6</v>
      </c>
      <c r="T101">
        <v>6</v>
      </c>
      <c r="U101">
        <v>0</v>
      </c>
      <c r="V101">
        <v>6</v>
      </c>
      <c r="W101">
        <v>6</v>
      </c>
      <c r="X101">
        <v>6</v>
      </c>
      <c r="Y101">
        <v>6</v>
      </c>
      <c r="Z101" s="62">
        <v>1</v>
      </c>
      <c r="AA101" s="61">
        <f ca="1">COUNTIFS(base_de_datos[Materia],A101,base_de_datos[Misma o no],1)</f>
        <v>3</v>
      </c>
    </row>
    <row r="102" spans="1:27" x14ac:dyDescent="0.25">
      <c r="A102" t="str">
        <v>Estadística</v>
      </c>
      <c r="B102" t="str">
        <v>MAT</v>
      </c>
      <c r="C102">
        <v>4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48</v>
      </c>
      <c r="K102">
        <v>0</v>
      </c>
      <c r="L102" t="str">
        <v>026997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6</v>
      </c>
      <c r="U102">
        <v>0</v>
      </c>
      <c r="V102">
        <v>0</v>
      </c>
      <c r="W102">
        <v>0</v>
      </c>
      <c r="X102">
        <v>0</v>
      </c>
      <c r="Y102">
        <v>0</v>
      </c>
      <c r="Z102" s="62">
        <v>1</v>
      </c>
      <c r="AA102" s="61">
        <f ca="1">COUNTIFS(base_de_datos[Materia],A102,base_de_datos[Misma o no],1)</f>
        <v>1</v>
      </c>
    </row>
    <row r="103" spans="1:27" x14ac:dyDescent="0.25">
      <c r="A103" t="str">
        <v>Geometría y trigonometría</v>
      </c>
      <c r="B103" t="str">
        <v>MAT</v>
      </c>
      <c r="C103">
        <v>0</v>
      </c>
      <c r="D103">
        <v>0</v>
      </c>
      <c r="E103">
        <v>2</v>
      </c>
      <c r="F103">
        <v>0</v>
      </c>
      <c r="G103">
        <v>0</v>
      </c>
      <c r="H103">
        <v>0</v>
      </c>
      <c r="I103">
        <v>0</v>
      </c>
      <c r="J103">
        <v>48</v>
      </c>
      <c r="K103">
        <v>0</v>
      </c>
      <c r="L103">
        <v>0</v>
      </c>
      <c r="M103">
        <v>0</v>
      </c>
      <c r="N103" t="str">
        <v>026893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6</v>
      </c>
      <c r="V103">
        <v>0</v>
      </c>
      <c r="W103">
        <v>0</v>
      </c>
      <c r="X103">
        <v>0</v>
      </c>
      <c r="Y103">
        <v>0</v>
      </c>
      <c r="Z103" s="62">
        <v>0</v>
      </c>
      <c r="AA103" s="61">
        <f ca="1">COUNTIFS(base_de_datos[Materia],A103,base_de_datos[Misma o no],1)</f>
        <v>1</v>
      </c>
    </row>
    <row r="104" spans="1:27" x14ac:dyDescent="0.25">
      <c r="A104" t="str">
        <v>Matemáticas avanzadas</v>
      </c>
      <c r="B104" t="str">
        <v>MAT</v>
      </c>
      <c r="C104">
        <v>0</v>
      </c>
      <c r="D104">
        <v>4</v>
      </c>
      <c r="E104">
        <v>0</v>
      </c>
      <c r="F104">
        <v>0</v>
      </c>
      <c r="G104">
        <v>0</v>
      </c>
      <c r="H104">
        <v>0</v>
      </c>
      <c r="I104">
        <v>4</v>
      </c>
      <c r="J104">
        <v>48</v>
      </c>
      <c r="K104">
        <v>0</v>
      </c>
      <c r="L104">
        <v>0</v>
      </c>
      <c r="M104" t="str">
        <v>026953</v>
      </c>
      <c r="N104">
        <v>0</v>
      </c>
      <c r="O104">
        <v>0</v>
      </c>
      <c r="P104">
        <v>0</v>
      </c>
      <c r="Q104">
        <v>0</v>
      </c>
      <c r="R104" t="str">
        <v>028483</v>
      </c>
      <c r="S104">
        <v>0</v>
      </c>
      <c r="T104">
        <v>6</v>
      </c>
      <c r="U104">
        <v>0</v>
      </c>
      <c r="V104">
        <v>0</v>
      </c>
      <c r="W104">
        <v>0</v>
      </c>
      <c r="X104">
        <v>0</v>
      </c>
      <c r="Y104">
        <v>6</v>
      </c>
      <c r="Z104" s="62">
        <v>2</v>
      </c>
      <c r="AA104" s="61">
        <f ca="1">COUNTIFS(base_de_datos[Materia],A104,base_de_datos[Misma o no],1)</f>
        <v>1</v>
      </c>
    </row>
    <row r="105" spans="1:27" x14ac:dyDescent="0.25">
      <c r="A105" t="str">
        <v>Probabilidad y estadística</v>
      </c>
      <c r="B105" t="str">
        <v>MAT</v>
      </c>
      <c r="C105">
        <v>0</v>
      </c>
      <c r="D105">
        <v>5</v>
      </c>
      <c r="E105">
        <v>6</v>
      </c>
      <c r="F105">
        <v>5</v>
      </c>
      <c r="G105">
        <v>4</v>
      </c>
      <c r="H105">
        <v>4</v>
      </c>
      <c r="I105">
        <v>5</v>
      </c>
      <c r="J105">
        <v>64</v>
      </c>
      <c r="K105">
        <v>0</v>
      </c>
      <c r="L105">
        <v>0</v>
      </c>
      <c r="M105" t="str">
        <v>026909</v>
      </c>
      <c r="N105" t="str">
        <v>026909</v>
      </c>
      <c r="O105" t="str">
        <v>028691</v>
      </c>
      <c r="P105" t="str">
        <v>018520</v>
      </c>
      <c r="Q105" t="str">
        <v>027056</v>
      </c>
      <c r="R105" t="str">
        <v>028691</v>
      </c>
      <c r="S105">
        <v>0</v>
      </c>
      <c r="T105">
        <v>8</v>
      </c>
      <c r="U105">
        <v>8</v>
      </c>
      <c r="V105">
        <v>8</v>
      </c>
      <c r="W105">
        <v>8</v>
      </c>
      <c r="X105">
        <v>8</v>
      </c>
      <c r="Y105">
        <v>8</v>
      </c>
      <c r="Z105" s="62">
        <v>1</v>
      </c>
      <c r="AA105" s="61">
        <f ca="1">COUNTIFS(base_de_datos[Materia],A105,base_de_datos[Misma o no],1)</f>
        <v>2</v>
      </c>
    </row>
    <row r="106" spans="1:27" ht="25" x14ac:dyDescent="0.25">
      <c r="A106" t="str">
        <v>Diseño asistido por computadora</v>
      </c>
      <c r="B106" t="str">
        <v>MEC</v>
      </c>
      <c r="C106">
        <v>2</v>
      </c>
      <c r="D106">
        <v>5</v>
      </c>
      <c r="E106">
        <v>2</v>
      </c>
      <c r="F106">
        <v>0</v>
      </c>
      <c r="G106">
        <v>3</v>
      </c>
      <c r="H106">
        <v>0</v>
      </c>
      <c r="I106">
        <v>0</v>
      </c>
      <c r="J106">
        <v>64</v>
      </c>
      <c r="K106">
        <v>0</v>
      </c>
      <c r="L106" t="str">
        <v>026894</v>
      </c>
      <c r="M106" t="str">
        <v>026895</v>
      </c>
      <c r="N106" t="str">
        <v>026894</v>
      </c>
      <c r="O106">
        <v>0</v>
      </c>
      <c r="P106" t="str">
        <v>018552</v>
      </c>
      <c r="Q106">
        <v>0</v>
      </c>
      <c r="R106">
        <v>0</v>
      </c>
      <c r="S106">
        <v>8</v>
      </c>
      <c r="T106">
        <v>8</v>
      </c>
      <c r="U106">
        <v>8</v>
      </c>
      <c r="V106">
        <v>0</v>
      </c>
      <c r="W106">
        <v>7</v>
      </c>
      <c r="X106">
        <v>0</v>
      </c>
      <c r="Y106">
        <v>0</v>
      </c>
      <c r="Z106" s="62">
        <v>6</v>
      </c>
      <c r="AA106" s="61">
        <f ca="1">COUNTIFS(base_de_datos[Materia],A106,base_de_datos[Misma o no],1)</f>
        <v>3</v>
      </c>
    </row>
    <row r="107" spans="1:27" x14ac:dyDescent="0.25">
      <c r="A107" t="str">
        <v>Diseño de máquinas</v>
      </c>
      <c r="B107" t="str">
        <v>MEC</v>
      </c>
      <c r="C107">
        <v>0</v>
      </c>
      <c r="D107">
        <v>8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64</v>
      </c>
      <c r="K107">
        <v>0</v>
      </c>
      <c r="L107">
        <v>0</v>
      </c>
      <c r="M107" t="str">
        <v>027037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7</v>
      </c>
      <c r="U107">
        <v>0</v>
      </c>
      <c r="V107">
        <v>0</v>
      </c>
      <c r="W107">
        <v>0</v>
      </c>
      <c r="X107">
        <v>0</v>
      </c>
      <c r="Y107">
        <v>0</v>
      </c>
      <c r="Z107" s="62">
        <v>6</v>
      </c>
      <c r="AA107" s="61">
        <f ca="1">COUNTIFS(base_de_datos[Materia],A107,base_de_datos[Misma o no],1)</f>
        <v>1</v>
      </c>
    </row>
    <row r="108" spans="1:27" x14ac:dyDescent="0.25">
      <c r="A108" t="str">
        <v>Estática</v>
      </c>
      <c r="B108" t="str">
        <v>MEC</v>
      </c>
      <c r="C108">
        <v>0</v>
      </c>
      <c r="D108">
        <v>2</v>
      </c>
      <c r="E108">
        <v>0</v>
      </c>
      <c r="F108">
        <v>0</v>
      </c>
      <c r="G108">
        <v>0</v>
      </c>
      <c r="H108">
        <v>2</v>
      </c>
      <c r="I108">
        <v>0</v>
      </c>
      <c r="J108">
        <v>48</v>
      </c>
      <c r="K108">
        <v>0</v>
      </c>
      <c r="L108">
        <v>0</v>
      </c>
      <c r="M108" t="str">
        <v>026932</v>
      </c>
      <c r="N108">
        <v>0</v>
      </c>
      <c r="O108">
        <v>0</v>
      </c>
      <c r="P108">
        <v>0</v>
      </c>
      <c r="Q108" t="str">
        <v>027046</v>
      </c>
      <c r="R108">
        <v>0</v>
      </c>
      <c r="S108">
        <v>0</v>
      </c>
      <c r="T108">
        <v>6</v>
      </c>
      <c r="U108">
        <v>0</v>
      </c>
      <c r="V108">
        <v>0</v>
      </c>
      <c r="W108">
        <v>0</v>
      </c>
      <c r="X108">
        <v>6</v>
      </c>
      <c r="Y108">
        <v>0</v>
      </c>
      <c r="Z108" s="62">
        <v>6</v>
      </c>
      <c r="AA108" s="61">
        <f ca="1">COUNTIFS(base_de_datos[Materia],A108,base_de_datos[Misma o no],1)</f>
        <v>2</v>
      </c>
    </row>
    <row r="109" spans="1:27" ht="25" x14ac:dyDescent="0.25">
      <c r="A109" t="str">
        <v>Estudio y tecnología de materiales</v>
      </c>
      <c r="B109" t="str">
        <v>MEC</v>
      </c>
      <c r="C109">
        <v>0</v>
      </c>
      <c r="D109">
        <v>0</v>
      </c>
      <c r="E109">
        <v>6</v>
      </c>
      <c r="F109">
        <v>0</v>
      </c>
      <c r="G109">
        <v>0</v>
      </c>
      <c r="H109">
        <v>0</v>
      </c>
      <c r="I109">
        <v>0</v>
      </c>
      <c r="J109">
        <v>64</v>
      </c>
      <c r="K109">
        <v>0</v>
      </c>
      <c r="L109">
        <v>0</v>
      </c>
      <c r="M109">
        <v>0</v>
      </c>
      <c r="N109" t="str">
        <v>026972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7</v>
      </c>
      <c r="V109">
        <v>0</v>
      </c>
      <c r="W109">
        <v>0</v>
      </c>
      <c r="X109">
        <v>0</v>
      </c>
      <c r="Y109">
        <v>0</v>
      </c>
      <c r="Z109" s="62">
        <v>2</v>
      </c>
      <c r="AA109" s="61">
        <f ca="1">COUNTIFS(base_de_datos[Materia],A109,base_de_datos[Misma o no],1)</f>
        <v>1</v>
      </c>
    </row>
    <row r="110" spans="1:27" x14ac:dyDescent="0.25">
      <c r="A110" t="str">
        <v>Física</v>
      </c>
      <c r="B110" t="str">
        <v>MEC</v>
      </c>
      <c r="C110">
        <v>1</v>
      </c>
      <c r="D110">
        <v>1</v>
      </c>
      <c r="E110">
        <v>1</v>
      </c>
      <c r="F110">
        <v>1</v>
      </c>
      <c r="G110">
        <v>2</v>
      </c>
      <c r="H110">
        <v>1</v>
      </c>
      <c r="I110">
        <v>1</v>
      </c>
      <c r="J110">
        <v>64</v>
      </c>
      <c r="K110">
        <v>0</v>
      </c>
      <c r="L110" t="str">
        <v>026779</v>
      </c>
      <c r="M110" t="str">
        <v>026779</v>
      </c>
      <c r="N110" t="str">
        <v>026779</v>
      </c>
      <c r="O110" t="str">
        <v>028138</v>
      </c>
      <c r="P110" t="str">
        <v>018508</v>
      </c>
      <c r="Q110" t="str">
        <v>026779</v>
      </c>
      <c r="R110" t="str">
        <v>028138</v>
      </c>
      <c r="S110">
        <v>7</v>
      </c>
      <c r="T110">
        <v>7</v>
      </c>
      <c r="U110">
        <v>7</v>
      </c>
      <c r="V110">
        <v>7</v>
      </c>
      <c r="W110">
        <v>6</v>
      </c>
      <c r="X110">
        <v>7</v>
      </c>
      <c r="Y110">
        <v>7</v>
      </c>
      <c r="Z110" s="62">
        <v>1</v>
      </c>
      <c r="AA110" s="61">
        <f ca="1">COUNTIFS(base_de_datos[Materia],A110,base_de_datos[Misma o no],1)</f>
        <v>1</v>
      </c>
    </row>
    <row r="111" spans="1:27" x14ac:dyDescent="0.25">
      <c r="A111" t="str">
        <v>Ingeniería de materiales</v>
      </c>
      <c r="B111" t="str">
        <v>MEC</v>
      </c>
      <c r="C111">
        <v>4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64</v>
      </c>
      <c r="K111">
        <v>0</v>
      </c>
      <c r="L111" t="str">
        <v>026998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7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 s="62">
        <v>1</v>
      </c>
      <c r="AA111" s="61">
        <f ca="1">COUNTIFS(base_de_datos[Materia],A111,base_de_datos[Misma o no],1)</f>
        <v>1</v>
      </c>
    </row>
    <row r="112" spans="1:27" x14ac:dyDescent="0.25">
      <c r="A112" t="str">
        <v>Máquinas y herramientas</v>
      </c>
      <c r="B112" t="str">
        <v>MEC</v>
      </c>
      <c r="C112">
        <v>0</v>
      </c>
      <c r="D112">
        <v>2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48</v>
      </c>
      <c r="K112">
        <v>0</v>
      </c>
      <c r="L112">
        <v>0</v>
      </c>
      <c r="M112" t="str">
        <v>026933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4</v>
      </c>
      <c r="U112">
        <v>0</v>
      </c>
      <c r="V112">
        <v>0</v>
      </c>
      <c r="W112">
        <v>0</v>
      </c>
      <c r="X112">
        <v>0</v>
      </c>
      <c r="Y112">
        <v>0</v>
      </c>
      <c r="Z112" s="62">
        <v>2</v>
      </c>
      <c r="AA112" s="61">
        <f ca="1">COUNTIFS(base_de_datos[Materia],A112,base_de_datos[Misma o no],1)</f>
        <v>1</v>
      </c>
    </row>
    <row r="113" spans="1:27" x14ac:dyDescent="0.25">
      <c r="A113" t="str">
        <v>Mecánica</v>
      </c>
      <c r="B113" t="str">
        <v>MEC</v>
      </c>
      <c r="C113">
        <v>2</v>
      </c>
      <c r="D113">
        <v>0</v>
      </c>
      <c r="E113">
        <v>0</v>
      </c>
      <c r="F113">
        <v>2</v>
      </c>
      <c r="G113">
        <v>4</v>
      </c>
      <c r="H113">
        <v>0</v>
      </c>
      <c r="I113">
        <v>2</v>
      </c>
      <c r="J113">
        <v>48</v>
      </c>
      <c r="K113">
        <v>0</v>
      </c>
      <c r="L113" t="str">
        <v>027027</v>
      </c>
      <c r="M113">
        <v>0</v>
      </c>
      <c r="N113">
        <v>0</v>
      </c>
      <c r="O113" t="str">
        <v>028366</v>
      </c>
      <c r="P113" t="str">
        <v>018550</v>
      </c>
      <c r="Q113">
        <v>0</v>
      </c>
      <c r="R113" t="str">
        <v>028366</v>
      </c>
      <c r="S113">
        <v>6</v>
      </c>
      <c r="T113">
        <v>0</v>
      </c>
      <c r="U113">
        <v>0</v>
      </c>
      <c r="V113">
        <v>6</v>
      </c>
      <c r="W113">
        <v>7</v>
      </c>
      <c r="X113">
        <v>0</v>
      </c>
      <c r="Y113">
        <v>6</v>
      </c>
      <c r="Z113" s="62">
        <v>2</v>
      </c>
      <c r="AA113" s="61">
        <f ca="1">COUNTIFS(base_de_datos[Materia],A113,base_de_datos[Misma o no],1)</f>
        <v>2</v>
      </c>
    </row>
    <row r="114" spans="1:27" x14ac:dyDescent="0.25">
      <c r="A114" t="str">
        <v>Mecanismos</v>
      </c>
      <c r="B114" t="str">
        <v>MEC</v>
      </c>
      <c r="C114">
        <v>0</v>
      </c>
      <c r="D114">
        <v>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48</v>
      </c>
      <c r="K114">
        <v>0</v>
      </c>
      <c r="L114">
        <v>0</v>
      </c>
      <c r="M114" t="str">
        <v>027029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6</v>
      </c>
      <c r="U114">
        <v>0</v>
      </c>
      <c r="V114">
        <v>0</v>
      </c>
      <c r="W114">
        <v>0</v>
      </c>
      <c r="X114">
        <v>0</v>
      </c>
      <c r="Y114">
        <v>0</v>
      </c>
      <c r="Z114" s="62">
        <v>1</v>
      </c>
      <c r="AA114" s="61">
        <f ca="1">COUNTIFS(base_de_datos[Materia],A114,base_de_datos[Misma o no],1)</f>
        <v>1</v>
      </c>
    </row>
    <row r="115" spans="1:27" x14ac:dyDescent="0.25">
      <c r="A115" t="str">
        <v>Procesos de manufactura</v>
      </c>
      <c r="B115" t="str">
        <v>MEC</v>
      </c>
      <c r="C115">
        <v>6</v>
      </c>
      <c r="D115">
        <v>6</v>
      </c>
      <c r="E115">
        <v>7</v>
      </c>
      <c r="F115">
        <v>0</v>
      </c>
      <c r="G115">
        <v>0</v>
      </c>
      <c r="H115">
        <v>0</v>
      </c>
      <c r="I115">
        <v>0</v>
      </c>
      <c r="J115">
        <v>64</v>
      </c>
      <c r="K115">
        <v>0</v>
      </c>
      <c r="L115" t="str">
        <v>026966</v>
      </c>
      <c r="M115" t="str">
        <v>026966</v>
      </c>
      <c r="N115" t="str">
        <v>026982</v>
      </c>
      <c r="O115">
        <v>0</v>
      </c>
      <c r="P115">
        <v>0</v>
      </c>
      <c r="Q115">
        <v>0</v>
      </c>
      <c r="R115">
        <v>0</v>
      </c>
      <c r="S115">
        <v>7</v>
      </c>
      <c r="T115">
        <v>7</v>
      </c>
      <c r="U115">
        <v>7</v>
      </c>
      <c r="V115">
        <v>0</v>
      </c>
      <c r="W115">
        <v>0</v>
      </c>
      <c r="X115">
        <v>0</v>
      </c>
      <c r="Y115">
        <v>0</v>
      </c>
      <c r="Z115" s="62">
        <v>1</v>
      </c>
      <c r="AA115" s="61">
        <f ca="1">COUNTIFS(base_de_datos[Materia],A115,base_de_datos[Misma o no],1)</f>
        <v>3</v>
      </c>
    </row>
    <row r="116" spans="1:27" x14ac:dyDescent="0.25">
      <c r="A116" t="str">
        <v>Resistencia de materiales</v>
      </c>
      <c r="B116" t="str">
        <v>MEC</v>
      </c>
      <c r="C116">
        <v>0</v>
      </c>
      <c r="D116">
        <v>4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48</v>
      </c>
      <c r="K116">
        <v>0</v>
      </c>
      <c r="L116">
        <v>0</v>
      </c>
      <c r="M116" t="str">
        <v>026956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6</v>
      </c>
      <c r="U116">
        <v>0</v>
      </c>
      <c r="V116">
        <v>0</v>
      </c>
      <c r="W116">
        <v>0</v>
      </c>
      <c r="X116">
        <v>0</v>
      </c>
      <c r="Y116">
        <v>0</v>
      </c>
      <c r="Z116" s="62">
        <v>6</v>
      </c>
      <c r="AA116" s="61">
        <f ca="1">COUNTIFS(base_de_datos[Materia],A116,base_de_datos[Misma o no],1)</f>
        <v>1</v>
      </c>
    </row>
    <row r="117" spans="1:27" ht="25" x14ac:dyDescent="0.25">
      <c r="A117" t="str">
        <v>Sistemas integrados de manufactura</v>
      </c>
      <c r="B117" t="str">
        <v>MEC</v>
      </c>
      <c r="C117">
        <v>8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64</v>
      </c>
      <c r="K117">
        <v>0</v>
      </c>
      <c r="L117" t="str">
        <v>027017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7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 s="62">
        <v>1</v>
      </c>
      <c r="AA117" s="61">
        <f ca="1">COUNTIFS(base_de_datos[Materia],A117,base_de_datos[Misma o no],1)</f>
        <v>1</v>
      </c>
    </row>
    <row r="118" spans="1:27" x14ac:dyDescent="0.25">
      <c r="Z118" s="62">
        <v>1</v>
      </c>
      <c r="AA118" s="61">
        <f>COUNTIFS(base_de_datos[Materia],A118,base_de_datos[Misma o no],1)</f>
        <v>0</v>
      </c>
    </row>
    <row r="119" spans="1:27" x14ac:dyDescent="0.25">
      <c r="Z119" s="62">
        <v>1</v>
      </c>
      <c r="AA119" s="61">
        <f>COUNTIFS(base_de_datos[Materia],A119,base_de_datos[Misma o no],1)</f>
        <v>0</v>
      </c>
    </row>
  </sheetData>
  <autoFilter ref="A1:Y1" xr:uid="{BDE071A9-6B8E-4B5B-A474-983664B91F28}"/>
  <conditionalFormatting sqref="A2:AA2 Z3:Z84">
    <cfRule type="expression" dxfId="1" priority="2">
      <formula>$Z2=$AA2</formula>
    </cfRule>
  </conditionalFormatting>
  <conditionalFormatting sqref="A85:AA151 A3:Y84 AA3:AA84">
    <cfRule type="expression" dxfId="0" priority="1">
      <formula>$Z3=$AA3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bfa2f52-108b-4844-87bb-de7045dbe576">
      <UserInfo>
        <DisplayName>Laura Patricia Renteria Solis</DisplayName>
        <AccountId>13</AccountId>
        <AccountType/>
      </UserInfo>
      <UserInfo>
        <DisplayName>Rogelio Barocio Lira</DisplayName>
        <AccountId>21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03B6BF7E7E0374DA92167CA2560DF42" ma:contentTypeVersion="5" ma:contentTypeDescription="Crear nuevo documento." ma:contentTypeScope="" ma:versionID="cb1122794106acbe3ddc520671d7377b">
  <xsd:schema xmlns:xsd="http://www.w3.org/2001/XMLSchema" xmlns:xs="http://www.w3.org/2001/XMLSchema" xmlns:p="http://schemas.microsoft.com/office/2006/metadata/properties" xmlns:ns3="c01d3775-c9e1-422d-8763-4def1575a9a7" xmlns:ns4="7bfa2f52-108b-4844-87bb-de7045dbe576" targetNamespace="http://schemas.microsoft.com/office/2006/metadata/properties" ma:root="true" ma:fieldsID="7c07c8bc9ed0b95a3d37b565b62aaa2f" ns3:_="" ns4:_="">
    <xsd:import namespace="c01d3775-c9e1-422d-8763-4def1575a9a7"/>
    <xsd:import namespace="7bfa2f52-108b-4844-87bb-de7045dbe57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1d3775-c9e1-422d-8763-4def1575a9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bfa2f52-108b-4844-87bb-de7045dbe57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7E9C26C-2B43-43CB-AA4D-B258203281C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66EE9E0-7741-42EC-8825-5DA9254953BA}">
  <ds:schemaRefs>
    <ds:schemaRef ds:uri="http://schemas.microsoft.com/office/2006/metadata/properties"/>
    <ds:schemaRef ds:uri="http://schemas.microsoft.com/office/infopath/2007/PartnerControls"/>
    <ds:schemaRef ds:uri="7bfa2f52-108b-4844-87bb-de7045dbe576"/>
  </ds:schemaRefs>
</ds:datastoreItem>
</file>

<file path=customXml/itemProps3.xml><?xml version="1.0" encoding="utf-8"?>
<ds:datastoreItem xmlns:ds="http://schemas.openxmlformats.org/officeDocument/2006/customXml" ds:itemID="{181BC1F2-359D-4ACA-B9F1-C9974373B6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1d3775-c9e1-422d-8763-4def1575a9a7"/>
    <ds:schemaRef ds:uri="7bfa2f52-108b-4844-87bb-de7045dbe57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38</vt:i4>
      </vt:variant>
    </vt:vector>
  </HeadingPairs>
  <TitlesOfParts>
    <vt:vector size="47" baseType="lpstr">
      <vt:lpstr>Horario profesor</vt:lpstr>
      <vt:lpstr>Horario grupo</vt:lpstr>
      <vt:lpstr>Horario aula</vt:lpstr>
      <vt:lpstr>Índices</vt:lpstr>
      <vt:lpstr>Base de datos</vt:lpstr>
      <vt:lpstr>Profesores</vt:lpstr>
      <vt:lpstr>Pronostico</vt:lpstr>
      <vt:lpstr>Planes de estudio</vt:lpstr>
      <vt:lpstr>Pares</vt:lpstr>
      <vt:lpstr>Aula</vt:lpstr>
      <vt:lpstr>Aulas</vt:lpstr>
      <vt:lpstr>Aulas_capacidad</vt:lpstr>
      <vt:lpstr>Bioelectrónica</vt:lpstr>
      <vt:lpstr>Cantidad_de_materias</vt:lpstr>
      <vt:lpstr>Capacidad</vt:lpstr>
      <vt:lpstr>Carrera</vt:lpstr>
      <vt:lpstr>Carreras</vt:lpstr>
      <vt:lpstr>Civil_y_Administración</vt:lpstr>
      <vt:lpstr>Clases_Presenciales</vt:lpstr>
      <vt:lpstr>'Horario aula'!Columna</vt:lpstr>
      <vt:lpstr>'Horario profesor'!Columna</vt:lpstr>
      <vt:lpstr>'Horario aula'!Concepto</vt:lpstr>
      <vt:lpstr>'Horario profesor'!Concepto</vt:lpstr>
      <vt:lpstr>Equipo</vt:lpstr>
      <vt:lpstr>Gdo</vt:lpstr>
      <vt:lpstr>Grado</vt:lpstr>
      <vt:lpstr>Hora_de_fin</vt:lpstr>
      <vt:lpstr>Hora_de_inicio</vt:lpstr>
      <vt:lpstr>Horas</vt:lpstr>
      <vt:lpstr>Industrial</vt:lpstr>
      <vt:lpstr>Innovación_y_Diseño</vt:lpstr>
      <vt:lpstr>Inteligencia_Artificial</vt:lpstr>
      <vt:lpstr>Materia_programada</vt:lpstr>
      <vt:lpstr>Materias</vt:lpstr>
      <vt:lpstr>Mecatrónica</vt:lpstr>
      <vt:lpstr>Metales</vt:lpstr>
      <vt:lpstr>Nombre</vt:lpstr>
      <vt:lpstr>Num</vt:lpstr>
      <vt:lpstr>Optativa</vt:lpstr>
      <vt:lpstr>'Horario aula'!Profesor</vt:lpstr>
      <vt:lpstr>'Horario profesor'!Profesor</vt:lpstr>
      <vt:lpstr>Sana_distancia</vt:lpstr>
      <vt:lpstr>Semestre</vt:lpstr>
      <vt:lpstr>Semestres</vt:lpstr>
      <vt:lpstr>Tecnologías_Energéticas</vt:lpstr>
      <vt:lpstr>Tipo</vt:lpstr>
      <vt:lpstr>Tipo_de_profesor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Bego</dc:creator>
  <cp:keywords/>
  <dc:description/>
  <cp:lastModifiedBy>Usuario</cp:lastModifiedBy>
  <cp:revision/>
  <dcterms:created xsi:type="dcterms:W3CDTF">2020-09-09T15:52:35Z</dcterms:created>
  <dcterms:modified xsi:type="dcterms:W3CDTF">2023-02-25T00:31:24Z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0x010100003B6BF7E7E0374DA92167CA2560DF42</vt:lpwstr>
  </property>
</Properties>
</file>